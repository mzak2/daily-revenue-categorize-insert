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akre\Documents\Coding\VBA Excel\Github_Daily_Rev\Github\"/>
    </mc:Choice>
  </mc:AlternateContent>
  <xr:revisionPtr revIDLastSave="0" documentId="13_ncr:1_{C25ADB11-B9D1-4C46-A896-98808E548929}" xr6:coauthVersionLast="47" xr6:coauthVersionMax="47" xr10:uidLastSave="{00000000-0000-0000-0000-000000000000}"/>
  <bookViews>
    <workbookView xWindow="22932" yWindow="-108" windowWidth="23256" windowHeight="12576" xr2:uid="{310AF4DA-478E-4A1E-9C7F-CC2D620C8A04}"/>
  </bookViews>
  <sheets>
    <sheet name="ALLEN" sheetId="8" r:id="rId1"/>
    <sheet name="CALLA" sheetId="7" r:id="rId2"/>
    <sheet name="MCR" sheetId="9" r:id="rId3"/>
    <sheet name="MOHAWK" sheetId="10" r:id="rId4"/>
    <sheet name="SMARTPAK" sheetId="6" r:id="rId5"/>
    <sheet name="SWOOC" sheetId="12" r:id="rId6"/>
    <sheet name="import_data" sheetId="13" r:id="rId7"/>
    <sheet name="import_data_1" sheetId="11" r:id="rId8"/>
  </sheets>
  <functionGroups builtInGroupCount="19"/>
  <definedNames>
    <definedName name="_xlnm._FilterDatabase" localSheetId="6" hidden="1">import_data!$A$1:$C$1</definedName>
    <definedName name="_xlnm._FilterDatabase" localSheetId="7" hidden="1">import_data_1!$A$1:$C$1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8" i="8" l="1"/>
  <c r="AA18" i="8"/>
  <c r="AB18" i="8" s="1"/>
  <c r="M18" i="8"/>
  <c r="O18" i="8"/>
  <c r="Q18" i="8"/>
  <c r="R18" i="8"/>
  <c r="F18" i="8"/>
  <c r="G18" i="8"/>
  <c r="H18" i="8"/>
  <c r="Y18" i="7"/>
  <c r="AA18" i="7"/>
  <c r="AB18" i="7" s="1"/>
  <c r="M18" i="7"/>
  <c r="O18" i="7"/>
  <c r="Q18" i="7"/>
  <c r="R18" i="7"/>
  <c r="F18" i="7"/>
  <c r="G18" i="7"/>
  <c r="H18" i="7"/>
  <c r="U18" i="9"/>
  <c r="W18" i="9"/>
  <c r="X18" i="9" s="1"/>
  <c r="K18" i="9"/>
  <c r="M18" i="9"/>
  <c r="O18" i="9"/>
  <c r="P18" i="9" s="1"/>
  <c r="S18" i="9" s="1"/>
  <c r="E18" i="9"/>
  <c r="F18" i="9"/>
  <c r="G18" i="9" s="1"/>
  <c r="I18" i="9" s="1"/>
  <c r="U18" i="10"/>
  <c r="W18" i="10"/>
  <c r="X18" i="10" s="1"/>
  <c r="K18" i="10"/>
  <c r="M18" i="10"/>
  <c r="O18" i="10"/>
  <c r="P18" i="10" s="1"/>
  <c r="S18" i="10" s="1"/>
  <c r="E18" i="10"/>
  <c r="F18" i="10"/>
  <c r="G18" i="10" s="1"/>
  <c r="I18" i="10" s="1"/>
  <c r="V18" i="6"/>
  <c r="X18" i="6"/>
  <c r="Y18" i="6" s="1"/>
  <c r="L18" i="6"/>
  <c r="N18" i="6"/>
  <c r="P18" i="6"/>
  <c r="Q18" i="6" s="1"/>
  <c r="T18" i="6" s="1"/>
  <c r="F18" i="6"/>
  <c r="G18" i="6"/>
  <c r="H18" i="6" s="1"/>
  <c r="J18" i="6" s="1"/>
  <c r="Y18" i="12"/>
  <c r="AA18" i="12"/>
  <c r="AB18" i="12" s="1"/>
  <c r="M18" i="12"/>
  <c r="O18" i="12"/>
  <c r="Q18" i="12"/>
  <c r="R18" i="12"/>
  <c r="H18" i="12"/>
  <c r="G18" i="12"/>
  <c r="F18" i="12"/>
  <c r="I33" i="8"/>
  <c r="I34" i="8"/>
  <c r="I35" i="8"/>
  <c r="I36" i="8"/>
  <c r="I32" i="8"/>
  <c r="I27" i="8"/>
  <c r="I28" i="8"/>
  <c r="I29" i="8"/>
  <c r="I30" i="8"/>
  <c r="I26" i="8"/>
  <c r="I21" i="8"/>
  <c r="I22" i="8"/>
  <c r="I23" i="8"/>
  <c r="I24" i="8"/>
  <c r="I20" i="8"/>
  <c r="I15" i="8"/>
  <c r="I16" i="8"/>
  <c r="I17" i="8"/>
  <c r="I14" i="8"/>
  <c r="I7" i="8"/>
  <c r="I8" i="8"/>
  <c r="I9" i="8"/>
  <c r="I10" i="8"/>
  <c r="I11" i="8"/>
  <c r="I12" i="8"/>
  <c r="I6" i="8"/>
  <c r="T33" i="12"/>
  <c r="T34" i="12"/>
  <c r="T35" i="12"/>
  <c r="T36" i="12"/>
  <c r="T32" i="12"/>
  <c r="T27" i="12"/>
  <c r="T28" i="12"/>
  <c r="T29" i="12"/>
  <c r="T30" i="12"/>
  <c r="T26" i="12"/>
  <c r="T21" i="12"/>
  <c r="T22" i="12"/>
  <c r="T23" i="12"/>
  <c r="T24" i="12"/>
  <c r="T20" i="12"/>
  <c r="T15" i="12"/>
  <c r="T16" i="12"/>
  <c r="T17" i="12"/>
  <c r="T14" i="12"/>
  <c r="T7" i="12"/>
  <c r="T8" i="12"/>
  <c r="T9" i="12"/>
  <c r="T10" i="12"/>
  <c r="T11" i="12"/>
  <c r="T12" i="12"/>
  <c r="T6" i="12"/>
  <c r="N33" i="12"/>
  <c r="N34" i="12"/>
  <c r="N35" i="12"/>
  <c r="N36" i="12"/>
  <c r="N32" i="12"/>
  <c r="N27" i="12"/>
  <c r="N28" i="12"/>
  <c r="N29" i="12"/>
  <c r="N30" i="12"/>
  <c r="N26" i="12"/>
  <c r="N21" i="12"/>
  <c r="N22" i="12"/>
  <c r="N23" i="12"/>
  <c r="N24" i="12"/>
  <c r="N20" i="12"/>
  <c r="N15" i="12"/>
  <c r="N16" i="12"/>
  <c r="N17" i="12"/>
  <c r="N14" i="12"/>
  <c r="N7" i="12"/>
  <c r="N8" i="12"/>
  <c r="N9" i="12"/>
  <c r="N10" i="12"/>
  <c r="N11" i="12"/>
  <c r="N12" i="12"/>
  <c r="N6" i="12"/>
  <c r="M33" i="6"/>
  <c r="M34" i="6"/>
  <c r="M35" i="6"/>
  <c r="M36" i="6"/>
  <c r="M32" i="6"/>
  <c r="M27" i="6"/>
  <c r="M28" i="6"/>
  <c r="M29" i="6"/>
  <c r="M30" i="6"/>
  <c r="M26" i="6"/>
  <c r="M21" i="6"/>
  <c r="M22" i="6"/>
  <c r="M23" i="6"/>
  <c r="M24" i="6"/>
  <c r="M20" i="6"/>
  <c r="M15" i="6"/>
  <c r="M16" i="6"/>
  <c r="M17" i="6"/>
  <c r="M14" i="6"/>
  <c r="M7" i="6"/>
  <c r="M8" i="6"/>
  <c r="M9" i="6"/>
  <c r="M10" i="6"/>
  <c r="M11" i="6"/>
  <c r="M12" i="6"/>
  <c r="M6" i="6"/>
  <c r="L33" i="10"/>
  <c r="L34" i="10"/>
  <c r="L35" i="10"/>
  <c r="L36" i="10"/>
  <c r="L32" i="10"/>
  <c r="L27" i="10"/>
  <c r="L28" i="10"/>
  <c r="L29" i="10"/>
  <c r="L30" i="10"/>
  <c r="L26" i="10"/>
  <c r="L21" i="10"/>
  <c r="L22" i="10"/>
  <c r="L23" i="10"/>
  <c r="L24" i="10"/>
  <c r="L15" i="10"/>
  <c r="L16" i="10"/>
  <c r="L17" i="10"/>
  <c r="L14" i="10"/>
  <c r="L7" i="10"/>
  <c r="L8" i="10"/>
  <c r="L9" i="10"/>
  <c r="L10" i="10"/>
  <c r="L11" i="10"/>
  <c r="L12" i="10"/>
  <c r="L6" i="10"/>
  <c r="L33" i="9"/>
  <c r="L34" i="9"/>
  <c r="L35" i="9"/>
  <c r="L36" i="9"/>
  <c r="L32" i="9"/>
  <c r="L27" i="9"/>
  <c r="L28" i="9"/>
  <c r="L29" i="9"/>
  <c r="L30" i="9"/>
  <c r="L26" i="9"/>
  <c r="L21" i="9"/>
  <c r="L22" i="9"/>
  <c r="L23" i="9"/>
  <c r="L24" i="9"/>
  <c r="L20" i="9"/>
  <c r="L15" i="9"/>
  <c r="L16" i="9"/>
  <c r="L17" i="9"/>
  <c r="L14" i="9"/>
  <c r="L7" i="9"/>
  <c r="L8" i="9"/>
  <c r="L9" i="9"/>
  <c r="L10" i="9"/>
  <c r="L11" i="9"/>
  <c r="L12" i="9"/>
  <c r="L6" i="9"/>
  <c r="T33" i="7"/>
  <c r="T34" i="7"/>
  <c r="T35" i="7"/>
  <c r="T36" i="7"/>
  <c r="T32" i="7"/>
  <c r="T27" i="7"/>
  <c r="T28" i="7"/>
  <c r="T29" i="7"/>
  <c r="T30" i="7"/>
  <c r="T26" i="7"/>
  <c r="T21" i="7"/>
  <c r="T22" i="7"/>
  <c r="T23" i="7"/>
  <c r="T24" i="7"/>
  <c r="T20" i="7"/>
  <c r="T15" i="7"/>
  <c r="T16" i="7"/>
  <c r="T17" i="7"/>
  <c r="T14" i="7"/>
  <c r="T7" i="7"/>
  <c r="T8" i="7"/>
  <c r="T9" i="7"/>
  <c r="T10" i="7"/>
  <c r="T11" i="7"/>
  <c r="T12" i="7"/>
  <c r="T6" i="7"/>
  <c r="C17" i="7"/>
  <c r="D16" i="7"/>
  <c r="D12" i="7"/>
  <c r="C12" i="7"/>
  <c r="D11" i="7"/>
  <c r="D11" i="8"/>
  <c r="C11" i="8"/>
  <c r="X37" i="12"/>
  <c r="V37" i="12"/>
  <c r="U37" i="12"/>
  <c r="L37" i="12"/>
  <c r="J37" i="12"/>
  <c r="E37" i="12"/>
  <c r="D37" i="12"/>
  <c r="C37" i="12"/>
  <c r="B37" i="12"/>
  <c r="AA36" i="12"/>
  <c r="O36" i="12"/>
  <c r="M36" i="12"/>
  <c r="AA35" i="12"/>
  <c r="O35" i="12"/>
  <c r="M35" i="12"/>
  <c r="AA34" i="12"/>
  <c r="AB34" i="12" s="1"/>
  <c r="O34" i="12"/>
  <c r="M34" i="12"/>
  <c r="AA33" i="12"/>
  <c r="AB33" i="12" s="1"/>
  <c r="O33" i="12"/>
  <c r="M33" i="12"/>
  <c r="AA32" i="12"/>
  <c r="AB32" i="12" s="1"/>
  <c r="O32" i="12"/>
  <c r="M32" i="12"/>
  <c r="X31" i="12"/>
  <c r="V31" i="12"/>
  <c r="U31" i="12"/>
  <c r="L31" i="12"/>
  <c r="J31" i="12"/>
  <c r="E31" i="12"/>
  <c r="D31" i="12"/>
  <c r="C31" i="12"/>
  <c r="B31" i="12"/>
  <c r="AA30" i="12"/>
  <c r="O30" i="12"/>
  <c r="M30" i="12"/>
  <c r="AA29" i="12"/>
  <c r="AB29" i="12" s="1"/>
  <c r="O29" i="12"/>
  <c r="M29" i="12"/>
  <c r="AA28" i="12"/>
  <c r="AB28" i="12" s="1"/>
  <c r="O28" i="12"/>
  <c r="M28" i="12"/>
  <c r="AA27" i="12"/>
  <c r="AB27" i="12" s="1"/>
  <c r="O27" i="12"/>
  <c r="M27" i="12"/>
  <c r="AA26" i="12"/>
  <c r="O26" i="12"/>
  <c r="M26" i="12"/>
  <c r="X25" i="12"/>
  <c r="V25" i="12"/>
  <c r="U25" i="12"/>
  <c r="L25" i="12"/>
  <c r="J25" i="12"/>
  <c r="E25" i="12"/>
  <c r="D25" i="12"/>
  <c r="C25" i="12"/>
  <c r="B25" i="12"/>
  <c r="AA24" i="12"/>
  <c r="O24" i="12"/>
  <c r="M24" i="12"/>
  <c r="AA23" i="12"/>
  <c r="AB23" i="12" s="1"/>
  <c r="O23" i="12"/>
  <c r="AE23" i="12" s="1"/>
  <c r="M23" i="12"/>
  <c r="AA22" i="12"/>
  <c r="O22" i="12"/>
  <c r="M22" i="12"/>
  <c r="AA21" i="12"/>
  <c r="O21" i="12"/>
  <c r="M21" i="12"/>
  <c r="AA20" i="12"/>
  <c r="AB20" i="12" s="1"/>
  <c r="O20" i="12"/>
  <c r="M20" i="12"/>
  <c r="X19" i="12"/>
  <c r="V19" i="12"/>
  <c r="U19" i="12"/>
  <c r="L19" i="12"/>
  <c r="J19" i="12"/>
  <c r="E19" i="12"/>
  <c r="D19" i="12"/>
  <c r="C19" i="12"/>
  <c r="B19" i="12"/>
  <c r="AA17" i="12"/>
  <c r="O17" i="12"/>
  <c r="M17" i="12"/>
  <c r="AA16" i="12"/>
  <c r="AB16" i="12" s="1"/>
  <c r="O16" i="12"/>
  <c r="M16" i="12"/>
  <c r="AA15" i="12"/>
  <c r="AB15" i="12" s="1"/>
  <c r="O15" i="12"/>
  <c r="M15" i="12"/>
  <c r="AA14" i="12"/>
  <c r="O14" i="12"/>
  <c r="M14" i="12"/>
  <c r="X13" i="12"/>
  <c r="V13" i="12"/>
  <c r="U13" i="12"/>
  <c r="L13" i="12"/>
  <c r="J13" i="12"/>
  <c r="E13" i="12"/>
  <c r="D13" i="12"/>
  <c r="C13" i="12"/>
  <c r="B13" i="12"/>
  <c r="AA12" i="12"/>
  <c r="AB12" i="12" s="1"/>
  <c r="O12" i="12"/>
  <c r="M12" i="12"/>
  <c r="AA11" i="12"/>
  <c r="AB11" i="12" s="1"/>
  <c r="O11" i="12"/>
  <c r="M11" i="12"/>
  <c r="AA10" i="12"/>
  <c r="O10" i="12"/>
  <c r="M10" i="12"/>
  <c r="AA9" i="12"/>
  <c r="AB9" i="12" s="1"/>
  <c r="O9" i="12"/>
  <c r="M9" i="12"/>
  <c r="AA8" i="12"/>
  <c r="O8" i="12"/>
  <c r="M8" i="12"/>
  <c r="AA7" i="12"/>
  <c r="AB7" i="12" s="1"/>
  <c r="O7" i="12"/>
  <c r="M7" i="12"/>
  <c r="AA6" i="12"/>
  <c r="AB6" i="12" s="1"/>
  <c r="O6" i="12"/>
  <c r="M6" i="12"/>
  <c r="AD3" i="12"/>
  <c r="Y9" i="12" s="1"/>
  <c r="X3" i="12"/>
  <c r="R6" i="12" s="1"/>
  <c r="W3" i="12"/>
  <c r="Q11" i="12" s="1"/>
  <c r="U3" i="12"/>
  <c r="L3" i="12"/>
  <c r="H10" i="12" s="1"/>
  <c r="K3" i="12"/>
  <c r="G12" i="12" s="1"/>
  <c r="G3" i="12"/>
  <c r="I18" i="7" l="1"/>
  <c r="N18" i="7" s="1"/>
  <c r="P18" i="7" s="1"/>
  <c r="S18" i="8"/>
  <c r="T18" i="8" s="1"/>
  <c r="W18" i="8" s="1"/>
  <c r="I18" i="8"/>
  <c r="N18" i="8" s="1"/>
  <c r="P18" i="8" s="1"/>
  <c r="L18" i="10"/>
  <c r="N18" i="10" s="1"/>
  <c r="W18" i="6"/>
  <c r="Z18" i="6" s="1"/>
  <c r="S18" i="12"/>
  <c r="T18" i="12" s="1"/>
  <c r="W18" i="12" s="1"/>
  <c r="I18" i="12"/>
  <c r="K18" i="12" s="1"/>
  <c r="M18" i="6"/>
  <c r="O18" i="6" s="1"/>
  <c r="V18" i="10"/>
  <c r="Y18" i="10" s="1"/>
  <c r="L18" i="9"/>
  <c r="N18" i="9" s="1"/>
  <c r="V18" i="9"/>
  <c r="Y18" i="9" s="1"/>
  <c r="S18" i="7"/>
  <c r="T18" i="7" s="1"/>
  <c r="W18" i="7" s="1"/>
  <c r="K18" i="7"/>
  <c r="K18" i="8"/>
  <c r="AE18" i="12"/>
  <c r="AB18" i="6"/>
  <c r="AA18" i="10"/>
  <c r="AA18" i="9"/>
  <c r="AE18" i="7"/>
  <c r="AE18" i="8"/>
  <c r="Q10" i="12"/>
  <c r="Y8" i="12"/>
  <c r="Q22" i="12"/>
  <c r="M25" i="12"/>
  <c r="AE36" i="12"/>
  <c r="G9" i="12"/>
  <c r="G11" i="12"/>
  <c r="AE21" i="12"/>
  <c r="H27" i="12"/>
  <c r="M37" i="12"/>
  <c r="H29" i="12"/>
  <c r="AE24" i="12"/>
  <c r="H30" i="12"/>
  <c r="Y17" i="12"/>
  <c r="AE22" i="12"/>
  <c r="AE35" i="12"/>
  <c r="G8" i="12"/>
  <c r="AE6" i="12"/>
  <c r="Q8" i="12"/>
  <c r="Y15" i="12"/>
  <c r="G24" i="12"/>
  <c r="AA25" i="12"/>
  <c r="AB25" i="12" s="1"/>
  <c r="Q9" i="12"/>
  <c r="Q7" i="12"/>
  <c r="AE8" i="12"/>
  <c r="H17" i="12"/>
  <c r="AB22" i="12"/>
  <c r="O31" i="12"/>
  <c r="AB21" i="12"/>
  <c r="AB24" i="12"/>
  <c r="G21" i="12"/>
  <c r="M31" i="12"/>
  <c r="AB36" i="12"/>
  <c r="AB8" i="12"/>
  <c r="AE9" i="12"/>
  <c r="Q24" i="12"/>
  <c r="AE28" i="12"/>
  <c r="O25" i="12"/>
  <c r="AB35" i="12"/>
  <c r="H7" i="12"/>
  <c r="AA37" i="12"/>
  <c r="AB37" i="12" s="1"/>
  <c r="AE34" i="12"/>
  <c r="M19" i="12"/>
  <c r="O19" i="12"/>
  <c r="AE15" i="12"/>
  <c r="D39" i="12"/>
  <c r="C39" i="12"/>
  <c r="B39" i="12"/>
  <c r="J39" i="12"/>
  <c r="V39" i="12"/>
  <c r="U39" i="12"/>
  <c r="AE14" i="12"/>
  <c r="X39" i="12"/>
  <c r="M13" i="12"/>
  <c r="AE11" i="12"/>
  <c r="O13" i="12"/>
  <c r="AE10" i="12"/>
  <c r="L39" i="12"/>
  <c r="AA13" i="12"/>
  <c r="AB13" i="12" s="1"/>
  <c r="AB10" i="12"/>
  <c r="F9" i="12"/>
  <c r="F28" i="12"/>
  <c r="Y10" i="12"/>
  <c r="AE27" i="12"/>
  <c r="R28" i="12"/>
  <c r="R7" i="12"/>
  <c r="H8" i="12"/>
  <c r="I8" i="12" s="1"/>
  <c r="Q20" i="12"/>
  <c r="R26" i="12"/>
  <c r="AE29" i="12"/>
  <c r="Q32" i="12"/>
  <c r="AE30" i="12"/>
  <c r="AB30" i="12"/>
  <c r="Y30" i="12"/>
  <c r="Y36" i="12"/>
  <c r="Y32" i="12"/>
  <c r="Y23" i="12"/>
  <c r="Y29" i="12"/>
  <c r="Y16" i="12"/>
  <c r="Y35" i="12"/>
  <c r="Y22" i="12"/>
  <c r="Y34" i="12"/>
  <c r="Y21" i="12"/>
  <c r="Y12" i="12"/>
  <c r="Y33" i="12"/>
  <c r="Y24" i="12"/>
  <c r="Y20" i="12"/>
  <c r="Y11" i="12"/>
  <c r="R16" i="12"/>
  <c r="Y26" i="12"/>
  <c r="Y6" i="12"/>
  <c r="AE7" i="12"/>
  <c r="R8" i="12"/>
  <c r="H9" i="12"/>
  <c r="I9" i="12" s="1"/>
  <c r="E39" i="12"/>
  <c r="Y14" i="12"/>
  <c r="Q23" i="12"/>
  <c r="H26" i="12"/>
  <c r="AA31" i="12"/>
  <c r="AB31" i="12" s="1"/>
  <c r="AE26" i="12"/>
  <c r="AB26" i="12"/>
  <c r="Q36" i="12"/>
  <c r="G36" i="12"/>
  <c r="G32" i="12"/>
  <c r="G29" i="12"/>
  <c r="G16" i="12"/>
  <c r="G35" i="12"/>
  <c r="G22" i="12"/>
  <c r="G28" i="12"/>
  <c r="G15" i="12"/>
  <c r="G34" i="12"/>
  <c r="G27" i="12"/>
  <c r="I27" i="12" s="1"/>
  <c r="K27" i="12" s="1"/>
  <c r="G14" i="12"/>
  <c r="G30" i="12"/>
  <c r="I30" i="12" s="1"/>
  <c r="K30" i="12" s="1"/>
  <c r="G26" i="12"/>
  <c r="G17" i="12"/>
  <c r="G6" i="12"/>
  <c r="G10" i="12"/>
  <c r="I10" i="12" s="1"/>
  <c r="K10" i="12" s="1"/>
  <c r="H14" i="12"/>
  <c r="AB14" i="12"/>
  <c r="AA19" i="12"/>
  <c r="H16" i="12"/>
  <c r="G20" i="12"/>
  <c r="AE20" i="12"/>
  <c r="G33" i="12"/>
  <c r="Y28" i="12"/>
  <c r="Y7" i="12"/>
  <c r="R15" i="12"/>
  <c r="R29" i="12"/>
  <c r="H35" i="12"/>
  <c r="H22" i="12"/>
  <c r="H28" i="12"/>
  <c r="H15" i="12"/>
  <c r="H34" i="12"/>
  <c r="H21" i="12"/>
  <c r="H12" i="12"/>
  <c r="I12" i="12" s="1"/>
  <c r="K12" i="12" s="1"/>
  <c r="H33" i="12"/>
  <c r="H24" i="12"/>
  <c r="I24" i="12" s="1"/>
  <c r="K24" i="12" s="1"/>
  <c r="H20" i="12"/>
  <c r="H11" i="12"/>
  <c r="H36" i="12"/>
  <c r="H32" i="12"/>
  <c r="H23" i="12"/>
  <c r="H6" i="12"/>
  <c r="R9" i="12"/>
  <c r="S9" i="12" s="1"/>
  <c r="Q35" i="12"/>
  <c r="Q28" i="12"/>
  <c r="Q15" i="12"/>
  <c r="Q34" i="12"/>
  <c r="Q21" i="12"/>
  <c r="Q12" i="12"/>
  <c r="Q27" i="12"/>
  <c r="Q14" i="12"/>
  <c r="Q33" i="12"/>
  <c r="Q30" i="12"/>
  <c r="Q26" i="12"/>
  <c r="Q17" i="12"/>
  <c r="Q29" i="12"/>
  <c r="Q16" i="12"/>
  <c r="Q6" i="12"/>
  <c r="S6" i="12" s="1"/>
  <c r="G7" i="12"/>
  <c r="I7" i="12" s="1"/>
  <c r="K7" i="12" s="1"/>
  <c r="AE16" i="12"/>
  <c r="R17" i="12"/>
  <c r="G23" i="12"/>
  <c r="Y27" i="12"/>
  <c r="O37" i="12"/>
  <c r="R34" i="12"/>
  <c r="R21" i="12"/>
  <c r="R12" i="12"/>
  <c r="R27" i="12"/>
  <c r="R14" i="12"/>
  <c r="R33" i="12"/>
  <c r="R24" i="12"/>
  <c r="S24" i="12" s="1"/>
  <c r="R20" i="12"/>
  <c r="R11" i="12"/>
  <c r="S11" i="12" s="1"/>
  <c r="R30" i="12"/>
  <c r="R36" i="12"/>
  <c r="R32" i="12"/>
  <c r="R23" i="12"/>
  <c r="R10" i="12"/>
  <c r="S10" i="12" s="1"/>
  <c r="R35" i="12"/>
  <c r="R22" i="12"/>
  <c r="S22" i="12" s="1"/>
  <c r="AE17" i="12"/>
  <c r="AB17" i="12"/>
  <c r="AE12" i="12"/>
  <c r="AE32" i="12"/>
  <c r="AE33" i="12"/>
  <c r="Z18" i="8" l="1"/>
  <c r="AC18" i="8" s="1"/>
  <c r="Z18" i="10"/>
  <c r="AB18" i="10" s="1"/>
  <c r="AA18" i="6"/>
  <c r="AC18" i="6" s="1"/>
  <c r="Z18" i="12"/>
  <c r="AC18" i="12" s="1"/>
  <c r="N18" i="12"/>
  <c r="P18" i="12" s="1"/>
  <c r="Z18" i="9"/>
  <c r="AB18" i="9" s="1"/>
  <c r="Z18" i="7"/>
  <c r="AD18" i="7" s="1"/>
  <c r="AF18" i="7" s="1"/>
  <c r="S16" i="12"/>
  <c r="I21" i="12"/>
  <c r="K21" i="12" s="1"/>
  <c r="I23" i="12"/>
  <c r="K23" i="12" s="1"/>
  <c r="I11" i="12"/>
  <c r="K11" i="12" s="1"/>
  <c r="I34" i="12"/>
  <c r="K34" i="12" s="1"/>
  <c r="AE25" i="12"/>
  <c r="O39" i="12"/>
  <c r="I36" i="12"/>
  <c r="K36" i="12" s="1"/>
  <c r="H25" i="12"/>
  <c r="S7" i="12"/>
  <c r="AE13" i="12"/>
  <c r="I29" i="12"/>
  <c r="K29" i="12" s="1"/>
  <c r="Y13" i="12"/>
  <c r="Y37" i="12"/>
  <c r="S21" i="12"/>
  <c r="Z21" i="12" s="1"/>
  <c r="I6" i="12"/>
  <c r="K6" i="12" s="1"/>
  <c r="Y31" i="12"/>
  <c r="S23" i="12"/>
  <c r="W23" i="12" s="1"/>
  <c r="I17" i="12"/>
  <c r="K17" i="12" s="1"/>
  <c r="I28" i="12"/>
  <c r="K28" i="12" s="1"/>
  <c r="I33" i="12"/>
  <c r="K33" i="12" s="1"/>
  <c r="S28" i="12"/>
  <c r="M39" i="12"/>
  <c r="S17" i="12"/>
  <c r="S15" i="12"/>
  <c r="AE19" i="12"/>
  <c r="AA39" i="12"/>
  <c r="AB39" i="12" s="1"/>
  <c r="Z9" i="12"/>
  <c r="W9" i="12"/>
  <c r="K9" i="12"/>
  <c r="P9" i="12"/>
  <c r="R13" i="12"/>
  <c r="F22" i="12"/>
  <c r="Q25" i="12"/>
  <c r="S20" i="12"/>
  <c r="S29" i="12"/>
  <c r="S12" i="12"/>
  <c r="I20" i="12"/>
  <c r="G25" i="12"/>
  <c r="F7" i="12"/>
  <c r="P7" i="12"/>
  <c r="I15" i="12"/>
  <c r="K15" i="12" s="1"/>
  <c r="Q13" i="12"/>
  <c r="F16" i="12"/>
  <c r="F35" i="12"/>
  <c r="P35" i="12"/>
  <c r="P24" i="12"/>
  <c r="F24" i="12"/>
  <c r="P10" i="12"/>
  <c r="F10" i="12"/>
  <c r="AB19" i="12"/>
  <c r="S8" i="12"/>
  <c r="F30" i="12"/>
  <c r="P30" i="12"/>
  <c r="F27" i="12"/>
  <c r="P27" i="12"/>
  <c r="F15" i="12"/>
  <c r="Q31" i="12"/>
  <c r="S26" i="12"/>
  <c r="S34" i="12"/>
  <c r="F11" i="12"/>
  <c r="I26" i="12"/>
  <c r="G31" i="12"/>
  <c r="I22" i="12"/>
  <c r="K22" i="12" s="1"/>
  <c r="H13" i="12"/>
  <c r="R25" i="12"/>
  <c r="Y19" i="12"/>
  <c r="S30" i="12"/>
  <c r="H37" i="12"/>
  <c r="I35" i="12"/>
  <c r="K35" i="12" s="1"/>
  <c r="AE31" i="12"/>
  <c r="I13" i="12"/>
  <c r="K8" i="12"/>
  <c r="F36" i="12"/>
  <c r="Y25" i="12"/>
  <c r="Q37" i="12"/>
  <c r="S32" i="12"/>
  <c r="G13" i="12"/>
  <c r="F34" i="12"/>
  <c r="F23" i="12"/>
  <c r="P23" i="12"/>
  <c r="AE37" i="12"/>
  <c r="R19" i="12"/>
  <c r="F29" i="12"/>
  <c r="S33" i="12"/>
  <c r="I14" i="12"/>
  <c r="G19" i="12"/>
  <c r="I16" i="12"/>
  <c r="K16" i="12" s="1"/>
  <c r="F12" i="12"/>
  <c r="P12" i="12"/>
  <c r="F17" i="12"/>
  <c r="F6" i="12"/>
  <c r="G37" i="12"/>
  <c r="I32" i="12"/>
  <c r="S27" i="12"/>
  <c r="S36" i="12"/>
  <c r="P33" i="12"/>
  <c r="F33" i="12"/>
  <c r="R37" i="12"/>
  <c r="Q19" i="12"/>
  <c r="S14" i="12"/>
  <c r="S35" i="12"/>
  <c r="H19" i="12"/>
  <c r="H31" i="12"/>
  <c r="F21" i="12"/>
  <c r="P21" i="12"/>
  <c r="R31" i="12"/>
  <c r="AD18" i="8" l="1"/>
  <c r="AF18" i="8" s="1"/>
  <c r="AD18" i="12"/>
  <c r="AF18" i="12" s="1"/>
  <c r="AC18" i="7"/>
  <c r="P6" i="12"/>
  <c r="P36" i="12"/>
  <c r="P11" i="12"/>
  <c r="W21" i="12"/>
  <c r="P34" i="12"/>
  <c r="W7" i="12"/>
  <c r="Z7" i="12"/>
  <c r="AD7" i="12" s="1"/>
  <c r="AF7" i="12" s="1"/>
  <c r="P29" i="12"/>
  <c r="P17" i="12"/>
  <c r="Z23" i="12"/>
  <c r="AC23" i="12" s="1"/>
  <c r="AE39" i="12"/>
  <c r="Y39" i="12"/>
  <c r="P28" i="12"/>
  <c r="S19" i="12"/>
  <c r="S13" i="12"/>
  <c r="Z36" i="12"/>
  <c r="W36" i="12"/>
  <c r="Z27" i="12"/>
  <c r="W27" i="12"/>
  <c r="Z29" i="12"/>
  <c r="W29" i="12"/>
  <c r="Z22" i="12"/>
  <c r="W22" i="12"/>
  <c r="Z35" i="12"/>
  <c r="W35" i="12"/>
  <c r="H39" i="12"/>
  <c r="W24" i="12"/>
  <c r="Z24" i="12"/>
  <c r="Z28" i="12"/>
  <c r="W28" i="12"/>
  <c r="G39" i="12"/>
  <c r="Z11" i="12"/>
  <c r="W11" i="12"/>
  <c r="Z6" i="12"/>
  <c r="W6" i="12"/>
  <c r="P16" i="12"/>
  <c r="F31" i="12"/>
  <c r="F26" i="12"/>
  <c r="W12" i="12"/>
  <c r="Z12" i="12"/>
  <c r="K13" i="12"/>
  <c r="F25" i="12"/>
  <c r="F20" i="12"/>
  <c r="W17" i="12"/>
  <c r="Z17" i="12"/>
  <c r="S37" i="12"/>
  <c r="F32" i="12"/>
  <c r="F37" i="12"/>
  <c r="P22" i="12"/>
  <c r="W30" i="12"/>
  <c r="Z30" i="12"/>
  <c r="K14" i="12"/>
  <c r="I19" i="12"/>
  <c r="K19" i="12" s="1"/>
  <c r="K20" i="12"/>
  <c r="I25" i="12"/>
  <c r="K25" i="12" s="1"/>
  <c r="W33" i="12"/>
  <c r="Z33" i="12"/>
  <c r="Q39" i="12"/>
  <c r="AD9" i="12"/>
  <c r="AF9" i="12" s="1"/>
  <c r="AC9" i="12"/>
  <c r="Z34" i="12"/>
  <c r="W34" i="12"/>
  <c r="Z16" i="12"/>
  <c r="W16" i="12"/>
  <c r="F19" i="12"/>
  <c r="F14" i="12"/>
  <c r="K32" i="12"/>
  <c r="I37" i="12"/>
  <c r="K37" i="12" s="1"/>
  <c r="W10" i="12"/>
  <c r="Z10" i="12"/>
  <c r="AC7" i="12"/>
  <c r="I31" i="12"/>
  <c r="K31" i="12" s="1"/>
  <c r="K26" i="12"/>
  <c r="AC21" i="12"/>
  <c r="AD21" i="12"/>
  <c r="AF21" i="12" s="1"/>
  <c r="Z15" i="12"/>
  <c r="W15" i="12"/>
  <c r="S31" i="12"/>
  <c r="T13" i="12"/>
  <c r="W8" i="12"/>
  <c r="Z8" i="12"/>
  <c r="F8" i="12"/>
  <c r="P15" i="12"/>
  <c r="S25" i="12"/>
  <c r="R39" i="12"/>
  <c r="AD23" i="12" l="1"/>
  <c r="AF23" i="12" s="1"/>
  <c r="S39" i="12"/>
  <c r="Z14" i="12"/>
  <c r="W14" i="12"/>
  <c r="T19" i="12"/>
  <c r="W19" i="12" s="1"/>
  <c r="AD36" i="12"/>
  <c r="AF36" i="12" s="1"/>
  <c r="AC36" i="12"/>
  <c r="N37" i="12"/>
  <c r="P37" i="12" s="1"/>
  <c r="P32" i="12"/>
  <c r="F13" i="12"/>
  <c r="F39" i="12"/>
  <c r="AD15" i="12"/>
  <c r="AF15" i="12" s="1"/>
  <c r="AC15" i="12"/>
  <c r="P14" i="12"/>
  <c r="N19" i="12"/>
  <c r="P19" i="12" s="1"/>
  <c r="N25" i="12"/>
  <c r="P25" i="12" s="1"/>
  <c r="P20" i="12"/>
  <c r="AC22" i="12"/>
  <c r="AD22" i="12"/>
  <c r="AF22" i="12" s="1"/>
  <c r="AD11" i="12"/>
  <c r="AF11" i="12" s="1"/>
  <c r="AC11" i="12"/>
  <c r="N31" i="12"/>
  <c r="P31" i="12" s="1"/>
  <c r="P26" i="12"/>
  <c r="Z13" i="12"/>
  <c r="AD8" i="12"/>
  <c r="AC8" i="12"/>
  <c r="T31" i="12"/>
  <c r="W31" i="12" s="1"/>
  <c r="W26" i="12"/>
  <c r="Z26" i="12"/>
  <c r="AD28" i="12"/>
  <c r="AF28" i="12" s="1"/>
  <c r="AC28" i="12"/>
  <c r="AD34" i="12"/>
  <c r="AF34" i="12" s="1"/>
  <c r="AC34" i="12"/>
  <c r="AC35" i="12"/>
  <c r="AD35" i="12"/>
  <c r="AF35" i="12" s="1"/>
  <c r="AC10" i="12"/>
  <c r="AD10" i="12"/>
  <c r="AF10" i="12" s="1"/>
  <c r="AD33" i="12"/>
  <c r="AF33" i="12" s="1"/>
  <c r="AC33" i="12"/>
  <c r="AD30" i="12"/>
  <c r="AF30" i="12" s="1"/>
  <c r="AC30" i="12"/>
  <c r="AD24" i="12"/>
  <c r="AF24" i="12" s="1"/>
  <c r="AC24" i="12"/>
  <c r="AD29" i="12"/>
  <c r="AF29" i="12" s="1"/>
  <c r="AC29" i="12"/>
  <c r="N13" i="12"/>
  <c r="P8" i="12"/>
  <c r="K39" i="12"/>
  <c r="T25" i="12"/>
  <c r="W25" i="12" s="1"/>
  <c r="W20" i="12"/>
  <c r="Z20" i="12"/>
  <c r="W13" i="12"/>
  <c r="Z32" i="12"/>
  <c r="T37" i="12"/>
  <c r="W37" i="12" s="1"/>
  <c r="W32" i="12"/>
  <c r="I39" i="12"/>
  <c r="AD16" i="12"/>
  <c r="AF16" i="12" s="1"/>
  <c r="AC16" i="12"/>
  <c r="AC12" i="12"/>
  <c r="AD12" i="12"/>
  <c r="AF12" i="12" s="1"/>
  <c r="AD6" i="12"/>
  <c r="AF6" i="12" s="1"/>
  <c r="AC6" i="12"/>
  <c r="AD27" i="12"/>
  <c r="AF27" i="12" s="1"/>
  <c r="AC27" i="12"/>
  <c r="AD17" i="12"/>
  <c r="AF17" i="12" s="1"/>
  <c r="AC17" i="12"/>
  <c r="AD13" i="12" l="1"/>
  <c r="AF8" i="12"/>
  <c r="AD14" i="12"/>
  <c r="AC14" i="12"/>
  <c r="Z19" i="12"/>
  <c r="AC19" i="12" s="1"/>
  <c r="AC13" i="12"/>
  <c r="Z37" i="12"/>
  <c r="AC37" i="12" s="1"/>
  <c r="AD32" i="12"/>
  <c r="AC32" i="12"/>
  <c r="P13" i="12"/>
  <c r="N39" i="12"/>
  <c r="P39" i="12" s="1"/>
  <c r="T39" i="12"/>
  <c r="W39" i="12" s="1"/>
  <c r="Z31" i="12"/>
  <c r="AC31" i="12" s="1"/>
  <c r="AD26" i="12"/>
  <c r="AC26" i="12"/>
  <c r="Z25" i="12"/>
  <c r="AC25" i="12" s="1"/>
  <c r="AD20" i="12"/>
  <c r="AC20" i="12"/>
  <c r="AF32" i="12" l="1"/>
  <c r="AD37" i="12"/>
  <c r="AF37" i="12" s="1"/>
  <c r="AF26" i="12"/>
  <c r="AD31" i="12"/>
  <c r="AF31" i="12" s="1"/>
  <c r="Z39" i="12"/>
  <c r="AC39" i="12" s="1"/>
  <c r="AF13" i="12"/>
  <c r="AF14" i="12"/>
  <c r="AD19" i="12"/>
  <c r="AF19" i="12" s="1"/>
  <c r="AD25" i="12"/>
  <c r="AF25" i="12" s="1"/>
  <c r="AF20" i="12"/>
  <c r="AD39" i="12" l="1"/>
  <c r="AF39" i="12" s="1"/>
  <c r="C13" i="9" l="1"/>
  <c r="F11" i="6"/>
  <c r="F9" i="6"/>
  <c r="O8" i="8"/>
  <c r="X7" i="6"/>
  <c r="N7" i="6"/>
  <c r="L7" i="6"/>
  <c r="X6" i="6"/>
  <c r="Y6" i="6" s="1"/>
  <c r="N6" i="6"/>
  <c r="L6" i="6"/>
  <c r="W7" i="10"/>
  <c r="AA7" i="10" s="1"/>
  <c r="P7" i="10"/>
  <c r="S7" i="10" s="1"/>
  <c r="O7" i="10"/>
  <c r="M7" i="10"/>
  <c r="K7" i="10"/>
  <c r="F7" i="10"/>
  <c r="G7" i="10" s="1"/>
  <c r="I7" i="10" s="1"/>
  <c r="W6" i="10"/>
  <c r="X6" i="10" s="1"/>
  <c r="O6" i="10"/>
  <c r="P6" i="10" s="1"/>
  <c r="M6" i="10"/>
  <c r="K6" i="10"/>
  <c r="F6" i="10"/>
  <c r="G6" i="10" s="1"/>
  <c r="I6" i="10" s="1"/>
  <c r="W7" i="9"/>
  <c r="X7" i="9" s="1"/>
  <c r="O7" i="9"/>
  <c r="P7" i="9" s="1"/>
  <c r="M7" i="9"/>
  <c r="K7" i="9"/>
  <c r="F7" i="9"/>
  <c r="G7" i="9" s="1"/>
  <c r="I7" i="9" s="1"/>
  <c r="W6" i="9"/>
  <c r="O6" i="9"/>
  <c r="P6" i="9" s="1"/>
  <c r="M6" i="9"/>
  <c r="K6" i="9"/>
  <c r="F6" i="9"/>
  <c r="G6" i="9" s="1"/>
  <c r="I6" i="9" s="1"/>
  <c r="AA7" i="7"/>
  <c r="AB7" i="7" s="1"/>
  <c r="O7" i="7"/>
  <c r="AE7" i="7" s="1"/>
  <c r="AA6" i="7"/>
  <c r="O6" i="7"/>
  <c r="AA7" i="8"/>
  <c r="O7" i="8"/>
  <c r="M7" i="8"/>
  <c r="AA6" i="8"/>
  <c r="AB6" i="8" s="1"/>
  <c r="O6" i="8"/>
  <c r="M6" i="8"/>
  <c r="AA9" i="8"/>
  <c r="AB9" i="8" s="1"/>
  <c r="O9" i="8"/>
  <c r="M9" i="8"/>
  <c r="AA8" i="8"/>
  <c r="M8" i="8"/>
  <c r="X9" i="6"/>
  <c r="L9" i="6"/>
  <c r="N9" i="6"/>
  <c r="F10" i="6"/>
  <c r="L10" i="6"/>
  <c r="N10" i="6"/>
  <c r="X10" i="6"/>
  <c r="Y10" i="6" s="1"/>
  <c r="L11" i="6"/>
  <c r="N11" i="6"/>
  <c r="X11" i="6"/>
  <c r="Y11" i="6" s="1"/>
  <c r="E9" i="10"/>
  <c r="F9" i="10"/>
  <c r="G9" i="10" s="1"/>
  <c r="I9" i="10" s="1"/>
  <c r="K9" i="10"/>
  <c r="M9" i="10"/>
  <c r="O9" i="10"/>
  <c r="P9" i="10" s="1"/>
  <c r="W9" i="10"/>
  <c r="X9" i="10" s="1"/>
  <c r="F10" i="10"/>
  <c r="G10" i="10" s="1"/>
  <c r="I10" i="10" s="1"/>
  <c r="K10" i="10"/>
  <c r="M10" i="10"/>
  <c r="O10" i="10"/>
  <c r="P10" i="10" s="1"/>
  <c r="W10" i="10"/>
  <c r="X10" i="10" s="1"/>
  <c r="F11" i="10"/>
  <c r="G11" i="10" s="1"/>
  <c r="I11" i="10" s="1"/>
  <c r="K11" i="10"/>
  <c r="M11" i="10"/>
  <c r="O11" i="10"/>
  <c r="P11" i="10" s="1"/>
  <c r="W11" i="10"/>
  <c r="X11" i="10" s="1"/>
  <c r="E9" i="9"/>
  <c r="F9" i="9"/>
  <c r="G9" i="9" s="1"/>
  <c r="I9" i="9" s="1"/>
  <c r="K9" i="9"/>
  <c r="M9" i="9"/>
  <c r="O9" i="9"/>
  <c r="P9" i="9" s="1"/>
  <c r="W9" i="9"/>
  <c r="X9" i="9" s="1"/>
  <c r="E10" i="9"/>
  <c r="F10" i="9"/>
  <c r="G10" i="9" s="1"/>
  <c r="I10" i="9" s="1"/>
  <c r="K10" i="9"/>
  <c r="M10" i="9"/>
  <c r="O10" i="9"/>
  <c r="P10" i="9" s="1"/>
  <c r="W10" i="9"/>
  <c r="F11" i="9"/>
  <c r="G11" i="9" s="1"/>
  <c r="I11" i="9" s="1"/>
  <c r="K11" i="9"/>
  <c r="M11" i="9"/>
  <c r="O11" i="9"/>
  <c r="P11" i="9" s="1"/>
  <c r="W11" i="9"/>
  <c r="X11" i="9" s="1"/>
  <c r="O9" i="7"/>
  <c r="AA9" i="7"/>
  <c r="O10" i="7"/>
  <c r="AA10" i="7"/>
  <c r="AB10" i="7" s="1"/>
  <c r="O11" i="7"/>
  <c r="AA11" i="7"/>
  <c r="AB11" i="7" s="1"/>
  <c r="M10" i="8"/>
  <c r="O10" i="8"/>
  <c r="AA10" i="8"/>
  <c r="AB10" i="8" s="1"/>
  <c r="M11" i="8"/>
  <c r="O11" i="8"/>
  <c r="AA11" i="8"/>
  <c r="AB11" i="8" s="1"/>
  <c r="AE6" i="8" l="1"/>
  <c r="AB7" i="6"/>
  <c r="AB6" i="6"/>
  <c r="AA6" i="10"/>
  <c r="AA6" i="9"/>
  <c r="X6" i="9"/>
  <c r="AE6" i="7"/>
  <c r="AE7" i="8"/>
  <c r="AB7" i="8"/>
  <c r="AE9" i="7"/>
  <c r="AB9" i="6"/>
  <c r="F7" i="6"/>
  <c r="F6" i="6"/>
  <c r="Y9" i="6"/>
  <c r="Y7" i="6"/>
  <c r="N6" i="10"/>
  <c r="E6" i="10"/>
  <c r="E7" i="10"/>
  <c r="N7" i="10"/>
  <c r="N10" i="10"/>
  <c r="X7" i="10"/>
  <c r="S6" i="10"/>
  <c r="AA10" i="10"/>
  <c r="E7" i="9"/>
  <c r="N7" i="9"/>
  <c r="N6" i="9"/>
  <c r="E6" i="9"/>
  <c r="S6" i="9"/>
  <c r="AA7" i="9"/>
  <c r="S7" i="9"/>
  <c r="AB6" i="7"/>
  <c r="AE9" i="8"/>
  <c r="AE8" i="8"/>
  <c r="AB8" i="8"/>
  <c r="AB10" i="6"/>
  <c r="AB11" i="6"/>
  <c r="S10" i="10"/>
  <c r="S11" i="10"/>
  <c r="AA9" i="10"/>
  <c r="E11" i="10"/>
  <c r="N11" i="10"/>
  <c r="S9" i="10"/>
  <c r="E10" i="10"/>
  <c r="N9" i="10"/>
  <c r="AA11" i="10"/>
  <c r="N11" i="9"/>
  <c r="E11" i="9"/>
  <c r="AA10" i="9"/>
  <c r="S9" i="9"/>
  <c r="S11" i="9"/>
  <c r="S10" i="9"/>
  <c r="N9" i="9"/>
  <c r="AA11" i="9"/>
  <c r="X10" i="9"/>
  <c r="AA9" i="9"/>
  <c r="N10" i="9"/>
  <c r="AE10" i="7"/>
  <c r="AB9" i="7"/>
  <c r="AE11" i="7"/>
  <c r="AE11" i="8"/>
  <c r="AE10" i="8"/>
  <c r="L31" i="7"/>
  <c r="E8" i="10" l="1"/>
  <c r="L8" i="6"/>
  <c r="M8" i="9"/>
  <c r="F8" i="9"/>
  <c r="G8" i="9" s="1"/>
  <c r="K8" i="9"/>
  <c r="O8" i="9"/>
  <c r="P8" i="9" s="1"/>
  <c r="W8" i="9"/>
  <c r="X8" i="9" s="1"/>
  <c r="F8" i="10"/>
  <c r="G8" i="10" s="1"/>
  <c r="K8" i="10"/>
  <c r="M8" i="10"/>
  <c r="O8" i="10"/>
  <c r="P8" i="10" s="1"/>
  <c r="S8" i="10" s="1"/>
  <c r="W8" i="10"/>
  <c r="X8" i="10" s="1"/>
  <c r="X8" i="6"/>
  <c r="Y8" i="6" s="1"/>
  <c r="O8" i="7"/>
  <c r="AA8" i="7"/>
  <c r="AB8" i="7" s="1"/>
  <c r="S8" i="9" l="1"/>
  <c r="N8" i="6"/>
  <c r="AB8" i="6" s="1"/>
  <c r="AA8" i="10"/>
  <c r="AA8" i="9"/>
  <c r="N8" i="9"/>
  <c r="I8" i="9"/>
  <c r="AE8" i="7"/>
  <c r="E8" i="9"/>
  <c r="N8" i="10"/>
  <c r="I8" i="10"/>
  <c r="F8" i="6"/>
  <c r="X3" i="7"/>
  <c r="W3" i="7"/>
  <c r="U3" i="7"/>
  <c r="L3" i="7"/>
  <c r="K3" i="7"/>
  <c r="G3" i="7"/>
  <c r="R7" i="7" l="1"/>
  <c r="R6" i="7"/>
  <c r="R22" i="7"/>
  <c r="H7" i="7"/>
  <c r="H6" i="7"/>
  <c r="G7" i="7"/>
  <c r="G6" i="7"/>
  <c r="Q7" i="7"/>
  <c r="S7" i="7" s="1"/>
  <c r="Q6" i="7"/>
  <c r="G34" i="7"/>
  <c r="G9" i="7"/>
  <c r="G11" i="7"/>
  <c r="G10" i="7"/>
  <c r="G8" i="7"/>
  <c r="H9" i="7"/>
  <c r="H10" i="7"/>
  <c r="H11" i="7"/>
  <c r="H8" i="7"/>
  <c r="Q23" i="7"/>
  <c r="Q9" i="7"/>
  <c r="Q11" i="7"/>
  <c r="Q10" i="7"/>
  <c r="Q8" i="7"/>
  <c r="R30" i="7"/>
  <c r="R9" i="7"/>
  <c r="R11" i="7"/>
  <c r="R10" i="7"/>
  <c r="R8" i="7"/>
  <c r="R32" i="7"/>
  <c r="Q35" i="7"/>
  <c r="Q16" i="7"/>
  <c r="Q27" i="7"/>
  <c r="Q36" i="7"/>
  <c r="R14" i="7"/>
  <c r="R24" i="7"/>
  <c r="R34" i="7"/>
  <c r="Q14" i="7"/>
  <c r="Q34" i="7"/>
  <c r="Q17" i="7"/>
  <c r="R35" i="7"/>
  <c r="R23" i="7"/>
  <c r="R33" i="7"/>
  <c r="Q12" i="7"/>
  <c r="Q28" i="7"/>
  <c r="R15" i="7"/>
  <c r="R26" i="7"/>
  <c r="Q29" i="7"/>
  <c r="R17" i="7"/>
  <c r="R27" i="7"/>
  <c r="R36" i="7"/>
  <c r="Q26" i="7"/>
  <c r="Q20" i="7"/>
  <c r="Q30" i="7"/>
  <c r="R28" i="7"/>
  <c r="R16" i="7"/>
  <c r="Q15" i="7"/>
  <c r="Q21" i="7"/>
  <c r="Q32" i="7"/>
  <c r="R12" i="7"/>
  <c r="R20" i="7"/>
  <c r="S20" i="7" s="1"/>
  <c r="R29" i="7"/>
  <c r="Q24" i="7"/>
  <c r="Q22" i="7"/>
  <c r="Q33" i="7"/>
  <c r="R21" i="7"/>
  <c r="S6" i="7" l="1"/>
  <c r="W6" i="7" s="1"/>
  <c r="S22" i="7"/>
  <c r="S9" i="7"/>
  <c r="W9" i="7" s="1"/>
  <c r="F6" i="7"/>
  <c r="F7" i="7"/>
  <c r="K6" i="7"/>
  <c r="I6" i="7"/>
  <c r="S10" i="7"/>
  <c r="W10" i="7" s="1"/>
  <c r="K7" i="7"/>
  <c r="I7" i="7"/>
  <c r="S11" i="7"/>
  <c r="S32" i="7"/>
  <c r="S23" i="7"/>
  <c r="F11" i="7"/>
  <c r="F9" i="7"/>
  <c r="S8" i="7"/>
  <c r="K8" i="7"/>
  <c r="I8" i="7"/>
  <c r="S30" i="7"/>
  <c r="I10" i="7"/>
  <c r="K10" i="7"/>
  <c r="I11" i="7"/>
  <c r="K11" i="7"/>
  <c r="F10" i="7"/>
  <c r="I9" i="7"/>
  <c r="K9" i="7"/>
  <c r="S36" i="7"/>
  <c r="F8" i="7"/>
  <c r="S24" i="7"/>
  <c r="S29" i="7"/>
  <c r="S27" i="7"/>
  <c r="S26" i="7"/>
  <c r="S15" i="7"/>
  <c r="S17" i="7"/>
  <c r="S14" i="7"/>
  <c r="S12" i="7"/>
  <c r="S21" i="7"/>
  <c r="S16" i="7"/>
  <c r="S34" i="7"/>
  <c r="Q13" i="7"/>
  <c r="S33" i="7"/>
  <c r="S28" i="7"/>
  <c r="S35" i="7"/>
  <c r="W7" i="7" l="1"/>
  <c r="W8" i="7"/>
  <c r="W11" i="7"/>
  <c r="K3" i="6"/>
  <c r="L23" i="6"/>
  <c r="G22" i="6" l="1"/>
  <c r="G6" i="6"/>
  <c r="H6" i="6" s="1"/>
  <c r="G9" i="6"/>
  <c r="H9" i="6" s="1"/>
  <c r="J9" i="6" s="1"/>
  <c r="G7" i="6"/>
  <c r="H7" i="6" s="1"/>
  <c r="G12" i="6"/>
  <c r="G11" i="6"/>
  <c r="H11" i="6" s="1"/>
  <c r="G10" i="6"/>
  <c r="H10" i="6" s="1"/>
  <c r="G8" i="6"/>
  <c r="H8" i="6" s="1"/>
  <c r="G17" i="6"/>
  <c r="G29" i="6"/>
  <c r="J7" i="6" l="1"/>
  <c r="O7" i="6"/>
  <c r="J6" i="6"/>
  <c r="O6" i="6"/>
  <c r="O8" i="6"/>
  <c r="J8" i="6"/>
  <c r="J10" i="6"/>
  <c r="O10" i="6"/>
  <c r="O11" i="6"/>
  <c r="J11" i="6"/>
  <c r="O9" i="6"/>
  <c r="R19" i="9"/>
  <c r="V13" i="7"/>
  <c r="R37" i="10"/>
  <c r="R31" i="10"/>
  <c r="R25" i="10"/>
  <c r="R19" i="10"/>
  <c r="R13" i="10"/>
  <c r="R37" i="9"/>
  <c r="R31" i="9"/>
  <c r="R25" i="9"/>
  <c r="R13" i="9"/>
  <c r="V37" i="7"/>
  <c r="V31" i="7"/>
  <c r="V25" i="7"/>
  <c r="V37" i="8"/>
  <c r="V31" i="8"/>
  <c r="V25" i="8"/>
  <c r="V19" i="8"/>
  <c r="V13" i="8"/>
  <c r="S37" i="6"/>
  <c r="S31" i="6"/>
  <c r="S25" i="6"/>
  <c r="S19" i="6"/>
  <c r="S13" i="6"/>
  <c r="V19" i="7" l="1"/>
  <c r="V39" i="7" s="1"/>
  <c r="R39" i="9"/>
  <c r="R39" i="10"/>
  <c r="S39" i="6"/>
  <c r="V39" i="8"/>
  <c r="N32" i="6" l="1"/>
  <c r="N14" i="6" l="1"/>
  <c r="K29" i="10" l="1"/>
  <c r="K30" i="10" l="1"/>
  <c r="T37" i="10" l="1"/>
  <c r="Q37" i="10"/>
  <c r="J37" i="10"/>
  <c r="H37" i="10"/>
  <c r="D37" i="10"/>
  <c r="C37" i="10"/>
  <c r="B37" i="10"/>
  <c r="W36" i="10"/>
  <c r="X36" i="10" s="1"/>
  <c r="O36" i="10"/>
  <c r="P36" i="10" s="1"/>
  <c r="M36" i="10"/>
  <c r="K36" i="10"/>
  <c r="F36" i="10"/>
  <c r="E36" i="10"/>
  <c r="W35" i="10"/>
  <c r="X35" i="10" s="1"/>
  <c r="O35" i="10"/>
  <c r="P35" i="10" s="1"/>
  <c r="S35" i="10" s="1"/>
  <c r="M35" i="10"/>
  <c r="K35" i="10"/>
  <c r="F35" i="10"/>
  <c r="E35" i="10"/>
  <c r="W34" i="10"/>
  <c r="X34" i="10" s="1"/>
  <c r="O34" i="10"/>
  <c r="P34" i="10" s="1"/>
  <c r="S34" i="10" s="1"/>
  <c r="M34" i="10"/>
  <c r="K34" i="10"/>
  <c r="F34" i="10"/>
  <c r="W33" i="10"/>
  <c r="X33" i="10" s="1"/>
  <c r="O33" i="10"/>
  <c r="P33" i="10" s="1"/>
  <c r="M33" i="10"/>
  <c r="K33" i="10"/>
  <c r="F33" i="10"/>
  <c r="G33" i="10" s="1"/>
  <c r="W32" i="10"/>
  <c r="X32" i="10" s="1"/>
  <c r="O32" i="10"/>
  <c r="M32" i="10"/>
  <c r="K32" i="10"/>
  <c r="F32" i="10"/>
  <c r="T31" i="10"/>
  <c r="Q31" i="10"/>
  <c r="J31" i="10"/>
  <c r="H31" i="10"/>
  <c r="D31" i="10"/>
  <c r="C31" i="10"/>
  <c r="B31" i="10"/>
  <c r="W30" i="10"/>
  <c r="X30" i="10" s="1"/>
  <c r="O30" i="10"/>
  <c r="P30" i="10" s="1"/>
  <c r="M30" i="10"/>
  <c r="F30" i="10"/>
  <c r="E30" i="10"/>
  <c r="W29" i="10"/>
  <c r="X29" i="10" s="1"/>
  <c r="O29" i="10"/>
  <c r="P29" i="10" s="1"/>
  <c r="M29" i="10"/>
  <c r="F29" i="10"/>
  <c r="E29" i="10"/>
  <c r="W28" i="10"/>
  <c r="X28" i="10" s="1"/>
  <c r="O28" i="10"/>
  <c r="P28" i="10" s="1"/>
  <c r="M28" i="10"/>
  <c r="K28" i="10"/>
  <c r="F28" i="10"/>
  <c r="E28" i="10"/>
  <c r="W27" i="10"/>
  <c r="X27" i="10" s="1"/>
  <c r="O27" i="10"/>
  <c r="P27" i="10" s="1"/>
  <c r="M27" i="10"/>
  <c r="K27" i="10"/>
  <c r="F27" i="10"/>
  <c r="E27" i="10"/>
  <c r="W26" i="10"/>
  <c r="X26" i="10" s="1"/>
  <c r="O26" i="10"/>
  <c r="M26" i="10"/>
  <c r="K26" i="10"/>
  <c r="F26" i="10"/>
  <c r="J25" i="10"/>
  <c r="C25" i="10"/>
  <c r="B25" i="10"/>
  <c r="W24" i="10"/>
  <c r="X24" i="10" s="1"/>
  <c r="O24" i="10"/>
  <c r="P24" i="10" s="1"/>
  <c r="S24" i="10" s="1"/>
  <c r="M24" i="10"/>
  <c r="K24" i="10"/>
  <c r="F24" i="10"/>
  <c r="E24" i="10"/>
  <c r="W23" i="10"/>
  <c r="X23" i="10" s="1"/>
  <c r="O23" i="10"/>
  <c r="P23" i="10" s="1"/>
  <c r="M23" i="10"/>
  <c r="K23" i="10"/>
  <c r="F23" i="10"/>
  <c r="E23" i="10"/>
  <c r="W22" i="10"/>
  <c r="X22" i="10" s="1"/>
  <c r="O22" i="10"/>
  <c r="P22" i="10" s="1"/>
  <c r="S22" i="10" s="1"/>
  <c r="M22" i="10"/>
  <c r="K22" i="10"/>
  <c r="F22" i="10"/>
  <c r="W21" i="10"/>
  <c r="X21" i="10" s="1"/>
  <c r="O21" i="10"/>
  <c r="P21" i="10" s="1"/>
  <c r="S21" i="10" s="1"/>
  <c r="K21" i="10"/>
  <c r="F21" i="10"/>
  <c r="G21" i="10" s="1"/>
  <c r="I21" i="10" s="1"/>
  <c r="M21" i="10"/>
  <c r="E21" i="10"/>
  <c r="W20" i="10"/>
  <c r="X20" i="10" s="1"/>
  <c r="T25" i="10"/>
  <c r="Q25" i="10"/>
  <c r="O20" i="10"/>
  <c r="P20" i="10" s="1"/>
  <c r="S20" i="10" s="1"/>
  <c r="K20" i="10"/>
  <c r="L20" i="10" s="1"/>
  <c r="H25" i="10"/>
  <c r="F20" i="10"/>
  <c r="M20" i="10"/>
  <c r="J19" i="10"/>
  <c r="D19" i="10"/>
  <c r="C19" i="10"/>
  <c r="B19" i="10"/>
  <c r="W17" i="10"/>
  <c r="X17" i="10" s="1"/>
  <c r="O17" i="10"/>
  <c r="P17" i="10" s="1"/>
  <c r="S17" i="10" s="1"/>
  <c r="K17" i="10"/>
  <c r="F17" i="10"/>
  <c r="G17" i="10" s="1"/>
  <c r="I17" i="10" s="1"/>
  <c r="M17" i="10"/>
  <c r="E17" i="10"/>
  <c r="W16" i="10"/>
  <c r="X16" i="10" s="1"/>
  <c r="O16" i="10"/>
  <c r="P16" i="10" s="1"/>
  <c r="K16" i="10"/>
  <c r="F16" i="10"/>
  <c r="M16" i="10"/>
  <c r="W15" i="10"/>
  <c r="X15" i="10" s="1"/>
  <c r="O15" i="10"/>
  <c r="P15" i="10" s="1"/>
  <c r="K15" i="10"/>
  <c r="M15" i="10"/>
  <c r="F15" i="10"/>
  <c r="Q19" i="10"/>
  <c r="O14" i="10"/>
  <c r="K14" i="10"/>
  <c r="F14" i="10"/>
  <c r="G14" i="10" s="1"/>
  <c r="I14" i="10" s="1"/>
  <c r="J13" i="10"/>
  <c r="C13" i="10"/>
  <c r="B13" i="10"/>
  <c r="W12" i="10"/>
  <c r="X12" i="10" s="1"/>
  <c r="O12" i="10"/>
  <c r="P12" i="10" s="1"/>
  <c r="S12" i="10" s="1"/>
  <c r="K12" i="10"/>
  <c r="F12" i="10"/>
  <c r="G12" i="10" s="1"/>
  <c r="M12" i="10"/>
  <c r="E12" i="10"/>
  <c r="T13" i="10"/>
  <c r="H13" i="10"/>
  <c r="Z3" i="10"/>
  <c r="W15" i="9"/>
  <c r="X15" i="9" s="1"/>
  <c r="O36" i="9"/>
  <c r="P36" i="9" s="1"/>
  <c r="S36" i="9" s="1"/>
  <c r="O35" i="9"/>
  <c r="P35" i="9" s="1"/>
  <c r="S35" i="9" s="1"/>
  <c r="O34" i="9"/>
  <c r="P34" i="9" s="1"/>
  <c r="S34" i="9" s="1"/>
  <c r="O33" i="9"/>
  <c r="P33" i="9" s="1"/>
  <c r="S33" i="9" s="1"/>
  <c r="O32" i="9"/>
  <c r="P32" i="9" s="1"/>
  <c r="O30" i="9"/>
  <c r="P30" i="9" s="1"/>
  <c r="S30" i="9" s="1"/>
  <c r="O29" i="9"/>
  <c r="P29" i="9" s="1"/>
  <c r="S29" i="9" s="1"/>
  <c r="O28" i="9"/>
  <c r="P28" i="9" s="1"/>
  <c r="S28" i="9" s="1"/>
  <c r="O27" i="9"/>
  <c r="P27" i="9" s="1"/>
  <c r="S27" i="9" s="1"/>
  <c r="O26" i="9"/>
  <c r="P26" i="9" s="1"/>
  <c r="S26" i="9" s="1"/>
  <c r="O24" i="9"/>
  <c r="P24" i="9" s="1"/>
  <c r="O23" i="9"/>
  <c r="P23" i="9" s="1"/>
  <c r="S23" i="9" s="1"/>
  <c r="O22" i="9"/>
  <c r="P22" i="9" s="1"/>
  <c r="S22" i="9" s="1"/>
  <c r="O21" i="9"/>
  <c r="P21" i="9" s="1"/>
  <c r="S21" i="9" s="1"/>
  <c r="O20" i="9"/>
  <c r="P20" i="9" s="1"/>
  <c r="S20" i="9" s="1"/>
  <c r="O17" i="9"/>
  <c r="P17" i="9" s="1"/>
  <c r="S17" i="9" s="1"/>
  <c r="O16" i="9"/>
  <c r="P16" i="9" s="1"/>
  <c r="S16" i="9" s="1"/>
  <c r="O15" i="9"/>
  <c r="P15" i="9" s="1"/>
  <c r="S15" i="9" s="1"/>
  <c r="O14" i="9"/>
  <c r="P14" i="9" s="1"/>
  <c r="S14" i="9" s="1"/>
  <c r="O12" i="9"/>
  <c r="P12" i="9" s="1"/>
  <c r="S12" i="9" s="1"/>
  <c r="U6" i="10" l="1"/>
  <c r="V6" i="10" s="1"/>
  <c r="U7" i="10"/>
  <c r="V7" i="10" s="1"/>
  <c r="U16" i="10"/>
  <c r="V16" i="10" s="1"/>
  <c r="U10" i="10"/>
  <c r="V10" i="10" s="1"/>
  <c r="U11" i="10"/>
  <c r="V11" i="10" s="1"/>
  <c r="U9" i="10"/>
  <c r="V9" i="10" s="1"/>
  <c r="U8" i="10"/>
  <c r="V8" i="10" s="1"/>
  <c r="AA35" i="10"/>
  <c r="AA12" i="10"/>
  <c r="K37" i="10"/>
  <c r="AA36" i="10"/>
  <c r="AA34" i="10"/>
  <c r="W37" i="10"/>
  <c r="X37" i="10" s="1"/>
  <c r="AA33" i="10"/>
  <c r="AA30" i="10"/>
  <c r="O31" i="10"/>
  <c r="E26" i="10"/>
  <c r="M37" i="10"/>
  <c r="AA32" i="10"/>
  <c r="K31" i="10"/>
  <c r="AA29" i="10"/>
  <c r="AA28" i="10"/>
  <c r="M31" i="10"/>
  <c r="AA27" i="10"/>
  <c r="P26" i="10"/>
  <c r="P31" i="10" s="1"/>
  <c r="S31" i="10" s="1"/>
  <c r="AA24" i="10"/>
  <c r="J39" i="10"/>
  <c r="AA17" i="10"/>
  <c r="C39" i="10"/>
  <c r="B39" i="10"/>
  <c r="O13" i="10"/>
  <c r="D13" i="10"/>
  <c r="K13" i="10"/>
  <c r="AA21" i="10"/>
  <c r="K25" i="10"/>
  <c r="AA15" i="10"/>
  <c r="AA23" i="10"/>
  <c r="I12" i="10"/>
  <c r="G20" i="10"/>
  <c r="I20" i="10" s="1"/>
  <c r="O13" i="9"/>
  <c r="G24" i="10"/>
  <c r="U12" i="10"/>
  <c r="V12" i="10" s="1"/>
  <c r="Y12" i="10" s="1"/>
  <c r="G23" i="10"/>
  <c r="I23" i="10" s="1"/>
  <c r="N12" i="10"/>
  <c r="G32" i="10"/>
  <c r="G34" i="10"/>
  <c r="E14" i="10"/>
  <c r="N21" i="10"/>
  <c r="G15" i="10"/>
  <c r="I15" i="10" s="1"/>
  <c r="E22" i="10"/>
  <c r="S36" i="10"/>
  <c r="W14" i="10"/>
  <c r="X14" i="10" s="1"/>
  <c r="T19" i="10"/>
  <c r="T39" i="10" s="1"/>
  <c r="U15" i="10"/>
  <c r="V15" i="10" s="1"/>
  <c r="AA16" i="10"/>
  <c r="H19" i="10"/>
  <c r="AA26" i="10"/>
  <c r="W31" i="10"/>
  <c r="X31" i="10" s="1"/>
  <c r="G29" i="10"/>
  <c r="M14" i="10"/>
  <c r="M19" i="10" s="1"/>
  <c r="AA22" i="10"/>
  <c r="E37" i="10"/>
  <c r="E32" i="10"/>
  <c r="E34" i="10"/>
  <c r="S16" i="10"/>
  <c r="G27" i="10"/>
  <c r="Q13" i="10"/>
  <c r="G16" i="10"/>
  <c r="I16" i="10" s="1"/>
  <c r="G13" i="10"/>
  <c r="E15" i="10"/>
  <c r="S15" i="10"/>
  <c r="E16" i="10"/>
  <c r="N17" i="10"/>
  <c r="AA20" i="10"/>
  <c r="W25" i="10"/>
  <c r="X25" i="10" s="1"/>
  <c r="S33" i="10"/>
  <c r="M25" i="10"/>
  <c r="G22" i="10"/>
  <c r="I22" i="10" s="1"/>
  <c r="U36" i="10"/>
  <c r="V36" i="10" s="1"/>
  <c r="U35" i="10"/>
  <c r="V35" i="10" s="1"/>
  <c r="U34" i="10"/>
  <c r="V34" i="10" s="1"/>
  <c r="U33" i="10"/>
  <c r="V33" i="10" s="1"/>
  <c r="U32" i="10"/>
  <c r="U30" i="10"/>
  <c r="V30" i="10" s="1"/>
  <c r="U29" i="10"/>
  <c r="V29" i="10" s="1"/>
  <c r="U28" i="10"/>
  <c r="V28" i="10" s="1"/>
  <c r="U27" i="10"/>
  <c r="V27" i="10" s="1"/>
  <c r="U26" i="10"/>
  <c r="U24" i="10"/>
  <c r="V24" i="10" s="1"/>
  <c r="U23" i="10"/>
  <c r="V23" i="10" s="1"/>
  <c r="F13" i="10"/>
  <c r="K19" i="10"/>
  <c r="O19" i="10"/>
  <c r="U14" i="10"/>
  <c r="F19" i="10"/>
  <c r="O25" i="10"/>
  <c r="S23" i="10"/>
  <c r="F25" i="10"/>
  <c r="F31" i="10"/>
  <c r="G26" i="10"/>
  <c r="I26" i="10" s="1"/>
  <c r="G28" i="10"/>
  <c r="G30" i="10"/>
  <c r="O37" i="10"/>
  <c r="P32" i="10"/>
  <c r="S32" i="10" s="1"/>
  <c r="S27" i="10"/>
  <c r="S29" i="10"/>
  <c r="P14" i="10"/>
  <c r="S14" i="10" s="1"/>
  <c r="U17" i="10"/>
  <c r="V17" i="10" s="1"/>
  <c r="P25" i="10"/>
  <c r="S25" i="10" s="1"/>
  <c r="U20" i="10"/>
  <c r="V20" i="10" s="1"/>
  <c r="U21" i="10"/>
  <c r="V21" i="10" s="1"/>
  <c r="U22" i="10"/>
  <c r="V22" i="10" s="1"/>
  <c r="Y22" i="10" s="1"/>
  <c r="S28" i="10"/>
  <c r="S30" i="10"/>
  <c r="E33" i="10"/>
  <c r="D25" i="10"/>
  <c r="G35" i="10"/>
  <c r="G36" i="10"/>
  <c r="F37" i="10"/>
  <c r="Z7" i="10" l="1"/>
  <c r="AB7" i="10" s="1"/>
  <c r="Y7" i="10"/>
  <c r="Y6" i="10"/>
  <c r="Z6" i="10"/>
  <c r="AB6" i="10" s="1"/>
  <c r="Y8" i="10"/>
  <c r="Z8" i="10"/>
  <c r="AB8" i="10" s="1"/>
  <c r="Y9" i="10"/>
  <c r="Z9" i="10"/>
  <c r="AB9" i="10" s="1"/>
  <c r="Z11" i="10"/>
  <c r="AB11" i="10" s="1"/>
  <c r="Y11" i="10"/>
  <c r="Y10" i="10"/>
  <c r="Z10" i="10"/>
  <c r="AB10" i="10" s="1"/>
  <c r="Q39" i="10"/>
  <c r="AA37" i="10"/>
  <c r="D39" i="10"/>
  <c r="N36" i="10"/>
  <c r="I36" i="10"/>
  <c r="N35" i="10"/>
  <c r="I35" i="10"/>
  <c r="N34" i="10"/>
  <c r="I34" i="10"/>
  <c r="N33" i="10"/>
  <c r="I33" i="10"/>
  <c r="N32" i="10"/>
  <c r="I32" i="10"/>
  <c r="N30" i="10"/>
  <c r="I30" i="10"/>
  <c r="N29" i="10"/>
  <c r="I29" i="10"/>
  <c r="N28" i="10"/>
  <c r="I28" i="10"/>
  <c r="N27" i="10"/>
  <c r="I27" i="10"/>
  <c r="E31" i="10"/>
  <c r="V26" i="10"/>
  <c r="V31" i="10" s="1"/>
  <c r="Y31" i="10" s="1"/>
  <c r="S26" i="10"/>
  <c r="N24" i="10"/>
  <c r="I24" i="10"/>
  <c r="N23" i="10"/>
  <c r="N20" i="10"/>
  <c r="N16" i="10"/>
  <c r="E19" i="10"/>
  <c r="H39" i="10"/>
  <c r="N14" i="10"/>
  <c r="G25" i="10"/>
  <c r="I25" i="10" s="1"/>
  <c r="E20" i="10"/>
  <c r="AA31" i="10"/>
  <c r="AA25" i="10"/>
  <c r="K39" i="10"/>
  <c r="U13" i="10"/>
  <c r="U19" i="10"/>
  <c r="U37" i="10"/>
  <c r="G19" i="10"/>
  <c r="I19" i="10" s="1"/>
  <c r="N15" i="10"/>
  <c r="Z12" i="10"/>
  <c r="AB12" i="10" s="1"/>
  <c r="Y23" i="10"/>
  <c r="Y21" i="10"/>
  <c r="Z21" i="10"/>
  <c r="AB21" i="10" s="1"/>
  <c r="Z17" i="10"/>
  <c r="AB17" i="10" s="1"/>
  <c r="Y17" i="10"/>
  <c r="Y15" i="10"/>
  <c r="Y36" i="10"/>
  <c r="G37" i="10"/>
  <c r="I37" i="10" s="1"/>
  <c r="Y28" i="10"/>
  <c r="G31" i="10"/>
  <c r="I31" i="10" s="1"/>
  <c r="E13" i="10"/>
  <c r="M13" i="10"/>
  <c r="M39" i="10" s="1"/>
  <c r="P13" i="10"/>
  <c r="S13" i="10" s="1"/>
  <c r="Y27" i="10"/>
  <c r="L13" i="10"/>
  <c r="U25" i="10"/>
  <c r="V14" i="10"/>
  <c r="P19" i="10"/>
  <c r="S19" i="10" s="1"/>
  <c r="Y29" i="10"/>
  <c r="Y34" i="10"/>
  <c r="W13" i="10"/>
  <c r="X13" i="10" s="1"/>
  <c r="AA14" i="10"/>
  <c r="AA19" i="10" s="1"/>
  <c r="W19" i="10"/>
  <c r="X19" i="10" s="1"/>
  <c r="N22" i="10"/>
  <c r="O39" i="10"/>
  <c r="V25" i="10"/>
  <c r="Y25" i="10" s="1"/>
  <c r="Y20" i="10"/>
  <c r="Y33" i="10"/>
  <c r="Y16" i="10"/>
  <c r="Y24" i="10"/>
  <c r="Y30" i="10"/>
  <c r="V32" i="10"/>
  <c r="P37" i="10"/>
  <c r="S37" i="10" s="1"/>
  <c r="F39" i="10"/>
  <c r="U31" i="10"/>
  <c r="Y35" i="10"/>
  <c r="I13" i="10"/>
  <c r="AA13" i="10" l="1"/>
  <c r="AA39" i="10" s="1"/>
  <c r="Z35" i="10"/>
  <c r="AB35" i="10" s="1"/>
  <c r="Z30" i="10"/>
  <c r="AB30" i="10" s="1"/>
  <c r="Z34" i="10"/>
  <c r="AB34" i="10" s="1"/>
  <c r="Z33" i="10"/>
  <c r="AB33" i="10" s="1"/>
  <c r="Z29" i="10"/>
  <c r="AB29" i="10" s="1"/>
  <c r="Z28" i="10"/>
  <c r="AB28" i="10" s="1"/>
  <c r="Z27" i="10"/>
  <c r="AB27" i="10" s="1"/>
  <c r="Y26" i="10"/>
  <c r="Z16" i="10"/>
  <c r="AB16" i="10" s="1"/>
  <c r="Z36" i="10"/>
  <c r="AB36" i="10" s="1"/>
  <c r="L37" i="10"/>
  <c r="N37" i="10" s="1"/>
  <c r="Z24" i="10"/>
  <c r="AB24" i="10" s="1"/>
  <c r="Z23" i="10"/>
  <c r="AB23" i="10" s="1"/>
  <c r="Z20" i="10"/>
  <c r="AB20" i="10" s="1"/>
  <c r="E39" i="10"/>
  <c r="U39" i="10"/>
  <c r="E25" i="10"/>
  <c r="Z15" i="10"/>
  <c r="AB15" i="10" s="1"/>
  <c r="L19" i="10"/>
  <c r="N19" i="10" s="1"/>
  <c r="Z22" i="10"/>
  <c r="AB22" i="10" s="1"/>
  <c r="L25" i="10"/>
  <c r="N25" i="10" s="1"/>
  <c r="L31" i="10"/>
  <c r="N31" i="10" s="1"/>
  <c r="N26" i="10"/>
  <c r="Z32" i="10"/>
  <c r="Y32" i="10"/>
  <c r="V37" i="10"/>
  <c r="Y37" i="10" s="1"/>
  <c r="G39" i="10"/>
  <c r="I39" i="10" s="1"/>
  <c r="V19" i="10"/>
  <c r="Y19" i="10" s="1"/>
  <c r="Z14" i="10"/>
  <c r="Y14" i="10"/>
  <c r="N13" i="10"/>
  <c r="V13" i="10"/>
  <c r="Z26" i="10"/>
  <c r="W39" i="10"/>
  <c r="X39" i="10" s="1"/>
  <c r="P39" i="10"/>
  <c r="S39" i="10" s="1"/>
  <c r="Z25" i="10" l="1"/>
  <c r="AB25" i="10" s="1"/>
  <c r="Z31" i="10"/>
  <c r="AB31" i="10" s="1"/>
  <c r="AB26" i="10"/>
  <c r="Z13" i="10"/>
  <c r="L39" i="10"/>
  <c r="N39" i="10" s="1"/>
  <c r="V39" i="10"/>
  <c r="Y39" i="10" s="1"/>
  <c r="Y13" i="10"/>
  <c r="AB32" i="10"/>
  <c r="Z37" i="10"/>
  <c r="AB37" i="10" s="1"/>
  <c r="Z19" i="10"/>
  <c r="AB19" i="10" s="1"/>
  <c r="AB14" i="10"/>
  <c r="Z39" i="10" l="1"/>
  <c r="AB39" i="10" s="1"/>
  <c r="AB13" i="10"/>
  <c r="M36" i="9" l="1"/>
  <c r="M35" i="9"/>
  <c r="M34" i="9"/>
  <c r="M33" i="9"/>
  <c r="M32" i="9"/>
  <c r="M30" i="9"/>
  <c r="M29" i="9"/>
  <c r="M28" i="9"/>
  <c r="M27" i="9"/>
  <c r="M26" i="9"/>
  <c r="M24" i="9"/>
  <c r="M23" i="9"/>
  <c r="K36" i="9"/>
  <c r="K35" i="9"/>
  <c r="K34" i="9"/>
  <c r="K33" i="9"/>
  <c r="K32" i="9"/>
  <c r="K30" i="9"/>
  <c r="K29" i="9"/>
  <c r="K28" i="9"/>
  <c r="K27" i="9"/>
  <c r="K26" i="9"/>
  <c r="K24" i="9"/>
  <c r="K23" i="9"/>
  <c r="K22" i="9"/>
  <c r="K21" i="9"/>
  <c r="K20" i="9"/>
  <c r="K17" i="9"/>
  <c r="K16" i="9"/>
  <c r="K15" i="9"/>
  <c r="K14" i="9"/>
  <c r="K12" i="9"/>
  <c r="F36" i="9"/>
  <c r="G36" i="9" s="1"/>
  <c r="I36" i="9" s="1"/>
  <c r="F35" i="9"/>
  <c r="G35" i="9" s="1"/>
  <c r="I35" i="9" s="1"/>
  <c r="F34" i="9"/>
  <c r="G34" i="9" s="1"/>
  <c r="I34" i="9" s="1"/>
  <c r="F33" i="9"/>
  <c r="G33" i="9" s="1"/>
  <c r="I33" i="9" s="1"/>
  <c r="F32" i="9"/>
  <c r="G32" i="9" s="1"/>
  <c r="I32" i="9" s="1"/>
  <c r="F30" i="9"/>
  <c r="G30" i="9" s="1"/>
  <c r="I30" i="9" s="1"/>
  <c r="F29" i="9"/>
  <c r="G29" i="9" s="1"/>
  <c r="I29" i="9" s="1"/>
  <c r="F28" i="9"/>
  <c r="G28" i="9" s="1"/>
  <c r="I28" i="9" s="1"/>
  <c r="F27" i="9"/>
  <c r="G27" i="9" s="1"/>
  <c r="I27" i="9" s="1"/>
  <c r="F26" i="9"/>
  <c r="G26" i="9" s="1"/>
  <c r="I26" i="9" s="1"/>
  <c r="F24" i="9"/>
  <c r="G24" i="9" s="1"/>
  <c r="I24" i="9" s="1"/>
  <c r="F23" i="9"/>
  <c r="G23" i="9" s="1"/>
  <c r="I23" i="9" s="1"/>
  <c r="F22" i="9"/>
  <c r="G22" i="9" s="1"/>
  <c r="I22" i="9" s="1"/>
  <c r="F21" i="9"/>
  <c r="G21" i="9" s="1"/>
  <c r="I21" i="9" s="1"/>
  <c r="F20" i="9"/>
  <c r="G20" i="9" s="1"/>
  <c r="I20" i="9" s="1"/>
  <c r="F17" i="9"/>
  <c r="G17" i="9" s="1"/>
  <c r="I17" i="9" s="1"/>
  <c r="F16" i="9"/>
  <c r="G16" i="9" s="1"/>
  <c r="I16" i="9" s="1"/>
  <c r="F15" i="9"/>
  <c r="G15" i="9" s="1"/>
  <c r="I15" i="9" s="1"/>
  <c r="F14" i="9"/>
  <c r="G14" i="9" s="1"/>
  <c r="I14" i="9" s="1"/>
  <c r="F12" i="9"/>
  <c r="G12" i="9" s="1"/>
  <c r="F13" i="9" l="1"/>
  <c r="G13" i="9" l="1"/>
  <c r="T37" i="9"/>
  <c r="Q37" i="9"/>
  <c r="J37" i="9"/>
  <c r="H37" i="9"/>
  <c r="D37" i="9"/>
  <c r="C37" i="9"/>
  <c r="B37" i="9"/>
  <c r="W36" i="9"/>
  <c r="X36" i="9" s="1"/>
  <c r="W35" i="9"/>
  <c r="W34" i="9"/>
  <c r="W33" i="9"/>
  <c r="W32" i="9"/>
  <c r="X32" i="9" s="1"/>
  <c r="T31" i="9"/>
  <c r="Q31" i="9"/>
  <c r="J31" i="9"/>
  <c r="H31" i="9"/>
  <c r="D31" i="9"/>
  <c r="C31" i="9"/>
  <c r="B31" i="9"/>
  <c r="W30" i="9"/>
  <c r="W29" i="9"/>
  <c r="X29" i="9" s="1"/>
  <c r="W28" i="9"/>
  <c r="W27" i="9"/>
  <c r="X27" i="9" s="1"/>
  <c r="W26" i="9"/>
  <c r="J25" i="9"/>
  <c r="C25" i="9"/>
  <c r="B25" i="9"/>
  <c r="W24" i="9"/>
  <c r="X24" i="9" s="1"/>
  <c r="W23" i="9"/>
  <c r="X23" i="9" s="1"/>
  <c r="W22" i="9"/>
  <c r="X22" i="9" s="1"/>
  <c r="M22" i="9"/>
  <c r="W21" i="9"/>
  <c r="X21" i="9" s="1"/>
  <c r="M21" i="9"/>
  <c r="M20" i="9"/>
  <c r="C19" i="9"/>
  <c r="B19" i="9"/>
  <c r="W17" i="9"/>
  <c r="X17" i="9" s="1"/>
  <c r="M17" i="9"/>
  <c r="W16" i="9"/>
  <c r="X16" i="9" s="1"/>
  <c r="M16" i="9"/>
  <c r="M15" i="9"/>
  <c r="J13" i="9"/>
  <c r="B13" i="9"/>
  <c r="I12" i="9"/>
  <c r="Z3" i="9"/>
  <c r="AA16" i="8"/>
  <c r="AB16" i="8" s="1"/>
  <c r="AA36" i="8"/>
  <c r="AB36" i="8" s="1"/>
  <c r="AA35" i="8"/>
  <c r="AB35" i="8" s="1"/>
  <c r="AA34" i="8"/>
  <c r="AB34" i="8" s="1"/>
  <c r="AA33" i="8"/>
  <c r="AB33" i="8" s="1"/>
  <c r="AA32" i="8"/>
  <c r="AB32" i="8" s="1"/>
  <c r="AA30" i="8"/>
  <c r="AB30" i="8" s="1"/>
  <c r="AA29" i="8"/>
  <c r="AB29" i="8" s="1"/>
  <c r="AA28" i="8"/>
  <c r="AB28" i="8" s="1"/>
  <c r="AA27" i="8"/>
  <c r="AB27" i="8" s="1"/>
  <c r="AA26" i="8"/>
  <c r="AB26" i="8" s="1"/>
  <c r="AA24" i="8"/>
  <c r="AB24" i="8" s="1"/>
  <c r="AA23" i="8"/>
  <c r="AB23" i="8" s="1"/>
  <c r="AA22" i="8"/>
  <c r="AB22" i="8" s="1"/>
  <c r="AA21" i="8"/>
  <c r="AB21" i="8" s="1"/>
  <c r="AA20" i="8"/>
  <c r="AB20" i="8" s="1"/>
  <c r="AA17" i="8"/>
  <c r="AB17" i="8" s="1"/>
  <c r="AA15" i="8"/>
  <c r="AB15" i="8" s="1"/>
  <c r="AA14" i="8"/>
  <c r="AB14" i="8" s="1"/>
  <c r="AA12" i="8"/>
  <c r="AB12" i="8" s="1"/>
  <c r="O23" i="8"/>
  <c r="O12" i="8"/>
  <c r="M29" i="8"/>
  <c r="M28" i="8"/>
  <c r="M12" i="8"/>
  <c r="J13" i="8"/>
  <c r="E19" i="8"/>
  <c r="AF3" i="8"/>
  <c r="Z3" i="8"/>
  <c r="Y3" i="8"/>
  <c r="W3" i="8"/>
  <c r="N3" i="8"/>
  <c r="M3" i="8"/>
  <c r="L3" i="8"/>
  <c r="H3" i="8"/>
  <c r="D37" i="8"/>
  <c r="D31" i="8"/>
  <c r="D25" i="8"/>
  <c r="D19" i="8"/>
  <c r="D13" i="8"/>
  <c r="U6" i="9" l="1"/>
  <c r="V6" i="9" s="1"/>
  <c r="U7" i="9"/>
  <c r="V7" i="9" s="1"/>
  <c r="Y9" i="8"/>
  <c r="Y6" i="8"/>
  <c r="Y8" i="8"/>
  <c r="Y7" i="8"/>
  <c r="H6" i="8"/>
  <c r="H8" i="8"/>
  <c r="H9" i="8"/>
  <c r="H7" i="8"/>
  <c r="G9" i="8"/>
  <c r="G6" i="8"/>
  <c r="G8" i="8"/>
  <c r="G7" i="8"/>
  <c r="F8" i="8"/>
  <c r="Q8" i="8"/>
  <c r="Q9" i="8"/>
  <c r="Q7" i="8"/>
  <c r="Q6" i="8"/>
  <c r="R9" i="8"/>
  <c r="R7" i="8"/>
  <c r="R8" i="8"/>
  <c r="R6" i="8"/>
  <c r="U9" i="9"/>
  <c r="V9" i="9" s="1"/>
  <c r="U10" i="9"/>
  <c r="V10" i="9" s="1"/>
  <c r="U11" i="9"/>
  <c r="V11" i="9" s="1"/>
  <c r="U8" i="9"/>
  <c r="V8" i="9" s="1"/>
  <c r="R36" i="8"/>
  <c r="R11" i="8"/>
  <c r="R10" i="8"/>
  <c r="Y11" i="8"/>
  <c r="Y10" i="8"/>
  <c r="H11" i="8"/>
  <c r="H10" i="8"/>
  <c r="Q21" i="8"/>
  <c r="Q11" i="8"/>
  <c r="Q10" i="8"/>
  <c r="G11" i="8"/>
  <c r="G10" i="8"/>
  <c r="AA34" i="9"/>
  <c r="X34" i="9"/>
  <c r="AA35" i="9"/>
  <c r="X35" i="9"/>
  <c r="AA33" i="9"/>
  <c r="X33" i="9"/>
  <c r="AA30" i="9"/>
  <c r="X30" i="9"/>
  <c r="AA28" i="9"/>
  <c r="X28" i="9"/>
  <c r="AA26" i="9"/>
  <c r="X26" i="9"/>
  <c r="H33" i="8"/>
  <c r="H28" i="8"/>
  <c r="Q12" i="8"/>
  <c r="R28" i="8"/>
  <c r="R33" i="8"/>
  <c r="Y17" i="8"/>
  <c r="H27" i="8"/>
  <c r="H17" i="8"/>
  <c r="H22" i="8"/>
  <c r="R16" i="8"/>
  <c r="Q14" i="8"/>
  <c r="Y23" i="8"/>
  <c r="Y28" i="8"/>
  <c r="Q29" i="8"/>
  <c r="Q34" i="8"/>
  <c r="Y33" i="8"/>
  <c r="Y22" i="8"/>
  <c r="Q24" i="8"/>
  <c r="R23" i="8"/>
  <c r="U15" i="9"/>
  <c r="V15" i="9" s="1"/>
  <c r="Y15" i="9" s="1"/>
  <c r="U34" i="9"/>
  <c r="U29" i="9"/>
  <c r="U24" i="9"/>
  <c r="U20" i="9"/>
  <c r="U14" i="9"/>
  <c r="U16" i="9"/>
  <c r="U33" i="9"/>
  <c r="U28" i="9"/>
  <c r="U23" i="9"/>
  <c r="U35" i="9"/>
  <c r="U26" i="9"/>
  <c r="U12" i="9"/>
  <c r="U36" i="9"/>
  <c r="U32" i="9"/>
  <c r="U27" i="9"/>
  <c r="U22" i="9"/>
  <c r="U17" i="9"/>
  <c r="U30" i="9"/>
  <c r="U21" i="9"/>
  <c r="G28" i="8"/>
  <c r="G33" i="8"/>
  <c r="G14" i="8"/>
  <c r="G24" i="8"/>
  <c r="G29" i="8"/>
  <c r="G34" i="8"/>
  <c r="H14" i="8"/>
  <c r="H23" i="8"/>
  <c r="H29" i="8"/>
  <c r="H34" i="8"/>
  <c r="Q15" i="8"/>
  <c r="Q20" i="8"/>
  <c r="Q26" i="8"/>
  <c r="Q30" i="8"/>
  <c r="Q35" i="8"/>
  <c r="R12" i="8"/>
  <c r="R14" i="8"/>
  <c r="R20" i="8"/>
  <c r="R24" i="8"/>
  <c r="R29" i="8"/>
  <c r="R34" i="8"/>
  <c r="Y14" i="8"/>
  <c r="Y24" i="8"/>
  <c r="Y29" i="8"/>
  <c r="Y34" i="8"/>
  <c r="G23" i="8"/>
  <c r="G21" i="8"/>
  <c r="G12" i="8"/>
  <c r="G15" i="8"/>
  <c r="G20" i="8"/>
  <c r="G26" i="8"/>
  <c r="G30" i="8"/>
  <c r="G35" i="8"/>
  <c r="H12" i="8"/>
  <c r="H15" i="8"/>
  <c r="H20" i="8"/>
  <c r="H24" i="8"/>
  <c r="H30" i="8"/>
  <c r="H35" i="8"/>
  <c r="Q16" i="8"/>
  <c r="Q22" i="8"/>
  <c r="Q27" i="8"/>
  <c r="Q32" i="8"/>
  <c r="Q36" i="8"/>
  <c r="S36" i="8" s="1"/>
  <c r="T36" i="8" s="1"/>
  <c r="R15" i="8"/>
  <c r="R21" i="8"/>
  <c r="R26" i="8"/>
  <c r="R30" i="8"/>
  <c r="R35" i="8"/>
  <c r="Y12" i="8"/>
  <c r="Y15" i="8"/>
  <c r="Y20" i="8"/>
  <c r="Y26" i="8"/>
  <c r="Y30" i="8"/>
  <c r="Y35" i="8"/>
  <c r="G17" i="8"/>
  <c r="F17" i="8"/>
  <c r="G16" i="8"/>
  <c r="G22" i="8"/>
  <c r="G27" i="8"/>
  <c r="G32" i="8"/>
  <c r="G36" i="8"/>
  <c r="H16" i="8"/>
  <c r="H21" i="8"/>
  <c r="H26" i="8"/>
  <c r="H32" i="8"/>
  <c r="H36" i="8"/>
  <c r="Q17" i="8"/>
  <c r="Q23" i="8"/>
  <c r="Q28" i="8"/>
  <c r="Q33" i="8"/>
  <c r="R17" i="8"/>
  <c r="R22" i="8"/>
  <c r="R27" i="8"/>
  <c r="R32" i="8"/>
  <c r="Y16" i="8"/>
  <c r="Y21" i="8"/>
  <c r="Y27" i="8"/>
  <c r="Y32" i="8"/>
  <c r="Y36" i="8"/>
  <c r="AE23" i="8"/>
  <c r="AA16" i="9"/>
  <c r="AE12" i="8"/>
  <c r="H19" i="9"/>
  <c r="M14" i="9"/>
  <c r="M12" i="9"/>
  <c r="K37" i="9"/>
  <c r="AA15" i="9"/>
  <c r="AA23" i="9"/>
  <c r="AA36" i="9"/>
  <c r="M37" i="9"/>
  <c r="C39" i="9"/>
  <c r="Q19" i="9"/>
  <c r="T19" i="9"/>
  <c r="AA21" i="9"/>
  <c r="M31" i="9"/>
  <c r="AA29" i="9"/>
  <c r="W37" i="9"/>
  <c r="X37" i="9" s="1"/>
  <c r="B39" i="9"/>
  <c r="K31" i="9"/>
  <c r="K13" i="9"/>
  <c r="H13" i="9"/>
  <c r="I13" i="9" s="1"/>
  <c r="K25" i="9"/>
  <c r="AA24" i="9"/>
  <c r="W31" i="9"/>
  <c r="X31" i="9" s="1"/>
  <c r="AA27" i="9"/>
  <c r="AA32" i="9"/>
  <c r="Q13" i="9"/>
  <c r="W14" i="9"/>
  <c r="X14" i="9" s="1"/>
  <c r="E16" i="9"/>
  <c r="W12" i="9"/>
  <c r="X12" i="9" s="1"/>
  <c r="D19" i="9"/>
  <c r="T13" i="9"/>
  <c r="D13" i="9"/>
  <c r="W20" i="9"/>
  <c r="X20" i="9" s="1"/>
  <c r="AA22" i="9"/>
  <c r="T25" i="9"/>
  <c r="N17" i="9"/>
  <c r="AA17" i="9"/>
  <c r="D25" i="9"/>
  <c r="M25" i="9"/>
  <c r="H25" i="9"/>
  <c r="Q25" i="9"/>
  <c r="D39" i="8"/>
  <c r="S9" i="8" l="1"/>
  <c r="T9" i="8" s="1"/>
  <c r="W9" i="8"/>
  <c r="S10" i="8"/>
  <c r="T10" i="8" s="1"/>
  <c r="Z7" i="9"/>
  <c r="AB7" i="9" s="1"/>
  <c r="Y7" i="9"/>
  <c r="Z6" i="9"/>
  <c r="AB6" i="9" s="1"/>
  <c r="Y6" i="9"/>
  <c r="S6" i="8"/>
  <c r="T6" i="8" s="1"/>
  <c r="F9" i="8"/>
  <c r="K7" i="8"/>
  <c r="S7" i="8"/>
  <c r="T7" i="8" s="1"/>
  <c r="F6" i="8"/>
  <c r="K8" i="8"/>
  <c r="F7" i="8"/>
  <c r="K6" i="8"/>
  <c r="K10" i="8"/>
  <c r="S8" i="8"/>
  <c r="T8" i="8" s="1"/>
  <c r="K9" i="8"/>
  <c r="S21" i="8"/>
  <c r="T21" i="8" s="1"/>
  <c r="Y8" i="9"/>
  <c r="Z8" i="9"/>
  <c r="AB8" i="9" s="1"/>
  <c r="Z11" i="9"/>
  <c r="AB11" i="9" s="1"/>
  <c r="Y11" i="9"/>
  <c r="Z10" i="9"/>
  <c r="AB10" i="9" s="1"/>
  <c r="Y10" i="9"/>
  <c r="Y9" i="9"/>
  <c r="Z9" i="9"/>
  <c r="AB9" i="9" s="1"/>
  <c r="F11" i="8"/>
  <c r="S11" i="8"/>
  <c r="T11" i="8" s="1"/>
  <c r="F10" i="8"/>
  <c r="K11" i="8"/>
  <c r="S12" i="8"/>
  <c r="S33" i="8"/>
  <c r="Z36" i="8"/>
  <c r="S34" i="8"/>
  <c r="S27" i="8"/>
  <c r="S23" i="8"/>
  <c r="K20" i="8"/>
  <c r="S26" i="8"/>
  <c r="S28" i="8"/>
  <c r="K16" i="8"/>
  <c r="S14" i="8"/>
  <c r="K29" i="8"/>
  <c r="K30" i="8"/>
  <c r="S30" i="8"/>
  <c r="S29" i="8"/>
  <c r="N29" i="8"/>
  <c r="K33" i="8"/>
  <c r="K32" i="8"/>
  <c r="N28" i="8"/>
  <c r="K26" i="8"/>
  <c r="N12" i="8"/>
  <c r="K12" i="8"/>
  <c r="S16" i="8"/>
  <c r="T16" i="8" s="1"/>
  <c r="S35" i="8"/>
  <c r="T35" i="8" s="1"/>
  <c r="K27" i="8"/>
  <c r="F19" i="8"/>
  <c r="K36" i="8"/>
  <c r="K28" i="8"/>
  <c r="K35" i="8"/>
  <c r="S24" i="8"/>
  <c r="S17" i="8"/>
  <c r="G25" i="8"/>
  <c r="S32" i="8"/>
  <c r="S20" i="8"/>
  <c r="S22" i="8"/>
  <c r="K24" i="8"/>
  <c r="K23" i="8"/>
  <c r="K21" i="8"/>
  <c r="Z21" i="8"/>
  <c r="H19" i="8"/>
  <c r="K17" i="8"/>
  <c r="K15" i="8"/>
  <c r="S15" i="8"/>
  <c r="T15" i="8" s="1"/>
  <c r="F15" i="8"/>
  <c r="K14" i="8"/>
  <c r="K22" i="8"/>
  <c r="K34" i="8"/>
  <c r="E36" i="9"/>
  <c r="AA31" i="9"/>
  <c r="AA12" i="9"/>
  <c r="AE13" i="8"/>
  <c r="AA37" i="9"/>
  <c r="E21" i="9"/>
  <c r="N21" i="9"/>
  <c r="H39" i="9"/>
  <c r="D39" i="9"/>
  <c r="U25" i="9"/>
  <c r="M13" i="9"/>
  <c r="U31" i="9"/>
  <c r="E30" i="9"/>
  <c r="O19" i="9"/>
  <c r="O37" i="9"/>
  <c r="F31" i="9"/>
  <c r="N28" i="9"/>
  <c r="N34" i="9"/>
  <c r="E17" i="9"/>
  <c r="E35" i="9"/>
  <c r="U13" i="9"/>
  <c r="T39" i="9"/>
  <c r="W19" i="9"/>
  <c r="X19" i="9" s="1"/>
  <c r="AA14" i="9"/>
  <c r="Q39" i="9"/>
  <c r="N27" i="9"/>
  <c r="N36" i="9"/>
  <c r="V36" i="9"/>
  <c r="O31" i="9"/>
  <c r="N16" i="9"/>
  <c r="E24" i="9"/>
  <c r="E23" i="9"/>
  <c r="E27" i="9"/>
  <c r="AA20" i="9"/>
  <c r="AA25" i="9" s="1"/>
  <c r="W25" i="9"/>
  <c r="X25" i="9" s="1"/>
  <c r="E15" i="9"/>
  <c r="N15" i="9"/>
  <c r="W13" i="9"/>
  <c r="X13" i="9" s="1"/>
  <c r="N24" i="9"/>
  <c r="F25" i="9"/>
  <c r="N30" i="9"/>
  <c r="N29" i="9"/>
  <c r="O25" i="9"/>
  <c r="E33" i="9"/>
  <c r="F19" i="9"/>
  <c r="N35" i="9"/>
  <c r="V24" i="9"/>
  <c r="E28" i="9"/>
  <c r="E22" i="9"/>
  <c r="E34" i="9"/>
  <c r="E29" i="9"/>
  <c r="U19" i="9"/>
  <c r="E12" i="9"/>
  <c r="U37" i="9"/>
  <c r="N12" i="9"/>
  <c r="N22" i="9"/>
  <c r="N23" i="9"/>
  <c r="N33" i="9"/>
  <c r="F37" i="9"/>
  <c r="H13" i="8"/>
  <c r="H37" i="8"/>
  <c r="H31" i="8"/>
  <c r="H25" i="8"/>
  <c r="T24" i="8" l="1"/>
  <c r="Z24" i="8" s="1"/>
  <c r="T29" i="8"/>
  <c r="Z29" i="8" s="1"/>
  <c r="AD29" i="8" s="1"/>
  <c r="T14" i="8"/>
  <c r="W14" i="8" s="1"/>
  <c r="T34" i="8"/>
  <c r="Z34" i="8" s="1"/>
  <c r="T30" i="8"/>
  <c r="Z30" i="8" s="1"/>
  <c r="T22" i="8"/>
  <c r="Z22" i="8" s="1"/>
  <c r="T20" i="8"/>
  <c r="Z20" i="8" s="1"/>
  <c r="T23" i="8"/>
  <c r="Z23" i="8" s="1"/>
  <c r="T27" i="8"/>
  <c r="Z27" i="8" s="1"/>
  <c r="T28" i="8"/>
  <c r="Z28" i="8" s="1"/>
  <c r="AD28" i="8" s="1"/>
  <c r="T33" i="8"/>
  <c r="Z33" i="8" s="1"/>
  <c r="T32" i="8"/>
  <c r="Z32" i="8" s="1"/>
  <c r="T17" i="8"/>
  <c r="Z17" i="8" s="1"/>
  <c r="T26" i="8"/>
  <c r="Z26" i="8" s="1"/>
  <c r="T12" i="8"/>
  <c r="Z12" i="8" s="1"/>
  <c r="N7" i="8"/>
  <c r="P7" i="8" s="1"/>
  <c r="N10" i="8"/>
  <c r="P10" i="8" s="1"/>
  <c r="N6" i="8"/>
  <c r="P6" i="8" s="1"/>
  <c r="N9" i="8"/>
  <c r="P9" i="8" s="1"/>
  <c r="N8" i="8"/>
  <c r="P8" i="8" s="1"/>
  <c r="N11" i="8"/>
  <c r="P11" i="8" s="1"/>
  <c r="Z9" i="8"/>
  <c r="AD9" i="8" s="1"/>
  <c r="AF9" i="8" s="1"/>
  <c r="Z6" i="8"/>
  <c r="W6" i="8"/>
  <c r="Z8" i="8"/>
  <c r="W8" i="8"/>
  <c r="W7" i="8"/>
  <c r="Z7" i="8"/>
  <c r="W11" i="8"/>
  <c r="Z11" i="8"/>
  <c r="Z10" i="8"/>
  <c r="W10" i="8"/>
  <c r="Z35" i="8"/>
  <c r="W35" i="8"/>
  <c r="W16" i="8"/>
  <c r="Z16" i="8"/>
  <c r="Z15" i="8"/>
  <c r="W15" i="8"/>
  <c r="O39" i="9"/>
  <c r="AA13" i="9"/>
  <c r="V17" i="9"/>
  <c r="Z17" i="9" s="1"/>
  <c r="AB17" i="9" s="1"/>
  <c r="V27" i="9"/>
  <c r="Z27" i="9" s="1"/>
  <c r="AB27" i="9" s="1"/>
  <c r="G25" i="9"/>
  <c r="I25" i="9" s="1"/>
  <c r="G37" i="9"/>
  <c r="I37" i="9" s="1"/>
  <c r="V34" i="9"/>
  <c r="V33" i="9"/>
  <c r="V22" i="9"/>
  <c r="V21" i="9"/>
  <c r="V28" i="9"/>
  <c r="V30" i="9"/>
  <c r="Y24" i="9"/>
  <c r="Z24" i="9"/>
  <c r="AB24" i="9" s="1"/>
  <c r="F39" i="9"/>
  <c r="E14" i="9"/>
  <c r="E19" i="9"/>
  <c r="E13" i="9"/>
  <c r="V16" i="9"/>
  <c r="Y16" i="9" s="1"/>
  <c r="E25" i="9"/>
  <c r="E20" i="9"/>
  <c r="E32" i="9"/>
  <c r="E37" i="9"/>
  <c r="V29" i="9"/>
  <c r="V23" i="9"/>
  <c r="V12" i="9"/>
  <c r="V35" i="9"/>
  <c r="G19" i="9"/>
  <c r="I19" i="9" s="1"/>
  <c r="W39" i="9"/>
  <c r="X39" i="9" s="1"/>
  <c r="E26" i="9"/>
  <c r="E31" i="9"/>
  <c r="Z36" i="9"/>
  <c r="AB36" i="9" s="1"/>
  <c r="Y36" i="9"/>
  <c r="U39" i="9"/>
  <c r="G31" i="9"/>
  <c r="I31" i="9" s="1"/>
  <c r="H39" i="8"/>
  <c r="Z14" i="8" l="1"/>
  <c r="AD12" i="8"/>
  <c r="AC12" i="8"/>
  <c r="N13" i="8"/>
  <c r="AC9" i="8"/>
  <c r="AC7" i="8"/>
  <c r="AD7" i="8"/>
  <c r="AF7" i="8" s="1"/>
  <c r="AD8" i="8"/>
  <c r="AF8" i="8" s="1"/>
  <c r="AC8" i="8"/>
  <c r="AD6" i="8"/>
  <c r="AF6" i="8" s="1"/>
  <c r="AC6" i="8"/>
  <c r="AC11" i="8"/>
  <c r="AD11" i="8"/>
  <c r="AF11" i="8" s="1"/>
  <c r="AD10" i="8"/>
  <c r="AF10" i="8" s="1"/>
  <c r="AC10" i="8"/>
  <c r="Y17" i="9"/>
  <c r="Y27" i="9"/>
  <c r="P13" i="9"/>
  <c r="S13" i="9" s="1"/>
  <c r="L31" i="9"/>
  <c r="N31" i="9" s="1"/>
  <c r="N26" i="9"/>
  <c r="P25" i="9"/>
  <c r="S25" i="9" s="1"/>
  <c r="V20" i="9"/>
  <c r="Z23" i="9"/>
  <c r="AB23" i="9" s="1"/>
  <c r="Y23" i="9"/>
  <c r="L25" i="9"/>
  <c r="N25" i="9" s="1"/>
  <c r="N20" i="9"/>
  <c r="E39" i="9"/>
  <c r="P31" i="9"/>
  <c r="S31" i="9" s="1"/>
  <c r="V26" i="9"/>
  <c r="Y28" i="9"/>
  <c r="Z28" i="9"/>
  <c r="AB28" i="9" s="1"/>
  <c r="Y22" i="9"/>
  <c r="Z22" i="9"/>
  <c r="AB22" i="9" s="1"/>
  <c r="Z33" i="9"/>
  <c r="AB33" i="9" s="1"/>
  <c r="Y33" i="9"/>
  <c r="P19" i="9"/>
  <c r="S19" i="9" s="1"/>
  <c r="V14" i="9"/>
  <c r="Z16" i="9"/>
  <c r="AB16" i="9" s="1"/>
  <c r="N14" i="9"/>
  <c r="G39" i="9"/>
  <c r="I39" i="9" s="1"/>
  <c r="Z12" i="9"/>
  <c r="AB12" i="9" s="1"/>
  <c r="Y12" i="9"/>
  <c r="Z29" i="9"/>
  <c r="AB29" i="9" s="1"/>
  <c r="Y29" i="9"/>
  <c r="N32" i="9"/>
  <c r="L37" i="9"/>
  <c r="N37" i="9" s="1"/>
  <c r="P37" i="9"/>
  <c r="S37" i="9" s="1"/>
  <c r="V32" i="9"/>
  <c r="Z34" i="9"/>
  <c r="AB34" i="9" s="1"/>
  <c r="Y34" i="9"/>
  <c r="Z35" i="9"/>
  <c r="AB35" i="9" s="1"/>
  <c r="Y35" i="9"/>
  <c r="Z15" i="9"/>
  <c r="AB15" i="9" s="1"/>
  <c r="L13" i="9"/>
  <c r="Y30" i="9"/>
  <c r="Z30" i="9"/>
  <c r="AB30" i="9" s="1"/>
  <c r="Z21" i="9"/>
  <c r="AB21" i="9" s="1"/>
  <c r="Y21" i="9"/>
  <c r="Z14" i="9" l="1"/>
  <c r="V19" i="9"/>
  <c r="Y19" i="9" s="1"/>
  <c r="Y14" i="9"/>
  <c r="Y26" i="9"/>
  <c r="V31" i="9"/>
  <c r="Y31" i="9" s="1"/>
  <c r="Z26" i="9"/>
  <c r="N13" i="9"/>
  <c r="V25" i="9"/>
  <c r="Y25" i="9" s="1"/>
  <c r="Z20" i="9"/>
  <c r="Y20" i="9"/>
  <c r="P39" i="9"/>
  <c r="S39" i="9" s="1"/>
  <c r="Z32" i="9"/>
  <c r="Y32" i="9"/>
  <c r="V37" i="9"/>
  <c r="Y37" i="9" s="1"/>
  <c r="V13" i="9"/>
  <c r="Z13" i="9" l="1"/>
  <c r="AB32" i="9"/>
  <c r="Z37" i="9"/>
  <c r="AB37" i="9" s="1"/>
  <c r="Z25" i="9"/>
  <c r="AB25" i="9" s="1"/>
  <c r="AB20" i="9"/>
  <c r="AB26" i="9"/>
  <c r="Z31" i="9"/>
  <c r="AB31" i="9" s="1"/>
  <c r="V39" i="9"/>
  <c r="Y39" i="9" s="1"/>
  <c r="Y13" i="9"/>
  <c r="AB14" i="9"/>
  <c r="AB13" i="9" l="1"/>
  <c r="X37" i="8" l="1"/>
  <c r="U37" i="8"/>
  <c r="L37" i="8"/>
  <c r="J37" i="8"/>
  <c r="E37" i="8"/>
  <c r="C37" i="8"/>
  <c r="B37" i="8"/>
  <c r="O36" i="8"/>
  <c r="AE36" i="8" s="1"/>
  <c r="O35" i="8"/>
  <c r="AE35" i="8" s="1"/>
  <c r="O34" i="8"/>
  <c r="AE34" i="8" s="1"/>
  <c r="O33" i="8"/>
  <c r="AE33" i="8" s="1"/>
  <c r="O32" i="8"/>
  <c r="AE32" i="8" s="1"/>
  <c r="X31" i="8"/>
  <c r="U31" i="8"/>
  <c r="L31" i="8"/>
  <c r="J31" i="8"/>
  <c r="E31" i="8"/>
  <c r="C31" i="8"/>
  <c r="B31" i="8"/>
  <c r="O30" i="8"/>
  <c r="AE30" i="8" s="1"/>
  <c r="O29" i="8"/>
  <c r="AE29" i="8" s="1"/>
  <c r="O28" i="8"/>
  <c r="O27" i="8"/>
  <c r="AE27" i="8" s="1"/>
  <c r="O26" i="8"/>
  <c r="AE26" i="8" s="1"/>
  <c r="L25" i="8"/>
  <c r="C25" i="8"/>
  <c r="B25" i="8"/>
  <c r="O24" i="8"/>
  <c r="AE24" i="8" s="1"/>
  <c r="O22" i="8"/>
  <c r="AE22" i="8" s="1"/>
  <c r="O21" i="8"/>
  <c r="AE21" i="8" s="1"/>
  <c r="E25" i="8"/>
  <c r="L19" i="8"/>
  <c r="C19" i="8"/>
  <c r="B19" i="8"/>
  <c r="X19" i="8"/>
  <c r="O15" i="8"/>
  <c r="AE15" i="8" s="1"/>
  <c r="L13" i="8"/>
  <c r="C13" i="8"/>
  <c r="B13" i="8"/>
  <c r="M27" i="8"/>
  <c r="N27" i="8" l="1"/>
  <c r="AD27" i="8" s="1"/>
  <c r="P28" i="8"/>
  <c r="AE28" i="8"/>
  <c r="U19" i="8"/>
  <c r="X13" i="8"/>
  <c r="U25" i="8"/>
  <c r="M22" i="8"/>
  <c r="N22" i="8" s="1"/>
  <c r="M24" i="8"/>
  <c r="E13" i="8"/>
  <c r="E39" i="8" s="1"/>
  <c r="U13" i="8"/>
  <c r="B39" i="8"/>
  <c r="J19" i="8"/>
  <c r="O17" i="8"/>
  <c r="AE17" i="8" s="1"/>
  <c r="J25" i="8"/>
  <c r="O31" i="8"/>
  <c r="O37" i="8"/>
  <c r="C39" i="8"/>
  <c r="M14" i="8"/>
  <c r="M21" i="8"/>
  <c r="AA25" i="8"/>
  <c r="AB25" i="8" s="1"/>
  <c r="L39" i="8"/>
  <c r="M33" i="8"/>
  <c r="M36" i="8"/>
  <c r="M32" i="8"/>
  <c r="M30" i="8"/>
  <c r="M26" i="8"/>
  <c r="M35" i="8"/>
  <c r="M20" i="8"/>
  <c r="M17" i="8"/>
  <c r="M16" i="8"/>
  <c r="M34" i="8"/>
  <c r="M23" i="8"/>
  <c r="M15" i="8"/>
  <c r="O14" i="8"/>
  <c r="AE14" i="8" s="1"/>
  <c r="O16" i="8"/>
  <c r="AE16" i="8" s="1"/>
  <c r="O20" i="8"/>
  <c r="AA31" i="8"/>
  <c r="AB31" i="8" s="1"/>
  <c r="AA37" i="8"/>
  <c r="AB37" i="8" s="1"/>
  <c r="X25" i="8"/>
  <c r="N14" i="8" l="1"/>
  <c r="AD14" i="8" s="1"/>
  <c r="N15" i="8"/>
  <c r="AD15" i="8" s="1"/>
  <c r="N21" i="8"/>
  <c r="AD21" i="8" s="1"/>
  <c r="N30" i="8"/>
  <c r="AD30" i="8" s="1"/>
  <c r="N34" i="8"/>
  <c r="AD34" i="8" s="1"/>
  <c r="N20" i="8"/>
  <c r="AD20" i="8" s="1"/>
  <c r="N16" i="8"/>
  <c r="AD16" i="8" s="1"/>
  <c r="N36" i="8"/>
  <c r="AD36" i="8" s="1"/>
  <c r="N17" i="8"/>
  <c r="AD17" i="8" s="1"/>
  <c r="N24" i="8"/>
  <c r="AD24" i="8" s="1"/>
  <c r="N35" i="8"/>
  <c r="AD35" i="8" s="1"/>
  <c r="N26" i="8"/>
  <c r="AD26" i="8" s="1"/>
  <c r="AD23" i="8"/>
  <c r="N23" i="8"/>
  <c r="N32" i="8"/>
  <c r="AD32" i="8" s="1"/>
  <c r="N33" i="8"/>
  <c r="AD33" i="8" s="1"/>
  <c r="X39" i="8"/>
  <c r="J39" i="8"/>
  <c r="U39" i="8"/>
  <c r="P22" i="8"/>
  <c r="AD22" i="8"/>
  <c r="AE20" i="8"/>
  <c r="AE25" i="8" s="1"/>
  <c r="O25" i="8"/>
  <c r="R31" i="8"/>
  <c r="R37" i="8"/>
  <c r="Q19" i="8"/>
  <c r="Y13" i="8"/>
  <c r="O13" i="8"/>
  <c r="P13" i="8" s="1"/>
  <c r="AE31" i="8"/>
  <c r="Y37" i="8"/>
  <c r="AE37" i="8"/>
  <c r="Y19" i="8"/>
  <c r="AA19" i="8"/>
  <c r="AB19" i="8" s="1"/>
  <c r="M19" i="8"/>
  <c r="G19" i="8"/>
  <c r="F16" i="8"/>
  <c r="F33" i="8"/>
  <c r="G37" i="8"/>
  <c r="F29" i="8"/>
  <c r="Y25" i="8"/>
  <c r="F21" i="8"/>
  <c r="M13" i="8"/>
  <c r="AA13" i="8"/>
  <c r="AB13" i="8" s="1"/>
  <c r="F22" i="8"/>
  <c r="F30" i="8"/>
  <c r="F35" i="8"/>
  <c r="F12" i="8"/>
  <c r="AE19" i="8"/>
  <c r="F27" i="8"/>
  <c r="F28" i="8"/>
  <c r="O19" i="8"/>
  <c r="M31" i="8"/>
  <c r="K25" i="8"/>
  <c r="F24" i="8"/>
  <c r="G13" i="8"/>
  <c r="Y31" i="8"/>
  <c r="M25" i="8"/>
  <c r="M37" i="8"/>
  <c r="G31" i="8"/>
  <c r="K31" i="8" s="1"/>
  <c r="F23" i="8"/>
  <c r="F34" i="8"/>
  <c r="F36" i="8"/>
  <c r="K37" i="8" l="1"/>
  <c r="K19" i="8"/>
  <c r="K13" i="8"/>
  <c r="Y39" i="8"/>
  <c r="AA39" i="8"/>
  <c r="AB39" i="8" s="1"/>
  <c r="O39" i="8"/>
  <c r="R25" i="8"/>
  <c r="R19" i="8"/>
  <c r="R13" i="8"/>
  <c r="AE39" i="8"/>
  <c r="I31" i="8"/>
  <c r="P12" i="8"/>
  <c r="P33" i="8"/>
  <c r="P17" i="8"/>
  <c r="P27" i="8"/>
  <c r="P29" i="8"/>
  <c r="P16" i="8"/>
  <c r="P36" i="8"/>
  <c r="P15" i="8"/>
  <c r="Q37" i="8"/>
  <c r="P24" i="8"/>
  <c r="Q31" i="8"/>
  <c r="P34" i="8"/>
  <c r="F31" i="8"/>
  <c r="F26" i="8"/>
  <c r="I25" i="8"/>
  <c r="F13" i="8"/>
  <c r="F20" i="8"/>
  <c r="F25" i="8"/>
  <c r="Q25" i="8"/>
  <c r="I13" i="8"/>
  <c r="P21" i="8"/>
  <c r="G39" i="8"/>
  <c r="Q13" i="8"/>
  <c r="F14" i="8"/>
  <c r="F37" i="8"/>
  <c r="F32" i="8"/>
  <c r="P35" i="8"/>
  <c r="M39" i="8"/>
  <c r="P23" i="8"/>
  <c r="P30" i="8"/>
  <c r="I37" i="8"/>
  <c r="I19" i="8"/>
  <c r="K39" i="8" l="1"/>
  <c r="R39" i="8"/>
  <c r="N19" i="8"/>
  <c r="P19" i="8" s="1"/>
  <c r="P14" i="8"/>
  <c r="F39" i="8"/>
  <c r="W36" i="8"/>
  <c r="W21" i="8"/>
  <c r="W22" i="8"/>
  <c r="W27" i="8"/>
  <c r="W33" i="8"/>
  <c r="W30" i="8"/>
  <c r="N37" i="8"/>
  <c r="P37" i="8" s="1"/>
  <c r="P32" i="8"/>
  <c r="N31" i="8"/>
  <c r="P31" i="8" s="1"/>
  <c r="P26" i="8"/>
  <c r="W24" i="8"/>
  <c r="W29" i="8"/>
  <c r="N25" i="8"/>
  <c r="P25" i="8" s="1"/>
  <c r="P20" i="8"/>
  <c r="W23" i="8"/>
  <c r="I39" i="8"/>
  <c r="W34" i="8"/>
  <c r="W28" i="8"/>
  <c r="Q39" i="8"/>
  <c r="W17" i="8"/>
  <c r="W12" i="8"/>
  <c r="AF16" i="8" l="1"/>
  <c r="AC16" i="8"/>
  <c r="AC28" i="8"/>
  <c r="AF28" i="8"/>
  <c r="AC35" i="8"/>
  <c r="AF35" i="8"/>
  <c r="N39" i="8"/>
  <c r="P39" i="8" s="1"/>
  <c r="AF17" i="8"/>
  <c r="AC17" i="8"/>
  <c r="AF15" i="8"/>
  <c r="AC15" i="8"/>
  <c r="AF23" i="8"/>
  <c r="AC23" i="8"/>
  <c r="AF33" i="8"/>
  <c r="AC33" i="8"/>
  <c r="AF22" i="8"/>
  <c r="AC22" i="8"/>
  <c r="AF12" i="8"/>
  <c r="AF30" i="8"/>
  <c r="AC30" i="8"/>
  <c r="AF27" i="8"/>
  <c r="AC27" i="8"/>
  <c r="AC24" i="8"/>
  <c r="AF24" i="8"/>
  <c r="AF36" i="8"/>
  <c r="AC36" i="8"/>
  <c r="AF34" i="8"/>
  <c r="AC34" i="8"/>
  <c r="AC29" i="8"/>
  <c r="AF29" i="8"/>
  <c r="AF21" i="8"/>
  <c r="AC21" i="8"/>
  <c r="S25" i="8" l="1"/>
  <c r="S37" i="8"/>
  <c r="S31" i="8"/>
  <c r="S13" i="8"/>
  <c r="S19" i="8"/>
  <c r="S39" i="8" l="1"/>
  <c r="T13" i="8"/>
  <c r="W13" i="8" s="1"/>
  <c r="T19" i="8"/>
  <c r="W19" i="8" s="1"/>
  <c r="W26" i="8"/>
  <c r="T31" i="8"/>
  <c r="W31" i="8" s="1"/>
  <c r="W20" i="8"/>
  <c r="T25" i="8"/>
  <c r="W25" i="8" s="1"/>
  <c r="T37" i="8"/>
  <c r="W37" i="8" s="1"/>
  <c r="W32" i="8"/>
  <c r="AC26" i="8" l="1"/>
  <c r="Z31" i="8"/>
  <c r="AC31" i="8" s="1"/>
  <c r="Z25" i="8"/>
  <c r="AC25" i="8" s="1"/>
  <c r="AC20" i="8"/>
  <c r="AC14" i="8"/>
  <c r="Z19" i="8"/>
  <c r="AC19" i="8" s="1"/>
  <c r="Z13" i="8"/>
  <c r="AC13" i="8" s="1"/>
  <c r="Z37" i="8"/>
  <c r="AC37" i="8" s="1"/>
  <c r="AC32" i="8"/>
  <c r="T39" i="8"/>
  <c r="W39" i="8" s="1"/>
  <c r="AD13" i="8" l="1"/>
  <c r="AD19" i="8"/>
  <c r="AF19" i="8" s="1"/>
  <c r="AF14" i="8"/>
  <c r="Z39" i="8"/>
  <c r="AC39" i="8" s="1"/>
  <c r="AF32" i="8"/>
  <c r="AD37" i="8"/>
  <c r="AF37" i="8" s="1"/>
  <c r="AD25" i="8"/>
  <c r="AF25" i="8" s="1"/>
  <c r="AF20" i="8"/>
  <c r="AD31" i="8"/>
  <c r="AF31" i="8" s="1"/>
  <c r="AF26" i="8"/>
  <c r="AD39" i="8" l="1"/>
  <c r="AF39" i="8" s="1"/>
  <c r="AF13" i="8"/>
  <c r="O22" i="7" l="1"/>
  <c r="AA17" i="7"/>
  <c r="AB17" i="7" s="1"/>
  <c r="O17" i="7"/>
  <c r="AA16" i="7"/>
  <c r="AB16" i="7" s="1"/>
  <c r="O16" i="7"/>
  <c r="O15" i="7"/>
  <c r="AA14" i="7"/>
  <c r="AB14" i="7" s="1"/>
  <c r="O14" i="7"/>
  <c r="AA12" i="7"/>
  <c r="AB12" i="7" s="1"/>
  <c r="O12" i="7"/>
  <c r="U13" i="7"/>
  <c r="H17" i="7"/>
  <c r="Q3" i="7"/>
  <c r="AD3" i="7"/>
  <c r="Y36" i="7" s="1"/>
  <c r="B13" i="7"/>
  <c r="C13" i="7"/>
  <c r="D13" i="7"/>
  <c r="L13" i="7"/>
  <c r="X13" i="7"/>
  <c r="B19" i="7"/>
  <c r="C19" i="7"/>
  <c r="D19" i="7"/>
  <c r="L19" i="7"/>
  <c r="O23" i="7"/>
  <c r="AA23" i="7"/>
  <c r="AB23" i="7" s="1"/>
  <c r="O24" i="7"/>
  <c r="AA24" i="7"/>
  <c r="AB24" i="7" s="1"/>
  <c r="B25" i="7"/>
  <c r="C25" i="7"/>
  <c r="D25" i="7"/>
  <c r="L25" i="7"/>
  <c r="U25" i="7"/>
  <c r="O26" i="7"/>
  <c r="AA26" i="7"/>
  <c r="AB26" i="7" s="1"/>
  <c r="O27" i="7"/>
  <c r="O28" i="7"/>
  <c r="AA28" i="7"/>
  <c r="AB28" i="7" s="1"/>
  <c r="H29" i="7"/>
  <c r="O29" i="7"/>
  <c r="AA29" i="7"/>
  <c r="AB29" i="7" s="1"/>
  <c r="O30" i="7"/>
  <c r="AA30" i="7"/>
  <c r="AB30" i="7" s="1"/>
  <c r="B31" i="7"/>
  <c r="C31" i="7"/>
  <c r="D31" i="7"/>
  <c r="E31" i="7"/>
  <c r="J31" i="7"/>
  <c r="U31" i="7"/>
  <c r="O32" i="7"/>
  <c r="AA32" i="7"/>
  <c r="AB32" i="7" s="1"/>
  <c r="G33" i="7"/>
  <c r="O33" i="7"/>
  <c r="AA33" i="7"/>
  <c r="AB33" i="7" s="1"/>
  <c r="O34" i="7"/>
  <c r="AA34" i="7"/>
  <c r="AB34" i="7" s="1"/>
  <c r="O35" i="7"/>
  <c r="AA35" i="7"/>
  <c r="AB35" i="7" s="1"/>
  <c r="O36" i="7"/>
  <c r="AA36" i="7"/>
  <c r="AB36" i="7" s="1"/>
  <c r="B37" i="7"/>
  <c r="C37" i="7"/>
  <c r="D37" i="7"/>
  <c r="E37" i="7"/>
  <c r="J37" i="7"/>
  <c r="L37" i="7"/>
  <c r="U37" i="7"/>
  <c r="X37" i="7"/>
  <c r="Y30" i="7" l="1"/>
  <c r="Y6" i="7"/>
  <c r="Z6" i="7" s="1"/>
  <c r="Y7" i="7"/>
  <c r="Z7" i="7" s="1"/>
  <c r="M7" i="7"/>
  <c r="M6" i="7"/>
  <c r="Y32" i="7"/>
  <c r="M10" i="7"/>
  <c r="M9" i="7"/>
  <c r="M11" i="7"/>
  <c r="M8" i="7"/>
  <c r="Y29" i="7"/>
  <c r="Y35" i="7"/>
  <c r="Y21" i="7"/>
  <c r="Y10" i="7"/>
  <c r="Z10" i="7" s="1"/>
  <c r="Y11" i="7"/>
  <c r="Z11" i="7" s="1"/>
  <c r="Y9" i="7"/>
  <c r="Z9" i="7" s="1"/>
  <c r="Y8" i="7"/>
  <c r="Z8" i="7" s="1"/>
  <c r="Y26" i="7"/>
  <c r="M24" i="7"/>
  <c r="Y23" i="7"/>
  <c r="Y14" i="7"/>
  <c r="M21" i="7"/>
  <c r="Y34" i="7"/>
  <c r="M34" i="7"/>
  <c r="Y28" i="7"/>
  <c r="Y33" i="7"/>
  <c r="Y24" i="7"/>
  <c r="Y17" i="7"/>
  <c r="Y16" i="7"/>
  <c r="H24" i="7"/>
  <c r="H16" i="7"/>
  <c r="H34" i="7"/>
  <c r="K34" i="7" s="1"/>
  <c r="H33" i="7"/>
  <c r="K33" i="7" s="1"/>
  <c r="H14" i="7"/>
  <c r="H21" i="7"/>
  <c r="G24" i="7"/>
  <c r="G35" i="7"/>
  <c r="G17" i="7"/>
  <c r="I17" i="7" s="1"/>
  <c r="G32" i="7"/>
  <c r="G37" i="7" s="1"/>
  <c r="G23" i="7"/>
  <c r="G36" i="7"/>
  <c r="F34" i="7"/>
  <c r="F24" i="7"/>
  <c r="F35" i="7"/>
  <c r="F12" i="7"/>
  <c r="F28" i="7"/>
  <c r="F21" i="7"/>
  <c r="F33" i="7"/>
  <c r="F32" i="7"/>
  <c r="F30" i="7"/>
  <c r="H12" i="7"/>
  <c r="M32" i="7"/>
  <c r="M27" i="7"/>
  <c r="M23" i="7"/>
  <c r="M33" i="7"/>
  <c r="H32" i="7"/>
  <c r="H30" i="7"/>
  <c r="H27" i="7"/>
  <c r="M35" i="7"/>
  <c r="M36" i="7"/>
  <c r="H35" i="7"/>
  <c r="H28" i="7"/>
  <c r="M28" i="7"/>
  <c r="H36" i="7"/>
  <c r="M26" i="7"/>
  <c r="M20" i="7"/>
  <c r="M29" i="7"/>
  <c r="H26" i="7"/>
  <c r="H20" i="7"/>
  <c r="M14" i="7"/>
  <c r="F14" i="7"/>
  <c r="F20" i="7"/>
  <c r="F17" i="7"/>
  <c r="F29" i="7"/>
  <c r="F27" i="7"/>
  <c r="H23" i="7"/>
  <c r="M16" i="7"/>
  <c r="F23" i="7"/>
  <c r="F16" i="7"/>
  <c r="H22" i="7"/>
  <c r="F15" i="7"/>
  <c r="F22" i="7"/>
  <c r="M12" i="7"/>
  <c r="M15" i="7"/>
  <c r="H15" i="7"/>
  <c r="M17" i="7"/>
  <c r="G27" i="7"/>
  <c r="G26" i="7"/>
  <c r="G22" i="7"/>
  <c r="G14" i="7"/>
  <c r="G12" i="7"/>
  <c r="G30" i="7"/>
  <c r="G29" i="7"/>
  <c r="G28" i="7"/>
  <c r="G21" i="7"/>
  <c r="G16" i="7"/>
  <c r="M22" i="7"/>
  <c r="M30" i="7"/>
  <c r="Y12" i="7"/>
  <c r="Y15" i="7"/>
  <c r="G20" i="7"/>
  <c r="G15" i="7"/>
  <c r="Y22" i="7"/>
  <c r="AE36" i="7"/>
  <c r="AE35" i="7"/>
  <c r="AE34" i="7"/>
  <c r="AA37" i="7"/>
  <c r="AB37" i="7" s="1"/>
  <c r="AE33" i="7"/>
  <c r="AE32" i="7"/>
  <c r="AA22" i="7"/>
  <c r="J25" i="7"/>
  <c r="AA21" i="7"/>
  <c r="AB21" i="7" s="1"/>
  <c r="X25" i="7"/>
  <c r="O21" i="7"/>
  <c r="E25" i="7"/>
  <c r="Y20" i="7"/>
  <c r="AA20" i="7"/>
  <c r="AB20" i="7" s="1"/>
  <c r="O20" i="7"/>
  <c r="E19" i="7"/>
  <c r="X19" i="7"/>
  <c r="AA15" i="7"/>
  <c r="U19" i="7"/>
  <c r="U39" i="7" s="1"/>
  <c r="J19" i="7"/>
  <c r="J13" i="7"/>
  <c r="E13" i="7"/>
  <c r="AE30" i="7"/>
  <c r="AE29" i="7"/>
  <c r="O31" i="7"/>
  <c r="AE24" i="7"/>
  <c r="AE23" i="7"/>
  <c r="O19" i="7"/>
  <c r="AE14" i="7"/>
  <c r="AE12" i="7"/>
  <c r="AA13" i="7"/>
  <c r="AB13" i="7" s="1"/>
  <c r="D39" i="7"/>
  <c r="C39" i="7"/>
  <c r="O13" i="7"/>
  <c r="L39" i="7"/>
  <c r="AE26" i="7"/>
  <c r="AE17" i="7"/>
  <c r="AE16" i="7"/>
  <c r="AE28" i="7"/>
  <c r="B39" i="7"/>
  <c r="I34" i="7"/>
  <c r="N34" i="7" s="1"/>
  <c r="F26" i="7"/>
  <c r="F36" i="7"/>
  <c r="O37" i="7"/>
  <c r="N17" i="6"/>
  <c r="L14" i="6"/>
  <c r="L12" i="6"/>
  <c r="X12" i="6"/>
  <c r="Y12" i="6" s="1"/>
  <c r="X16" i="6"/>
  <c r="Y16" i="6" s="1"/>
  <c r="N23" i="6"/>
  <c r="X22" i="6"/>
  <c r="Y22" i="6" s="1"/>
  <c r="I25" i="6"/>
  <c r="X21" i="6"/>
  <c r="Y21" i="6" s="1"/>
  <c r="N30" i="6"/>
  <c r="N28" i="6"/>
  <c r="X20" i="6"/>
  <c r="Y20" i="6" s="1"/>
  <c r="U19" i="6"/>
  <c r="X15" i="6"/>
  <c r="Y15" i="6" s="1"/>
  <c r="U13" i="6"/>
  <c r="U37" i="6"/>
  <c r="R37" i="6"/>
  <c r="K37" i="6"/>
  <c r="I37" i="6"/>
  <c r="E37" i="6"/>
  <c r="D37" i="6"/>
  <c r="C37" i="6"/>
  <c r="B37" i="6"/>
  <c r="X36" i="6"/>
  <c r="Y36" i="6" s="1"/>
  <c r="N36" i="6"/>
  <c r="L36" i="6"/>
  <c r="G36" i="6"/>
  <c r="H36" i="6" s="1"/>
  <c r="J36" i="6" s="1"/>
  <c r="X35" i="6"/>
  <c r="Y35" i="6" s="1"/>
  <c r="N35" i="6"/>
  <c r="L35" i="6"/>
  <c r="G35" i="6"/>
  <c r="H35" i="6" s="1"/>
  <c r="J35" i="6" s="1"/>
  <c r="X34" i="6"/>
  <c r="Y34" i="6" s="1"/>
  <c r="N34" i="6"/>
  <c r="L34" i="6"/>
  <c r="G34" i="6"/>
  <c r="H34" i="6" s="1"/>
  <c r="J34" i="6" s="1"/>
  <c r="F34" i="6"/>
  <c r="X33" i="6"/>
  <c r="Y33" i="6" s="1"/>
  <c r="N33" i="6"/>
  <c r="L33" i="6"/>
  <c r="G33" i="6"/>
  <c r="F33" i="6"/>
  <c r="X32" i="6"/>
  <c r="Y32" i="6" s="1"/>
  <c r="L32" i="6"/>
  <c r="G32" i="6"/>
  <c r="H32" i="6" s="1"/>
  <c r="J32" i="6" s="1"/>
  <c r="U31" i="6"/>
  <c r="R31" i="6"/>
  <c r="K31" i="6"/>
  <c r="D31" i="6"/>
  <c r="C31" i="6"/>
  <c r="B31" i="6"/>
  <c r="X30" i="6"/>
  <c r="Y30" i="6" s="1"/>
  <c r="L30" i="6"/>
  <c r="G30" i="6"/>
  <c r="H30" i="6" s="1"/>
  <c r="X29" i="6"/>
  <c r="Y29" i="6" s="1"/>
  <c r="N29" i="6"/>
  <c r="L29" i="6"/>
  <c r="H29" i="6"/>
  <c r="J29" i="6" s="1"/>
  <c r="F29" i="6"/>
  <c r="X28" i="6"/>
  <c r="Y28" i="6" s="1"/>
  <c r="L28" i="6"/>
  <c r="G28" i="6"/>
  <c r="H28" i="6" s="1"/>
  <c r="X27" i="6"/>
  <c r="Y27" i="6" s="1"/>
  <c r="N27" i="6"/>
  <c r="L27" i="6"/>
  <c r="G27" i="6"/>
  <c r="H27" i="6" s="1"/>
  <c r="J27" i="6" s="1"/>
  <c r="X26" i="6"/>
  <c r="Y26" i="6" s="1"/>
  <c r="N26" i="6"/>
  <c r="L26" i="6"/>
  <c r="G26" i="6"/>
  <c r="U25" i="6"/>
  <c r="D25" i="6"/>
  <c r="C25" i="6"/>
  <c r="B25" i="6"/>
  <c r="X24" i="6"/>
  <c r="Y24" i="6" s="1"/>
  <c r="N24" i="6"/>
  <c r="L24" i="6"/>
  <c r="G24" i="6"/>
  <c r="H24" i="6" s="1"/>
  <c r="J24" i="6" s="1"/>
  <c r="X23" i="6"/>
  <c r="Y23" i="6" s="1"/>
  <c r="G23" i="6"/>
  <c r="H23" i="6" s="1"/>
  <c r="J23" i="6" s="1"/>
  <c r="N22" i="6"/>
  <c r="L22" i="6"/>
  <c r="H22" i="6"/>
  <c r="J22" i="6" s="1"/>
  <c r="F22" i="6"/>
  <c r="N21" i="6"/>
  <c r="L21" i="6"/>
  <c r="G21" i="6"/>
  <c r="H21" i="6" s="1"/>
  <c r="F21" i="6"/>
  <c r="L20" i="6"/>
  <c r="G20" i="6"/>
  <c r="H20" i="6" s="1"/>
  <c r="J20" i="6" s="1"/>
  <c r="E25" i="6"/>
  <c r="D19" i="6"/>
  <c r="C19" i="6"/>
  <c r="B19" i="6"/>
  <c r="L17" i="6"/>
  <c r="H17" i="6"/>
  <c r="J17" i="6" s="1"/>
  <c r="G16" i="6"/>
  <c r="H16" i="6" s="1"/>
  <c r="J16" i="6" s="1"/>
  <c r="L15" i="6"/>
  <c r="G15" i="6"/>
  <c r="H15" i="6" s="1"/>
  <c r="G14" i="6"/>
  <c r="H14" i="6" s="1"/>
  <c r="D13" i="6"/>
  <c r="C13" i="6"/>
  <c r="B13" i="6"/>
  <c r="H12" i="6"/>
  <c r="J12" i="6" s="1"/>
  <c r="Y3" i="6"/>
  <c r="T2" i="6"/>
  <c r="T3" i="6" s="1"/>
  <c r="N9" i="7" l="1"/>
  <c r="P9" i="7" s="1"/>
  <c r="N17" i="7"/>
  <c r="N10" i="7"/>
  <c r="P10" i="7" s="1"/>
  <c r="N6" i="7"/>
  <c r="AD6" i="7" s="1"/>
  <c r="AF6" i="7" s="1"/>
  <c r="P7" i="7"/>
  <c r="N7" i="7"/>
  <c r="P8" i="7"/>
  <c r="N8" i="7"/>
  <c r="K36" i="7"/>
  <c r="P11" i="7"/>
  <c r="N11" i="7"/>
  <c r="P26" i="6"/>
  <c r="P7" i="6"/>
  <c r="Q7" i="6" s="1"/>
  <c r="P9" i="6"/>
  <c r="Q9" i="6" s="1"/>
  <c r="P6" i="6"/>
  <c r="Q6" i="6" s="1"/>
  <c r="V6" i="6"/>
  <c r="V7" i="6"/>
  <c r="V9" i="6"/>
  <c r="Y37" i="7"/>
  <c r="AD7" i="7"/>
  <c r="AF7" i="7" s="1"/>
  <c r="AC7" i="7"/>
  <c r="AC6" i="7"/>
  <c r="I33" i="7"/>
  <c r="I14" i="7"/>
  <c r="P15" i="6"/>
  <c r="Q15" i="6" s="1"/>
  <c r="P28" i="6"/>
  <c r="Q28" i="6" s="1"/>
  <c r="T28" i="6" s="1"/>
  <c r="P22" i="6"/>
  <c r="Q22" i="6" s="1"/>
  <c r="T22" i="6" s="1"/>
  <c r="P24" i="6"/>
  <c r="Q24" i="6" s="1"/>
  <c r="T24" i="6" s="1"/>
  <c r="V36" i="6"/>
  <c r="V11" i="6"/>
  <c r="V10" i="6"/>
  <c r="V8" i="6"/>
  <c r="P35" i="6"/>
  <c r="Q35" i="6" s="1"/>
  <c r="T35" i="6" s="1"/>
  <c r="P14" i="6"/>
  <c r="Q14" i="6" s="1"/>
  <c r="T14" i="6" s="1"/>
  <c r="P12" i="6"/>
  <c r="Q12" i="6" s="1"/>
  <c r="T12" i="6" s="1"/>
  <c r="P20" i="6"/>
  <c r="Q20" i="6" s="1"/>
  <c r="P17" i="6"/>
  <c r="Q17" i="6" s="1"/>
  <c r="T17" i="6" s="1"/>
  <c r="P36" i="6"/>
  <c r="Q36" i="6" s="1"/>
  <c r="T36" i="6" s="1"/>
  <c r="P11" i="6"/>
  <c r="Q11" i="6" s="1"/>
  <c r="P10" i="6"/>
  <c r="Q10" i="6" s="1"/>
  <c r="P8" i="6"/>
  <c r="Q8" i="6" s="1"/>
  <c r="AC8" i="7"/>
  <c r="AD8" i="7"/>
  <c r="AF8" i="7" s="1"/>
  <c r="AC9" i="7"/>
  <c r="I36" i="7"/>
  <c r="AC11" i="7"/>
  <c r="AD11" i="7"/>
  <c r="AF11" i="7" s="1"/>
  <c r="AC10" i="7"/>
  <c r="AD10" i="7"/>
  <c r="AF10" i="7" s="1"/>
  <c r="I16" i="7"/>
  <c r="K17" i="7"/>
  <c r="K24" i="7"/>
  <c r="P32" i="6"/>
  <c r="P33" i="6"/>
  <c r="Q33" i="6" s="1"/>
  <c r="T33" i="6" s="1"/>
  <c r="P29" i="6"/>
  <c r="Q29" i="6" s="1"/>
  <c r="T29" i="6" s="1"/>
  <c r="P21" i="6"/>
  <c r="Q21" i="6" s="1"/>
  <c r="T21" i="6" s="1"/>
  <c r="P23" i="6"/>
  <c r="Q23" i="6" s="1"/>
  <c r="T23" i="6" s="1"/>
  <c r="P27" i="6"/>
  <c r="Q27" i="6" s="1"/>
  <c r="T27" i="6" s="1"/>
  <c r="P30" i="6"/>
  <c r="Q30" i="6" s="1"/>
  <c r="T30" i="6" s="1"/>
  <c r="P34" i="6"/>
  <c r="Q34" i="6" s="1"/>
  <c r="T34" i="6" s="1"/>
  <c r="P16" i="6"/>
  <c r="Q16" i="6" s="1"/>
  <c r="T16" i="6" s="1"/>
  <c r="P34" i="7"/>
  <c r="K21" i="7"/>
  <c r="I24" i="7"/>
  <c r="I12" i="7"/>
  <c r="I35" i="7"/>
  <c r="M37" i="7"/>
  <c r="K23" i="7"/>
  <c r="I32" i="7"/>
  <c r="N32" i="7" s="1"/>
  <c r="F37" i="7"/>
  <c r="K35" i="7"/>
  <c r="K32" i="7"/>
  <c r="H37" i="7"/>
  <c r="K37" i="7" s="1"/>
  <c r="K26" i="7"/>
  <c r="I15" i="7"/>
  <c r="AE15" i="7"/>
  <c r="AB15" i="7"/>
  <c r="H31" i="7"/>
  <c r="I28" i="7"/>
  <c r="N28" i="7" s="1"/>
  <c r="AE22" i="7"/>
  <c r="AB22" i="7"/>
  <c r="V20" i="6"/>
  <c r="V12" i="6"/>
  <c r="Y19" i="7"/>
  <c r="I27" i="7"/>
  <c r="N27" i="7" s="1"/>
  <c r="H19" i="7"/>
  <c r="I20" i="7"/>
  <c r="N20" i="7" s="1"/>
  <c r="K30" i="7"/>
  <c r="K28" i="7"/>
  <c r="F31" i="7"/>
  <c r="I22" i="7"/>
  <c r="I30" i="7"/>
  <c r="K27" i="7"/>
  <c r="I21" i="7"/>
  <c r="H25" i="7"/>
  <c r="I29" i="7"/>
  <c r="K29" i="7"/>
  <c r="F25" i="7"/>
  <c r="F19" i="7"/>
  <c r="Z17" i="7"/>
  <c r="K15" i="7"/>
  <c r="H13" i="7"/>
  <c r="I23" i="7"/>
  <c r="M19" i="7"/>
  <c r="M25" i="7"/>
  <c r="I26" i="7"/>
  <c r="K22" i="7"/>
  <c r="Y25" i="7"/>
  <c r="M13" i="7"/>
  <c r="Q37" i="7"/>
  <c r="V16" i="6"/>
  <c r="Q19" i="7"/>
  <c r="K16" i="7"/>
  <c r="G19" i="7"/>
  <c r="K12" i="7"/>
  <c r="G13" i="7"/>
  <c r="K20" i="7"/>
  <c r="M31" i="7"/>
  <c r="G31" i="7"/>
  <c r="Q31" i="7"/>
  <c r="G25" i="7"/>
  <c r="V30" i="6"/>
  <c r="O25" i="7"/>
  <c r="O39" i="7" s="1"/>
  <c r="AA19" i="7"/>
  <c r="AB19" i="7" s="1"/>
  <c r="AE21" i="7"/>
  <c r="AE37" i="7"/>
  <c r="AA25" i="7"/>
  <c r="AB25" i="7" s="1"/>
  <c r="E39" i="7"/>
  <c r="AE20" i="7"/>
  <c r="J39" i="7"/>
  <c r="AE13" i="7"/>
  <c r="W35" i="7"/>
  <c r="W24" i="7"/>
  <c r="Y13" i="7"/>
  <c r="Q25" i="7"/>
  <c r="E13" i="6"/>
  <c r="K19" i="6"/>
  <c r="N12" i="6"/>
  <c r="AB12" i="6" s="1"/>
  <c r="J21" i="6"/>
  <c r="I19" i="6"/>
  <c r="N16" i="6"/>
  <c r="AB16" i="6" s="1"/>
  <c r="J15" i="6"/>
  <c r="J30" i="6"/>
  <c r="I31" i="6"/>
  <c r="J28" i="6"/>
  <c r="AB28" i="6"/>
  <c r="E31" i="6"/>
  <c r="R25" i="6"/>
  <c r="K25" i="6"/>
  <c r="X17" i="6"/>
  <c r="R19" i="6"/>
  <c r="L16" i="6"/>
  <c r="N15" i="6"/>
  <c r="K13" i="6"/>
  <c r="AB36" i="6"/>
  <c r="L37" i="6"/>
  <c r="N37" i="6"/>
  <c r="Q32" i="6"/>
  <c r="T32" i="6" s="1"/>
  <c r="AB30" i="6"/>
  <c r="AB29" i="6"/>
  <c r="O29" i="6"/>
  <c r="O27" i="6"/>
  <c r="AB27" i="6"/>
  <c r="N31" i="6"/>
  <c r="L31" i="6"/>
  <c r="F26" i="6"/>
  <c r="I13" i="6"/>
  <c r="L25" i="6"/>
  <c r="AB23" i="6"/>
  <c r="L13" i="6"/>
  <c r="B39" i="6"/>
  <c r="O22" i="6"/>
  <c r="F15" i="6"/>
  <c r="AB32" i="6"/>
  <c r="X37" i="6"/>
  <c r="Y37" i="6" s="1"/>
  <c r="X14" i="6"/>
  <c r="Y14" i="6" s="1"/>
  <c r="G19" i="6"/>
  <c r="F30" i="6"/>
  <c r="O30" i="6"/>
  <c r="H13" i="6"/>
  <c r="X13" i="6"/>
  <c r="Y13" i="6" s="1"/>
  <c r="J14" i="6"/>
  <c r="H19" i="6"/>
  <c r="F17" i="6"/>
  <c r="X25" i="6"/>
  <c r="Y25" i="6" s="1"/>
  <c r="O21" i="6"/>
  <c r="F24" i="6"/>
  <c r="O24" i="6"/>
  <c r="Q26" i="6"/>
  <c r="G37" i="6"/>
  <c r="H33" i="6"/>
  <c r="O34" i="6"/>
  <c r="R13" i="6"/>
  <c r="F12" i="6"/>
  <c r="C39" i="6"/>
  <c r="U39" i="6"/>
  <c r="F23" i="6"/>
  <c r="O23" i="6"/>
  <c r="G25" i="6"/>
  <c r="H26" i="6"/>
  <c r="G31" i="6"/>
  <c r="AB26" i="6"/>
  <c r="X31" i="6"/>
  <c r="Y31" i="6" s="1"/>
  <c r="F27" i="6"/>
  <c r="F37" i="6"/>
  <c r="F32" i="6"/>
  <c r="AB34" i="6"/>
  <c r="O35" i="6"/>
  <c r="F35" i="6"/>
  <c r="V34" i="6"/>
  <c r="V27" i="6"/>
  <c r="V22" i="6"/>
  <c r="G13" i="6"/>
  <c r="V14" i="6"/>
  <c r="AB22" i="6"/>
  <c r="V24" i="6"/>
  <c r="V28" i="6"/>
  <c r="V29" i="6"/>
  <c r="V33" i="6"/>
  <c r="V35" i="6"/>
  <c r="O36" i="6"/>
  <c r="F36" i="6"/>
  <c r="V15" i="6"/>
  <c r="F16" i="6"/>
  <c r="O17" i="6"/>
  <c r="V17" i="6"/>
  <c r="H25" i="6"/>
  <c r="J25" i="6" s="1"/>
  <c r="N20" i="6"/>
  <c r="N25" i="6" s="1"/>
  <c r="V21" i="6"/>
  <c r="V23" i="6"/>
  <c r="AB24" i="6"/>
  <c r="V26" i="6"/>
  <c r="O28" i="6"/>
  <c r="F28" i="6"/>
  <c r="V32" i="6"/>
  <c r="D39" i="6"/>
  <c r="E19" i="6"/>
  <c r="AB21" i="6"/>
  <c r="AB33" i="6"/>
  <c r="AB35" i="6"/>
  <c r="W36" i="6" l="1"/>
  <c r="N30" i="7"/>
  <c r="P30" i="7" s="1"/>
  <c r="P26" i="7"/>
  <c r="N26" i="7"/>
  <c r="P6" i="7"/>
  <c r="N16" i="7"/>
  <c r="P16" i="7" s="1"/>
  <c r="N15" i="7"/>
  <c r="N35" i="7"/>
  <c r="P35" i="7" s="1"/>
  <c r="K14" i="7"/>
  <c r="N14" i="7"/>
  <c r="N22" i="7"/>
  <c r="P22" i="7" s="1"/>
  <c r="Z29" i="7"/>
  <c r="N29" i="7"/>
  <c r="N23" i="7"/>
  <c r="P23" i="7" s="1"/>
  <c r="W12" i="7"/>
  <c r="N12" i="7"/>
  <c r="N36" i="7"/>
  <c r="P36" i="7" s="1"/>
  <c r="W33" i="7"/>
  <c r="N33" i="7"/>
  <c r="N21" i="7"/>
  <c r="P21" i="7" s="1"/>
  <c r="P24" i="7"/>
  <c r="N24" i="7"/>
  <c r="AD9" i="7"/>
  <c r="AF9" i="7" s="1"/>
  <c r="W24" i="6"/>
  <c r="AA24" i="6" s="1"/>
  <c r="AC24" i="6" s="1"/>
  <c r="W35" i="6"/>
  <c r="Z35" i="6" s="1"/>
  <c r="W28" i="6"/>
  <c r="Z28" i="6" s="1"/>
  <c r="W14" i="6"/>
  <c r="Z14" i="6" s="1"/>
  <c r="T6" i="6"/>
  <c r="W6" i="6"/>
  <c r="W12" i="6"/>
  <c r="Z12" i="6" s="1"/>
  <c r="W9" i="6"/>
  <c r="T9" i="6"/>
  <c r="W7" i="6"/>
  <c r="T7" i="6"/>
  <c r="P14" i="7"/>
  <c r="W22" i="6"/>
  <c r="Z22" i="6" s="1"/>
  <c r="W17" i="6"/>
  <c r="AA17" i="6" s="1"/>
  <c r="T11" i="6"/>
  <c r="W11" i="6"/>
  <c r="T8" i="6"/>
  <c r="W8" i="6"/>
  <c r="W29" i="6"/>
  <c r="Z29" i="6" s="1"/>
  <c r="W10" i="6"/>
  <c r="T10" i="6"/>
  <c r="I37" i="7"/>
  <c r="P32" i="7"/>
  <c r="W23" i="6"/>
  <c r="Z23" i="6" s="1"/>
  <c r="P13" i="6"/>
  <c r="W30" i="6"/>
  <c r="AA30" i="6" s="1"/>
  <c r="AC30" i="6" s="1"/>
  <c r="W27" i="6"/>
  <c r="Z27" i="6" s="1"/>
  <c r="P31" i="6"/>
  <c r="W34" i="6"/>
  <c r="Z34" i="6" s="1"/>
  <c r="P37" i="6"/>
  <c r="Q13" i="6"/>
  <c r="T13" i="6" s="1"/>
  <c r="Q19" i="6"/>
  <c r="T19" i="6" s="1"/>
  <c r="W21" i="6"/>
  <c r="Z21" i="6" s="1"/>
  <c r="P25" i="6"/>
  <c r="W16" i="6"/>
  <c r="Z16" i="6" s="1"/>
  <c r="W33" i="6"/>
  <c r="Z33" i="6" s="1"/>
  <c r="P19" i="6"/>
  <c r="AE19" i="7"/>
  <c r="P33" i="7"/>
  <c r="Z28" i="7"/>
  <c r="P28" i="7"/>
  <c r="K31" i="7"/>
  <c r="K19" i="7"/>
  <c r="AB17" i="6"/>
  <c r="Y17" i="6"/>
  <c r="W27" i="7"/>
  <c r="P27" i="7"/>
  <c r="Z21" i="7"/>
  <c r="K25" i="7"/>
  <c r="H39" i="7"/>
  <c r="K13" i="7"/>
  <c r="P12" i="7"/>
  <c r="P29" i="7"/>
  <c r="I25" i="7"/>
  <c r="Z23" i="7"/>
  <c r="AC23" i="7" s="1"/>
  <c r="P15" i="7"/>
  <c r="P17" i="7"/>
  <c r="I31" i="7"/>
  <c r="W17" i="7"/>
  <c r="W16" i="7"/>
  <c r="M39" i="7"/>
  <c r="G39" i="7"/>
  <c r="Z12" i="7"/>
  <c r="AC12" i="7" s="1"/>
  <c r="Z22" i="7"/>
  <c r="AC22" i="7" s="1"/>
  <c r="I19" i="7"/>
  <c r="I13" i="7"/>
  <c r="Q39" i="7"/>
  <c r="AE25" i="7"/>
  <c r="Z35" i="7"/>
  <c r="AC35" i="7" s="1"/>
  <c r="P20" i="7"/>
  <c r="N31" i="7"/>
  <c r="P31" i="7" s="1"/>
  <c r="Z24" i="7"/>
  <c r="AC24" i="7" s="1"/>
  <c r="W29" i="7"/>
  <c r="W30" i="7"/>
  <c r="Z30" i="7"/>
  <c r="AC17" i="7"/>
  <c r="AD17" i="7"/>
  <c r="AF17" i="7" s="1"/>
  <c r="F13" i="7"/>
  <c r="F39" i="7"/>
  <c r="W34" i="7"/>
  <c r="Z34" i="7"/>
  <c r="R37" i="7"/>
  <c r="W36" i="7"/>
  <c r="Z36" i="7"/>
  <c r="W15" i="7"/>
  <c r="Z15" i="7"/>
  <c r="O16" i="6"/>
  <c r="N13" i="6"/>
  <c r="O12" i="6"/>
  <c r="L19" i="6"/>
  <c r="L39" i="6" s="1"/>
  <c r="N19" i="6"/>
  <c r="I39" i="6"/>
  <c r="AB13" i="6"/>
  <c r="K39" i="6"/>
  <c r="J19" i="6"/>
  <c r="R39" i="6"/>
  <c r="W32" i="6"/>
  <c r="AA32" i="6" s="1"/>
  <c r="Q37" i="6"/>
  <c r="T37" i="6" s="1"/>
  <c r="E39" i="6"/>
  <c r="F31" i="6"/>
  <c r="O15" i="6"/>
  <c r="AB15" i="6"/>
  <c r="AB31" i="6"/>
  <c r="V13" i="6"/>
  <c r="G39" i="6"/>
  <c r="F19" i="6"/>
  <c r="F14" i="6"/>
  <c r="O32" i="6"/>
  <c r="W20" i="6"/>
  <c r="T20" i="6"/>
  <c r="Q25" i="6"/>
  <c r="J33" i="6"/>
  <c r="O33" i="6"/>
  <c r="T26" i="6"/>
  <c r="W26" i="6"/>
  <c r="Q31" i="6"/>
  <c r="V37" i="6"/>
  <c r="V31" i="6"/>
  <c r="AA35" i="6"/>
  <c r="AC35" i="6" s="1"/>
  <c r="J13" i="6"/>
  <c r="AB37" i="6"/>
  <c r="F25" i="6"/>
  <c r="F20" i="6"/>
  <c r="V25" i="6"/>
  <c r="Z36" i="6"/>
  <c r="AA36" i="6"/>
  <c r="AC36" i="6" s="1"/>
  <c r="H37" i="6"/>
  <c r="J37" i="6" s="1"/>
  <c r="O26" i="6"/>
  <c r="M31" i="6"/>
  <c r="O31" i="6" s="1"/>
  <c r="AB20" i="6"/>
  <c r="AB25" i="6" s="1"/>
  <c r="T15" i="6"/>
  <c r="W15" i="6"/>
  <c r="X19" i="6"/>
  <c r="AB14" i="6"/>
  <c r="M13" i="6"/>
  <c r="V19" i="6"/>
  <c r="J26" i="6"/>
  <c r="H31" i="6"/>
  <c r="J31" i="6" s="1"/>
  <c r="F13" i="6"/>
  <c r="Z24" i="6" l="1"/>
  <c r="N25" i="7"/>
  <c r="P25" i="7" s="1"/>
  <c r="Z33" i="7"/>
  <c r="AC33" i="7" s="1"/>
  <c r="N19" i="7"/>
  <c r="P19" i="7" s="1"/>
  <c r="AA14" i="6"/>
  <c r="AC14" i="6" s="1"/>
  <c r="AA28" i="6"/>
  <c r="AC28" i="6" s="1"/>
  <c r="AA23" i="6"/>
  <c r="AC23" i="6" s="1"/>
  <c r="AA22" i="6"/>
  <c r="AC22" i="6" s="1"/>
  <c r="N37" i="7"/>
  <c r="P37" i="7" s="1"/>
  <c r="AA12" i="6"/>
  <c r="AC12" i="6" s="1"/>
  <c r="AA7" i="6"/>
  <c r="AC7" i="6" s="1"/>
  <c r="Z7" i="6"/>
  <c r="AA9" i="6"/>
  <c r="AC9" i="6" s="1"/>
  <c r="Z9" i="6"/>
  <c r="AA6" i="6"/>
  <c r="AC6" i="6" s="1"/>
  <c r="Z6" i="6"/>
  <c r="AA34" i="6"/>
  <c r="AC34" i="6" s="1"/>
  <c r="Z30" i="6"/>
  <c r="Z17" i="6"/>
  <c r="Z10" i="6"/>
  <c r="AA10" i="6"/>
  <c r="AC10" i="6" s="1"/>
  <c r="Z8" i="6"/>
  <c r="AA8" i="6"/>
  <c r="AC8" i="6" s="1"/>
  <c r="AA29" i="6"/>
  <c r="AC29" i="6" s="1"/>
  <c r="Z11" i="6"/>
  <c r="AA11" i="6"/>
  <c r="AC11" i="6" s="1"/>
  <c r="AA27" i="6"/>
  <c r="AC27" i="6" s="1"/>
  <c r="AA16" i="6"/>
  <c r="AC16" i="6" s="1"/>
  <c r="AA21" i="6"/>
  <c r="AC21" i="6" s="1"/>
  <c r="P39" i="6"/>
  <c r="W19" i="6"/>
  <c r="Z19" i="6" s="1"/>
  <c r="W13" i="6"/>
  <c r="Z13" i="6" s="1"/>
  <c r="W28" i="7"/>
  <c r="AC17" i="6"/>
  <c r="X39" i="6"/>
  <c r="Y39" i="6" s="1"/>
  <c r="Y19" i="6"/>
  <c r="W21" i="7"/>
  <c r="N13" i="7"/>
  <c r="P13" i="7" s="1"/>
  <c r="S13" i="7"/>
  <c r="W23" i="7"/>
  <c r="K39" i="7"/>
  <c r="W22" i="7"/>
  <c r="R31" i="7"/>
  <c r="Z16" i="7"/>
  <c r="AC16" i="7" s="1"/>
  <c r="R19" i="7"/>
  <c r="I39" i="7"/>
  <c r="AD22" i="7"/>
  <c r="AF22" i="7" s="1"/>
  <c r="S25" i="7"/>
  <c r="AD12" i="7"/>
  <c r="AF12" i="7" s="1"/>
  <c r="AD23" i="7"/>
  <c r="AF23" i="7" s="1"/>
  <c r="AD35" i="7"/>
  <c r="AF35" i="7" s="1"/>
  <c r="Z20" i="7"/>
  <c r="R25" i="7"/>
  <c r="AD24" i="7"/>
  <c r="AF24" i="7" s="1"/>
  <c r="S37" i="7"/>
  <c r="AC28" i="7"/>
  <c r="AD28" i="7"/>
  <c r="AF28" i="7" s="1"/>
  <c r="AD33" i="7"/>
  <c r="AF33" i="7" s="1"/>
  <c r="S19" i="7"/>
  <c r="AC30" i="7"/>
  <c r="AD30" i="7"/>
  <c r="AF30" i="7" s="1"/>
  <c r="AC36" i="7"/>
  <c r="AD36" i="7"/>
  <c r="AF36" i="7" s="1"/>
  <c r="AD15" i="7"/>
  <c r="AF15" i="7" s="1"/>
  <c r="AC15" i="7"/>
  <c r="AD34" i="7"/>
  <c r="AF34" i="7" s="1"/>
  <c r="AC34" i="7"/>
  <c r="AC29" i="7"/>
  <c r="AD29" i="7"/>
  <c r="AF29" i="7" s="1"/>
  <c r="S31" i="7"/>
  <c r="AC21" i="7"/>
  <c r="AD21" i="7"/>
  <c r="AF21" i="7" s="1"/>
  <c r="N39" i="6"/>
  <c r="AB19" i="6"/>
  <c r="AB39" i="6" s="1"/>
  <c r="W37" i="6"/>
  <c r="Z37" i="6" s="1"/>
  <c r="Z32" i="6"/>
  <c r="Q39" i="6"/>
  <c r="T39" i="6" s="1"/>
  <c r="H39" i="6"/>
  <c r="J39" i="6" s="1"/>
  <c r="V39" i="6"/>
  <c r="Z20" i="6"/>
  <c r="AA20" i="6"/>
  <c r="O20" i="6"/>
  <c r="M25" i="6"/>
  <c r="O25" i="6" s="1"/>
  <c r="W31" i="6"/>
  <c r="Z31" i="6" s="1"/>
  <c r="T31" i="6"/>
  <c r="AC32" i="6"/>
  <c r="Z26" i="6"/>
  <c r="AA26" i="6"/>
  <c r="T25" i="6"/>
  <c r="W25" i="6"/>
  <c r="Z25" i="6" s="1"/>
  <c r="M37" i="6"/>
  <c r="O37" i="6" s="1"/>
  <c r="F39" i="6"/>
  <c r="O13" i="6"/>
  <c r="Z15" i="6"/>
  <c r="AA15" i="6"/>
  <c r="AC15" i="6" s="1"/>
  <c r="M19" i="6"/>
  <c r="O19" i="6" s="1"/>
  <c r="O14" i="6"/>
  <c r="AA33" i="6"/>
  <c r="AC33" i="6" s="1"/>
  <c r="AA13" i="6" l="1"/>
  <c r="AC13" i="6" s="1"/>
  <c r="R13" i="7"/>
  <c r="R39" i="7" s="1"/>
  <c r="N39" i="7"/>
  <c r="P39" i="7" s="1"/>
  <c r="AD16" i="7"/>
  <c r="AF16" i="7" s="1"/>
  <c r="T25" i="7"/>
  <c r="W25" i="7" s="1"/>
  <c r="W20" i="7"/>
  <c r="W26" i="7"/>
  <c r="T31" i="7"/>
  <c r="W31" i="7" s="1"/>
  <c r="Z26" i="7"/>
  <c r="S39" i="7"/>
  <c r="T13" i="7"/>
  <c r="AC20" i="7"/>
  <c r="AD20" i="7"/>
  <c r="Z25" i="7"/>
  <c r="AC25" i="7" s="1"/>
  <c r="W32" i="7"/>
  <c r="T37" i="7"/>
  <c r="W37" i="7" s="1"/>
  <c r="Z32" i="7"/>
  <c r="W14" i="7"/>
  <c r="T19" i="7"/>
  <c r="W19" i="7" s="1"/>
  <c r="Z14" i="7"/>
  <c r="AA19" i="6"/>
  <c r="AC19" i="6" s="1"/>
  <c r="M39" i="6"/>
  <c r="O39" i="6" s="1"/>
  <c r="W39" i="6"/>
  <c r="Z39" i="6" s="1"/>
  <c r="AA37" i="6"/>
  <c r="AC37" i="6" s="1"/>
  <c r="AA25" i="6"/>
  <c r="AC25" i="6" s="1"/>
  <c r="AC20" i="6"/>
  <c r="AA31" i="6"/>
  <c r="AC31" i="6" s="1"/>
  <c r="AC26" i="6"/>
  <c r="AC32" i="7" l="1"/>
  <c r="AD32" i="7"/>
  <c r="Z37" i="7"/>
  <c r="AC37" i="7" s="1"/>
  <c r="AF20" i="7"/>
  <c r="AD25" i="7"/>
  <c r="AF25" i="7" s="1"/>
  <c r="AC26" i="7"/>
  <c r="AD26" i="7"/>
  <c r="AC14" i="7"/>
  <c r="AD14" i="7"/>
  <c r="Z19" i="7"/>
  <c r="AC19" i="7" s="1"/>
  <c r="AA39" i="6"/>
  <c r="AC39" i="6" s="1"/>
  <c r="AF26" i="7" l="1"/>
  <c r="Z13" i="7"/>
  <c r="W13" i="7"/>
  <c r="T39" i="7"/>
  <c r="W39" i="7" s="1"/>
  <c r="AF32" i="7"/>
  <c r="AD37" i="7"/>
  <c r="AF37" i="7" s="1"/>
  <c r="AF14" i="7"/>
  <c r="AD19" i="7"/>
  <c r="AF19" i="7" s="1"/>
  <c r="AC13" i="7" l="1"/>
  <c r="AD13" i="7"/>
  <c r="AF13" i="7" l="1"/>
  <c r="M19" i="9" l="1"/>
  <c r="M39" i="9" s="1"/>
  <c r="J19" i="9"/>
  <c r="J39" i="9" s="1"/>
  <c r="AA19" i="9" l="1"/>
  <c r="AA39" i="9" s="1"/>
  <c r="L19" i="9"/>
  <c r="K19" i="9"/>
  <c r="K39" i="9" s="1"/>
  <c r="Z19" i="9" l="1"/>
  <c r="L39" i="9"/>
  <c r="N39" i="9" s="1"/>
  <c r="N19" i="9"/>
  <c r="AB19" i="9" l="1"/>
  <c r="Z39" i="9"/>
  <c r="AB39" i="9" s="1"/>
  <c r="X31" i="7"/>
  <c r="X39" i="7" s="1"/>
  <c r="Y27" i="7"/>
  <c r="Z27" i="7" s="1"/>
  <c r="AA27" i="7"/>
  <c r="AA31" i="7" s="1"/>
  <c r="AB27" i="7" l="1"/>
  <c r="Y31" i="7"/>
  <c r="Y39" i="7" s="1"/>
  <c r="AA39" i="7"/>
  <c r="AB39" i="7" s="1"/>
  <c r="AB31" i="7"/>
  <c r="Z31" i="7"/>
  <c r="AD27" i="7"/>
  <c r="AC27" i="7"/>
  <c r="AE27" i="7"/>
  <c r="AE31" i="7" s="1"/>
  <c r="AE39" i="7" s="1"/>
  <c r="AC31" i="7" l="1"/>
  <c r="Z39" i="7"/>
  <c r="AC39" i="7" s="1"/>
  <c r="AF27" i="7"/>
  <c r="AD31" i="7"/>
  <c r="AD39" i="7" l="1"/>
  <c r="AF39" i="7" s="1"/>
  <c r="AF31" i="7"/>
</calcChain>
</file>

<file path=xl/sharedStrings.xml><?xml version="1.0" encoding="utf-8"?>
<sst xmlns="http://schemas.openxmlformats.org/spreadsheetml/2006/main" count="34170" uniqueCount="7202">
  <si>
    <t>INBOUNDS</t>
  </si>
  <si>
    <t>Totals</t>
  </si>
  <si>
    <t>Date</t>
  </si>
  <si>
    <t>Inbound Revenue per Hour</t>
  </si>
  <si>
    <t>Total Outbound Handling</t>
  </si>
  <si>
    <t>Outbound Revenue per Hour</t>
  </si>
  <si>
    <t>Extra Labor Revenue</t>
  </si>
  <si>
    <t>Total Revenue</t>
  </si>
  <si>
    <t>Total Hours</t>
  </si>
  <si>
    <t>Total Revenue per Hour</t>
  </si>
  <si>
    <t>Total Handling Revenue</t>
  </si>
  <si>
    <t>Handling Revenue per Hour</t>
  </si>
  <si>
    <t>Revenue per Hour</t>
  </si>
  <si>
    <t>TOTALS</t>
  </si>
  <si>
    <t>Total</t>
  </si>
  <si>
    <t>Month</t>
  </si>
  <si>
    <t>CLERICAL</t>
  </si>
  <si>
    <t>SmartPak</t>
  </si>
  <si>
    <t>HANDLING</t>
  </si>
  <si>
    <t>Orders Picked</t>
  </si>
  <si>
    <t>CLIENT</t>
  </si>
  <si>
    <t>Acct #</t>
  </si>
  <si>
    <t xml:space="preserve">SOR </t>
  </si>
  <si>
    <t>OUTBOUNDS</t>
  </si>
  <si>
    <t>Small Package Eaches Picked</t>
  </si>
  <si>
    <t>LTL Eaches Picked</t>
  </si>
  <si>
    <t>Clerical Revenue</t>
  </si>
  <si>
    <t>Warehouse Revenue</t>
  </si>
  <si>
    <t>Shedrain</t>
  </si>
  <si>
    <t>Allen Sports</t>
  </si>
  <si>
    <t>LTL Cases Picked</t>
  </si>
  <si>
    <t>Cases Picked</t>
  </si>
  <si>
    <t>Order Handling</t>
  </si>
  <si>
    <t>Mohawk Fine Paper</t>
  </si>
  <si>
    <t>Small Package Cartons Picked</t>
  </si>
  <si>
    <t>Non OPS Time (Admin)</t>
  </si>
  <si>
    <t>Orders per hour</t>
  </si>
  <si>
    <t>NA</t>
  </si>
  <si>
    <t>CLR EL Hours</t>
  </si>
  <si>
    <t>Small Package eaches</t>
  </si>
  <si>
    <t>LTL eaches (All Amazon, even UPS)</t>
  </si>
  <si>
    <t>Acc#</t>
  </si>
  <si>
    <t>Name</t>
  </si>
  <si>
    <t>Order Category</t>
  </si>
  <si>
    <t>Carrier</t>
  </si>
  <si>
    <t>Bol#</t>
  </si>
  <si>
    <t>PO#</t>
  </si>
  <si>
    <t>Sold To</t>
  </si>
  <si>
    <t>Customer Ref#</t>
  </si>
  <si>
    <t>Ship Date</t>
  </si>
  <si>
    <t>Consignee Name</t>
  </si>
  <si>
    <t>Address</t>
  </si>
  <si>
    <t>City</t>
  </si>
  <si>
    <t>State</t>
  </si>
  <si>
    <t>Zip</t>
  </si>
  <si>
    <t>Country</t>
  </si>
  <si>
    <t>Pay</t>
  </si>
  <si>
    <t>Units</t>
  </si>
  <si>
    <t>Weight</t>
  </si>
  <si>
    <t>Plts</t>
  </si>
  <si>
    <t>Crtns</t>
  </si>
  <si>
    <t>Lines</t>
  </si>
  <si>
    <t>Charges</t>
  </si>
  <si>
    <t>PR</t>
  </si>
  <si>
    <t>TE</t>
  </si>
  <si>
    <t>DZ</t>
  </si>
  <si>
    <t>CS</t>
  </si>
  <si>
    <t>IP</t>
  </si>
  <si>
    <t>LB</t>
  </si>
  <si>
    <t>EA</t>
  </si>
  <si>
    <t>DR</t>
  </si>
  <si>
    <t>PL</t>
  </si>
  <si>
    <t>BX</t>
  </si>
  <si>
    <t>PK</t>
  </si>
  <si>
    <t>RL</t>
  </si>
  <si>
    <t>BG</t>
  </si>
  <si>
    <t>PKT</t>
  </si>
  <si>
    <t>Mcr Safety</t>
  </si>
  <si>
    <t>UPS</t>
  </si>
  <si>
    <t>FLORENCE</t>
  </si>
  <si>
    <t>KY</t>
  </si>
  <si>
    <t>41042-0000</t>
  </si>
  <si>
    <t>PP</t>
  </si>
  <si>
    <t>RNLO</t>
  </si>
  <si>
    <t>SPARKS</t>
  </si>
  <si>
    <t>NV</t>
  </si>
  <si>
    <t>89431-6598</t>
  </si>
  <si>
    <t>MEMPHIS</t>
  </si>
  <si>
    <t>TN</t>
  </si>
  <si>
    <t>38116-2480</t>
  </si>
  <si>
    <t>FLAGSTAFF</t>
  </si>
  <si>
    <t>AZ</t>
  </si>
  <si>
    <t>86004-0000</t>
  </si>
  <si>
    <t>CC</t>
  </si>
  <si>
    <t>FDXG</t>
  </si>
  <si>
    <t>PHOENIX</t>
  </si>
  <si>
    <t>EVERETT</t>
  </si>
  <si>
    <t>WA</t>
  </si>
  <si>
    <t>SANTA FE SPRINGS</t>
  </si>
  <si>
    <t>CA</t>
  </si>
  <si>
    <t>90670-2971</t>
  </si>
  <si>
    <t>SEATTLE</t>
  </si>
  <si>
    <t>98108-5218</t>
  </si>
  <si>
    <t>CALDWELL</t>
  </si>
  <si>
    <t>ID</t>
  </si>
  <si>
    <t>90670-0000</t>
  </si>
  <si>
    <t>CITY OF INDUSTRY</t>
  </si>
  <si>
    <t>MORENCI</t>
  </si>
  <si>
    <t>LATHROP</t>
  </si>
  <si>
    <t>CORONA</t>
  </si>
  <si>
    <t>HAYWARD</t>
  </si>
  <si>
    <t>AUBURN</t>
  </si>
  <si>
    <t>98001-1746</t>
  </si>
  <si>
    <t>JACKSON</t>
  </si>
  <si>
    <t>38301-0000</t>
  </si>
  <si>
    <t>ELK GROVE</t>
  </si>
  <si>
    <t>UNION CITY</t>
  </si>
  <si>
    <t>JONESTOWN</t>
  </si>
  <si>
    <t>PA</t>
  </si>
  <si>
    <t>17038-0000</t>
  </si>
  <si>
    <t>SOUTH EL MONTE</t>
  </si>
  <si>
    <t>ALBUQUERQUE</t>
  </si>
  <si>
    <t>NM</t>
  </si>
  <si>
    <t>LEWISTON</t>
  </si>
  <si>
    <t>TP</t>
  </si>
  <si>
    <t>MI</t>
  </si>
  <si>
    <t>IDAHO FALLS</t>
  </si>
  <si>
    <t>LANCASTER</t>
  </si>
  <si>
    <t>RENO</t>
  </si>
  <si>
    <t>FORT COLLINS</t>
  </si>
  <si>
    <t>CO</t>
  </si>
  <si>
    <t>STOCKTON</t>
  </si>
  <si>
    <t>FREMONT</t>
  </si>
  <si>
    <t>PALMDALE</t>
  </si>
  <si>
    <t>LOGAN</t>
  </si>
  <si>
    <t>UT</t>
  </si>
  <si>
    <t>84321-0000</t>
  </si>
  <si>
    <t>PITTSBURG</t>
  </si>
  <si>
    <t>MONTGOMERY</t>
  </si>
  <si>
    <t>CARBONADO</t>
  </si>
  <si>
    <t>LAKELAND</t>
  </si>
  <si>
    <t>FL</t>
  </si>
  <si>
    <t>SPOKANE</t>
  </si>
  <si>
    <t>SPRINGDALE</t>
  </si>
  <si>
    <t>AR</t>
  </si>
  <si>
    <t>SAN LEANDRO</t>
  </si>
  <si>
    <t>94577-4319</t>
  </si>
  <si>
    <t>VISALIA</t>
  </si>
  <si>
    <t>TUKWILA</t>
  </si>
  <si>
    <t>FRESNO</t>
  </si>
  <si>
    <t>RALEIGH</t>
  </si>
  <si>
    <t>NC</t>
  </si>
  <si>
    <t>JACKSONVILLE</t>
  </si>
  <si>
    <t>32256-2880</t>
  </si>
  <si>
    <t>GREELEY</t>
  </si>
  <si>
    <t>SAN DIEGO</t>
  </si>
  <si>
    <t>FERNLEY</t>
  </si>
  <si>
    <t>89408-0000</t>
  </si>
  <si>
    <t>LANDISVILLE</t>
  </si>
  <si>
    <t>TRACY</t>
  </si>
  <si>
    <t>GERMANTOWN</t>
  </si>
  <si>
    <t>WI</t>
  </si>
  <si>
    <t>53022-0000</t>
  </si>
  <si>
    <t>TUALATIN</t>
  </si>
  <si>
    <t>OR</t>
  </si>
  <si>
    <t>97062-0000</t>
  </si>
  <si>
    <t>PASCO</t>
  </si>
  <si>
    <t>VALENCIA</t>
  </si>
  <si>
    <t>91355-1014</t>
  </si>
  <si>
    <t>MODESTO</t>
  </si>
  <si>
    <t>WEST SACRAMENTO</t>
  </si>
  <si>
    <t>POCATELLO</t>
  </si>
  <si>
    <t>83201-6178</t>
  </si>
  <si>
    <t>PORTLAND</t>
  </si>
  <si>
    <t>TEMPE</t>
  </si>
  <si>
    <t>85281-2488</t>
  </si>
  <si>
    <t>DENVER</t>
  </si>
  <si>
    <t>80204-4207</t>
  </si>
  <si>
    <t>TACOMA</t>
  </si>
  <si>
    <t>98409-7895</t>
  </si>
  <si>
    <t>CRAIG</t>
  </si>
  <si>
    <t>81625-2243</t>
  </si>
  <si>
    <t>ELKHART</t>
  </si>
  <si>
    <t>IN</t>
  </si>
  <si>
    <t>46517-0000</t>
  </si>
  <si>
    <t>CANTON</t>
  </si>
  <si>
    <t>OH</t>
  </si>
  <si>
    <t>CHANDLER</t>
  </si>
  <si>
    <t>WHEAT RIDGE</t>
  </si>
  <si>
    <t>FAIRFIELD</t>
  </si>
  <si>
    <t>SYLMAR</t>
  </si>
  <si>
    <t>WOODS CROSS</t>
  </si>
  <si>
    <t>80204-4808</t>
  </si>
  <si>
    <t>HENDERSON</t>
  </si>
  <si>
    <t>TOLLESON</t>
  </si>
  <si>
    <t>WESTMINSTER</t>
  </si>
  <si>
    <t>ORANGE</t>
  </si>
  <si>
    <t>TX</t>
  </si>
  <si>
    <t>MIDDLETOWN</t>
  </si>
  <si>
    <t>95205-3127</t>
  </si>
  <si>
    <t>ANCHORAGE</t>
  </si>
  <si>
    <t>AK</t>
  </si>
  <si>
    <t>SALT LAKE CITY</t>
  </si>
  <si>
    <t>80239-0000</t>
  </si>
  <si>
    <t>TORRANCE</t>
  </si>
  <si>
    <t>ALEXANDRIA</t>
  </si>
  <si>
    <t>LA</t>
  </si>
  <si>
    <t>FONTANA</t>
  </si>
  <si>
    <t>92337-0000</t>
  </si>
  <si>
    <t>RICHMOND</t>
  </si>
  <si>
    <t>EVANSVILLE</t>
  </si>
  <si>
    <t>Kuehne &amp; Nagel Ltd/Retrans</t>
  </si>
  <si>
    <t>MLTL</t>
  </si>
  <si>
    <t>FIFE</t>
  </si>
  <si>
    <t>USA</t>
  </si>
  <si>
    <t>Palmer Holland</t>
  </si>
  <si>
    <t>SAIA</t>
  </si>
  <si>
    <t>HURON</t>
  </si>
  <si>
    <t>INHS</t>
  </si>
  <si>
    <t>Smartpak</t>
  </si>
  <si>
    <t>Allen Sports Spare Parts</t>
  </si>
  <si>
    <t>US</t>
  </si>
  <si>
    <t>Quaker Houghton</t>
  </si>
  <si>
    <t>CENT</t>
  </si>
  <si>
    <t>FDXR</t>
  </si>
  <si>
    <t>CALAIS</t>
  </si>
  <si>
    <t>ME</t>
  </si>
  <si>
    <t>GLASTONBURY</t>
  </si>
  <si>
    <t>CT</t>
  </si>
  <si>
    <t>ESTERO</t>
  </si>
  <si>
    <t>SHARON</t>
  </si>
  <si>
    <t>MA</t>
  </si>
  <si>
    <t>GARDINER</t>
  </si>
  <si>
    <t>NY</t>
  </si>
  <si>
    <t>Calla Products  Llc</t>
  </si>
  <si>
    <t>ASHLAND</t>
  </si>
  <si>
    <t>ROCHESTER HILLS</t>
  </si>
  <si>
    <t>PERRY</t>
  </si>
  <si>
    <t>MISSION HILLS</t>
  </si>
  <si>
    <t>KS</t>
  </si>
  <si>
    <t>WAUKEGAN</t>
  </si>
  <si>
    <t>IL</t>
  </si>
  <si>
    <t>GRAYSVILLE</t>
  </si>
  <si>
    <t>AL</t>
  </si>
  <si>
    <t>SHIPPENSBURG</t>
  </si>
  <si>
    <t>17257-9552</t>
  </si>
  <si>
    <t>SAN FRANCISCO</t>
  </si>
  <si>
    <t>Hm Cragg</t>
  </si>
  <si>
    <t>UPSN</t>
  </si>
  <si>
    <t>SPRINGFIELD</t>
  </si>
  <si>
    <t>95215-8354</t>
  </si>
  <si>
    <t>UPSG</t>
  </si>
  <si>
    <t>UPSR1</t>
  </si>
  <si>
    <t>WASHINGTON</t>
  </si>
  <si>
    <t>48094-3514</t>
  </si>
  <si>
    <t>MILILANI</t>
  </si>
  <si>
    <t>HI</t>
  </si>
  <si>
    <t>96789-1788</t>
  </si>
  <si>
    <t>TUCSON</t>
  </si>
  <si>
    <t>85748-3603</t>
  </si>
  <si>
    <t>PAGOSA SPRINGS</t>
  </si>
  <si>
    <t>81147-8281</t>
  </si>
  <si>
    <t>ELIZABETH</t>
  </si>
  <si>
    <t>80107-8422</t>
  </si>
  <si>
    <t>CHARLESTON</t>
  </si>
  <si>
    <t>SC</t>
  </si>
  <si>
    <t>29407-6807</t>
  </si>
  <si>
    <t>THERMAL</t>
  </si>
  <si>
    <t>92274-9807</t>
  </si>
  <si>
    <t>ANAHEIM</t>
  </si>
  <si>
    <t>92807-3305</t>
  </si>
  <si>
    <t>DUBLIN</t>
  </si>
  <si>
    <t>94568-3473</t>
  </si>
  <si>
    <t>TALENT</t>
  </si>
  <si>
    <t>UPSR2</t>
  </si>
  <si>
    <t>PARK CITY</t>
  </si>
  <si>
    <t>84098-5010</t>
  </si>
  <si>
    <t>KANEOHE</t>
  </si>
  <si>
    <t>MOORPARK</t>
  </si>
  <si>
    <t>93021-8781</t>
  </si>
  <si>
    <t>PROVIDENCE VILLAGE</t>
  </si>
  <si>
    <t>76227-7973</t>
  </si>
  <si>
    <t>FORT WORTH</t>
  </si>
  <si>
    <t>76123-2135</t>
  </si>
  <si>
    <t>OAK BLUFFS</t>
  </si>
  <si>
    <t>CARPINTERIA</t>
  </si>
  <si>
    <t>93013-1124</t>
  </si>
  <si>
    <t>HAIKU</t>
  </si>
  <si>
    <t>96708-5104</t>
  </si>
  <si>
    <t>99516-2435</t>
  </si>
  <si>
    <t>ORMOND BEACH</t>
  </si>
  <si>
    <t>32176-7118</t>
  </si>
  <si>
    <t>DC</t>
  </si>
  <si>
    <t>20007-2941</t>
  </si>
  <si>
    <t>WASILLA</t>
  </si>
  <si>
    <t>99623-9300</t>
  </si>
  <si>
    <t>80521-4746</t>
  </si>
  <si>
    <t>DALLAS</t>
  </si>
  <si>
    <t>75254-8608</t>
  </si>
  <si>
    <t>89436-8745</t>
  </si>
  <si>
    <t>FAIRBANKS</t>
  </si>
  <si>
    <t>99701-7206</t>
  </si>
  <si>
    <t>ITHACA</t>
  </si>
  <si>
    <t>14850-4235</t>
  </si>
  <si>
    <t>SOUTHPORT</t>
  </si>
  <si>
    <t>28461-7942</t>
  </si>
  <si>
    <t>CARTER</t>
  </si>
  <si>
    <t>OK</t>
  </si>
  <si>
    <t>73627-5700</t>
  </si>
  <si>
    <t>BAINBRIDGE ISLAND</t>
  </si>
  <si>
    <t>98110-1524</t>
  </si>
  <si>
    <t>97206-3712</t>
  </si>
  <si>
    <t>KIHEI</t>
  </si>
  <si>
    <t>96753-7778</t>
  </si>
  <si>
    <t>HANALEI</t>
  </si>
  <si>
    <t>96714-3035</t>
  </si>
  <si>
    <t>PLATTE CITY</t>
  </si>
  <si>
    <t>MO</t>
  </si>
  <si>
    <t>64079-9549</t>
  </si>
  <si>
    <t>CANDLER</t>
  </si>
  <si>
    <t>AMAGANSETT</t>
  </si>
  <si>
    <t>11930-2690</t>
  </si>
  <si>
    <t>80521-1008</t>
  </si>
  <si>
    <t>LAMY</t>
  </si>
  <si>
    <t>87540-9697</t>
  </si>
  <si>
    <t>LIMESTONE</t>
  </si>
  <si>
    <t>37681-4770</t>
  </si>
  <si>
    <t>UPSH</t>
  </si>
  <si>
    <t>MORENO VALLEY</t>
  </si>
  <si>
    <t>92555-6510</t>
  </si>
  <si>
    <t>WOODSIDE</t>
  </si>
  <si>
    <t>94062-4254</t>
  </si>
  <si>
    <t>AURORA</t>
  </si>
  <si>
    <t>97002-8536</t>
  </si>
  <si>
    <t>SNOHOMISH</t>
  </si>
  <si>
    <t>98290-6770</t>
  </si>
  <si>
    <t>93021-8788</t>
  </si>
  <si>
    <t>SACRAMENTO</t>
  </si>
  <si>
    <t>95835-1106</t>
  </si>
  <si>
    <t>BOTHELL</t>
  </si>
  <si>
    <t>98012-7435</t>
  </si>
  <si>
    <t>LONGMONT</t>
  </si>
  <si>
    <t>80504-5427</t>
  </si>
  <si>
    <t>EUGENE</t>
  </si>
  <si>
    <t>97408-9411</t>
  </si>
  <si>
    <t>WALLER</t>
  </si>
  <si>
    <t>77484-5930</t>
  </si>
  <si>
    <t>GATESVILLE</t>
  </si>
  <si>
    <t>76528-4858</t>
  </si>
  <si>
    <t>PERRIS</t>
  </si>
  <si>
    <t>92570-7227</t>
  </si>
  <si>
    <t>80504-8407</t>
  </si>
  <si>
    <t>SAN JACINTO</t>
  </si>
  <si>
    <t>92582-4728</t>
  </si>
  <si>
    <t>ROCKFORD</t>
  </si>
  <si>
    <t>99030-8500</t>
  </si>
  <si>
    <t>DISCOVERY BAY</t>
  </si>
  <si>
    <t>94505-1734</t>
  </si>
  <si>
    <t>AUSTIN</t>
  </si>
  <si>
    <t>78747-2217</t>
  </si>
  <si>
    <t>KIOWA</t>
  </si>
  <si>
    <t>80117-9602</t>
  </si>
  <si>
    <t>ANTHONY</t>
  </si>
  <si>
    <t>88021-8489</t>
  </si>
  <si>
    <t>ORACLE</t>
  </si>
  <si>
    <t>85623-6268</t>
  </si>
  <si>
    <t>80504-2339</t>
  </si>
  <si>
    <t>SALIDA</t>
  </si>
  <si>
    <t>81201-9689</t>
  </si>
  <si>
    <t>LOS ANGELES</t>
  </si>
  <si>
    <t>90026-2650</t>
  </si>
  <si>
    <t>STEILACOOM</t>
  </si>
  <si>
    <t>CHIMACUM</t>
  </si>
  <si>
    <t>98325-7742</t>
  </si>
  <si>
    <t>CASTLE ROCK</t>
  </si>
  <si>
    <t>80108-9116</t>
  </si>
  <si>
    <t>MISSOURI CITY</t>
  </si>
  <si>
    <t>77489-4170</t>
  </si>
  <si>
    <t>NORTHGLENN</t>
  </si>
  <si>
    <t>80234-3818</t>
  </si>
  <si>
    <t>MISSOULA</t>
  </si>
  <si>
    <t>MT</t>
  </si>
  <si>
    <t>59808-8607</t>
  </si>
  <si>
    <t>LUBBOCK</t>
  </si>
  <si>
    <t>79424-4663</t>
  </si>
  <si>
    <t>GUNNISON</t>
  </si>
  <si>
    <t>81230-9531</t>
  </si>
  <si>
    <t>RIVERSIDE</t>
  </si>
  <si>
    <t>92503-1140</t>
  </si>
  <si>
    <t>87540-9517</t>
  </si>
  <si>
    <t>FREELAND</t>
  </si>
  <si>
    <t>98249-9759</t>
  </si>
  <si>
    <t>BELLEVUE</t>
  </si>
  <si>
    <t>83313-5192</t>
  </si>
  <si>
    <t>ATWATER</t>
  </si>
  <si>
    <t>95301-9701</t>
  </si>
  <si>
    <t>PLEASANTON</t>
  </si>
  <si>
    <t>94588-9511</t>
  </si>
  <si>
    <t>80107-8593</t>
  </si>
  <si>
    <t>HUMBLE</t>
  </si>
  <si>
    <t>77338-3303</t>
  </si>
  <si>
    <t>HILLSBORO</t>
  </si>
  <si>
    <t>VA</t>
  </si>
  <si>
    <t>20132-1700</t>
  </si>
  <si>
    <t>WHEATFIELD</t>
  </si>
  <si>
    <t>46392-8421</t>
  </si>
  <si>
    <t>TEMECULA</t>
  </si>
  <si>
    <t>92592-9052</t>
  </si>
  <si>
    <t>TOMBALL</t>
  </si>
  <si>
    <t>77377-5637</t>
  </si>
  <si>
    <t>LARKSPUR</t>
  </si>
  <si>
    <t>80118-4908</t>
  </si>
  <si>
    <t>RANDOM LAKE</t>
  </si>
  <si>
    <t>53075-1246</t>
  </si>
  <si>
    <t>BUCKLEY</t>
  </si>
  <si>
    <t>98321-9259</t>
  </si>
  <si>
    <t>COLLEGE STATION</t>
  </si>
  <si>
    <t>77845-6901</t>
  </si>
  <si>
    <t>SCOTTSDALE</t>
  </si>
  <si>
    <t>85260-5001</t>
  </si>
  <si>
    <t>JUNCTION CITY</t>
  </si>
  <si>
    <t>97448-9702</t>
  </si>
  <si>
    <t>SIMONTON</t>
  </si>
  <si>
    <t>PARKER</t>
  </si>
  <si>
    <t>80138-6719</t>
  </si>
  <si>
    <t>NICASIO</t>
  </si>
  <si>
    <t>94946-9764</t>
  </si>
  <si>
    <t>ODESSA</t>
  </si>
  <si>
    <t>33556-4510</t>
  </si>
  <si>
    <t>80503-9179</t>
  </si>
  <si>
    <t>CERRILLOS</t>
  </si>
  <si>
    <t>87010-9707</t>
  </si>
  <si>
    <t>97124-8100</t>
  </si>
  <si>
    <t>AUBREY</t>
  </si>
  <si>
    <t>76227-3040</t>
  </si>
  <si>
    <t>LOGANDALE</t>
  </si>
  <si>
    <t>78727-6726</t>
  </si>
  <si>
    <t>KAUFMAN</t>
  </si>
  <si>
    <t>75142-4056</t>
  </si>
  <si>
    <t>WARREN</t>
  </si>
  <si>
    <t>97053-9327</t>
  </si>
  <si>
    <t>PIERCE</t>
  </si>
  <si>
    <t>80650-9310</t>
  </si>
  <si>
    <t>QUEEN CREEK</t>
  </si>
  <si>
    <t>85142-9249</t>
  </si>
  <si>
    <t>MOUNTAIN CENTER</t>
  </si>
  <si>
    <t>92561-3031</t>
  </si>
  <si>
    <t>97405-9617</t>
  </si>
  <si>
    <t>HOUSTON</t>
  </si>
  <si>
    <t>77074-3803</t>
  </si>
  <si>
    <t>PORT TOWNSEND</t>
  </si>
  <si>
    <t>98368-2926</t>
  </si>
  <si>
    <t>PLAINVILLE</t>
  </si>
  <si>
    <t>67663-9218</t>
  </si>
  <si>
    <t>ROUGH AND READY</t>
  </si>
  <si>
    <t>95975-9754</t>
  </si>
  <si>
    <t>LOS ALAMOS</t>
  </si>
  <si>
    <t>SAN CLEMENTE</t>
  </si>
  <si>
    <t>ALTADENA</t>
  </si>
  <si>
    <t>91001-1511</t>
  </si>
  <si>
    <t>92592-4111</t>
  </si>
  <si>
    <t>JAMUL</t>
  </si>
  <si>
    <t>91935-7005</t>
  </si>
  <si>
    <t>BOISE</t>
  </si>
  <si>
    <t>83712-5005</t>
  </si>
  <si>
    <t>FOUNTAIN</t>
  </si>
  <si>
    <t>80817-7079</t>
  </si>
  <si>
    <t>CALISTOGA</t>
  </si>
  <si>
    <t>94515-9603</t>
  </si>
  <si>
    <t>SCHERTZ</t>
  </si>
  <si>
    <t>78154-9504</t>
  </si>
  <si>
    <t>WOODLAND</t>
  </si>
  <si>
    <t>95695-9324</t>
  </si>
  <si>
    <t>75204-3289</t>
  </si>
  <si>
    <t>SANDY</t>
  </si>
  <si>
    <t>84092-7198</t>
  </si>
  <si>
    <t>RIVERTON</t>
  </si>
  <si>
    <t>84065-5346</t>
  </si>
  <si>
    <t>MALAGA</t>
  </si>
  <si>
    <t>98828-9807</t>
  </si>
  <si>
    <t>98104-1772</t>
  </si>
  <si>
    <t>RUTHERON</t>
  </si>
  <si>
    <t>SANDPOINT</t>
  </si>
  <si>
    <t>83864-6155</t>
  </si>
  <si>
    <t>EL CAJON</t>
  </si>
  <si>
    <t>92020-8267</t>
  </si>
  <si>
    <t>HALF MOON BAY</t>
  </si>
  <si>
    <t>94019-1605</t>
  </si>
  <si>
    <t>75220-1612</t>
  </si>
  <si>
    <t>DIVIDE</t>
  </si>
  <si>
    <t>80814-9170</t>
  </si>
  <si>
    <t>MONTROSE</t>
  </si>
  <si>
    <t>81401-7676</t>
  </si>
  <si>
    <t>SPANAWAY</t>
  </si>
  <si>
    <t>98387-5270</t>
  </si>
  <si>
    <t>ELMIRA</t>
  </si>
  <si>
    <t>97437-9798</t>
  </si>
  <si>
    <t>EVERSON</t>
  </si>
  <si>
    <t>SANTA TERESA</t>
  </si>
  <si>
    <t>88008-9201</t>
  </si>
  <si>
    <t>NOVATO</t>
  </si>
  <si>
    <t>94945-2150</t>
  </si>
  <si>
    <t>WICKENBURG</t>
  </si>
  <si>
    <t>85390-3631</t>
  </si>
  <si>
    <t xml:space="preserve">REDMOND </t>
  </si>
  <si>
    <t>LA QUINTA</t>
  </si>
  <si>
    <t>92253-3577</t>
  </si>
  <si>
    <t>97225-3240</t>
  </si>
  <si>
    <t>FINCASTLE</t>
  </si>
  <si>
    <t>24090-4034</t>
  </si>
  <si>
    <t>SNOQUALMIE</t>
  </si>
  <si>
    <t>98065-3511</t>
  </si>
  <si>
    <t>LYONS</t>
  </si>
  <si>
    <t>80540-8431</t>
  </si>
  <si>
    <t>DAVIS</t>
  </si>
  <si>
    <t>95616-2924</t>
  </si>
  <si>
    <t>ELGIN</t>
  </si>
  <si>
    <t>97827-8233</t>
  </si>
  <si>
    <t>85718-6641</t>
  </si>
  <si>
    <t>PROSPECT</t>
  </si>
  <si>
    <t>40059-8616</t>
  </si>
  <si>
    <t>CALHOUN</t>
  </si>
  <si>
    <t>GA</t>
  </si>
  <si>
    <t>KENMORE</t>
  </si>
  <si>
    <t>98028-2147</t>
  </si>
  <si>
    <t>80631-9778</t>
  </si>
  <si>
    <t>98208-4610</t>
  </si>
  <si>
    <t>NEDERLAND</t>
  </si>
  <si>
    <t>WILLIS</t>
  </si>
  <si>
    <t>77318-5376</t>
  </si>
  <si>
    <t>93711-1256</t>
  </si>
  <si>
    <t>LAKE STEVENS</t>
  </si>
  <si>
    <t>98258-8854</t>
  </si>
  <si>
    <t>FREDERICK</t>
  </si>
  <si>
    <t>73542-9333</t>
  </si>
  <si>
    <t>ATHOL</t>
  </si>
  <si>
    <t>83801-5061</t>
  </si>
  <si>
    <t>GOLDEN</t>
  </si>
  <si>
    <t>80401-7002</t>
  </si>
  <si>
    <t>94588-9598</t>
  </si>
  <si>
    <t>VASHON</t>
  </si>
  <si>
    <t>98070-3754</t>
  </si>
  <si>
    <t>GARRISON</t>
  </si>
  <si>
    <t>ND</t>
  </si>
  <si>
    <t>76137-2791</t>
  </si>
  <si>
    <t>RIO RANCHO</t>
  </si>
  <si>
    <t>87144-0884</t>
  </si>
  <si>
    <t>MILLVILLE</t>
  </si>
  <si>
    <t>84326-7708</t>
  </si>
  <si>
    <t>PARLIN</t>
  </si>
  <si>
    <t>CODY</t>
  </si>
  <si>
    <t>WY</t>
  </si>
  <si>
    <t>82414-7726</t>
  </si>
  <si>
    <t>NORTH PLATTE</t>
  </si>
  <si>
    <t>NE</t>
  </si>
  <si>
    <t>69101-9040</t>
  </si>
  <si>
    <t>MAPLE PARK</t>
  </si>
  <si>
    <t>60151-5012</t>
  </si>
  <si>
    <t>DEL NORTE</t>
  </si>
  <si>
    <t>81132-9765</t>
  </si>
  <si>
    <t>PENN VALLEY</t>
  </si>
  <si>
    <t>95946-9123</t>
  </si>
  <si>
    <t>SAN ANTONIO</t>
  </si>
  <si>
    <t>78240-2562</t>
  </si>
  <si>
    <t>EDMOND</t>
  </si>
  <si>
    <t>KALISPELL</t>
  </si>
  <si>
    <t>59901-4905</t>
  </si>
  <si>
    <t>NEW BRAUNFELS</t>
  </si>
  <si>
    <t>78132-1663</t>
  </si>
  <si>
    <t>BURBANK</t>
  </si>
  <si>
    <t>91506-1035</t>
  </si>
  <si>
    <t>DENAIR</t>
  </si>
  <si>
    <t>95316-9746</t>
  </si>
  <si>
    <t>SPOKANE VALLEY</t>
  </si>
  <si>
    <t>99206-6928</t>
  </si>
  <si>
    <t>83712-7544</t>
  </si>
  <si>
    <t>BONSALL</t>
  </si>
  <si>
    <t>92003-5622</t>
  </si>
  <si>
    <t>POWAY</t>
  </si>
  <si>
    <t>92064-4966</t>
  </si>
  <si>
    <t>FARMINGTON</t>
  </si>
  <si>
    <t>87401-9273</t>
  </si>
  <si>
    <t>KUNA</t>
  </si>
  <si>
    <t>83634-2403</t>
  </si>
  <si>
    <t>92561-3015</t>
  </si>
  <si>
    <t>WAXAHACHIE</t>
  </si>
  <si>
    <t>75165-8778</t>
  </si>
  <si>
    <t>GRASS VALLEY</t>
  </si>
  <si>
    <t>95949-8760</t>
  </si>
  <si>
    <t>SPRINGTOWN</t>
  </si>
  <si>
    <t>CONIFER</t>
  </si>
  <si>
    <t>85249-3722</t>
  </si>
  <si>
    <t>MILL VALLEY</t>
  </si>
  <si>
    <t>94941-1819</t>
  </si>
  <si>
    <t>OKLAHOMA CITY</t>
  </si>
  <si>
    <t>73128-3002</t>
  </si>
  <si>
    <t>ELVERTA</t>
  </si>
  <si>
    <t>95626-9532</t>
  </si>
  <si>
    <t>LOS GATOS</t>
  </si>
  <si>
    <t>95032-6517</t>
  </si>
  <si>
    <t>PAULDEN</t>
  </si>
  <si>
    <t>86334-4342</t>
  </si>
  <si>
    <t>GREENFIELD</t>
  </si>
  <si>
    <t>93927-9750</t>
  </si>
  <si>
    <t>92506-1206</t>
  </si>
  <si>
    <t>EVERGREEN</t>
  </si>
  <si>
    <t>HAMILTON</t>
  </si>
  <si>
    <t>59840-9457</t>
  </si>
  <si>
    <t>SPRING VALLEY</t>
  </si>
  <si>
    <t>91977-2003</t>
  </si>
  <si>
    <t>84117-5654</t>
  </si>
  <si>
    <t>ENGLEWOOD</t>
  </si>
  <si>
    <t>SHERWOOD</t>
  </si>
  <si>
    <t>97140-6221</t>
  </si>
  <si>
    <t>98828-9760</t>
  </si>
  <si>
    <t>BISMARCK</t>
  </si>
  <si>
    <t>LAFAYETTE</t>
  </si>
  <si>
    <t>80026-1605</t>
  </si>
  <si>
    <t>REDWOOD CITY</t>
  </si>
  <si>
    <t>WEST LAWN</t>
  </si>
  <si>
    <t>LAKEWOOD</t>
  </si>
  <si>
    <t>80228-5700</t>
  </si>
  <si>
    <t>LOOMIS</t>
  </si>
  <si>
    <t>95650-8809</t>
  </si>
  <si>
    <t>OREGON CITY</t>
  </si>
  <si>
    <t>97045-5724</t>
  </si>
  <si>
    <t>BENBROOK</t>
  </si>
  <si>
    <t>76126-1671</t>
  </si>
  <si>
    <t>98110-2173</t>
  </si>
  <si>
    <t>MILES CITY</t>
  </si>
  <si>
    <t>EAGLE</t>
  </si>
  <si>
    <t>83616-6628</t>
  </si>
  <si>
    <t>BELLINGHAM</t>
  </si>
  <si>
    <t>98229-5431</t>
  </si>
  <si>
    <t>ANDERSON</t>
  </si>
  <si>
    <t>94566-8704</t>
  </si>
  <si>
    <t>SAHUARITA</t>
  </si>
  <si>
    <t>85629-9499</t>
  </si>
  <si>
    <t>POWELL BUTTE</t>
  </si>
  <si>
    <t>97753-1752</t>
  </si>
  <si>
    <t>WASHOE VALLEY</t>
  </si>
  <si>
    <t>89704-9554</t>
  </si>
  <si>
    <t>CHEHALIS</t>
  </si>
  <si>
    <t>BAILEY</t>
  </si>
  <si>
    <t>80421-1231</t>
  </si>
  <si>
    <t>80107-6606</t>
  </si>
  <si>
    <t>LEWISVILLE</t>
  </si>
  <si>
    <t>RAMONA</t>
  </si>
  <si>
    <t>92065-4219</t>
  </si>
  <si>
    <t>KINGSTON</t>
  </si>
  <si>
    <t>98346-9638</t>
  </si>
  <si>
    <t>PASO ROBLES</t>
  </si>
  <si>
    <t>93446-9812</t>
  </si>
  <si>
    <t>NEWBERG</t>
  </si>
  <si>
    <t>97132-6946</t>
  </si>
  <si>
    <t>SALMON</t>
  </si>
  <si>
    <t>83467-5283</t>
  </si>
  <si>
    <t>NEWCASTLE</t>
  </si>
  <si>
    <t>95658-9434</t>
  </si>
  <si>
    <t>PETALUMA</t>
  </si>
  <si>
    <t>94952-9621</t>
  </si>
  <si>
    <t>RAYMOND</t>
  </si>
  <si>
    <t>98577-9202</t>
  </si>
  <si>
    <t>RNCHO MURIETA</t>
  </si>
  <si>
    <t>84108-2656</t>
  </si>
  <si>
    <t>85086-8909</t>
  </si>
  <si>
    <t>CREEDMOOR</t>
  </si>
  <si>
    <t>27522-8021</t>
  </si>
  <si>
    <t>PINEHURST</t>
  </si>
  <si>
    <t>77362-3534</t>
  </si>
  <si>
    <t>PALM COAST</t>
  </si>
  <si>
    <t>32137-4325</t>
  </si>
  <si>
    <t>PRESCOTT</t>
  </si>
  <si>
    <t>86305-0121</t>
  </si>
  <si>
    <t>CHENEY</t>
  </si>
  <si>
    <t>99004-9541</t>
  </si>
  <si>
    <t>58503-8834</t>
  </si>
  <si>
    <t>LAS VEGAS</t>
  </si>
  <si>
    <t>89145-8661</t>
  </si>
  <si>
    <t>WAITSFIELD</t>
  </si>
  <si>
    <t>VT</t>
  </si>
  <si>
    <t>05673-7179</t>
  </si>
  <si>
    <t>RITZVILLE</t>
  </si>
  <si>
    <t>99169-9649</t>
  </si>
  <si>
    <t>SANTA MONICA</t>
  </si>
  <si>
    <t>90401-2834</t>
  </si>
  <si>
    <t>HANSVILLE</t>
  </si>
  <si>
    <t>98340-9759</t>
  </si>
  <si>
    <t>97219-5651</t>
  </si>
  <si>
    <t>WATKINSVILLE</t>
  </si>
  <si>
    <t>JUPITER</t>
  </si>
  <si>
    <t>33458-3858</t>
  </si>
  <si>
    <t>98296-8195</t>
  </si>
  <si>
    <t>LEANDER</t>
  </si>
  <si>
    <t>CLE ELUM</t>
  </si>
  <si>
    <t>98922-8384</t>
  </si>
  <si>
    <t>KENNEDALE</t>
  </si>
  <si>
    <t>76060-3819</t>
  </si>
  <si>
    <t>GALLATIN GATEWAY</t>
  </si>
  <si>
    <t>SANTA ROSA</t>
  </si>
  <si>
    <t>81403-9513</t>
  </si>
  <si>
    <t>EL DORADO</t>
  </si>
  <si>
    <t>95623-4999</t>
  </si>
  <si>
    <t>FRANKTOWN</t>
  </si>
  <si>
    <t>80116-9624</t>
  </si>
  <si>
    <t>ROHNERT PARK</t>
  </si>
  <si>
    <t>94928-1319</t>
  </si>
  <si>
    <t>OCALA</t>
  </si>
  <si>
    <t>34482-1090</t>
  </si>
  <si>
    <t>GREENFIELD CENTER</t>
  </si>
  <si>
    <t>12833-1003</t>
  </si>
  <si>
    <t>95658-9666</t>
  </si>
  <si>
    <t>BASTROP</t>
  </si>
  <si>
    <t>78602-3242</t>
  </si>
  <si>
    <t>COTTONWOOD</t>
  </si>
  <si>
    <t>86326-0915</t>
  </si>
  <si>
    <t>CARNATION</t>
  </si>
  <si>
    <t>98014-8801</t>
  </si>
  <si>
    <t>SANTA FE</t>
  </si>
  <si>
    <t>EDMONDS</t>
  </si>
  <si>
    <t>97217-5805</t>
  </si>
  <si>
    <t>78737-4762</t>
  </si>
  <si>
    <t>83501-6410</t>
  </si>
  <si>
    <t>80503-8821</t>
  </si>
  <si>
    <t>BRYAN</t>
  </si>
  <si>
    <t>77808-5402</t>
  </si>
  <si>
    <t>CUSTER</t>
  </si>
  <si>
    <t>TRUCKEE</t>
  </si>
  <si>
    <t>96161-4975</t>
  </si>
  <si>
    <t>HANOVER</t>
  </si>
  <si>
    <t>02339-1181</t>
  </si>
  <si>
    <t>LONG BEACH</t>
  </si>
  <si>
    <t>LOS ALTOS HILLS</t>
  </si>
  <si>
    <t>94022-6215</t>
  </si>
  <si>
    <t>VALLEY CENTER</t>
  </si>
  <si>
    <t>92082-5808</t>
  </si>
  <si>
    <t>MALVERN</t>
  </si>
  <si>
    <t>19355-3314</t>
  </si>
  <si>
    <t>MANDAN</t>
  </si>
  <si>
    <t>58554-1180</t>
  </si>
  <si>
    <t>CATHEYS VALLEY</t>
  </si>
  <si>
    <t>95306-9710</t>
  </si>
  <si>
    <t>90041-2913</t>
  </si>
  <si>
    <t>CLARKSTON</t>
  </si>
  <si>
    <t>99403-3202</t>
  </si>
  <si>
    <t>KERRVILLE</t>
  </si>
  <si>
    <t>78028-5908</t>
  </si>
  <si>
    <t>LIVERMORE</t>
  </si>
  <si>
    <t>94550-9380</t>
  </si>
  <si>
    <t>COLORADO SPRINGS</t>
  </si>
  <si>
    <t>80919-4547</t>
  </si>
  <si>
    <t>76131-3801</t>
  </si>
  <si>
    <t>CAZENOVIA</t>
  </si>
  <si>
    <t>13035-9513</t>
  </si>
  <si>
    <t>BOULDER</t>
  </si>
  <si>
    <t>80302-9531</t>
  </si>
  <si>
    <t>ACAMPO</t>
  </si>
  <si>
    <t>95220-9202</t>
  </si>
  <si>
    <t>85266-8742</t>
  </si>
  <si>
    <t>98296-4820</t>
  </si>
  <si>
    <t>MCKINNEY</t>
  </si>
  <si>
    <t>SOMERS</t>
  </si>
  <si>
    <t>59932-9749</t>
  </si>
  <si>
    <t>ALEXANDER</t>
  </si>
  <si>
    <t>72002-8435</t>
  </si>
  <si>
    <t>85086-7448</t>
  </si>
  <si>
    <t>89704-9148</t>
  </si>
  <si>
    <t>DRIPPING SPRINGS</t>
  </si>
  <si>
    <t>78620-2198</t>
  </si>
  <si>
    <t>BIG BEAR CITY</t>
  </si>
  <si>
    <t>92314-9295</t>
  </si>
  <si>
    <t>RENTON</t>
  </si>
  <si>
    <t>98058-6316</t>
  </si>
  <si>
    <t>83634-1140</t>
  </si>
  <si>
    <t>CEDAR CITY</t>
  </si>
  <si>
    <t>84721-3700</t>
  </si>
  <si>
    <t>87544-1759</t>
  </si>
  <si>
    <t>CANFIELD</t>
  </si>
  <si>
    <t>44406-1550</t>
  </si>
  <si>
    <t>NEW YORK</t>
  </si>
  <si>
    <t>ROXBURY</t>
  </si>
  <si>
    <t>06783-1711</t>
  </si>
  <si>
    <t>98296-5906</t>
  </si>
  <si>
    <t>CLEMENTS</t>
  </si>
  <si>
    <t>97045-7372</t>
  </si>
  <si>
    <t>73034-1210</t>
  </si>
  <si>
    <t>ALDIE</t>
  </si>
  <si>
    <t>20105-3400</t>
  </si>
  <si>
    <t>CLEVELAND</t>
  </si>
  <si>
    <t>13042-3146</t>
  </si>
  <si>
    <t>HGHLNDS RANCH</t>
  </si>
  <si>
    <t>HOLLISTER</t>
  </si>
  <si>
    <t>MERIDIAN</t>
  </si>
  <si>
    <t>83642-6132</t>
  </si>
  <si>
    <t>85757-8719</t>
  </si>
  <si>
    <t>WELLBORN</t>
  </si>
  <si>
    <t>32094-2322</t>
  </si>
  <si>
    <t>CARLSBAD</t>
  </si>
  <si>
    <t>92009-8031</t>
  </si>
  <si>
    <t>ARLINGTON</t>
  </si>
  <si>
    <t>HICO</t>
  </si>
  <si>
    <t>76457-6907</t>
  </si>
  <si>
    <t>BONNEY LAKE</t>
  </si>
  <si>
    <t>98391-7518</t>
  </si>
  <si>
    <t>84098-5634</t>
  </si>
  <si>
    <t>ONALASKA</t>
  </si>
  <si>
    <t>98570-9651</t>
  </si>
  <si>
    <t>MOUNTAIN VIEW</t>
  </si>
  <si>
    <t>EMIGRANT</t>
  </si>
  <si>
    <t>59027-6012</t>
  </si>
  <si>
    <t>LUTHERVILLE TIMONIUM</t>
  </si>
  <si>
    <t>MD</t>
  </si>
  <si>
    <t>21093-3518</t>
  </si>
  <si>
    <t>GILSUM</t>
  </si>
  <si>
    <t>NH</t>
  </si>
  <si>
    <t>03448-7603</t>
  </si>
  <si>
    <t>BOZEMAN</t>
  </si>
  <si>
    <t>MARSHFIELD</t>
  </si>
  <si>
    <t>02050-8226</t>
  </si>
  <si>
    <t>LYNCHBURG</t>
  </si>
  <si>
    <t>24503-4756</t>
  </si>
  <si>
    <t>77484-5466</t>
  </si>
  <si>
    <t>CARDWELL</t>
  </si>
  <si>
    <t>59721-9608</t>
  </si>
  <si>
    <t>SUMMERVILLE</t>
  </si>
  <si>
    <t>97876-8128</t>
  </si>
  <si>
    <t>84025-2838</t>
  </si>
  <si>
    <t>BELGRADE</t>
  </si>
  <si>
    <t>59714-3705</t>
  </si>
  <si>
    <t>COOL</t>
  </si>
  <si>
    <t>95614-9518</t>
  </si>
  <si>
    <t>ARVADA</t>
  </si>
  <si>
    <t>80007-6702</t>
  </si>
  <si>
    <t>94534-1557</t>
  </si>
  <si>
    <t>STRATHMORE</t>
  </si>
  <si>
    <t>93267-9780</t>
  </si>
  <si>
    <t>LITTLE ELM</t>
  </si>
  <si>
    <t>75068-6916</t>
  </si>
  <si>
    <t>SPRING</t>
  </si>
  <si>
    <t>85739-5104</t>
  </si>
  <si>
    <t>80524-1742</t>
  </si>
  <si>
    <t>90026-3854</t>
  </si>
  <si>
    <t>83616-4768</t>
  </si>
  <si>
    <t>MORAGA</t>
  </si>
  <si>
    <t>94556-1610</t>
  </si>
  <si>
    <t>IPSWICH</t>
  </si>
  <si>
    <t>97045-8107</t>
  </si>
  <si>
    <t>BEE CAVE</t>
  </si>
  <si>
    <t>DOLORES</t>
  </si>
  <si>
    <t>81323-9462</t>
  </si>
  <si>
    <t>STEAMBOAT SPRINGS</t>
  </si>
  <si>
    <t>80487-9643</t>
  </si>
  <si>
    <t>WESTON</t>
  </si>
  <si>
    <t>81091-9512</t>
  </si>
  <si>
    <t>59718-7861</t>
  </si>
  <si>
    <t>CORRALES</t>
  </si>
  <si>
    <t>87048-8572</t>
  </si>
  <si>
    <t>98226-6108</t>
  </si>
  <si>
    <t>GRANTS PASS</t>
  </si>
  <si>
    <t>97527-9169</t>
  </si>
  <si>
    <t>SOUTHLAKE</t>
  </si>
  <si>
    <t>DUVALL</t>
  </si>
  <si>
    <t>98019-6336</t>
  </si>
  <si>
    <t>GREAT FALLS</t>
  </si>
  <si>
    <t>E GREENVILLE</t>
  </si>
  <si>
    <t>GILBERT</t>
  </si>
  <si>
    <t>85298-5818</t>
  </si>
  <si>
    <t>BERKLEY</t>
  </si>
  <si>
    <t>02779-1909</t>
  </si>
  <si>
    <t>OGDEN</t>
  </si>
  <si>
    <t>84414-2521</t>
  </si>
  <si>
    <t>99403-1673</t>
  </si>
  <si>
    <t>MISSION VIEJO</t>
  </si>
  <si>
    <t>92692-1076</t>
  </si>
  <si>
    <t>98065-9286</t>
  </si>
  <si>
    <t>SAMMAMISH</t>
  </si>
  <si>
    <t>98074-3704</t>
  </si>
  <si>
    <t>MANVEL</t>
  </si>
  <si>
    <t>77578-3561</t>
  </si>
  <si>
    <t>CORVALLIS</t>
  </si>
  <si>
    <t>ALVORD</t>
  </si>
  <si>
    <t>76225-4802</t>
  </si>
  <si>
    <t>FULLERTON</t>
  </si>
  <si>
    <t>92835-2439</t>
  </si>
  <si>
    <t>MINOCQUA</t>
  </si>
  <si>
    <t>54548-9377</t>
  </si>
  <si>
    <t>75070-6494</t>
  </si>
  <si>
    <t>LEXINGTON</t>
  </si>
  <si>
    <t>40508-4011</t>
  </si>
  <si>
    <t>IDABEL</t>
  </si>
  <si>
    <t>CRESWELL</t>
  </si>
  <si>
    <t>97426-9757</t>
  </si>
  <si>
    <t>RINGGOLD</t>
  </si>
  <si>
    <t>30736-8923</t>
  </si>
  <si>
    <t>78257-4467</t>
  </si>
  <si>
    <t>APACHE JUNCTION</t>
  </si>
  <si>
    <t>85119-3002</t>
  </si>
  <si>
    <t>KATY</t>
  </si>
  <si>
    <t>77449-6271</t>
  </si>
  <si>
    <t>GARDNERVILLE</t>
  </si>
  <si>
    <t>89460-6301</t>
  </si>
  <si>
    <t>MOUNT VERNON</t>
  </si>
  <si>
    <t>98274-9556</t>
  </si>
  <si>
    <t>LAKE ORION</t>
  </si>
  <si>
    <t>48362-2278</t>
  </si>
  <si>
    <t>REDONDO BEACH</t>
  </si>
  <si>
    <t>90277-2234</t>
  </si>
  <si>
    <t>GRANITE BAY</t>
  </si>
  <si>
    <t>95746-7346</t>
  </si>
  <si>
    <t>92130-2533</t>
  </si>
  <si>
    <t>59901-8526</t>
  </si>
  <si>
    <t>PULLMAN</t>
  </si>
  <si>
    <t>99163-9768</t>
  </si>
  <si>
    <t>80302-5018</t>
  </si>
  <si>
    <t>83646-3489</t>
  </si>
  <si>
    <t>BEND</t>
  </si>
  <si>
    <t>97701-7042</t>
  </si>
  <si>
    <t>DEWITT</t>
  </si>
  <si>
    <t>48820-8642</t>
  </si>
  <si>
    <t>NORTHFIELD</t>
  </si>
  <si>
    <t>03276-4219</t>
  </si>
  <si>
    <t>LONE TREE</t>
  </si>
  <si>
    <t>LEHI</t>
  </si>
  <si>
    <t>84043-3312</t>
  </si>
  <si>
    <t>94941-1251</t>
  </si>
  <si>
    <t>HARRISON</t>
  </si>
  <si>
    <t>83833-8603</t>
  </si>
  <si>
    <t>WEST COLUMBIA</t>
  </si>
  <si>
    <t>WARMINSTER</t>
  </si>
  <si>
    <t>PITTSBORO</t>
  </si>
  <si>
    <t>27312-6753</t>
  </si>
  <si>
    <t>LANGLEY</t>
  </si>
  <si>
    <t>98260-9510</t>
  </si>
  <si>
    <t>84060-5121</t>
  </si>
  <si>
    <t>84098-5915</t>
  </si>
  <si>
    <t>89704-8529</t>
  </si>
  <si>
    <t>IRVING</t>
  </si>
  <si>
    <t>SALADO</t>
  </si>
  <si>
    <t>SEASIDE</t>
  </si>
  <si>
    <t>93955-5919</t>
  </si>
  <si>
    <t>80302-3402</t>
  </si>
  <si>
    <t>SAN ANSELMO</t>
  </si>
  <si>
    <t>94960-1809</t>
  </si>
  <si>
    <t>BRADENTON</t>
  </si>
  <si>
    <t>34209-1938</t>
  </si>
  <si>
    <t>DOYLESBURG</t>
  </si>
  <si>
    <t>17219-9752</t>
  </si>
  <si>
    <t>READING</t>
  </si>
  <si>
    <t>19605-9301</t>
  </si>
  <si>
    <t>IOWA CITY</t>
  </si>
  <si>
    <t>IA</t>
  </si>
  <si>
    <t>52246-8715</t>
  </si>
  <si>
    <t>SOUTHBURY</t>
  </si>
  <si>
    <t>06488-1110</t>
  </si>
  <si>
    <t>POWHATAN</t>
  </si>
  <si>
    <t>23139-5322</t>
  </si>
  <si>
    <t>92021-7919</t>
  </si>
  <si>
    <t>03755-1207</t>
  </si>
  <si>
    <t>73108-1299</t>
  </si>
  <si>
    <t>80304-0459</t>
  </si>
  <si>
    <t>95642-9648</t>
  </si>
  <si>
    <t>81147-8633</t>
  </si>
  <si>
    <t>LA PORTE</t>
  </si>
  <si>
    <t>MIDDLEBURG</t>
  </si>
  <si>
    <t>20117-5303</t>
  </si>
  <si>
    <t>NORTH CONWAY</t>
  </si>
  <si>
    <t>03860-5800</t>
  </si>
  <si>
    <t>40511-8867</t>
  </si>
  <si>
    <t>78602-3637</t>
  </si>
  <si>
    <t>73173-8113</t>
  </si>
  <si>
    <t>BLOOMFIELD HILLS</t>
  </si>
  <si>
    <t>85086-9306</t>
  </si>
  <si>
    <t>LAKEVILLE</t>
  </si>
  <si>
    <t>02347-2439</t>
  </si>
  <si>
    <t>94588-9419</t>
  </si>
  <si>
    <t>PRAGUE</t>
  </si>
  <si>
    <t>74864-2208</t>
  </si>
  <si>
    <t>95616-9703</t>
  </si>
  <si>
    <t>WILLIAMSBURG</t>
  </si>
  <si>
    <t>BROOKHAVEN</t>
  </si>
  <si>
    <t>MS</t>
  </si>
  <si>
    <t>39601-9563</t>
  </si>
  <si>
    <t>OXFORD</t>
  </si>
  <si>
    <t>NJ</t>
  </si>
  <si>
    <t>07863-3350</t>
  </si>
  <si>
    <t>95624-3713</t>
  </si>
  <si>
    <t>DRIFTWOOD</t>
  </si>
  <si>
    <t>78619-2012</t>
  </si>
  <si>
    <t>AGOURA HILLS</t>
  </si>
  <si>
    <t>91301-2061</t>
  </si>
  <si>
    <t>WORDEN</t>
  </si>
  <si>
    <t>59088-2005</t>
  </si>
  <si>
    <t>LIBERTY LAKE</t>
  </si>
  <si>
    <t>99019-8677</t>
  </si>
  <si>
    <t>TEMPLE</t>
  </si>
  <si>
    <t>76502-1404</t>
  </si>
  <si>
    <t>OLNEY</t>
  </si>
  <si>
    <t>20832-2228</t>
  </si>
  <si>
    <t>84108-3119</t>
  </si>
  <si>
    <t>97330-5022</t>
  </si>
  <si>
    <t>CUPERTINO</t>
  </si>
  <si>
    <t>95014-2756</t>
  </si>
  <si>
    <t>83709-3519</t>
  </si>
  <si>
    <t>CASPER</t>
  </si>
  <si>
    <t>82609-4638</t>
  </si>
  <si>
    <t>PETERSBURG</t>
  </si>
  <si>
    <t>23805-2819</t>
  </si>
  <si>
    <t>HELENA</t>
  </si>
  <si>
    <t>NORTON</t>
  </si>
  <si>
    <t>02766-3412</t>
  </si>
  <si>
    <t>76110-6411</t>
  </si>
  <si>
    <t>80920-1627</t>
  </si>
  <si>
    <t>PHILOMATH</t>
  </si>
  <si>
    <t>97370-9754</t>
  </si>
  <si>
    <t>76013-3634</t>
  </si>
  <si>
    <t>95757-4011</t>
  </si>
  <si>
    <t>EDWARDS</t>
  </si>
  <si>
    <t>81632-8121</t>
  </si>
  <si>
    <t>NORTH YARMOUTH</t>
  </si>
  <si>
    <t>04097-6217</t>
  </si>
  <si>
    <t>ALBUQUERQUE,</t>
  </si>
  <si>
    <t>LITTLE COMPTON</t>
  </si>
  <si>
    <t>RI</t>
  </si>
  <si>
    <t>02837-1916</t>
  </si>
  <si>
    <t>LIVINGSTON</t>
  </si>
  <si>
    <t>59047-9118</t>
  </si>
  <si>
    <t>SAN RAFAEL</t>
  </si>
  <si>
    <t>94901-1213</t>
  </si>
  <si>
    <t>KENNEWICK</t>
  </si>
  <si>
    <t>99337-2598</t>
  </si>
  <si>
    <t>BEAVERCREEK</t>
  </si>
  <si>
    <t>97004-9719</t>
  </si>
  <si>
    <t>CARLTON</t>
  </si>
  <si>
    <t>98814-9006</t>
  </si>
  <si>
    <t>RUIDOSO</t>
  </si>
  <si>
    <t>EAST LONGMEADOW</t>
  </si>
  <si>
    <t>01028-2901</t>
  </si>
  <si>
    <t>SULPHUR SPRINGS</t>
  </si>
  <si>
    <t>75482-0418</t>
  </si>
  <si>
    <t>94550-5341</t>
  </si>
  <si>
    <t>89145-8638</t>
  </si>
  <si>
    <t>ROSEBURG</t>
  </si>
  <si>
    <t>KEMAH</t>
  </si>
  <si>
    <t>77565-2923</t>
  </si>
  <si>
    <t>LOMETA</t>
  </si>
  <si>
    <t>76853-3226</t>
  </si>
  <si>
    <t>85260-2823</t>
  </si>
  <si>
    <t>STANWOOD</t>
  </si>
  <si>
    <t>98292-8402</t>
  </si>
  <si>
    <t>MORGAN HILL</t>
  </si>
  <si>
    <t>95037-4614</t>
  </si>
  <si>
    <t>SAINT GEORGE</t>
  </si>
  <si>
    <t>84790-7467</t>
  </si>
  <si>
    <t>94110-5802</t>
  </si>
  <si>
    <t>ATASCADERO</t>
  </si>
  <si>
    <t>93422-1212</t>
  </si>
  <si>
    <t>MANOR</t>
  </si>
  <si>
    <t>94903-3865</t>
  </si>
  <si>
    <t>GRESHAM</t>
  </si>
  <si>
    <t>97080-9061</t>
  </si>
  <si>
    <t>WESTPORT</t>
  </si>
  <si>
    <t>02790-5190</t>
  </si>
  <si>
    <t>REDMOND</t>
  </si>
  <si>
    <t>BISHOP</t>
  </si>
  <si>
    <t>93514-3116</t>
  </si>
  <si>
    <t>WOODWAY</t>
  </si>
  <si>
    <t>98020-6106</t>
  </si>
  <si>
    <t>MEAD</t>
  </si>
  <si>
    <t>99021-7714</t>
  </si>
  <si>
    <t>SOUTH LAKE TAHOE</t>
  </si>
  <si>
    <t>96150-2620</t>
  </si>
  <si>
    <t>COEUR D ALENE</t>
  </si>
  <si>
    <t>SOLVANG</t>
  </si>
  <si>
    <t>93463-2994</t>
  </si>
  <si>
    <t>OAKLAND</t>
  </si>
  <si>
    <t>94610-1818</t>
  </si>
  <si>
    <t>80922-2491</t>
  </si>
  <si>
    <t>HILLSBOROUGH</t>
  </si>
  <si>
    <t>27278-7154</t>
  </si>
  <si>
    <t>MIDLOTHIAN</t>
  </si>
  <si>
    <t>23113-2176</t>
  </si>
  <si>
    <t>92065-6931</t>
  </si>
  <si>
    <t>80524-9607</t>
  </si>
  <si>
    <t>59602-7777</t>
  </si>
  <si>
    <t xml:space="preserve">GIG HARBOR </t>
  </si>
  <si>
    <t>HAYDEN</t>
  </si>
  <si>
    <t>80113-5040</t>
  </si>
  <si>
    <t>97206-1033</t>
  </si>
  <si>
    <t>WINNEMUCCA</t>
  </si>
  <si>
    <t>89445-7239</t>
  </si>
  <si>
    <t>AIKEN</t>
  </si>
  <si>
    <t>LIPAN</t>
  </si>
  <si>
    <t>76462-4124</t>
  </si>
  <si>
    <t>94062-7310</t>
  </si>
  <si>
    <t>RED LODGE</t>
  </si>
  <si>
    <t>59068-9168</t>
  </si>
  <si>
    <t>87506-7730</t>
  </si>
  <si>
    <t>HERMOSA BEACH</t>
  </si>
  <si>
    <t>90254-2639</t>
  </si>
  <si>
    <t>ADRIAN</t>
  </si>
  <si>
    <t>ABERDEEN</t>
  </si>
  <si>
    <t>98520-8042</t>
  </si>
  <si>
    <t>NORTH RICHLAND HILLS</t>
  </si>
  <si>
    <t>FERNDALE</t>
  </si>
  <si>
    <t>98248-8314</t>
  </si>
  <si>
    <t>ALTO</t>
  </si>
  <si>
    <t>88312-9574</t>
  </si>
  <si>
    <t>NEW HARMONY</t>
  </si>
  <si>
    <t>84757-5003</t>
  </si>
  <si>
    <t>RNCHO CORDOVA</t>
  </si>
  <si>
    <t>WOODINVILLE</t>
  </si>
  <si>
    <t>98072-6116</t>
  </si>
  <si>
    <t>MAPLE VALLEY</t>
  </si>
  <si>
    <t>98038-8209</t>
  </si>
  <si>
    <t>94941-2606</t>
  </si>
  <si>
    <t>NORMAN</t>
  </si>
  <si>
    <t>73071-3134</t>
  </si>
  <si>
    <t>LA CENTER</t>
  </si>
  <si>
    <t>98629-3112</t>
  </si>
  <si>
    <t>80903-4707</t>
  </si>
  <si>
    <t>MOLALLA</t>
  </si>
  <si>
    <t>97038-8697</t>
  </si>
  <si>
    <t>95650-9215</t>
  </si>
  <si>
    <t>HIXSON</t>
  </si>
  <si>
    <t>37343-2735</t>
  </si>
  <si>
    <t>59802-3224</t>
  </si>
  <si>
    <t>80209-4361</t>
  </si>
  <si>
    <t>91506-3215</t>
  </si>
  <si>
    <t>BELTON</t>
  </si>
  <si>
    <t>76513-8245</t>
  </si>
  <si>
    <t>DECATUR</t>
  </si>
  <si>
    <t>WEST GROVE</t>
  </si>
  <si>
    <t>19390-9030</t>
  </si>
  <si>
    <t>94115-1220</t>
  </si>
  <si>
    <t>BRIDGEPORT</t>
  </si>
  <si>
    <t>WV</t>
  </si>
  <si>
    <t>26330-7784</t>
  </si>
  <si>
    <t>SANTA BARBARA</t>
  </si>
  <si>
    <t>93108-1505</t>
  </si>
  <si>
    <t>ROLLING HILLS</t>
  </si>
  <si>
    <t>90274-5003</t>
  </si>
  <si>
    <t>BREMERTON</t>
  </si>
  <si>
    <t>98312-9605</t>
  </si>
  <si>
    <t>FELTON</t>
  </si>
  <si>
    <t>17322-8272</t>
  </si>
  <si>
    <t>92592-3881</t>
  </si>
  <si>
    <t>81403-8105</t>
  </si>
  <si>
    <t>92869-1509</t>
  </si>
  <si>
    <t>97250-9602</t>
  </si>
  <si>
    <t>CLYDE</t>
  </si>
  <si>
    <t>WESTFORD</t>
  </si>
  <si>
    <t>01886-2235</t>
  </si>
  <si>
    <t>77084-2367</t>
  </si>
  <si>
    <t>LENEXA</t>
  </si>
  <si>
    <t>66220-9725</t>
  </si>
  <si>
    <t>NORFOLK</t>
  </si>
  <si>
    <t>DUNNELLON</t>
  </si>
  <si>
    <t>77035-4936</t>
  </si>
  <si>
    <t>BREA</t>
  </si>
  <si>
    <t>92821-5794</t>
  </si>
  <si>
    <t>85297-3546</t>
  </si>
  <si>
    <t>97405-2385</t>
  </si>
  <si>
    <t>80401-3163</t>
  </si>
  <si>
    <t>CAMERON PARK</t>
  </si>
  <si>
    <t>95682-9073</t>
  </si>
  <si>
    <t>WELLS</t>
  </si>
  <si>
    <t>04090-7658</t>
  </si>
  <si>
    <t>FULTON</t>
  </si>
  <si>
    <t>SANDIA PARK</t>
  </si>
  <si>
    <t>87047-9516</t>
  </si>
  <si>
    <t>JOHNSBURG</t>
  </si>
  <si>
    <t>60051-9615</t>
  </si>
  <si>
    <t>SAN JOSE</t>
  </si>
  <si>
    <t>95120-3900</t>
  </si>
  <si>
    <t>BROOMFIELD</t>
  </si>
  <si>
    <t>80023-4711</t>
  </si>
  <si>
    <t>80214-2134</t>
  </si>
  <si>
    <t>DRAGOON</t>
  </si>
  <si>
    <t>85609-2026</t>
  </si>
  <si>
    <t>02493-2317</t>
  </si>
  <si>
    <t>RICHLAND</t>
  </si>
  <si>
    <t>98011-0050</t>
  </si>
  <si>
    <t>JOHNSTOWN</t>
  </si>
  <si>
    <t>15905-5506</t>
  </si>
  <si>
    <t>BOUNTIFUL</t>
  </si>
  <si>
    <t>84010-5859</t>
  </si>
  <si>
    <t>EASTHAM</t>
  </si>
  <si>
    <t>MARYSVILLE</t>
  </si>
  <si>
    <t>98270-2438</t>
  </si>
  <si>
    <t>87544-1794</t>
  </si>
  <si>
    <t>73012-8431</t>
  </si>
  <si>
    <t>GILROY</t>
  </si>
  <si>
    <t>95020-3402</t>
  </si>
  <si>
    <t>93013-1429</t>
  </si>
  <si>
    <t>85032-7764</t>
  </si>
  <si>
    <t>BEAVERTON</t>
  </si>
  <si>
    <t>97005-0874</t>
  </si>
  <si>
    <t>CASTRO VALLEY</t>
  </si>
  <si>
    <t>LINDEN</t>
  </si>
  <si>
    <t>95236-9479</t>
  </si>
  <si>
    <t>BENICIA</t>
  </si>
  <si>
    <t>85266-2149</t>
  </si>
  <si>
    <t>ALBANY</t>
  </si>
  <si>
    <t>97322-5733</t>
  </si>
  <si>
    <t>HANCEVILLE</t>
  </si>
  <si>
    <t>35077-8127</t>
  </si>
  <si>
    <t>ROCKLIN</t>
  </si>
  <si>
    <t>95765-5506</t>
  </si>
  <si>
    <t>ALPINE MEADOWS</t>
  </si>
  <si>
    <t>96146-9703</t>
  </si>
  <si>
    <t>80525-2208</t>
  </si>
  <si>
    <t>COLEMAN</t>
  </si>
  <si>
    <t>54112-9435</t>
  </si>
  <si>
    <t>93711-0223</t>
  </si>
  <si>
    <t>76114-4502</t>
  </si>
  <si>
    <t>HOPEWELL</t>
  </si>
  <si>
    <t>08525-2505</t>
  </si>
  <si>
    <t>MAGNOLIA</t>
  </si>
  <si>
    <t>77355-4928</t>
  </si>
  <si>
    <t>85012-2831</t>
  </si>
  <si>
    <t>SILVERDALE</t>
  </si>
  <si>
    <t>98383-3900</t>
  </si>
  <si>
    <t>78620-2760</t>
  </si>
  <si>
    <t>92129-2110</t>
  </si>
  <si>
    <t>34482-7349</t>
  </si>
  <si>
    <t>94550-7234</t>
  </si>
  <si>
    <t>WINSTON SALEM</t>
  </si>
  <si>
    <t>27101-2915</t>
  </si>
  <si>
    <t>30747-6233</t>
  </si>
  <si>
    <t>SAN BRUNO</t>
  </si>
  <si>
    <t>SHELTON</t>
  </si>
  <si>
    <t>98584-7704</t>
  </si>
  <si>
    <t>BOULEVARD</t>
  </si>
  <si>
    <t>PITTSFORD</t>
  </si>
  <si>
    <t>14534-1113</t>
  </si>
  <si>
    <t>80224-2628</t>
  </si>
  <si>
    <t>OLATHE</t>
  </si>
  <si>
    <t>66061-8662</t>
  </si>
  <si>
    <t>85024-8644</t>
  </si>
  <si>
    <t>95032-6622</t>
  </si>
  <si>
    <t>SALINAS</t>
  </si>
  <si>
    <t>93907-8805</t>
  </si>
  <si>
    <t>DIAMOND BAR</t>
  </si>
  <si>
    <t>91765-1258</t>
  </si>
  <si>
    <t>CARTWRIGHT</t>
  </si>
  <si>
    <t>74731-2300</t>
  </si>
  <si>
    <t>97055-8254</t>
  </si>
  <si>
    <t>98038-6603</t>
  </si>
  <si>
    <t>GARDEN GROVE</t>
  </si>
  <si>
    <t>92840-2311</t>
  </si>
  <si>
    <t>COCONUT CREEK</t>
  </si>
  <si>
    <t>33066-2438</t>
  </si>
  <si>
    <t>93021-2829</t>
  </si>
  <si>
    <t>PLANO</t>
  </si>
  <si>
    <t>75025-4025</t>
  </si>
  <si>
    <t>PALM SPRINGS</t>
  </si>
  <si>
    <t>92264-9659</t>
  </si>
  <si>
    <t>95616-3216</t>
  </si>
  <si>
    <t>89511-5389</t>
  </si>
  <si>
    <t>98070-4803</t>
  </si>
  <si>
    <t>95401-4049</t>
  </si>
  <si>
    <t>78726-1753</t>
  </si>
  <si>
    <t>KANSAS CITY</t>
  </si>
  <si>
    <t>64111-3173</t>
  </si>
  <si>
    <t>78621-5546</t>
  </si>
  <si>
    <t>CEDAR PARK</t>
  </si>
  <si>
    <t>78613-3519</t>
  </si>
  <si>
    <t>WEST RICHLAND</t>
  </si>
  <si>
    <t>99353-9574</t>
  </si>
  <si>
    <t>CAVE CREEK</t>
  </si>
  <si>
    <t>85331-9549</t>
  </si>
  <si>
    <t>84105-1737</t>
  </si>
  <si>
    <t>59714-8787</t>
  </si>
  <si>
    <t>MELBA</t>
  </si>
  <si>
    <t>83641-4263</t>
  </si>
  <si>
    <t>MINNEAPOLIS</t>
  </si>
  <si>
    <t>MN</t>
  </si>
  <si>
    <t>55422-3206</t>
  </si>
  <si>
    <t>TOLLHOUSE</t>
  </si>
  <si>
    <t>93667-9605</t>
  </si>
  <si>
    <t>WHITNEY</t>
  </si>
  <si>
    <t>76692-5635</t>
  </si>
  <si>
    <t>85741-4081</t>
  </si>
  <si>
    <t>77845-3221</t>
  </si>
  <si>
    <t>OLYMPIA</t>
  </si>
  <si>
    <t>98513-8919</t>
  </si>
  <si>
    <t>CARMEL</t>
  </si>
  <si>
    <t>93923-8812</t>
  </si>
  <si>
    <t>98122-3861</t>
  </si>
  <si>
    <t>YELM</t>
  </si>
  <si>
    <t>HARVARD</t>
  </si>
  <si>
    <t>DEER PARK</t>
  </si>
  <si>
    <t>99006-9715</t>
  </si>
  <si>
    <t>SILVER SPRING</t>
  </si>
  <si>
    <t>20905-7445</t>
  </si>
  <si>
    <t>94960-2221</t>
  </si>
  <si>
    <t>78739-1498</t>
  </si>
  <si>
    <t>GILLETTE</t>
  </si>
  <si>
    <t>82716-4974</t>
  </si>
  <si>
    <t>PROSPER</t>
  </si>
  <si>
    <t>75078-8811</t>
  </si>
  <si>
    <t>OROVILLE</t>
  </si>
  <si>
    <t>95965-8311</t>
  </si>
  <si>
    <t>ENDICOTT</t>
  </si>
  <si>
    <t>13760-1914</t>
  </si>
  <si>
    <t>ORWIGSBURG</t>
  </si>
  <si>
    <t>90047-2618</t>
  </si>
  <si>
    <t>KNOXVILLE</t>
  </si>
  <si>
    <t>37919-8181</t>
  </si>
  <si>
    <t>SANGER</t>
  </si>
  <si>
    <t>LA GRANGE</t>
  </si>
  <si>
    <t>40031-9022</t>
  </si>
  <si>
    <t>LAGUNA WOODS</t>
  </si>
  <si>
    <t>92637-3898</t>
  </si>
  <si>
    <t>92009-7339</t>
  </si>
  <si>
    <t>92110-2357</t>
  </si>
  <si>
    <t>98028-2006</t>
  </si>
  <si>
    <t>15904-7301</t>
  </si>
  <si>
    <t>WIMBERLEY</t>
  </si>
  <si>
    <t>WEST CHESTER</t>
  </si>
  <si>
    <t>19382-8245</t>
  </si>
  <si>
    <t>PAYSON</t>
  </si>
  <si>
    <t>95602-7902</t>
  </si>
  <si>
    <t>94952-2745</t>
  </si>
  <si>
    <t>SHEPHERD</t>
  </si>
  <si>
    <t>77371-2200</t>
  </si>
  <si>
    <t>STEDMAN</t>
  </si>
  <si>
    <t>WEST MILTON</t>
  </si>
  <si>
    <t>45383-8712</t>
  </si>
  <si>
    <t>64152-1813</t>
  </si>
  <si>
    <t>CORPUS CHRISTI</t>
  </si>
  <si>
    <t>34474-1754</t>
  </si>
  <si>
    <t>LYNBROOK</t>
  </si>
  <si>
    <t>11563-3821</t>
  </si>
  <si>
    <t>GRAHAM</t>
  </si>
  <si>
    <t>98338-7017</t>
  </si>
  <si>
    <t>MILTON</t>
  </si>
  <si>
    <t>QUINCY</t>
  </si>
  <si>
    <t>LAKE FOREST</t>
  </si>
  <si>
    <t>60045-3707</t>
  </si>
  <si>
    <t>CHICAGO</t>
  </si>
  <si>
    <t>60640-4294</t>
  </si>
  <si>
    <t>98125-4627</t>
  </si>
  <si>
    <t>77356-1747</t>
  </si>
  <si>
    <t>80524-9484</t>
  </si>
  <si>
    <t>GRANVILLE</t>
  </si>
  <si>
    <t>KENT</t>
  </si>
  <si>
    <t>OGDENSBURG</t>
  </si>
  <si>
    <t>13669-2208</t>
  </si>
  <si>
    <t>NEWARK</t>
  </si>
  <si>
    <t>DE</t>
  </si>
  <si>
    <t>19702-2313</t>
  </si>
  <si>
    <t>LOTUS</t>
  </si>
  <si>
    <t>95651-9722</t>
  </si>
  <si>
    <t>TROUT LAKE</t>
  </si>
  <si>
    <t>93517-9999</t>
  </si>
  <si>
    <t>SAGINAW</t>
  </si>
  <si>
    <t>48609-9225</t>
  </si>
  <si>
    <t>98042-9221</t>
  </si>
  <si>
    <t>PEYTON</t>
  </si>
  <si>
    <t>80831-4449</t>
  </si>
  <si>
    <t>94953-8809</t>
  </si>
  <si>
    <t>LAKEBAY</t>
  </si>
  <si>
    <t>98349-9617</t>
  </si>
  <si>
    <t>EAST HAMPTON</t>
  </si>
  <si>
    <t>06424-1334</t>
  </si>
  <si>
    <t>VANCOUVER</t>
  </si>
  <si>
    <t>98661-5532</t>
  </si>
  <si>
    <t>95949-9507</t>
  </si>
  <si>
    <t>PALM DESERT</t>
  </si>
  <si>
    <t>92211-2073</t>
  </si>
  <si>
    <t>SARATOGA</t>
  </si>
  <si>
    <t>95070-5103</t>
  </si>
  <si>
    <t>95616-2738</t>
  </si>
  <si>
    <t>LOUISVILLE</t>
  </si>
  <si>
    <t>MESA</t>
  </si>
  <si>
    <t>85203-1013</t>
  </si>
  <si>
    <t>BANDON</t>
  </si>
  <si>
    <t>97411-6360</t>
  </si>
  <si>
    <t>SHERMAN OAKS</t>
  </si>
  <si>
    <t>HERALD</t>
  </si>
  <si>
    <t>95638-8407</t>
  </si>
  <si>
    <t>94952-9611</t>
  </si>
  <si>
    <t>97229-6085</t>
  </si>
  <si>
    <t>59808-8454</t>
  </si>
  <si>
    <t>NEWPORT NEWS</t>
  </si>
  <si>
    <t>23602-7372</t>
  </si>
  <si>
    <t>BELVEDERE TIBURON</t>
  </si>
  <si>
    <t>94920-1902</t>
  </si>
  <si>
    <t>59404-5405</t>
  </si>
  <si>
    <t>TRENTON</t>
  </si>
  <si>
    <t>32693-8219</t>
  </si>
  <si>
    <t>NORCO</t>
  </si>
  <si>
    <t>98004-4089</t>
  </si>
  <si>
    <t>EAST AURORA</t>
  </si>
  <si>
    <t>14052-2149</t>
  </si>
  <si>
    <t>LA JOLLA</t>
  </si>
  <si>
    <t>96161-1499</t>
  </si>
  <si>
    <t>99337-5012</t>
  </si>
  <si>
    <t>85224-1756</t>
  </si>
  <si>
    <t>SEDONA</t>
  </si>
  <si>
    <t>86351-9311</t>
  </si>
  <si>
    <t>80231-3741</t>
  </si>
  <si>
    <t>CELINA</t>
  </si>
  <si>
    <t>75009-4717</t>
  </si>
  <si>
    <t>97330-9338</t>
  </si>
  <si>
    <t>ANNA</t>
  </si>
  <si>
    <t>75409-3200</t>
  </si>
  <si>
    <t>MARTINEZ</t>
  </si>
  <si>
    <t>CHINO VALLEY</t>
  </si>
  <si>
    <t>86323-6689</t>
  </si>
  <si>
    <t>78750-8122</t>
  </si>
  <si>
    <t>94131-1821</t>
  </si>
  <si>
    <t>80501-5346</t>
  </si>
  <si>
    <t>HOOD RIVER</t>
  </si>
  <si>
    <t>97031-9997</t>
  </si>
  <si>
    <t>CONROE</t>
  </si>
  <si>
    <t>77303-5238</t>
  </si>
  <si>
    <t>CENTERVILLE</t>
  </si>
  <si>
    <t>98613-2712</t>
  </si>
  <si>
    <t>SANTEE</t>
  </si>
  <si>
    <t>92071-1073</t>
  </si>
  <si>
    <t>MIFFLINTOWN</t>
  </si>
  <si>
    <t>17059-8140</t>
  </si>
  <si>
    <t>POWELL</t>
  </si>
  <si>
    <t>82435-9508</t>
  </si>
  <si>
    <t>KELLER</t>
  </si>
  <si>
    <t>76262-9009</t>
  </si>
  <si>
    <t>80302-9325</t>
  </si>
  <si>
    <t>90066-3028</t>
  </si>
  <si>
    <t>PHELAN</t>
  </si>
  <si>
    <t>DEXTER</t>
  </si>
  <si>
    <t>LITTLE ROCK</t>
  </si>
  <si>
    <t>72205-6023</t>
  </si>
  <si>
    <t>83709-4444</t>
  </si>
  <si>
    <t>BEASLEY</t>
  </si>
  <si>
    <t>77417-9727</t>
  </si>
  <si>
    <t>JULIAN</t>
  </si>
  <si>
    <t>92036-0489</t>
  </si>
  <si>
    <t>WEST JORDAN</t>
  </si>
  <si>
    <t>84088-9651</t>
  </si>
  <si>
    <t>98240-9216</t>
  </si>
  <si>
    <t>83716-3412</t>
  </si>
  <si>
    <t>29805-6517</t>
  </si>
  <si>
    <t>85331-6631</t>
  </si>
  <si>
    <t>SANTA CRUZ</t>
  </si>
  <si>
    <t>95062-1677</t>
  </si>
  <si>
    <t>NEW MILFORD</t>
  </si>
  <si>
    <t>06776-2102</t>
  </si>
  <si>
    <t>NEWMAN LAKE</t>
  </si>
  <si>
    <t>99025-8508</t>
  </si>
  <si>
    <t>96161-1820</t>
  </si>
  <si>
    <t>83641-5103</t>
  </si>
  <si>
    <t>98248-8316</t>
  </si>
  <si>
    <t>ROUND ROCK</t>
  </si>
  <si>
    <t>78664-4594</t>
  </si>
  <si>
    <t>LORENA</t>
  </si>
  <si>
    <t>76655-4416</t>
  </si>
  <si>
    <t>SOUTH BEACH</t>
  </si>
  <si>
    <t>97366-9776</t>
  </si>
  <si>
    <t>95377-7073</t>
  </si>
  <si>
    <t>75229-4102</t>
  </si>
  <si>
    <t>HUBERTUS</t>
  </si>
  <si>
    <t>53033-9642</t>
  </si>
  <si>
    <t>92592-8437</t>
  </si>
  <si>
    <t>FRIDAY HARBOR</t>
  </si>
  <si>
    <t>98250-8404</t>
  </si>
  <si>
    <t>SUNNYVALE</t>
  </si>
  <si>
    <t>94087-3441</t>
  </si>
  <si>
    <t>LOXAHATCHEE</t>
  </si>
  <si>
    <t>33470-3919</t>
  </si>
  <si>
    <t>59803-2543</t>
  </si>
  <si>
    <t>85611-7303</t>
  </si>
  <si>
    <t>STARRUCCA</t>
  </si>
  <si>
    <t>NORTH HIGHLANDS</t>
  </si>
  <si>
    <t>95945-7955</t>
  </si>
  <si>
    <t>98030-6209</t>
  </si>
  <si>
    <t>GLENWOOD SPRINGS</t>
  </si>
  <si>
    <t>81601-9308</t>
  </si>
  <si>
    <t>77077-4023</t>
  </si>
  <si>
    <t>AMARILLO</t>
  </si>
  <si>
    <t>79118-3496</t>
  </si>
  <si>
    <t>BUTTE</t>
  </si>
  <si>
    <t>59701-4114</t>
  </si>
  <si>
    <t>LACROSSE</t>
  </si>
  <si>
    <t>99143-9644</t>
  </si>
  <si>
    <t>RAVENSDALE</t>
  </si>
  <si>
    <t>98051-9003</t>
  </si>
  <si>
    <t>89012-2473</t>
  </si>
  <si>
    <t>76248-4240</t>
  </si>
  <si>
    <t>KIRKLAND</t>
  </si>
  <si>
    <t>98033-5813</t>
  </si>
  <si>
    <t>SALEM</t>
  </si>
  <si>
    <t>97306-8104</t>
  </si>
  <si>
    <t>92869-1019</t>
  </si>
  <si>
    <t>KINGWOOD</t>
  </si>
  <si>
    <t>77345-2171</t>
  </si>
  <si>
    <t>SANDOWN</t>
  </si>
  <si>
    <t>03873-2010</t>
  </si>
  <si>
    <t>SAN RAMON</t>
  </si>
  <si>
    <t>94583-1254</t>
  </si>
  <si>
    <t>95822-1136</t>
  </si>
  <si>
    <t>PORTOLA VALLEY</t>
  </si>
  <si>
    <t>VAIL</t>
  </si>
  <si>
    <t>85641-9316</t>
  </si>
  <si>
    <t>MORRO BAY</t>
  </si>
  <si>
    <t>93442-1869</t>
  </si>
  <si>
    <t>98059-4116</t>
  </si>
  <si>
    <t>PALO ALTO</t>
  </si>
  <si>
    <t>97401-2050</t>
  </si>
  <si>
    <t>99163-6054</t>
  </si>
  <si>
    <t>LITTLE SILVER</t>
  </si>
  <si>
    <t>07739-1009</t>
  </si>
  <si>
    <t>NASHUA</t>
  </si>
  <si>
    <t>03063-3629</t>
  </si>
  <si>
    <t>93105-4535</t>
  </si>
  <si>
    <t>80104-3276</t>
  </si>
  <si>
    <t>BUDA</t>
  </si>
  <si>
    <t>78610-4020</t>
  </si>
  <si>
    <t>BLAIRSDEN GRAEAGLE</t>
  </si>
  <si>
    <t>96103-0752</t>
  </si>
  <si>
    <t>85641-2873</t>
  </si>
  <si>
    <t>85611-7320</t>
  </si>
  <si>
    <t>98258-8837</t>
  </si>
  <si>
    <t>BANCROFT</t>
  </si>
  <si>
    <t>83217-5075</t>
  </si>
  <si>
    <t>LAKESIDE</t>
  </si>
  <si>
    <t>59922-1035</t>
  </si>
  <si>
    <t>95682-9228</t>
  </si>
  <si>
    <t>97701-9333</t>
  </si>
  <si>
    <t>PACIFICA</t>
  </si>
  <si>
    <t>94044-2162</t>
  </si>
  <si>
    <t>84065-5880</t>
  </si>
  <si>
    <t>87048-7632</t>
  </si>
  <si>
    <t>97703-9033</t>
  </si>
  <si>
    <t>MEDFORD</t>
  </si>
  <si>
    <t>97504-9406</t>
  </si>
  <si>
    <t>98146-2968</t>
  </si>
  <si>
    <t>97330-2260</t>
  </si>
  <si>
    <t>94939-1115</t>
  </si>
  <si>
    <t>STAR</t>
  </si>
  <si>
    <t>JANESVILLE</t>
  </si>
  <si>
    <t>96114-9415</t>
  </si>
  <si>
    <t>GRANDVIEW</t>
  </si>
  <si>
    <t>BROOKS</t>
  </si>
  <si>
    <t>30205-1543</t>
  </si>
  <si>
    <t>KENNESAW</t>
  </si>
  <si>
    <t>30152-4845</t>
  </si>
  <si>
    <t>N KINGSTOWN</t>
  </si>
  <si>
    <t>95965-9618</t>
  </si>
  <si>
    <t>SIMI VALLEY</t>
  </si>
  <si>
    <t>86305-8857</t>
  </si>
  <si>
    <t>VALLEY VILLAGE</t>
  </si>
  <si>
    <t>91607-3711</t>
  </si>
  <si>
    <t>79109-6731</t>
  </si>
  <si>
    <t>84341-8433</t>
  </si>
  <si>
    <t>FOUNTAIN VALLEY</t>
  </si>
  <si>
    <t>92708-5503</t>
  </si>
  <si>
    <t>FALL CITY</t>
  </si>
  <si>
    <t>98024-6511</t>
  </si>
  <si>
    <t>86305-3882</t>
  </si>
  <si>
    <t>MEEKER</t>
  </si>
  <si>
    <t>81641-9222</t>
  </si>
  <si>
    <t>94566-5527</t>
  </si>
  <si>
    <t>91001-2524</t>
  </si>
  <si>
    <t>98070-6505</t>
  </si>
  <si>
    <t>59601-5816</t>
  </si>
  <si>
    <t>LINCOLN</t>
  </si>
  <si>
    <t>95648-7827</t>
  </si>
  <si>
    <t>ENUMCLAW</t>
  </si>
  <si>
    <t>98022-9777</t>
  </si>
  <si>
    <t>84720-1413</t>
  </si>
  <si>
    <t>SEBASTOPOL</t>
  </si>
  <si>
    <t>95472-9549</t>
  </si>
  <si>
    <t>DANVILLE</t>
  </si>
  <si>
    <t>94526-4351</t>
  </si>
  <si>
    <t>98144-5729</t>
  </si>
  <si>
    <t>WASHOUGAL</t>
  </si>
  <si>
    <t>98671-6658</t>
  </si>
  <si>
    <t>ORLAND</t>
  </si>
  <si>
    <t>95963-8149</t>
  </si>
  <si>
    <t>94550-9747</t>
  </si>
  <si>
    <t>FALLON</t>
  </si>
  <si>
    <t>89406-8387</t>
  </si>
  <si>
    <t>86303-4800</t>
  </si>
  <si>
    <t>98225-4932</t>
  </si>
  <si>
    <t>85204-4603</t>
  </si>
  <si>
    <t>92109-6140</t>
  </si>
  <si>
    <t>PENDLETON</t>
  </si>
  <si>
    <t>97801-4101</t>
  </si>
  <si>
    <t>HUNTSVILLE</t>
  </si>
  <si>
    <t>77340-4534</t>
  </si>
  <si>
    <t>90026-6259</t>
  </si>
  <si>
    <t>80005-2707</t>
  </si>
  <si>
    <t>SANTA YNEZ</t>
  </si>
  <si>
    <t>93460-9648</t>
  </si>
  <si>
    <t>77008-4249</t>
  </si>
  <si>
    <t>FULSHEAR</t>
  </si>
  <si>
    <t>77441-1562</t>
  </si>
  <si>
    <t>98110-1358</t>
  </si>
  <si>
    <t>ESTACADA</t>
  </si>
  <si>
    <t>78737-1134</t>
  </si>
  <si>
    <t>NORTH BEND</t>
  </si>
  <si>
    <t>98045-9113</t>
  </si>
  <si>
    <t>HIGHLAND</t>
  </si>
  <si>
    <t>GALT</t>
  </si>
  <si>
    <t>95632-8215</t>
  </si>
  <si>
    <t>CAMARILLO</t>
  </si>
  <si>
    <t>KETTLE FALLS</t>
  </si>
  <si>
    <t>99141-8742</t>
  </si>
  <si>
    <t>CAMANO ISLAND</t>
  </si>
  <si>
    <t>98282-7657</t>
  </si>
  <si>
    <t>BARTONVILLE</t>
  </si>
  <si>
    <t>76226-9595</t>
  </si>
  <si>
    <t>77382-6001</t>
  </si>
  <si>
    <t>SAN CARLOS</t>
  </si>
  <si>
    <t>94070-2941</t>
  </si>
  <si>
    <t>MONTEREY</t>
  </si>
  <si>
    <t>59840-9538</t>
  </si>
  <si>
    <t>95136-3422</t>
  </si>
  <si>
    <t>86336-3240</t>
  </si>
  <si>
    <t>WOODLAND HILLS</t>
  </si>
  <si>
    <t>91364-1635</t>
  </si>
  <si>
    <t>98391-5481</t>
  </si>
  <si>
    <t>WHITE ROCK</t>
  </si>
  <si>
    <t>87547-3516</t>
  </si>
  <si>
    <t>LITTLETON</t>
  </si>
  <si>
    <t>80126-8141</t>
  </si>
  <si>
    <t>ALPINE</t>
  </si>
  <si>
    <t>91901-3056</t>
  </si>
  <si>
    <t>95632-3139</t>
  </si>
  <si>
    <t>SAN DIMAS</t>
  </si>
  <si>
    <t>91773-4405</t>
  </si>
  <si>
    <t>77320-2709</t>
  </si>
  <si>
    <t>BRIGHTON</t>
  </si>
  <si>
    <t>80601-5361</t>
  </si>
  <si>
    <t>CARMEL VALLEY</t>
  </si>
  <si>
    <t>93924-9020</t>
  </si>
  <si>
    <t>LEMOORE</t>
  </si>
  <si>
    <t>97045-7720</t>
  </si>
  <si>
    <t>98055-6227</t>
  </si>
  <si>
    <t>59047-9280</t>
  </si>
  <si>
    <t>GRAND JUNCTION</t>
  </si>
  <si>
    <t>81505-1056</t>
  </si>
  <si>
    <t>98225-4934</t>
  </si>
  <si>
    <t>NEWHALL</t>
  </si>
  <si>
    <t>91321-3424</t>
  </si>
  <si>
    <t>94549-2242</t>
  </si>
  <si>
    <t>HEMPSTEAD</t>
  </si>
  <si>
    <t>WEATHERFORD</t>
  </si>
  <si>
    <t>76088-2021</t>
  </si>
  <si>
    <t>93013-2199</t>
  </si>
  <si>
    <t>93245-9548</t>
  </si>
  <si>
    <t>PUYALLUP</t>
  </si>
  <si>
    <t>98371-6408</t>
  </si>
  <si>
    <t>SANTA ROSA VALLEY</t>
  </si>
  <si>
    <t>93012-8253</t>
  </si>
  <si>
    <t>SANTA CLARA</t>
  </si>
  <si>
    <t>95051-2109</t>
  </si>
  <si>
    <t>93065-2525</t>
  </si>
  <si>
    <t>WHITEFISH</t>
  </si>
  <si>
    <t>77008-4389</t>
  </si>
  <si>
    <t>SAGLE</t>
  </si>
  <si>
    <t>83860-8099</t>
  </si>
  <si>
    <t>59602-9124</t>
  </si>
  <si>
    <t>78209-4413</t>
  </si>
  <si>
    <t>EAST HELENA</t>
  </si>
  <si>
    <t>59635-3418</t>
  </si>
  <si>
    <t>BERTHOUD</t>
  </si>
  <si>
    <t>80513-2615</t>
  </si>
  <si>
    <t>83404-7242</t>
  </si>
  <si>
    <t>ANGEL FIRE</t>
  </si>
  <si>
    <t>87710-8183</t>
  </si>
  <si>
    <t>STRASBURG</t>
  </si>
  <si>
    <t>VENTURA</t>
  </si>
  <si>
    <t>93003-2573</t>
  </si>
  <si>
    <t>RANCHO SANTA FE</t>
  </si>
  <si>
    <t>COVE</t>
  </si>
  <si>
    <t>76266-3604</t>
  </si>
  <si>
    <t>WALNUT CREEK</t>
  </si>
  <si>
    <t>94598-4057</t>
  </si>
  <si>
    <t>78703-1028</t>
  </si>
  <si>
    <t>MOUNT PLEASANT</t>
  </si>
  <si>
    <t>29429-4967</t>
  </si>
  <si>
    <t>89460-6227</t>
  </si>
  <si>
    <t>NEWBURY PARK</t>
  </si>
  <si>
    <t>95112-5709</t>
  </si>
  <si>
    <t>97317-9376</t>
  </si>
  <si>
    <t>98250-1072</t>
  </si>
  <si>
    <t>94582-5704</t>
  </si>
  <si>
    <t>SANTA ROSA VA</t>
  </si>
  <si>
    <t>80466-9635</t>
  </si>
  <si>
    <t>PASADENA</t>
  </si>
  <si>
    <t>91106-3225</t>
  </si>
  <si>
    <t>WOLFE CITY</t>
  </si>
  <si>
    <t>75496-2165</t>
  </si>
  <si>
    <t>85225-4433</t>
  </si>
  <si>
    <t>94506-1427</t>
  </si>
  <si>
    <t>EAGLE MOUNTAIN</t>
  </si>
  <si>
    <t>84005-5567</t>
  </si>
  <si>
    <t>98686-2907</t>
  </si>
  <si>
    <t>98045-6202</t>
  </si>
  <si>
    <t>87114-6218</t>
  </si>
  <si>
    <t>80525-5710</t>
  </si>
  <si>
    <t>91105-2839</t>
  </si>
  <si>
    <t>76462-2008</t>
  </si>
  <si>
    <t>87544-3078</t>
  </si>
  <si>
    <t>89506-9421</t>
  </si>
  <si>
    <t>97701-7240</t>
  </si>
  <si>
    <t>97140-8551</t>
  </si>
  <si>
    <t>94086-9148</t>
  </si>
  <si>
    <t>BORGER</t>
  </si>
  <si>
    <t>79007-4122</t>
  </si>
  <si>
    <t>73118-3216</t>
  </si>
  <si>
    <t>85718-1330</t>
  </si>
  <si>
    <t>97333-2430</t>
  </si>
  <si>
    <t>FORT BRAGG</t>
  </si>
  <si>
    <t>95437-9227</t>
  </si>
  <si>
    <t>STEVENSON</t>
  </si>
  <si>
    <t>ROSEVILLE</t>
  </si>
  <si>
    <t>95023-6907</t>
  </si>
  <si>
    <t>77025-3208</t>
  </si>
  <si>
    <t>COLTON</t>
  </si>
  <si>
    <t>97017-9620</t>
  </si>
  <si>
    <t>98465-2416</t>
  </si>
  <si>
    <t>78028-6150</t>
  </si>
  <si>
    <t>78704-6963</t>
  </si>
  <si>
    <t>PORTER</t>
  </si>
  <si>
    <t>77365-8203</t>
  </si>
  <si>
    <t>83616-2724</t>
  </si>
  <si>
    <t>98629-2357</t>
  </si>
  <si>
    <t>86336-6138</t>
  </si>
  <si>
    <t>ESCONDIDO</t>
  </si>
  <si>
    <t>92025-6354</t>
  </si>
  <si>
    <t>98110-3965</t>
  </si>
  <si>
    <t>87105-7560</t>
  </si>
  <si>
    <t>MENLO PARK</t>
  </si>
  <si>
    <t>94025-1904</t>
  </si>
  <si>
    <t>ROLLING HILLS ESTATES</t>
  </si>
  <si>
    <t>90274-1536</t>
  </si>
  <si>
    <t>PLACITAS</t>
  </si>
  <si>
    <t>THE DALLES</t>
  </si>
  <si>
    <t>97058-7523</t>
  </si>
  <si>
    <t>89511-1536</t>
  </si>
  <si>
    <t>94546-2939</t>
  </si>
  <si>
    <t>WILLIAMS</t>
  </si>
  <si>
    <t>97544-9645</t>
  </si>
  <si>
    <t>EMERYVILLE</t>
  </si>
  <si>
    <t>94608-1486</t>
  </si>
  <si>
    <t>MERCED</t>
  </si>
  <si>
    <t>95340-1768</t>
  </si>
  <si>
    <t>COLBERT</t>
  </si>
  <si>
    <t>99005-9314</t>
  </si>
  <si>
    <t>AGUA DULCE</t>
  </si>
  <si>
    <t>91390-4698</t>
  </si>
  <si>
    <t>KIMBERLY</t>
  </si>
  <si>
    <t>83341-5368</t>
  </si>
  <si>
    <t>MERCER ISLAND</t>
  </si>
  <si>
    <t>98040-4116</t>
  </si>
  <si>
    <t>92253-7332</t>
  </si>
  <si>
    <t>CONCORD</t>
  </si>
  <si>
    <t>93101-4760</t>
  </si>
  <si>
    <t>90405-2121</t>
  </si>
  <si>
    <t>86334-3365</t>
  </si>
  <si>
    <t>92592-3871</t>
  </si>
  <si>
    <t>92336-5696</t>
  </si>
  <si>
    <t>98102-4235</t>
  </si>
  <si>
    <t>93245-2219</t>
  </si>
  <si>
    <t>SISTERS</t>
  </si>
  <si>
    <t>97759-3201</t>
  </si>
  <si>
    <t>SAN LUIS OBISPO</t>
  </si>
  <si>
    <t>93405-4754</t>
  </si>
  <si>
    <t>95864-0829</t>
  </si>
  <si>
    <t>LAGUNA NIGUEL</t>
  </si>
  <si>
    <t>92677-7966</t>
  </si>
  <si>
    <t>80205-3452</t>
  </si>
  <si>
    <t>84317-9607</t>
  </si>
  <si>
    <t>85298-6110</t>
  </si>
  <si>
    <t>94061-2750</t>
  </si>
  <si>
    <t>77845-7166</t>
  </si>
  <si>
    <t>92262-4729</t>
  </si>
  <si>
    <t>94301-3421</t>
  </si>
  <si>
    <t>98028-3925</t>
  </si>
  <si>
    <t>94040-1795</t>
  </si>
  <si>
    <t>97448-9408</t>
  </si>
  <si>
    <t>97229-4237</t>
  </si>
  <si>
    <t>78665-4044</t>
  </si>
  <si>
    <t>75204-2809</t>
  </si>
  <si>
    <t>98146-1936</t>
  </si>
  <si>
    <t>97759-9821</t>
  </si>
  <si>
    <t>LAKE OSWEGO</t>
  </si>
  <si>
    <t>97035-8354</t>
  </si>
  <si>
    <t>FOSTER CITY</t>
  </si>
  <si>
    <t>94404-2786</t>
  </si>
  <si>
    <t>SIERRAVILLE</t>
  </si>
  <si>
    <t>94551-5663</t>
  </si>
  <si>
    <t>ORANGEVALE</t>
  </si>
  <si>
    <t>95662-4861</t>
  </si>
  <si>
    <t>OAK PARK</t>
  </si>
  <si>
    <t>91377-5660</t>
  </si>
  <si>
    <t>92117-6705</t>
  </si>
  <si>
    <t>NORWOOD</t>
  </si>
  <si>
    <t>94062-2059</t>
  </si>
  <si>
    <t>98368-9644</t>
  </si>
  <si>
    <t>MOUNT ANGEL</t>
  </si>
  <si>
    <t>97362-9601</t>
  </si>
  <si>
    <t>77006-5809</t>
  </si>
  <si>
    <t>COKER</t>
  </si>
  <si>
    <t>35452-3916</t>
  </si>
  <si>
    <t>97008-8616</t>
  </si>
  <si>
    <t>CALABASAS</t>
  </si>
  <si>
    <t>91302-3782</t>
  </si>
  <si>
    <t>92082-3312</t>
  </si>
  <si>
    <t>98072-6355</t>
  </si>
  <si>
    <t xml:space="preserve">BEND </t>
  </si>
  <si>
    <t>DOUGLAS</t>
  </si>
  <si>
    <t>82633-9217</t>
  </si>
  <si>
    <t>CARROLLTOWN</t>
  </si>
  <si>
    <t>59404-6030</t>
  </si>
  <si>
    <t>97401-8513</t>
  </si>
  <si>
    <t>95616-6659</t>
  </si>
  <si>
    <t>80134-9457</t>
  </si>
  <si>
    <t>SAN JUAN CAPISTRANO</t>
  </si>
  <si>
    <t>92675-2736</t>
  </si>
  <si>
    <t>98115-3537</t>
  </si>
  <si>
    <t>94947-4327</t>
  </si>
  <si>
    <t>NEW FREEDOM</t>
  </si>
  <si>
    <t>17349-8412</t>
  </si>
  <si>
    <t>ATHERTON</t>
  </si>
  <si>
    <t>94027-4194</t>
  </si>
  <si>
    <t>ADVANCE</t>
  </si>
  <si>
    <t>27006-7224</t>
  </si>
  <si>
    <t>59718-9118</t>
  </si>
  <si>
    <t>95020-8093</t>
  </si>
  <si>
    <t>83616-2102</t>
  </si>
  <si>
    <t>92675-1629</t>
  </si>
  <si>
    <t>78255-2256</t>
  </si>
  <si>
    <t>CARBONDALE</t>
  </si>
  <si>
    <t>81623-9649</t>
  </si>
  <si>
    <t>99224-8443</t>
  </si>
  <si>
    <t>WATSONVILLE</t>
  </si>
  <si>
    <t>95076-9715</t>
  </si>
  <si>
    <t>75231-5501</t>
  </si>
  <si>
    <t>HEREFORD</t>
  </si>
  <si>
    <t>85615-9595</t>
  </si>
  <si>
    <t>CEDAR HILL</t>
  </si>
  <si>
    <t>75104-3750</t>
  </si>
  <si>
    <t>98226-7508</t>
  </si>
  <si>
    <t>PENNGROVE</t>
  </si>
  <si>
    <t>94951-9729</t>
  </si>
  <si>
    <t>SUFFOLK</t>
  </si>
  <si>
    <t>23437-8905</t>
  </si>
  <si>
    <t>94028-7315</t>
  </si>
  <si>
    <t>83864-6507</t>
  </si>
  <si>
    <t>LOS LUNAS</t>
  </si>
  <si>
    <t>87031-6766</t>
  </si>
  <si>
    <t>97701-9731</t>
  </si>
  <si>
    <t>GLEN ELLEN</t>
  </si>
  <si>
    <t>GASTONIA</t>
  </si>
  <si>
    <t>28056-7126</t>
  </si>
  <si>
    <t>HALIFAX</t>
  </si>
  <si>
    <t>02338-1513</t>
  </si>
  <si>
    <t>76135-4918</t>
  </si>
  <si>
    <t>SALISBURY</t>
  </si>
  <si>
    <t>06068-1420</t>
  </si>
  <si>
    <t>EL DORADO HILLS</t>
  </si>
  <si>
    <t>95762-6534</t>
  </si>
  <si>
    <t>91301-3435</t>
  </si>
  <si>
    <t>98072-8929</t>
  </si>
  <si>
    <t>97132-6911</t>
  </si>
  <si>
    <t>MYSTIC</t>
  </si>
  <si>
    <t>06355-2110</t>
  </si>
  <si>
    <t>PINE PLAINS</t>
  </si>
  <si>
    <t>12567-6004</t>
  </si>
  <si>
    <t>LODI</t>
  </si>
  <si>
    <t>95240-9747</t>
  </si>
  <si>
    <t>28056-9068</t>
  </si>
  <si>
    <t>97703-9125</t>
  </si>
  <si>
    <t>CANYON COUNTRY</t>
  </si>
  <si>
    <t>91387-2117</t>
  </si>
  <si>
    <t>HAGER CITY</t>
  </si>
  <si>
    <t>54014-2400</t>
  </si>
  <si>
    <t>LAKE PANASOFFKEE</t>
  </si>
  <si>
    <t>33538-3230</t>
  </si>
  <si>
    <t>59718-7863</t>
  </si>
  <si>
    <t>CHINO HILLS</t>
  </si>
  <si>
    <t>91709-1510</t>
  </si>
  <si>
    <t>93463-9766</t>
  </si>
  <si>
    <t>83001-9438</t>
  </si>
  <si>
    <t>SHELBURNE</t>
  </si>
  <si>
    <t>05482-7096</t>
  </si>
  <si>
    <t>91709-1502</t>
  </si>
  <si>
    <t>89460-7560</t>
  </si>
  <si>
    <t>TEMPLETON</t>
  </si>
  <si>
    <t>93465-8309</t>
  </si>
  <si>
    <t>85262-6837</t>
  </si>
  <si>
    <t>BELLVILLE</t>
  </si>
  <si>
    <t>77418-4017</t>
  </si>
  <si>
    <t>84092-4640</t>
  </si>
  <si>
    <t>BENTON CITY</t>
  </si>
  <si>
    <t>99320-8512</t>
  </si>
  <si>
    <t>SAINT GABRIEL</t>
  </si>
  <si>
    <t>70776-5607</t>
  </si>
  <si>
    <t>RIDGEWAY</t>
  </si>
  <si>
    <t>29130-9053</t>
  </si>
  <si>
    <t>ELMA</t>
  </si>
  <si>
    <t>98541-9158</t>
  </si>
  <si>
    <t>PRESTON</t>
  </si>
  <si>
    <t>06365-8014</t>
  </si>
  <si>
    <t>77382-2765</t>
  </si>
  <si>
    <t>98103-3829</t>
  </si>
  <si>
    <t>94089-2540</t>
  </si>
  <si>
    <t>SCOTTS VALLEY</t>
  </si>
  <si>
    <t>89044-8762</t>
  </si>
  <si>
    <t>YORBA LINDA</t>
  </si>
  <si>
    <t>92886-4162</t>
  </si>
  <si>
    <t>94954-9583</t>
  </si>
  <si>
    <t>94526-1507</t>
  </si>
  <si>
    <t>84121-5233</t>
  </si>
  <si>
    <t>CENTENNIAL</t>
  </si>
  <si>
    <t>80015-4216</t>
  </si>
  <si>
    <t>94108-2612</t>
  </si>
  <si>
    <t>SAN MATEO</t>
  </si>
  <si>
    <t>94402-2420</t>
  </si>
  <si>
    <t>76266-5105</t>
  </si>
  <si>
    <t>98513-9264</t>
  </si>
  <si>
    <t>94954-9518</t>
  </si>
  <si>
    <t>ROUGEMONT</t>
  </si>
  <si>
    <t>27572-8964</t>
  </si>
  <si>
    <t>37914-9799</t>
  </si>
  <si>
    <t>95818-4462</t>
  </si>
  <si>
    <t>LIKELY</t>
  </si>
  <si>
    <t>96116-8011</t>
  </si>
  <si>
    <t>92026-1496</t>
  </si>
  <si>
    <t>59601-6691</t>
  </si>
  <si>
    <t>SAVANNAH</t>
  </si>
  <si>
    <t>31410-3218</t>
  </si>
  <si>
    <t>TEHACHAPI</t>
  </si>
  <si>
    <t>93561-7861</t>
  </si>
  <si>
    <t>GRAINFIELD</t>
  </si>
  <si>
    <t>67737-6005</t>
  </si>
  <si>
    <t>IONE</t>
  </si>
  <si>
    <t>95640-9167</t>
  </si>
  <si>
    <t>79118-3184</t>
  </si>
  <si>
    <t>LE MARS</t>
  </si>
  <si>
    <t>51031-8676</t>
  </si>
  <si>
    <t>BOX ELDER</t>
  </si>
  <si>
    <t>SD</t>
  </si>
  <si>
    <t>57719-8019</t>
  </si>
  <si>
    <t>89704-9311</t>
  </si>
  <si>
    <t xml:space="preserve">BOLINAS </t>
  </si>
  <si>
    <t>GORE</t>
  </si>
  <si>
    <t>22637-2015</t>
  </si>
  <si>
    <t>78410-5707</t>
  </si>
  <si>
    <t>85748-8356</t>
  </si>
  <si>
    <t>LIBERTY</t>
  </si>
  <si>
    <t>77575-9647</t>
  </si>
  <si>
    <t>HUBBARD</t>
  </si>
  <si>
    <t>97032-9767</t>
  </si>
  <si>
    <t>80117-9213</t>
  </si>
  <si>
    <t>PYOTE</t>
  </si>
  <si>
    <t>GAITHERSBURG</t>
  </si>
  <si>
    <t>20878-3551</t>
  </si>
  <si>
    <t>ANNAPOLIS</t>
  </si>
  <si>
    <t>21403-4257</t>
  </si>
  <si>
    <t>80304-0924</t>
  </si>
  <si>
    <t>95820-3942</t>
  </si>
  <si>
    <t>19709-9349</t>
  </si>
  <si>
    <t>HIGHLANDS RANCH</t>
  </si>
  <si>
    <t>80130-3777</t>
  </si>
  <si>
    <t>TOWNSEND</t>
  </si>
  <si>
    <t>01469-1155</t>
  </si>
  <si>
    <t>02067-2863</t>
  </si>
  <si>
    <t>WEST HEMPSTEAD</t>
  </si>
  <si>
    <t>11552-3213</t>
  </si>
  <si>
    <t>COLLIERVILLE</t>
  </si>
  <si>
    <t>38017-9205</t>
  </si>
  <si>
    <t>94954-9600</t>
  </si>
  <si>
    <t>LEWISTOWN</t>
  </si>
  <si>
    <t>WILTON</t>
  </si>
  <si>
    <t>95693-8586</t>
  </si>
  <si>
    <t>85266-4239</t>
  </si>
  <si>
    <t>RHINEBECK</t>
  </si>
  <si>
    <t>12572-1219</t>
  </si>
  <si>
    <t>77056-6460</t>
  </si>
  <si>
    <t>CASTLE PINES</t>
  </si>
  <si>
    <t>99037-8326</t>
  </si>
  <si>
    <t>92128-1251</t>
  </si>
  <si>
    <t>NEEDVILLE</t>
  </si>
  <si>
    <t>77461-9459</t>
  </si>
  <si>
    <t>DELAVAN</t>
  </si>
  <si>
    <t>53115-2500</t>
  </si>
  <si>
    <t>89503-2806</t>
  </si>
  <si>
    <t>WESTBURY</t>
  </si>
  <si>
    <t>11590-1850</t>
  </si>
  <si>
    <t>08844-5142</t>
  </si>
  <si>
    <t>77354-6480</t>
  </si>
  <si>
    <t>95693-9733</t>
  </si>
  <si>
    <t xml:space="preserve">RANCHO SANTA FE </t>
  </si>
  <si>
    <t>94542-1705</t>
  </si>
  <si>
    <t>MEDINA</t>
  </si>
  <si>
    <t>78055-3722</t>
  </si>
  <si>
    <t>SAN BERNARDINO</t>
  </si>
  <si>
    <t>92405-4113</t>
  </si>
  <si>
    <t>ELLENSBURG</t>
  </si>
  <si>
    <t>98926-3918</t>
  </si>
  <si>
    <t>80136-8706</t>
  </si>
  <si>
    <t>BONNERS FERRY</t>
  </si>
  <si>
    <t>83805-5014</t>
  </si>
  <si>
    <t>WATTSBURG</t>
  </si>
  <si>
    <t>16442-1504</t>
  </si>
  <si>
    <t>99353-8772</t>
  </si>
  <si>
    <t>98005-2208</t>
  </si>
  <si>
    <t>98070-4653</t>
  </si>
  <si>
    <t>SORRENTO</t>
  </si>
  <si>
    <t>KINGS BEACH</t>
  </si>
  <si>
    <t>96143-4507</t>
  </si>
  <si>
    <t>ELBERT</t>
  </si>
  <si>
    <t>80106-9002</t>
  </si>
  <si>
    <t>OJAI</t>
  </si>
  <si>
    <t>ENCINITAS</t>
  </si>
  <si>
    <t>92024-1226</t>
  </si>
  <si>
    <t>93730-0806</t>
  </si>
  <si>
    <t>CLOVIS</t>
  </si>
  <si>
    <t>88101-3116</t>
  </si>
  <si>
    <t>ROSWELL</t>
  </si>
  <si>
    <t>88201-7503</t>
  </si>
  <si>
    <t>HAWTHORNE</t>
  </si>
  <si>
    <t>90250-1957</t>
  </si>
  <si>
    <t>98223-9661</t>
  </si>
  <si>
    <t>76087-4203</t>
  </si>
  <si>
    <t>94960-1639</t>
  </si>
  <si>
    <t>BAKER CITY</t>
  </si>
  <si>
    <t>97814-3920</t>
  </si>
  <si>
    <t>PROVIDENCE</t>
  </si>
  <si>
    <t>02903-3813</t>
  </si>
  <si>
    <t>CASTAIC</t>
  </si>
  <si>
    <t>91384-4538</t>
  </si>
  <si>
    <t>DURANGO</t>
  </si>
  <si>
    <t>81301-8938</t>
  </si>
  <si>
    <t>ELKINS</t>
  </si>
  <si>
    <t>93611-4003</t>
  </si>
  <si>
    <t>CORTE MADERA</t>
  </si>
  <si>
    <t>94925-1622</t>
  </si>
  <si>
    <t>76244-7591</t>
  </si>
  <si>
    <t>BRENTWOOD</t>
  </si>
  <si>
    <t>RAMSEY</t>
  </si>
  <si>
    <t>07446-1016</t>
  </si>
  <si>
    <t>93619-2002</t>
  </si>
  <si>
    <t>ARROYO GRANDE</t>
  </si>
  <si>
    <t>78232-4720</t>
  </si>
  <si>
    <t>OVID</t>
  </si>
  <si>
    <t>83254-4921</t>
  </si>
  <si>
    <t>YADKINVILLE</t>
  </si>
  <si>
    <t>27055-8708</t>
  </si>
  <si>
    <t>THERMOPOLIS</t>
  </si>
  <si>
    <t>82443-9436</t>
  </si>
  <si>
    <t>96161-6902</t>
  </si>
  <si>
    <t>59602-9184</t>
  </si>
  <si>
    <t>92592-8127</t>
  </si>
  <si>
    <t>CASA GRANDE</t>
  </si>
  <si>
    <t>NORTH DIGHTON</t>
  </si>
  <si>
    <t>02764-1934</t>
  </si>
  <si>
    <t>86351-7868</t>
  </si>
  <si>
    <t>TUMWATER</t>
  </si>
  <si>
    <t>98512-6773</t>
  </si>
  <si>
    <t>94019-1423</t>
  </si>
  <si>
    <t>81301-3119</t>
  </si>
  <si>
    <t>95603-9439</t>
  </si>
  <si>
    <t>55044-2321</t>
  </si>
  <si>
    <t>VALLEY MILLS</t>
  </si>
  <si>
    <t>76689-2923</t>
  </si>
  <si>
    <t>80403-9732</t>
  </si>
  <si>
    <t>SIMMS</t>
  </si>
  <si>
    <t>98290-3020</t>
  </si>
  <si>
    <t>HAILEY</t>
  </si>
  <si>
    <t>83333-6113</t>
  </si>
  <si>
    <t>BRIARCLIFF MANOR</t>
  </si>
  <si>
    <t>10510-1464</t>
  </si>
  <si>
    <t>LOS RANCHOS</t>
  </si>
  <si>
    <t>87107-5626</t>
  </si>
  <si>
    <t>BLAINE</t>
  </si>
  <si>
    <t>98230-5106</t>
  </si>
  <si>
    <t>98168-6204</t>
  </si>
  <si>
    <t>98597-9142</t>
  </si>
  <si>
    <t>98223-7531</t>
  </si>
  <si>
    <t>ADDY</t>
  </si>
  <si>
    <t>99101-9639</t>
  </si>
  <si>
    <t>98346-9412</t>
  </si>
  <si>
    <t>93023-1822</t>
  </si>
  <si>
    <t>78665-2710</t>
  </si>
  <si>
    <t>97402-9633</t>
  </si>
  <si>
    <t>MIDDLETON</t>
  </si>
  <si>
    <t>83644-5928</t>
  </si>
  <si>
    <t>DOWNEY</t>
  </si>
  <si>
    <t>90241-4516</t>
  </si>
  <si>
    <t>98051-8600</t>
  </si>
  <si>
    <t>59804-6107</t>
  </si>
  <si>
    <t>98058-2843</t>
  </si>
  <si>
    <t>97217-5442</t>
  </si>
  <si>
    <t>93722-5223</t>
  </si>
  <si>
    <t>LA MESA</t>
  </si>
  <si>
    <t>91941-5469</t>
  </si>
  <si>
    <t>LOVELAND</t>
  </si>
  <si>
    <t>80537-8784</t>
  </si>
  <si>
    <t>WILDER</t>
  </si>
  <si>
    <t>83676-5001</t>
  </si>
  <si>
    <t>KENSINGTON</t>
  </si>
  <si>
    <t>94708-1120</t>
  </si>
  <si>
    <t>84025-3712</t>
  </si>
  <si>
    <t>89134-6707</t>
  </si>
  <si>
    <t>BRUNEAU</t>
  </si>
  <si>
    <t>83604-5123</t>
  </si>
  <si>
    <t>CERES</t>
  </si>
  <si>
    <t>95307-9428</t>
  </si>
  <si>
    <t>PLACERVILLE</t>
  </si>
  <si>
    <t>95667-8227</t>
  </si>
  <si>
    <t>98340-7800</t>
  </si>
  <si>
    <t>VICTOR</t>
  </si>
  <si>
    <t>83455-1326</t>
  </si>
  <si>
    <t>XENIA</t>
  </si>
  <si>
    <t>45385-8592</t>
  </si>
  <si>
    <t>SOUTHAMPTON</t>
  </si>
  <si>
    <t>08088-9110</t>
  </si>
  <si>
    <t>THE COLONY</t>
  </si>
  <si>
    <t>75056-5363</t>
  </si>
  <si>
    <t>78621-5387</t>
  </si>
  <si>
    <t>77459-6061</t>
  </si>
  <si>
    <t>LOVELOCK</t>
  </si>
  <si>
    <t>89419-5724</t>
  </si>
  <si>
    <t>95050-2053</t>
  </si>
  <si>
    <t>OAKDALE</t>
  </si>
  <si>
    <t>95361-7879</t>
  </si>
  <si>
    <t>HARLEYSVILLE</t>
  </si>
  <si>
    <t>BURNET</t>
  </si>
  <si>
    <t>78611-4946</t>
  </si>
  <si>
    <t>22306-1115</t>
  </si>
  <si>
    <t>WILSON</t>
  </si>
  <si>
    <t>92865-2935</t>
  </si>
  <si>
    <t>80220-1627</t>
  </si>
  <si>
    <t>98112-5424</t>
  </si>
  <si>
    <t>83714-9732</t>
  </si>
  <si>
    <t>MARBLE FALLS</t>
  </si>
  <si>
    <t>78654-3845</t>
  </si>
  <si>
    <t>98922-8753</t>
  </si>
  <si>
    <t>ROCK HILL</t>
  </si>
  <si>
    <t>29732-8682</t>
  </si>
  <si>
    <t>94952-9698</t>
  </si>
  <si>
    <t>LOCKEFORD</t>
  </si>
  <si>
    <t>95237-9541</t>
  </si>
  <si>
    <t>68025-4623</t>
  </si>
  <si>
    <t>TURLOCK</t>
  </si>
  <si>
    <t>95380-6126</t>
  </si>
  <si>
    <t>30628-1631</t>
  </si>
  <si>
    <t>CARROLLTON</t>
  </si>
  <si>
    <t>30117-7869</t>
  </si>
  <si>
    <t>85282-2909</t>
  </si>
  <si>
    <t>WATERTOWN</t>
  </si>
  <si>
    <t>GIG HARBOR</t>
  </si>
  <si>
    <t>98335-6662</t>
  </si>
  <si>
    <t xml:space="preserve">PENSACOLA </t>
  </si>
  <si>
    <t>80439-6365</t>
  </si>
  <si>
    <t>ROCKY MOUNT</t>
  </si>
  <si>
    <t>24151-4984</t>
  </si>
  <si>
    <t>NIPOMO</t>
  </si>
  <si>
    <t>93444-8894</t>
  </si>
  <si>
    <t>97055-7675</t>
  </si>
  <si>
    <t>90814-4227</t>
  </si>
  <si>
    <t>93463-2234</t>
  </si>
  <si>
    <t>93420-2422</t>
  </si>
  <si>
    <t>55057-3362</t>
  </si>
  <si>
    <t>BUELLTON</t>
  </si>
  <si>
    <t>95966-9688</t>
  </si>
  <si>
    <t>DENTON</t>
  </si>
  <si>
    <t>76207-5122</t>
  </si>
  <si>
    <t>59602-8862</t>
  </si>
  <si>
    <t>83634-5635</t>
  </si>
  <si>
    <t>75006-5219</t>
  </si>
  <si>
    <t>95901-9585</t>
  </si>
  <si>
    <t>COALINGA</t>
  </si>
  <si>
    <t>93210-2149</t>
  </si>
  <si>
    <t>94061-3240</t>
  </si>
  <si>
    <t>95236-9333</t>
  </si>
  <si>
    <t>STAYTON</t>
  </si>
  <si>
    <t>WALLA WALLA</t>
  </si>
  <si>
    <t>99362-5033</t>
  </si>
  <si>
    <t>SOLANA BEACH</t>
  </si>
  <si>
    <t>92075-1239</t>
  </si>
  <si>
    <t>91709-7977</t>
  </si>
  <si>
    <t>93463-2818</t>
  </si>
  <si>
    <t>TRUMBULL</t>
  </si>
  <si>
    <t>06611-2764</t>
  </si>
  <si>
    <t>95618-6604</t>
  </si>
  <si>
    <t>93561-7055</t>
  </si>
  <si>
    <t>87506-0010</t>
  </si>
  <si>
    <t>BAYFIELD</t>
  </si>
  <si>
    <t>81122-9030</t>
  </si>
  <si>
    <t>94534-4089</t>
  </si>
  <si>
    <t>STRATFORD</t>
  </si>
  <si>
    <t>93266-9729</t>
  </si>
  <si>
    <t>85742-4497</t>
  </si>
  <si>
    <t>CORNELIUS</t>
  </si>
  <si>
    <t>ROYAL OAK</t>
  </si>
  <si>
    <t>93013-1326</t>
  </si>
  <si>
    <t>59901-7523</t>
  </si>
  <si>
    <t>94566-3116</t>
  </si>
  <si>
    <t>78729-7718</t>
  </si>
  <si>
    <t>INDIANA</t>
  </si>
  <si>
    <t>15701-7634</t>
  </si>
  <si>
    <t>98052-2823</t>
  </si>
  <si>
    <t>95833-9649</t>
  </si>
  <si>
    <t>WILSONVILLE</t>
  </si>
  <si>
    <t>97070-6701</t>
  </si>
  <si>
    <t>CARY</t>
  </si>
  <si>
    <t>60013-1265</t>
  </si>
  <si>
    <t>97203-3509</t>
  </si>
  <si>
    <t>98115-7521</t>
  </si>
  <si>
    <t>93619-9490</t>
  </si>
  <si>
    <t>83341-5273</t>
  </si>
  <si>
    <t>SUN CITY WEST</t>
  </si>
  <si>
    <t>85375-2271</t>
  </si>
  <si>
    <t>ALTUS</t>
  </si>
  <si>
    <t>73521-1127</t>
  </si>
  <si>
    <t>RED BLUFF</t>
  </si>
  <si>
    <t>96080-9360</t>
  </si>
  <si>
    <t>BANKS</t>
  </si>
  <si>
    <t>CAMBRIA</t>
  </si>
  <si>
    <t>93428-2402</t>
  </si>
  <si>
    <t>PAW PAW</t>
  </si>
  <si>
    <t>49079-9446</t>
  </si>
  <si>
    <t>93923-7716</t>
  </si>
  <si>
    <t>LOWELL</t>
  </si>
  <si>
    <t>49331-9646</t>
  </si>
  <si>
    <t>ORTONVILLE</t>
  </si>
  <si>
    <t>48462-8455</t>
  </si>
  <si>
    <t>BILLINGS</t>
  </si>
  <si>
    <t>59106-2855</t>
  </si>
  <si>
    <t>DELANO</t>
  </si>
  <si>
    <t>55328-8143</t>
  </si>
  <si>
    <t>85298-9703</t>
  </si>
  <si>
    <t>SEDALIA</t>
  </si>
  <si>
    <t>80135-8718</t>
  </si>
  <si>
    <t>98335-5811</t>
  </si>
  <si>
    <t>EUSTACE</t>
  </si>
  <si>
    <t>75124-9791</t>
  </si>
  <si>
    <t>CLAYTON</t>
  </si>
  <si>
    <t>94517-9730</t>
  </si>
  <si>
    <t>83616-2144</t>
  </si>
  <si>
    <t>STILLWATER</t>
  </si>
  <si>
    <t>55082-3581</t>
  </si>
  <si>
    <t>80116-8014</t>
  </si>
  <si>
    <t>98070-6401</t>
  </si>
  <si>
    <t>73013-8058</t>
  </si>
  <si>
    <t>WHITE CITY</t>
  </si>
  <si>
    <t>97503-8531</t>
  </si>
  <si>
    <t>77406-9771</t>
  </si>
  <si>
    <t>CAZADERO</t>
  </si>
  <si>
    <t>95421-9610</t>
  </si>
  <si>
    <t>CANON CITY</t>
  </si>
  <si>
    <t>81212-8300</t>
  </si>
  <si>
    <t>FAIRFAX</t>
  </si>
  <si>
    <t>05454-9551</t>
  </si>
  <si>
    <t>80210-4396</t>
  </si>
  <si>
    <t>95695-4635</t>
  </si>
  <si>
    <t>GALENA</t>
  </si>
  <si>
    <t>61036-8619</t>
  </si>
  <si>
    <t>90501-2528</t>
  </si>
  <si>
    <t>93012-9305</t>
  </si>
  <si>
    <t>59405-8231</t>
  </si>
  <si>
    <t>89117-5851</t>
  </si>
  <si>
    <t>77578-1706</t>
  </si>
  <si>
    <t xml:space="preserve">PARKER </t>
  </si>
  <si>
    <t>FALLBROOK</t>
  </si>
  <si>
    <t>92028-5415</t>
  </si>
  <si>
    <t>MONUMENT</t>
  </si>
  <si>
    <t>80132-2216</t>
  </si>
  <si>
    <t>59404-6365</t>
  </si>
  <si>
    <t>85331-2377</t>
  </si>
  <si>
    <t>INDIO</t>
  </si>
  <si>
    <t>93427-9735</t>
  </si>
  <si>
    <t>EDDINGTON</t>
  </si>
  <si>
    <t>04428-3236</t>
  </si>
  <si>
    <t>13135-2240</t>
  </si>
  <si>
    <t>DACULA</t>
  </si>
  <si>
    <t>30019-3274</t>
  </si>
  <si>
    <t>SHINGLE SPRINGS</t>
  </si>
  <si>
    <t>95682-5128</t>
  </si>
  <si>
    <t>MCLEAN</t>
  </si>
  <si>
    <t>22101-5650</t>
  </si>
  <si>
    <t>WOODSTOCK</t>
  </si>
  <si>
    <t>60098-8916</t>
  </si>
  <si>
    <t>73107-4702</t>
  </si>
  <si>
    <t>01516-2445</t>
  </si>
  <si>
    <t>PAHRUMP</t>
  </si>
  <si>
    <t>87501-1868</t>
  </si>
  <si>
    <t>NAPA</t>
  </si>
  <si>
    <t>94558-7028</t>
  </si>
  <si>
    <t>80211-4976</t>
  </si>
  <si>
    <t>92807-3848</t>
  </si>
  <si>
    <t>93561-7277</t>
  </si>
  <si>
    <t>97302-5435</t>
  </si>
  <si>
    <t>GREENVILLE</t>
  </si>
  <si>
    <t>27858-6805</t>
  </si>
  <si>
    <t>DRIGGS</t>
  </si>
  <si>
    <t>83422-4838</t>
  </si>
  <si>
    <t>97123-9025</t>
  </si>
  <si>
    <t>92117-6163</t>
  </si>
  <si>
    <t>85050-9010</t>
  </si>
  <si>
    <t>95060-2443</t>
  </si>
  <si>
    <t>98258-9587</t>
  </si>
  <si>
    <t>SAUSALITO</t>
  </si>
  <si>
    <t>94402-2307</t>
  </si>
  <si>
    <t>SAN ANGELO</t>
  </si>
  <si>
    <t>AJO</t>
  </si>
  <si>
    <t>85321-9752</t>
  </si>
  <si>
    <t>COMMERCE CITY</t>
  </si>
  <si>
    <t>80022-2969</t>
  </si>
  <si>
    <t>ALAMEDA</t>
  </si>
  <si>
    <t>94501-1270</t>
  </si>
  <si>
    <t xml:space="preserve">HANSVILLE </t>
  </si>
  <si>
    <t>NAZARETH</t>
  </si>
  <si>
    <t>18064-8304</t>
  </si>
  <si>
    <t>94550-3795</t>
  </si>
  <si>
    <t>SPICEWOOD</t>
  </si>
  <si>
    <t>95650-8032</t>
  </si>
  <si>
    <t>94928-1511</t>
  </si>
  <si>
    <t>93105-2116</t>
  </si>
  <si>
    <t>98014-6866</t>
  </si>
  <si>
    <t>EAST WENATCHEE</t>
  </si>
  <si>
    <t>MONROE</t>
  </si>
  <si>
    <t>98272-2229</t>
  </si>
  <si>
    <t>98058-7500</t>
  </si>
  <si>
    <t>98671-8620</t>
  </si>
  <si>
    <t>MENIFEE</t>
  </si>
  <si>
    <t>72207-4325</t>
  </si>
  <si>
    <t>77845-3889</t>
  </si>
  <si>
    <t>FAIR OAKS</t>
  </si>
  <si>
    <t>95628-3845</t>
  </si>
  <si>
    <t>HERRIMAN</t>
  </si>
  <si>
    <t>76001-2904</t>
  </si>
  <si>
    <t>ARGYLE</t>
  </si>
  <si>
    <t>76226-5076</t>
  </si>
  <si>
    <t>97132-6528</t>
  </si>
  <si>
    <t>PEACHTREE CITY</t>
  </si>
  <si>
    <t>30269-2841</t>
  </si>
  <si>
    <t>CASCADE LOCKS</t>
  </si>
  <si>
    <t>97014-6662</t>
  </si>
  <si>
    <t>95667-9181</t>
  </si>
  <si>
    <t>93727-7546</t>
  </si>
  <si>
    <t>95472-4318</t>
  </si>
  <si>
    <t>98223-8503</t>
  </si>
  <si>
    <t>86004-3236</t>
  </si>
  <si>
    <t>95901-9004</t>
  </si>
  <si>
    <t>98335-5957</t>
  </si>
  <si>
    <t>SPRINGVILLE</t>
  </si>
  <si>
    <t>35146-4800</t>
  </si>
  <si>
    <t>DAMMERON VALLEY</t>
  </si>
  <si>
    <t>84783-5022</t>
  </si>
  <si>
    <t>95407-4587</t>
  </si>
  <si>
    <t>83404-7712</t>
  </si>
  <si>
    <t>ROCHESTER</t>
  </si>
  <si>
    <t>85234-6104</t>
  </si>
  <si>
    <t>01501-2465</t>
  </si>
  <si>
    <t>94070-3416</t>
  </si>
  <si>
    <t>93446-8418</t>
  </si>
  <si>
    <t>85262-4999</t>
  </si>
  <si>
    <t>87122-3653</t>
  </si>
  <si>
    <t>76082-6571</t>
  </si>
  <si>
    <t>94928-5410</t>
  </si>
  <si>
    <t>92506-5057</t>
  </si>
  <si>
    <t>97106-9700</t>
  </si>
  <si>
    <t>97703-5230</t>
  </si>
  <si>
    <t>CANBY</t>
  </si>
  <si>
    <t>97013-9325</t>
  </si>
  <si>
    <t>WOODLAND PARK</t>
  </si>
  <si>
    <t>80863-6911</t>
  </si>
  <si>
    <t>84087-2104</t>
  </si>
  <si>
    <t>97045-7610</t>
  </si>
  <si>
    <t>GEORGETOWN</t>
  </si>
  <si>
    <t>RIDGECREST</t>
  </si>
  <si>
    <t>93555-7642</t>
  </si>
  <si>
    <t xml:space="preserve">SAN JOSE </t>
  </si>
  <si>
    <t>83712-7405</t>
  </si>
  <si>
    <t>93405-1869</t>
  </si>
  <si>
    <t>93001-2667</t>
  </si>
  <si>
    <t>97223-1518</t>
  </si>
  <si>
    <t>98108-2271</t>
  </si>
  <si>
    <t>98374-9299</t>
  </si>
  <si>
    <t>75231-4603</t>
  </si>
  <si>
    <t>85749-8395</t>
  </si>
  <si>
    <t>COSTA MESA</t>
  </si>
  <si>
    <t>92626-5112</t>
  </si>
  <si>
    <t>COLLEYVILLE</t>
  </si>
  <si>
    <t>76034-4669</t>
  </si>
  <si>
    <t>97038-7503</t>
  </si>
  <si>
    <t>81212-4012</t>
  </si>
  <si>
    <t>HOFFMAN</t>
  </si>
  <si>
    <t>28347-8926</t>
  </si>
  <si>
    <t>SELMA</t>
  </si>
  <si>
    <t>78154-1335</t>
  </si>
  <si>
    <t>80908-1249</t>
  </si>
  <si>
    <t>94062-2055</t>
  </si>
  <si>
    <t>NEWPORT</t>
  </si>
  <si>
    <t>99156-9366</t>
  </si>
  <si>
    <t>94552-9501</t>
  </si>
  <si>
    <t>LUTHER</t>
  </si>
  <si>
    <t>WILLOW CREEK</t>
  </si>
  <si>
    <t>HIDDEN VALLEY LAKE</t>
  </si>
  <si>
    <t>95467-8656</t>
  </si>
  <si>
    <t>98019-8812</t>
  </si>
  <si>
    <t>HOWELL</t>
  </si>
  <si>
    <t>48843-7817</t>
  </si>
  <si>
    <t>98077-7617</t>
  </si>
  <si>
    <t>IGNACIO</t>
  </si>
  <si>
    <t>81137-9731</t>
  </si>
  <si>
    <t>NILES</t>
  </si>
  <si>
    <t>49120-8762</t>
  </si>
  <si>
    <t>59718-2833</t>
  </si>
  <si>
    <t>SUNRAY</t>
  </si>
  <si>
    <t>SOUTH BOSTON</t>
  </si>
  <si>
    <t>02127-2616</t>
  </si>
  <si>
    <t>CHEROKEE</t>
  </si>
  <si>
    <t>98368-9241</t>
  </si>
  <si>
    <t>CHESAPEAKE</t>
  </si>
  <si>
    <t>23322-1515</t>
  </si>
  <si>
    <t>80021-4731</t>
  </si>
  <si>
    <t>77006-2318</t>
  </si>
  <si>
    <t>94583-1657</t>
  </si>
  <si>
    <t>WEST VALLEY CITY</t>
  </si>
  <si>
    <t>84119-2038</t>
  </si>
  <si>
    <t>CARLOTTA</t>
  </si>
  <si>
    <t>GULFPORT</t>
  </si>
  <si>
    <t>39507-4550</t>
  </si>
  <si>
    <t>85054-5142</t>
  </si>
  <si>
    <t>WALNUT COVE</t>
  </si>
  <si>
    <t>METAIRIE</t>
  </si>
  <si>
    <t>70001-6157</t>
  </si>
  <si>
    <t>85298-8930</t>
  </si>
  <si>
    <t>97306-9146</t>
  </si>
  <si>
    <t>85704-8609</t>
  </si>
  <si>
    <t>HARTFORD</t>
  </si>
  <si>
    <t>53027-9769</t>
  </si>
  <si>
    <t>SCHWENKSVILLE</t>
  </si>
  <si>
    <t>19473-2203</t>
  </si>
  <si>
    <t>LAWTON</t>
  </si>
  <si>
    <t>73507-8585</t>
  </si>
  <si>
    <t>91301-2216</t>
  </si>
  <si>
    <t>KAYSVILLE</t>
  </si>
  <si>
    <t>84037-8408</t>
  </si>
  <si>
    <t>83607-5770</t>
  </si>
  <si>
    <t>VINEYARD HAVEN</t>
  </si>
  <si>
    <t>02568-6356</t>
  </si>
  <si>
    <t>ELIDA</t>
  </si>
  <si>
    <t>88116-9011</t>
  </si>
  <si>
    <t>94960-1507</t>
  </si>
  <si>
    <t>LEBANON</t>
  </si>
  <si>
    <t>97355-9243</t>
  </si>
  <si>
    <t>04211-8020</t>
  </si>
  <si>
    <t>80526-3905</t>
  </si>
  <si>
    <t>80439-9501</t>
  </si>
  <si>
    <t>MAPLETON</t>
  </si>
  <si>
    <t>84664-3222</t>
  </si>
  <si>
    <t>95066-4603</t>
  </si>
  <si>
    <t>94965-1308</t>
  </si>
  <si>
    <t>94952-9221</t>
  </si>
  <si>
    <t>94534-7803</t>
  </si>
  <si>
    <t>86303-5556</t>
  </si>
  <si>
    <t>85615-9271</t>
  </si>
  <si>
    <t>93111-4045</t>
  </si>
  <si>
    <t>STEVENSVILLE</t>
  </si>
  <si>
    <t>59870-6109</t>
  </si>
  <si>
    <t>93292-6873</t>
  </si>
  <si>
    <t>77077-5328</t>
  </si>
  <si>
    <t>59804-3008</t>
  </si>
  <si>
    <t>GLASGOW</t>
  </si>
  <si>
    <t>42141-7658</t>
  </si>
  <si>
    <t>78759-4523</t>
  </si>
  <si>
    <t>VACAVILLE</t>
  </si>
  <si>
    <t>95687-5486</t>
  </si>
  <si>
    <t>89143-5118</t>
  </si>
  <si>
    <t>WESTLAKE VILLAGE</t>
  </si>
  <si>
    <t>91361-3620</t>
  </si>
  <si>
    <t>98290-9015</t>
  </si>
  <si>
    <t>PARADISE VALLEY</t>
  </si>
  <si>
    <t>85253-5144</t>
  </si>
  <si>
    <t>SUGAR LAND</t>
  </si>
  <si>
    <t>77478-3645</t>
  </si>
  <si>
    <t>95616-0714</t>
  </si>
  <si>
    <t>89011-3188</t>
  </si>
  <si>
    <t>SLOUGHHOUSE</t>
  </si>
  <si>
    <t>95683-9276</t>
  </si>
  <si>
    <t>87540-9656</t>
  </si>
  <si>
    <t>89511-7653</t>
  </si>
  <si>
    <t>95066-3002</t>
  </si>
  <si>
    <t>GREY EAGLE</t>
  </si>
  <si>
    <t>SANTA CLARITA</t>
  </si>
  <si>
    <t>WEST WINFIELD</t>
  </si>
  <si>
    <t>80513-7909</t>
  </si>
  <si>
    <t>SAN MARCOS</t>
  </si>
  <si>
    <t>92069-9736</t>
  </si>
  <si>
    <t xml:space="preserve">PORT TOWNSEND </t>
  </si>
  <si>
    <t>95765-5636</t>
  </si>
  <si>
    <t>BINGHAMTON</t>
  </si>
  <si>
    <t>13903-1834</t>
  </si>
  <si>
    <t>44202-7892</t>
  </si>
  <si>
    <t>78653-5205</t>
  </si>
  <si>
    <t>98282-6367</t>
  </si>
  <si>
    <t>97013-3295</t>
  </si>
  <si>
    <t>59079-3339</t>
  </si>
  <si>
    <t>SEQUIM</t>
  </si>
  <si>
    <t>98382-7531</t>
  </si>
  <si>
    <t>LACEY</t>
  </si>
  <si>
    <t>98110-2054</t>
  </si>
  <si>
    <t>95603-9398</t>
  </si>
  <si>
    <t>85282-4143</t>
  </si>
  <si>
    <t>80134-4197</t>
  </si>
  <si>
    <t>NIWOT</t>
  </si>
  <si>
    <t>80503-7242</t>
  </si>
  <si>
    <t>93021-9708</t>
  </si>
  <si>
    <t>78028-7065</t>
  </si>
  <si>
    <t>77379-8451</t>
  </si>
  <si>
    <t>80906-4428</t>
  </si>
  <si>
    <t>BULVERDE</t>
  </si>
  <si>
    <t>78163-3052</t>
  </si>
  <si>
    <t>98250-8435</t>
  </si>
  <si>
    <t>MANHATTAN</t>
  </si>
  <si>
    <t>95404-6190</t>
  </si>
  <si>
    <t>95060-6139</t>
  </si>
  <si>
    <t>84754-4425</t>
  </si>
  <si>
    <t>JEFFERSON</t>
  </si>
  <si>
    <t>97352-9281</t>
  </si>
  <si>
    <t>BROOKSHIRE</t>
  </si>
  <si>
    <t>77423-1525</t>
  </si>
  <si>
    <t>85284-1611</t>
  </si>
  <si>
    <t>92677-9237</t>
  </si>
  <si>
    <t>COLUSA</t>
  </si>
  <si>
    <t>95932-3255</t>
  </si>
  <si>
    <t>97478-7000</t>
  </si>
  <si>
    <t>80538-6437</t>
  </si>
  <si>
    <t>80524-1084</t>
  </si>
  <si>
    <t>95037-9651</t>
  </si>
  <si>
    <t>98383-9701</t>
  </si>
  <si>
    <t>SOMIS</t>
  </si>
  <si>
    <t>93066-2105</t>
  </si>
  <si>
    <t>23314-4348</t>
  </si>
  <si>
    <t>SANTA YSABEL</t>
  </si>
  <si>
    <t>92070-9617</t>
  </si>
  <si>
    <t>94062-4125</t>
  </si>
  <si>
    <t>93924-9417</t>
  </si>
  <si>
    <t>88021-9230</t>
  </si>
  <si>
    <t>CHAGRIN FALLS</t>
  </si>
  <si>
    <t>44023-4313</t>
  </si>
  <si>
    <t>BATAVIA</t>
  </si>
  <si>
    <t>14020-9545</t>
  </si>
  <si>
    <t>77406-8125</t>
  </si>
  <si>
    <t>NEVADA</t>
  </si>
  <si>
    <t>75173-8195</t>
  </si>
  <si>
    <t>WOODBINE</t>
  </si>
  <si>
    <t>08270-3604</t>
  </si>
  <si>
    <t>CLIFTON SPRINGS</t>
  </si>
  <si>
    <t>14432-9367</t>
  </si>
  <si>
    <t>BATTLE GROUND</t>
  </si>
  <si>
    <t>98604-5302</t>
  </si>
  <si>
    <t>84070-4106</t>
  </si>
  <si>
    <t>85749-8956</t>
  </si>
  <si>
    <t>98272-8912</t>
  </si>
  <si>
    <t>BLUE RIDGE</t>
  </si>
  <si>
    <t>75424-2905</t>
  </si>
  <si>
    <t>RUTLAND</t>
  </si>
  <si>
    <t>01543-1305</t>
  </si>
  <si>
    <t>85028-5001</t>
  </si>
  <si>
    <t>92003-4601</t>
  </si>
  <si>
    <t>81623-9638</t>
  </si>
  <si>
    <t>98296-4816</t>
  </si>
  <si>
    <t>17847-7868</t>
  </si>
  <si>
    <t>BRANDYWINE</t>
  </si>
  <si>
    <t>26802-8231</t>
  </si>
  <si>
    <t>PRESCOTT VALLEY</t>
  </si>
  <si>
    <t>86315-4175</t>
  </si>
  <si>
    <t>85749-9066</t>
  </si>
  <si>
    <t>76088-1221</t>
  </si>
  <si>
    <t>21769-8611</t>
  </si>
  <si>
    <t>93535-8313</t>
  </si>
  <si>
    <t>93924-9440</t>
  </si>
  <si>
    <t>85250-4535</t>
  </si>
  <si>
    <t>97045-9623</t>
  </si>
  <si>
    <t>91390-4868</t>
  </si>
  <si>
    <t>94619-2414</t>
  </si>
  <si>
    <t>80125-9337</t>
  </si>
  <si>
    <t>15301-8794</t>
  </si>
  <si>
    <t>CLOVERDALE</t>
  </si>
  <si>
    <t>95425-9427</t>
  </si>
  <si>
    <t>PUTNAM VALLEY</t>
  </si>
  <si>
    <t>10579-2600</t>
  </si>
  <si>
    <t>85298-8747</t>
  </si>
  <si>
    <t>LIVINGSTON MANOR</t>
  </si>
  <si>
    <t>12758-7701</t>
  </si>
  <si>
    <t>93908-8991</t>
  </si>
  <si>
    <t>89508-9503</t>
  </si>
  <si>
    <t>THREE FORKS</t>
  </si>
  <si>
    <t>59752-9706</t>
  </si>
  <si>
    <t>94952-3646</t>
  </si>
  <si>
    <t>SHAFTER</t>
  </si>
  <si>
    <t>93263-9485</t>
  </si>
  <si>
    <t>EMMETT</t>
  </si>
  <si>
    <t>83617-9087</t>
  </si>
  <si>
    <t>97202-4038</t>
  </si>
  <si>
    <t>94070-1709</t>
  </si>
  <si>
    <t>97214-2696</t>
  </si>
  <si>
    <t>97756-7279</t>
  </si>
  <si>
    <t>95118-1458</t>
  </si>
  <si>
    <t>PINE VALLEY</t>
  </si>
  <si>
    <t>95023-9325</t>
  </si>
  <si>
    <t>87540-9679</t>
  </si>
  <si>
    <t>PERALTA</t>
  </si>
  <si>
    <t>87042-2206</t>
  </si>
  <si>
    <t>80010-3342</t>
  </si>
  <si>
    <t>SNYDER</t>
  </si>
  <si>
    <t>80228-1307</t>
  </si>
  <si>
    <t>97003-2573</t>
  </si>
  <si>
    <t>98240-9621</t>
  </si>
  <si>
    <t>94928-4911</t>
  </si>
  <si>
    <t>KEENE</t>
  </si>
  <si>
    <t>76059-1379</t>
  </si>
  <si>
    <t>RAPID CITY</t>
  </si>
  <si>
    <t>57702-7347</t>
  </si>
  <si>
    <t>93422-1347</t>
  </si>
  <si>
    <t>TENINO</t>
  </si>
  <si>
    <t>98589-9523</t>
  </si>
  <si>
    <t>GREENCREEK</t>
  </si>
  <si>
    <t>83533-5027</t>
  </si>
  <si>
    <t>97527-8773</t>
  </si>
  <si>
    <t>SIERRA VISTA</t>
  </si>
  <si>
    <t>85650-1210</t>
  </si>
  <si>
    <t>98019-9709</t>
  </si>
  <si>
    <t>98072-8177</t>
  </si>
  <si>
    <t>75075-2906</t>
  </si>
  <si>
    <t>85331-3846</t>
  </si>
  <si>
    <t>YUCAIPA</t>
  </si>
  <si>
    <t>92399-9730</t>
  </si>
  <si>
    <t>93514-9490</t>
  </si>
  <si>
    <t>80106-9022</t>
  </si>
  <si>
    <t>80603-9729</t>
  </si>
  <si>
    <t>94939-2037</t>
  </si>
  <si>
    <t xml:space="preserve">TOPANGA </t>
  </si>
  <si>
    <t>BENNINGTON</t>
  </si>
  <si>
    <t>05201-2128</t>
  </si>
  <si>
    <t>84084-1935</t>
  </si>
  <si>
    <t>77389-4127</t>
  </si>
  <si>
    <t>98335-1600</t>
  </si>
  <si>
    <t>97330-9589</t>
  </si>
  <si>
    <t>SPOTSYLVANIA</t>
  </si>
  <si>
    <t>22551-2763</t>
  </si>
  <si>
    <t>POULSBO</t>
  </si>
  <si>
    <t>80301-2452</t>
  </si>
  <si>
    <t>97520-9018</t>
  </si>
  <si>
    <t>95407-7348</t>
  </si>
  <si>
    <t>97132-6745</t>
  </si>
  <si>
    <t>EL CAMPO</t>
  </si>
  <si>
    <t>94513-6988</t>
  </si>
  <si>
    <t>PILOT POINT</t>
  </si>
  <si>
    <t>76258-6903</t>
  </si>
  <si>
    <t>93422-6202</t>
  </si>
  <si>
    <t>78611-5770</t>
  </si>
  <si>
    <t>95682-8780</t>
  </si>
  <si>
    <t>BIGFORK</t>
  </si>
  <si>
    <t>59911-6136</t>
  </si>
  <si>
    <t>97045-7241</t>
  </si>
  <si>
    <t>TOPANGA</t>
  </si>
  <si>
    <t>81122-9400</t>
  </si>
  <si>
    <t>97045-9250</t>
  </si>
  <si>
    <t>95132-1836</t>
  </si>
  <si>
    <t>98108-2937</t>
  </si>
  <si>
    <t>ESPARTO</t>
  </si>
  <si>
    <t>95627-2123</t>
  </si>
  <si>
    <t>78666-6431</t>
  </si>
  <si>
    <t>MEACHAM</t>
  </si>
  <si>
    <t>98072-4458</t>
  </si>
  <si>
    <t>80528-9322</t>
  </si>
  <si>
    <t>95616-2011</t>
  </si>
  <si>
    <t>85747-2806</t>
  </si>
  <si>
    <t>89012-6111</t>
  </si>
  <si>
    <t>MECHANICSVILLE</t>
  </si>
  <si>
    <t>23111-2221</t>
  </si>
  <si>
    <t>80524-3389</t>
  </si>
  <si>
    <t>98292-6511</t>
  </si>
  <si>
    <t>KLAMATH FALLS</t>
  </si>
  <si>
    <t>97603-9107</t>
  </si>
  <si>
    <t>RIGBY</t>
  </si>
  <si>
    <t>83442-5458</t>
  </si>
  <si>
    <t>80526-6114</t>
  </si>
  <si>
    <t>92561-3072</t>
  </si>
  <si>
    <t>83607-7521</t>
  </si>
  <si>
    <t>92109-2138</t>
  </si>
  <si>
    <t>CHATTAROY</t>
  </si>
  <si>
    <t>80919-7911</t>
  </si>
  <si>
    <t>80504-8414</t>
  </si>
  <si>
    <t>59911-6439</t>
  </si>
  <si>
    <t>78620-2705</t>
  </si>
  <si>
    <t>30549-8301</t>
  </si>
  <si>
    <t>VIDOR</t>
  </si>
  <si>
    <t>77662-9478</t>
  </si>
  <si>
    <t>CAMERON</t>
  </si>
  <si>
    <t>76520-5183</t>
  </si>
  <si>
    <t>TORRINGTON</t>
  </si>
  <si>
    <t>95472-2513</t>
  </si>
  <si>
    <t>93021-3732</t>
  </si>
  <si>
    <t>97034-6122</t>
  </si>
  <si>
    <t>76227-8103</t>
  </si>
  <si>
    <t>85635-2359</t>
  </si>
  <si>
    <t>76207-4704</t>
  </si>
  <si>
    <t>80304-4291</t>
  </si>
  <si>
    <t>PILOT HILL</t>
  </si>
  <si>
    <t>95664-9230</t>
  </si>
  <si>
    <t>RANCHO CUCAMONGA</t>
  </si>
  <si>
    <t>91701-4892</t>
  </si>
  <si>
    <t>CORINTH</t>
  </si>
  <si>
    <t>76210-0083</t>
  </si>
  <si>
    <t>FALL CREEK</t>
  </si>
  <si>
    <t>97438-9733</t>
  </si>
  <si>
    <t>83669-5172</t>
  </si>
  <si>
    <t>89406-6207</t>
  </si>
  <si>
    <t>89113-1335</t>
  </si>
  <si>
    <t>97038-8607</t>
  </si>
  <si>
    <t>98516-2121</t>
  </si>
  <si>
    <t>PIEDMONT</t>
  </si>
  <si>
    <t>94611-3326</t>
  </si>
  <si>
    <t>80128-5595</t>
  </si>
  <si>
    <t>77355-4698</t>
  </si>
  <si>
    <t>86305-6104</t>
  </si>
  <si>
    <t>78245-1671</t>
  </si>
  <si>
    <t>92065-7656</t>
  </si>
  <si>
    <t>92346-2766</t>
  </si>
  <si>
    <t>RANCHO PALOS VERDES</t>
  </si>
  <si>
    <t>90275-5931</t>
  </si>
  <si>
    <t>80003-3806</t>
  </si>
  <si>
    <t>76234-6325</t>
  </si>
  <si>
    <t>EL PASO</t>
  </si>
  <si>
    <t>79922-1050</t>
  </si>
  <si>
    <t>82501-8977</t>
  </si>
  <si>
    <t>PALOUSE</t>
  </si>
  <si>
    <t>99161-8788</t>
  </si>
  <si>
    <t>SUTTER</t>
  </si>
  <si>
    <t>95982-9304</t>
  </si>
  <si>
    <t>90068-3546</t>
  </si>
  <si>
    <t>CANOGA PARK</t>
  </si>
  <si>
    <t>91304-4528</t>
  </si>
  <si>
    <t>MANCHACA</t>
  </si>
  <si>
    <t>78652-4178</t>
  </si>
  <si>
    <t>92029-6005</t>
  </si>
  <si>
    <t>89704-9256</t>
  </si>
  <si>
    <t>77377-5638</t>
  </si>
  <si>
    <t>93405-7823</t>
  </si>
  <si>
    <t>MT. AIRY</t>
  </si>
  <si>
    <t>84043-9716</t>
  </si>
  <si>
    <t>97703-8483</t>
  </si>
  <si>
    <t>GRAND SALINE</t>
  </si>
  <si>
    <t>75140-4481</t>
  </si>
  <si>
    <t>BLUFF CITY</t>
  </si>
  <si>
    <t>37618-3505</t>
  </si>
  <si>
    <t>08270-3712</t>
  </si>
  <si>
    <t>73165-7911</t>
  </si>
  <si>
    <t>76092-2956</t>
  </si>
  <si>
    <t>EATONVILLE</t>
  </si>
  <si>
    <t>98328-5003</t>
  </si>
  <si>
    <t>85390-4289</t>
  </si>
  <si>
    <t>GOLETA</t>
  </si>
  <si>
    <t>93117-4906</t>
  </si>
  <si>
    <t>97370-8906</t>
  </si>
  <si>
    <t>76108-9662</t>
  </si>
  <si>
    <t>BEDFORD</t>
  </si>
  <si>
    <t>03110-4820</t>
  </si>
  <si>
    <t>PRINEVILLE</t>
  </si>
  <si>
    <t>LA MIRADA</t>
  </si>
  <si>
    <t>90638-1522</t>
  </si>
  <si>
    <t>ZEPHYR COVE</t>
  </si>
  <si>
    <t>89448-9808</t>
  </si>
  <si>
    <t>92029-4604</t>
  </si>
  <si>
    <t>91342-1410</t>
  </si>
  <si>
    <t>78620-3544</t>
  </si>
  <si>
    <t>98042-3010</t>
  </si>
  <si>
    <t>WINDSOR</t>
  </si>
  <si>
    <t>80550-5837</t>
  </si>
  <si>
    <t>32210-0326</t>
  </si>
  <si>
    <t>76109-1237</t>
  </si>
  <si>
    <t>92626-4840</t>
  </si>
  <si>
    <t>85749-9207</t>
  </si>
  <si>
    <t>73025-1009</t>
  </si>
  <si>
    <t>95361-9380</t>
  </si>
  <si>
    <t>76109-2134</t>
  </si>
  <si>
    <t>LEMON COVE</t>
  </si>
  <si>
    <t>93244-1708</t>
  </si>
  <si>
    <t>95120-5039</t>
  </si>
  <si>
    <t>POOLVILLE</t>
  </si>
  <si>
    <t>76487-5811</t>
  </si>
  <si>
    <t>97223-7291</t>
  </si>
  <si>
    <t>NEW SMYRNA</t>
  </si>
  <si>
    <t>FOREST GROVE</t>
  </si>
  <si>
    <t>97116-8251</t>
  </si>
  <si>
    <t>90065-3218</t>
  </si>
  <si>
    <t>NAPLES</t>
  </si>
  <si>
    <t>34119-8699</t>
  </si>
  <si>
    <t>BIXBY</t>
  </si>
  <si>
    <t>74008-1836</t>
  </si>
  <si>
    <t>GLENDALE</t>
  </si>
  <si>
    <t>91106-4611</t>
  </si>
  <si>
    <t>93105-4631</t>
  </si>
  <si>
    <t>ELKTON</t>
  </si>
  <si>
    <t>22827-2454</t>
  </si>
  <si>
    <t>97701-8820</t>
  </si>
  <si>
    <t>19606-9177</t>
  </si>
  <si>
    <t>SONOMA</t>
  </si>
  <si>
    <t>95476-7813</t>
  </si>
  <si>
    <t>ALLENDALE</t>
  </si>
  <si>
    <t>49401-9655</t>
  </si>
  <si>
    <t>TOOELE</t>
  </si>
  <si>
    <t>84074-1738</t>
  </si>
  <si>
    <t>98115-8284</t>
  </si>
  <si>
    <t>58503-9204</t>
  </si>
  <si>
    <t>CARRBORO</t>
  </si>
  <si>
    <t>27510-2457</t>
  </si>
  <si>
    <t>86315-1885</t>
  </si>
  <si>
    <t>GROTTOES</t>
  </si>
  <si>
    <t>24441-5002</t>
  </si>
  <si>
    <t>92673-3214</t>
  </si>
  <si>
    <t>COVINGTON</t>
  </si>
  <si>
    <t>38019-2829</t>
  </si>
  <si>
    <t>92029-7919</t>
  </si>
  <si>
    <t>OREGON HOUSE</t>
  </si>
  <si>
    <t>85017-1288</t>
  </si>
  <si>
    <t>NEW RIVER</t>
  </si>
  <si>
    <t>85087-8682</t>
  </si>
  <si>
    <t>95658-9614</t>
  </si>
  <si>
    <t>MANHATTAN BEACH</t>
  </si>
  <si>
    <t>90266-2221</t>
  </si>
  <si>
    <t>93065-3741</t>
  </si>
  <si>
    <t>SPRINGFIELD GARDENS</t>
  </si>
  <si>
    <t>BESSEMER CITY</t>
  </si>
  <si>
    <t>28016-8659</t>
  </si>
  <si>
    <t>HOLLAND</t>
  </si>
  <si>
    <t>60510-2878</t>
  </si>
  <si>
    <t>CORNVILLE</t>
  </si>
  <si>
    <t>86325-4846</t>
  </si>
  <si>
    <t>76226-2585</t>
  </si>
  <si>
    <t>85119-7553</t>
  </si>
  <si>
    <t>95624-4450</t>
  </si>
  <si>
    <t>01451-1210</t>
  </si>
  <si>
    <t>PALOS VERDES ESTATES</t>
  </si>
  <si>
    <t>90274-2801</t>
  </si>
  <si>
    <t>85298-8473</t>
  </si>
  <si>
    <t>77385-7311</t>
  </si>
  <si>
    <t>78620-2965</t>
  </si>
  <si>
    <t>92019-1059</t>
  </si>
  <si>
    <t>80020-0814</t>
  </si>
  <si>
    <t>91355-2861</t>
  </si>
  <si>
    <t>97058-8543</t>
  </si>
  <si>
    <t>80305-3432</t>
  </si>
  <si>
    <t>99006-6039</t>
  </si>
  <si>
    <t>80118-5628</t>
  </si>
  <si>
    <t>BAKERSFIELD</t>
  </si>
  <si>
    <t>93312-8688</t>
  </si>
  <si>
    <t>97703-9153</t>
  </si>
  <si>
    <t>GARDEN VALLEY</t>
  </si>
  <si>
    <t>95633-9255</t>
  </si>
  <si>
    <t>DIABLO</t>
  </si>
  <si>
    <t>92040-5825</t>
  </si>
  <si>
    <t>85704-2113</t>
  </si>
  <si>
    <t>89511-8163</t>
  </si>
  <si>
    <t>AMERICAN CYN</t>
  </si>
  <si>
    <t>LIBERTY HILL</t>
  </si>
  <si>
    <t>78642-3867</t>
  </si>
  <si>
    <t>PLEASANT HILL</t>
  </si>
  <si>
    <t>97455-9697</t>
  </si>
  <si>
    <t>95823-7665</t>
  </si>
  <si>
    <t>91320-4202</t>
  </si>
  <si>
    <t>98026-5552</t>
  </si>
  <si>
    <t>92211-1875</t>
  </si>
  <si>
    <t>93619-8867</t>
  </si>
  <si>
    <t>DURHAM</t>
  </si>
  <si>
    <t>06422-3009</t>
  </si>
  <si>
    <t>98671-5881</t>
  </si>
  <si>
    <t>95472-5832</t>
  </si>
  <si>
    <t>93460-9490</t>
  </si>
  <si>
    <t>94952-9301</t>
  </si>
  <si>
    <t>89143-1304</t>
  </si>
  <si>
    <t>03032-3832</t>
  </si>
  <si>
    <t>98290-4564</t>
  </si>
  <si>
    <t>85086-7450</t>
  </si>
  <si>
    <t>LA CANADA FLINTRIDGE</t>
  </si>
  <si>
    <t>91011-3794</t>
  </si>
  <si>
    <t>RINGWOOD</t>
  </si>
  <si>
    <t>07456-2505</t>
  </si>
  <si>
    <t>PAIGE</t>
  </si>
  <si>
    <t>78659-4836</t>
  </si>
  <si>
    <t>97520-9019</t>
  </si>
  <si>
    <t>NORTH SALEM</t>
  </si>
  <si>
    <t>10560-1805</t>
  </si>
  <si>
    <t>92028-9480</t>
  </si>
  <si>
    <t>92082-6200</t>
  </si>
  <si>
    <t>97140-8410</t>
  </si>
  <si>
    <t>77064-7740</t>
  </si>
  <si>
    <t>98296-5316</t>
  </si>
  <si>
    <t>85032-2226</t>
  </si>
  <si>
    <t>ANTIOCH</t>
  </si>
  <si>
    <t>94531-6726</t>
  </si>
  <si>
    <t xml:space="preserve">WOODSBORO </t>
  </si>
  <si>
    <t>97756-9070</t>
  </si>
  <si>
    <t>85262-7922</t>
  </si>
  <si>
    <t>RAWLINS</t>
  </si>
  <si>
    <t>82301-5029</t>
  </si>
  <si>
    <t>76208-3579</t>
  </si>
  <si>
    <t>91107-1647</t>
  </si>
  <si>
    <t>85250-4524</t>
  </si>
  <si>
    <t>83201-9018</t>
  </si>
  <si>
    <t>CROSSROADS</t>
  </si>
  <si>
    <t>76227-7044</t>
  </si>
  <si>
    <t>KENWOOD</t>
  </si>
  <si>
    <t>95452-9012</t>
  </si>
  <si>
    <t>HARTLINE</t>
  </si>
  <si>
    <t>99135-9603</t>
  </si>
  <si>
    <t>92024-4604</t>
  </si>
  <si>
    <t>94523-4649</t>
  </si>
  <si>
    <t>LA HONDA</t>
  </si>
  <si>
    <t>94020-9766</t>
  </si>
  <si>
    <t>MILL CREEK</t>
  </si>
  <si>
    <t>98604-9684</t>
  </si>
  <si>
    <t>BEAVER</t>
  </si>
  <si>
    <t>97108-9734</t>
  </si>
  <si>
    <t>76450-5113</t>
  </si>
  <si>
    <t>98332-1019</t>
  </si>
  <si>
    <t>80433-6203</t>
  </si>
  <si>
    <t>WEST LINN</t>
  </si>
  <si>
    <t>97068-3267</t>
  </si>
  <si>
    <t>BYRON</t>
  </si>
  <si>
    <t>94514-1633</t>
  </si>
  <si>
    <t>BELFAIR</t>
  </si>
  <si>
    <t>98528-9484</t>
  </si>
  <si>
    <t>SOQUEL</t>
  </si>
  <si>
    <t>OKANOGAN</t>
  </si>
  <si>
    <t>98840-8293</t>
  </si>
  <si>
    <t>PHOENIXVILLE</t>
  </si>
  <si>
    <t>19460-1525</t>
  </si>
  <si>
    <t>82435-9500</t>
  </si>
  <si>
    <t>95130-2126</t>
  </si>
  <si>
    <t>98248-9592</t>
  </si>
  <si>
    <t>JONES</t>
  </si>
  <si>
    <t>73049-8886</t>
  </si>
  <si>
    <t>84770-8025</t>
  </si>
  <si>
    <t>PORT ORCHARD</t>
  </si>
  <si>
    <t>98367-8624</t>
  </si>
  <si>
    <t>WEST HAVEN</t>
  </si>
  <si>
    <t>84401-9616</t>
  </si>
  <si>
    <t>APPLE VALLEY</t>
  </si>
  <si>
    <t>92308-8491</t>
  </si>
  <si>
    <t>93420-5064</t>
  </si>
  <si>
    <t>WINTERS</t>
  </si>
  <si>
    <t>95694-1931</t>
  </si>
  <si>
    <t>CHEYENNE</t>
  </si>
  <si>
    <t>82009-9054</t>
  </si>
  <si>
    <t>85331-2354</t>
  </si>
  <si>
    <t>31824-6633</t>
  </si>
  <si>
    <t>FOLSOM</t>
  </si>
  <si>
    <t>95630-7121</t>
  </si>
  <si>
    <t>97013-9367</t>
  </si>
  <si>
    <t>CHERRY VALLEY</t>
  </si>
  <si>
    <t>92223-4532</t>
  </si>
  <si>
    <t>85331-8669</t>
  </si>
  <si>
    <t>LEONA VALLEY</t>
  </si>
  <si>
    <t>93551-7310</t>
  </si>
  <si>
    <t>79118-3907</t>
  </si>
  <si>
    <t>ERIE</t>
  </si>
  <si>
    <t>80516-8903</t>
  </si>
  <si>
    <t>85745-9098</t>
  </si>
  <si>
    <t>ARCADIA</t>
  </si>
  <si>
    <t>73007-7534</t>
  </si>
  <si>
    <t>ALVIN</t>
  </si>
  <si>
    <t>77511-6616</t>
  </si>
  <si>
    <t>RIO RICO</t>
  </si>
  <si>
    <t>85648-3601</t>
  </si>
  <si>
    <t>REDLANDS</t>
  </si>
  <si>
    <t>92374-8240</t>
  </si>
  <si>
    <t>93010-1719</t>
  </si>
  <si>
    <t>97140-9122</t>
  </si>
  <si>
    <t>98077-9592</t>
  </si>
  <si>
    <t>WHITESBORO</t>
  </si>
  <si>
    <t>92860-3934</t>
  </si>
  <si>
    <t>98030-6539</t>
  </si>
  <si>
    <t>STEPHENVILLE</t>
  </si>
  <si>
    <t>76401-5810</t>
  </si>
  <si>
    <t>97520-2336</t>
  </si>
  <si>
    <t>95220-9758</t>
  </si>
  <si>
    <t>85251-1961</t>
  </si>
  <si>
    <t>80106-7902</t>
  </si>
  <si>
    <t>82414-8009</t>
  </si>
  <si>
    <t>92027-1069</t>
  </si>
  <si>
    <t>59802-2329</t>
  </si>
  <si>
    <t>95051-4602</t>
  </si>
  <si>
    <t>98604-5209</t>
  </si>
  <si>
    <t>SONORA</t>
  </si>
  <si>
    <t>COTATI</t>
  </si>
  <si>
    <t>94931-9608</t>
  </si>
  <si>
    <t>KELSO</t>
  </si>
  <si>
    <t>98626-5319</t>
  </si>
  <si>
    <t>85331-5133</t>
  </si>
  <si>
    <t>90405-1836</t>
  </si>
  <si>
    <t>98223-4256</t>
  </si>
  <si>
    <t>98814-5900</t>
  </si>
  <si>
    <t>95694-9998</t>
  </si>
  <si>
    <t>ROY</t>
  </si>
  <si>
    <t>84067-9319</t>
  </si>
  <si>
    <t>MAPLE FALLS</t>
  </si>
  <si>
    <t>98266-8101</t>
  </si>
  <si>
    <t>FAIR OAKS RANCH</t>
  </si>
  <si>
    <t>78015-4420</t>
  </si>
  <si>
    <t>76065-6454</t>
  </si>
  <si>
    <t>59870-7105</t>
  </si>
  <si>
    <t>80603-3882</t>
  </si>
  <si>
    <t>95687-6425</t>
  </si>
  <si>
    <t>83706-6930</t>
  </si>
  <si>
    <t>80537-8330</t>
  </si>
  <si>
    <t>95120-4212</t>
  </si>
  <si>
    <t>80302-5471</t>
  </si>
  <si>
    <t>94127-2018</t>
  </si>
  <si>
    <t>YONCALLA</t>
  </si>
  <si>
    <t>97499-9810</t>
  </si>
  <si>
    <t>PARADISE</t>
  </si>
  <si>
    <t>93108-1017</t>
  </si>
  <si>
    <t>93065-3612</t>
  </si>
  <si>
    <t>80503-8632</t>
  </si>
  <si>
    <t>GILLETT</t>
  </si>
  <si>
    <t>78116-4508</t>
  </si>
  <si>
    <t>89131-2903</t>
  </si>
  <si>
    <t>80921-1200</t>
  </si>
  <si>
    <t>DIXON</t>
  </si>
  <si>
    <t>95620-9406</t>
  </si>
  <si>
    <t>97231-1517</t>
  </si>
  <si>
    <t>95120-1218</t>
  </si>
  <si>
    <t>INDIAN VALLEY</t>
  </si>
  <si>
    <t>83632-5011</t>
  </si>
  <si>
    <t>98247-9542</t>
  </si>
  <si>
    <t>97223-3277</t>
  </si>
  <si>
    <t>ACTON</t>
  </si>
  <si>
    <t>59002-2110</t>
  </si>
  <si>
    <t>87501-2647</t>
  </si>
  <si>
    <t>97004-8823</t>
  </si>
  <si>
    <t>PUEBLO</t>
  </si>
  <si>
    <t>81007-2290</t>
  </si>
  <si>
    <t>TUTTLE</t>
  </si>
  <si>
    <t>73089-4400</t>
  </si>
  <si>
    <t>DESCANSO</t>
  </si>
  <si>
    <t>91916-9610</t>
  </si>
  <si>
    <t>97004-8618</t>
  </si>
  <si>
    <t>95614-2622</t>
  </si>
  <si>
    <t>SPIRIT LAKE</t>
  </si>
  <si>
    <t>83869-9512</t>
  </si>
  <si>
    <t>LONGVIEW</t>
  </si>
  <si>
    <t>98632-5555</t>
  </si>
  <si>
    <t>93308-9205</t>
  </si>
  <si>
    <t>95693-9748</t>
  </si>
  <si>
    <t>PRINCETON</t>
  </si>
  <si>
    <t>75407-5127</t>
  </si>
  <si>
    <t>97759-9798</t>
  </si>
  <si>
    <t>BARTO</t>
  </si>
  <si>
    <t>70748-4360</t>
  </si>
  <si>
    <t>92201-9669</t>
  </si>
  <si>
    <t>ALEDO</t>
  </si>
  <si>
    <t>76008-2836</t>
  </si>
  <si>
    <t>14432-9784</t>
  </si>
  <si>
    <t>83646-7603</t>
  </si>
  <si>
    <t>83607-9249</t>
  </si>
  <si>
    <t>KANARRAVILLE</t>
  </si>
  <si>
    <t>77406-4674</t>
  </si>
  <si>
    <t>LINWOOD</t>
  </si>
  <si>
    <t>27299-9063</t>
  </si>
  <si>
    <t>85255-5764</t>
  </si>
  <si>
    <t>80921-3962</t>
  </si>
  <si>
    <t>98109-3734</t>
  </si>
  <si>
    <t>NAMPA</t>
  </si>
  <si>
    <t>83686-9427</t>
  </si>
  <si>
    <t>95658-9644</t>
  </si>
  <si>
    <t>84098-5972</t>
  </si>
  <si>
    <t>90402-2501</t>
  </si>
  <si>
    <t>95070-6375</t>
  </si>
  <si>
    <t>83642-6868</t>
  </si>
  <si>
    <t>30075-7020</t>
  </si>
  <si>
    <t>PACIFIC PALISADES</t>
  </si>
  <si>
    <t>90272-3013</t>
  </si>
  <si>
    <t>WAUKON</t>
  </si>
  <si>
    <t>52172-7743</t>
  </si>
  <si>
    <t>SAINT ANTHONY</t>
  </si>
  <si>
    <t>83445-1741</t>
  </si>
  <si>
    <t>HALTOM CITY</t>
  </si>
  <si>
    <t>76137-2154</t>
  </si>
  <si>
    <t>83702-3934</t>
  </si>
  <si>
    <t>78261-2597</t>
  </si>
  <si>
    <t>93110-2062</t>
  </si>
  <si>
    <t>98012-6519</t>
  </si>
  <si>
    <t>93908-9317</t>
  </si>
  <si>
    <t>MOUNTAIN HOME</t>
  </si>
  <si>
    <t>83647-2631</t>
  </si>
  <si>
    <t>ELM CITY</t>
  </si>
  <si>
    <t>27822-8912</t>
  </si>
  <si>
    <t>97702-9228</t>
  </si>
  <si>
    <t>76109-1032</t>
  </si>
  <si>
    <t>97206-5817</t>
  </si>
  <si>
    <t>SPARTA</t>
  </si>
  <si>
    <t>07871-1781</t>
  </si>
  <si>
    <t>94954-3978</t>
  </si>
  <si>
    <t>CYPRESS</t>
  </si>
  <si>
    <t>77429-1285</t>
  </si>
  <si>
    <t>95938-9423</t>
  </si>
  <si>
    <t>96161-2989</t>
  </si>
  <si>
    <t>94306-4553</t>
  </si>
  <si>
    <t>93907-1323</t>
  </si>
  <si>
    <t>98223-6902</t>
  </si>
  <si>
    <t>85331-2712</t>
  </si>
  <si>
    <t>SAN TAN VALLEY</t>
  </si>
  <si>
    <t>85143-5851</t>
  </si>
  <si>
    <t>FARMERSVILLE</t>
  </si>
  <si>
    <t>75442-6828</t>
  </si>
  <si>
    <t>93013-3040</t>
  </si>
  <si>
    <t>92570-7749</t>
  </si>
  <si>
    <t>PLYMOUTH</t>
  </si>
  <si>
    <t>95669-9601</t>
  </si>
  <si>
    <t>77808-9525</t>
  </si>
  <si>
    <t>83814-6214</t>
  </si>
  <si>
    <t>MONTAGUE</t>
  </si>
  <si>
    <t>96064-9123</t>
  </si>
  <si>
    <t>95693-8529</t>
  </si>
  <si>
    <t>98075-7412</t>
  </si>
  <si>
    <t>MALIBU</t>
  </si>
  <si>
    <t>90265-2701</t>
  </si>
  <si>
    <t>CIBOLO</t>
  </si>
  <si>
    <t>78108-3701</t>
  </si>
  <si>
    <t>77808-2239</t>
  </si>
  <si>
    <t>80104-7725</t>
  </si>
  <si>
    <t>92592-8679</t>
  </si>
  <si>
    <t>83201-9059</t>
  </si>
  <si>
    <t>83669-5169</t>
  </si>
  <si>
    <t>95620-9407</t>
  </si>
  <si>
    <t>78750-2728</t>
  </si>
  <si>
    <t>HIDDEN HILLS</t>
  </si>
  <si>
    <t>91302-1217</t>
  </si>
  <si>
    <t>TERRELL</t>
  </si>
  <si>
    <t>98366-8677</t>
  </si>
  <si>
    <t>91962-4018</t>
  </si>
  <si>
    <t>83864-7137</t>
  </si>
  <si>
    <t>DUNCAN</t>
  </si>
  <si>
    <t>73533-5732</t>
  </si>
  <si>
    <t>EAGLE CREEK</t>
  </si>
  <si>
    <t>97022-9735</t>
  </si>
  <si>
    <t>94608-4219</t>
  </si>
  <si>
    <t>76008-3620</t>
  </si>
  <si>
    <t>QUILCENE</t>
  </si>
  <si>
    <t>98376-9687</t>
  </si>
  <si>
    <t>80433-8203</t>
  </si>
  <si>
    <t>97080-8823</t>
  </si>
  <si>
    <t>80503-8799</t>
  </si>
  <si>
    <t>93657-9262</t>
  </si>
  <si>
    <t>91350-3950</t>
  </si>
  <si>
    <t>LOS BANOS</t>
  </si>
  <si>
    <t>93635-4707</t>
  </si>
  <si>
    <t>78620-4765</t>
  </si>
  <si>
    <t>98926-9141</t>
  </si>
  <si>
    <t>ALFRED STATION</t>
  </si>
  <si>
    <t>14803-9626</t>
  </si>
  <si>
    <t>98075-9671</t>
  </si>
  <si>
    <t>97437-9748</t>
  </si>
  <si>
    <t>95020-9188</t>
  </si>
  <si>
    <t>EAGLE POINT</t>
  </si>
  <si>
    <t>97524-5570</t>
  </si>
  <si>
    <t>NORDLAND</t>
  </si>
  <si>
    <t>98358-9616</t>
  </si>
  <si>
    <t>MIDVALE</t>
  </si>
  <si>
    <t>84047-7595</t>
  </si>
  <si>
    <t>91301-2238</t>
  </si>
  <si>
    <t>89521-7829</t>
  </si>
  <si>
    <t>ROBSTOWN</t>
  </si>
  <si>
    <t>78380-5650</t>
  </si>
  <si>
    <t>98116-3817</t>
  </si>
  <si>
    <t>83616-2402</t>
  </si>
  <si>
    <t>KESWICK</t>
  </si>
  <si>
    <t>22947-2103</t>
  </si>
  <si>
    <t>91208-2113</t>
  </si>
  <si>
    <t>53125-1818</t>
  </si>
  <si>
    <t>77063-1802</t>
  </si>
  <si>
    <t>EDEN PRAIRIE</t>
  </si>
  <si>
    <t>55346-3100</t>
  </si>
  <si>
    <t>GREENACRES</t>
  </si>
  <si>
    <t>99016-9488</t>
  </si>
  <si>
    <t>85253-2908</t>
  </si>
  <si>
    <t>CRITTENDEN</t>
  </si>
  <si>
    <t>41030-9607</t>
  </si>
  <si>
    <t>SPRECKELS</t>
  </si>
  <si>
    <t>93962-2400</t>
  </si>
  <si>
    <t>83616-7632</t>
  </si>
  <si>
    <t>EAST GREENWICH</t>
  </si>
  <si>
    <t>02818-4625</t>
  </si>
  <si>
    <t>92065-1609</t>
  </si>
  <si>
    <t>80603-9203</t>
  </si>
  <si>
    <t>75409-3807</t>
  </si>
  <si>
    <t>89406-5900</t>
  </si>
  <si>
    <t>95242-9365</t>
  </si>
  <si>
    <t>78738-0024</t>
  </si>
  <si>
    <t>34482-1075</t>
  </si>
  <si>
    <t>UNION</t>
  </si>
  <si>
    <t>49130-9789</t>
  </si>
  <si>
    <t>GOLCONDA</t>
  </si>
  <si>
    <t>CAMPBELL</t>
  </si>
  <si>
    <t>95008-2954</t>
  </si>
  <si>
    <t>INCLINE VILLAGE</t>
  </si>
  <si>
    <t>59828-9352</t>
  </si>
  <si>
    <t>TRYON</t>
  </si>
  <si>
    <t>ISSAQUAH</t>
  </si>
  <si>
    <t>98027-5462</t>
  </si>
  <si>
    <t>OXNARD</t>
  </si>
  <si>
    <t>93036-6266</t>
  </si>
  <si>
    <t>COLORADO SPGS</t>
  </si>
  <si>
    <t>99208-9808</t>
  </si>
  <si>
    <t>LITCHFIELD PARK</t>
  </si>
  <si>
    <t>85340-5238</t>
  </si>
  <si>
    <t>EL RENO</t>
  </si>
  <si>
    <t>73036-9784</t>
  </si>
  <si>
    <t>FREEHOLD</t>
  </si>
  <si>
    <t>07728-8155</t>
  </si>
  <si>
    <t>97402-9543</t>
  </si>
  <si>
    <t>75205-3123</t>
  </si>
  <si>
    <t>CARVER</t>
  </si>
  <si>
    <t>02330-2007</t>
  </si>
  <si>
    <t>SAN GREGORIO</t>
  </si>
  <si>
    <t>94074-9807</t>
  </si>
  <si>
    <t>98367-7415</t>
  </si>
  <si>
    <t>76401-4168</t>
  </si>
  <si>
    <t>HEATH</t>
  </si>
  <si>
    <t>75032-8803</t>
  </si>
  <si>
    <t>94523-2347</t>
  </si>
  <si>
    <t>NICHOLS HILLS</t>
  </si>
  <si>
    <t>73116-6207</t>
  </si>
  <si>
    <t>BERKELEY</t>
  </si>
  <si>
    <t>94708-1711</t>
  </si>
  <si>
    <t>NORMANDY PARK</t>
  </si>
  <si>
    <t>98166-3540</t>
  </si>
  <si>
    <t>75230-3010</t>
  </si>
  <si>
    <t>80401-2006</t>
  </si>
  <si>
    <t>95062-2118</t>
  </si>
  <si>
    <t>98027-6457</t>
  </si>
  <si>
    <t>92120-2816</t>
  </si>
  <si>
    <t>80401-5060</t>
  </si>
  <si>
    <t>PINOLE</t>
  </si>
  <si>
    <t>94564-2229</t>
  </si>
  <si>
    <t>98671-7443</t>
  </si>
  <si>
    <t>98226-7708</t>
  </si>
  <si>
    <t>UPSR3</t>
  </si>
  <si>
    <t>BACLIFF</t>
  </si>
  <si>
    <t>77518-1125</t>
  </si>
  <si>
    <t>32776-8124</t>
  </si>
  <si>
    <t>SPRING BRANCH</t>
  </si>
  <si>
    <t>78070-6603</t>
  </si>
  <si>
    <t>RICHMOND HILL</t>
  </si>
  <si>
    <t>31324-4660</t>
  </si>
  <si>
    <t>GRIFTON</t>
  </si>
  <si>
    <t>28530-8774</t>
  </si>
  <si>
    <t>74875-6841</t>
  </si>
  <si>
    <t>93314-8325</t>
  </si>
  <si>
    <t>14052-3005</t>
  </si>
  <si>
    <t>80513-3826</t>
  </si>
  <si>
    <t>SAINT PETERSBURG</t>
  </si>
  <si>
    <t>33713-5525</t>
  </si>
  <si>
    <t>75023-3719</t>
  </si>
  <si>
    <t>97402-1440</t>
  </si>
  <si>
    <t>75205-4140</t>
  </si>
  <si>
    <t>OAK CREEK</t>
  </si>
  <si>
    <t>80467-9693</t>
  </si>
  <si>
    <t>NANTUCKET</t>
  </si>
  <si>
    <t>02554-2661</t>
  </si>
  <si>
    <t>NEWBURGH</t>
  </si>
  <si>
    <t>47630-8335</t>
  </si>
  <si>
    <t>78738-4175</t>
  </si>
  <si>
    <t>AVONDALE</t>
  </si>
  <si>
    <t>85323-7621</t>
  </si>
  <si>
    <t>FT. LUPTON</t>
  </si>
  <si>
    <t>SPANISH FORK</t>
  </si>
  <si>
    <t>84660-2090</t>
  </si>
  <si>
    <t>78735-1506</t>
  </si>
  <si>
    <t>37336-4062</t>
  </si>
  <si>
    <t>LAKE WORTH</t>
  </si>
  <si>
    <t>33467-7020</t>
  </si>
  <si>
    <t>UPLAND</t>
  </si>
  <si>
    <t>91786-3161</t>
  </si>
  <si>
    <t>JENKS</t>
  </si>
  <si>
    <t>74037-2604</t>
  </si>
  <si>
    <t>76227-4761</t>
  </si>
  <si>
    <t>BYERS</t>
  </si>
  <si>
    <t>78130-6675</t>
  </si>
  <si>
    <t>MERIDEN</t>
  </si>
  <si>
    <t>06450-2433</t>
  </si>
  <si>
    <t>SHEPHERDSTOWN</t>
  </si>
  <si>
    <t>UPPER MARLBORO</t>
  </si>
  <si>
    <t>ONTARIO</t>
  </si>
  <si>
    <t>DUBUQUE</t>
  </si>
  <si>
    <t>GAINESVILLE</t>
  </si>
  <si>
    <t>ELIZABETHTOWN</t>
  </si>
  <si>
    <t>CEDAR RAPIDS</t>
  </si>
  <si>
    <t>EWA BEACH</t>
  </si>
  <si>
    <t>SAME</t>
  </si>
  <si>
    <t>UPS1</t>
  </si>
  <si>
    <t>Rawhide Fire Hoses  Llc</t>
  </si>
  <si>
    <t>EAST SANDWICH</t>
  </si>
  <si>
    <t>IRONWOOD</t>
  </si>
  <si>
    <t>MOREHEAD</t>
  </si>
  <si>
    <t>SARASOTA</t>
  </si>
  <si>
    <t>SOMERVILLE</t>
  </si>
  <si>
    <t>OSCEOLA</t>
  </si>
  <si>
    <t>PLAINFIELD</t>
  </si>
  <si>
    <t>46168-7637</t>
  </si>
  <si>
    <t>GROVEPORT</t>
  </si>
  <si>
    <t>43125-9016</t>
  </si>
  <si>
    <t>FALL RIVER</t>
  </si>
  <si>
    <t>DUPONT</t>
  </si>
  <si>
    <t>98327-9607</t>
  </si>
  <si>
    <t>GREENWOOD</t>
  </si>
  <si>
    <t>46143-7830</t>
  </si>
  <si>
    <t>SOMERSET</t>
  </si>
  <si>
    <t>95206-8202</t>
  </si>
  <si>
    <t>STUART</t>
  </si>
  <si>
    <t>WEST</t>
  </si>
  <si>
    <t>CHARLOTTE</t>
  </si>
  <si>
    <t>28214-8082</t>
  </si>
  <si>
    <t>92337-7441</t>
  </si>
  <si>
    <t>NORTH ANDOVER</t>
  </si>
  <si>
    <t>OTTAWA</t>
  </si>
  <si>
    <t>INDEPENDENCE</t>
  </si>
  <si>
    <t>Mcguire Manufacturing Co  Inc</t>
  </si>
  <si>
    <t>UKIAH</t>
  </si>
  <si>
    <t>COLUMBIA</t>
  </si>
  <si>
    <t>29201-4715</t>
  </si>
  <si>
    <t>DILLSBURG</t>
  </si>
  <si>
    <t>GRFP</t>
  </si>
  <si>
    <t>ABILENE</t>
  </si>
  <si>
    <t>TIGARD</t>
  </si>
  <si>
    <t>UP3D</t>
  </si>
  <si>
    <t>GREAT NECK</t>
  </si>
  <si>
    <t>KENTWOOD</t>
  </si>
  <si>
    <t>ARCATA</t>
  </si>
  <si>
    <t>PALM BCH GDNS</t>
  </si>
  <si>
    <t>DANA POINT</t>
  </si>
  <si>
    <t>PHILADELPHIA</t>
  </si>
  <si>
    <t>LENOIR CITY</t>
  </si>
  <si>
    <t>LONGMEADOW</t>
  </si>
  <si>
    <t>HEALDSBURG</t>
  </si>
  <si>
    <t>ASTORIA</t>
  </si>
  <si>
    <t>VICTORVILLE</t>
  </si>
  <si>
    <t>LAKE FOREST PARK</t>
  </si>
  <si>
    <t>BROOKLYN</t>
  </si>
  <si>
    <t>SHORELINE</t>
  </si>
  <si>
    <t>BOCA RATON</t>
  </si>
  <si>
    <t>SOUTH BURLINGTON</t>
  </si>
  <si>
    <t>BURNSVILLE</t>
  </si>
  <si>
    <t>BOSTON</t>
  </si>
  <si>
    <t>MILLBRAE</t>
  </si>
  <si>
    <t>WILLOWS</t>
  </si>
  <si>
    <t>CHATTANOOGA</t>
  </si>
  <si>
    <t>WEST COVINA</t>
  </si>
  <si>
    <t>CINCINNATI</t>
  </si>
  <si>
    <t>WEST BLOOMFIELD</t>
  </si>
  <si>
    <t>NY CITY</t>
  </si>
  <si>
    <t>EAST LANSING</t>
  </si>
  <si>
    <t>NEW ROCHELLE</t>
  </si>
  <si>
    <t>Swooc</t>
  </si>
  <si>
    <t>UPSR</t>
  </si>
  <si>
    <t>38111-2303</t>
  </si>
  <si>
    <t>95758-4107</t>
  </si>
  <si>
    <t>98290-6260</t>
  </si>
  <si>
    <t>84047-7548</t>
  </si>
  <si>
    <t>CHESTER</t>
  </si>
  <si>
    <t>75936-9101</t>
  </si>
  <si>
    <t>ELK CITY</t>
  </si>
  <si>
    <t>73644-9398</t>
  </si>
  <si>
    <t>EBENSBURG</t>
  </si>
  <si>
    <t>15931-4209</t>
  </si>
  <si>
    <t>MASON</t>
  </si>
  <si>
    <t>CLEARWATER</t>
  </si>
  <si>
    <t>33765-3008</t>
  </si>
  <si>
    <t>COLLINS</t>
  </si>
  <si>
    <t>39428-4613</t>
  </si>
  <si>
    <t>83442-5437</t>
  </si>
  <si>
    <t>WARRENTON</t>
  </si>
  <si>
    <t>97146-7339</t>
  </si>
  <si>
    <t>OMAHA</t>
  </si>
  <si>
    <t>68130-1319</t>
  </si>
  <si>
    <t>TRAVERSE CITY</t>
  </si>
  <si>
    <t>DULUTH</t>
  </si>
  <si>
    <t>30096-1294</t>
  </si>
  <si>
    <t>ROYAL PALM BEACH</t>
  </si>
  <si>
    <t>33411-6238</t>
  </si>
  <si>
    <t>BERNIE</t>
  </si>
  <si>
    <t>63822-9250</t>
  </si>
  <si>
    <t>MILWAUKEE</t>
  </si>
  <si>
    <t>53207-3228</t>
  </si>
  <si>
    <t>WATERLOO</t>
  </si>
  <si>
    <t>62298-3723</t>
  </si>
  <si>
    <t>98040-2416</t>
  </si>
  <si>
    <t>97007-9031</t>
  </si>
  <si>
    <t>LIVERPOOL</t>
  </si>
  <si>
    <t>RANDOLPH</t>
  </si>
  <si>
    <t>07869-4610</t>
  </si>
  <si>
    <t>MARSHALLTOWN</t>
  </si>
  <si>
    <t>50158-4328</t>
  </si>
  <si>
    <t>LAKE WYLIE</t>
  </si>
  <si>
    <t>29710-9153</t>
  </si>
  <si>
    <t>BATON ROUGE</t>
  </si>
  <si>
    <t>70815-4880</t>
  </si>
  <si>
    <t>98674-5800</t>
  </si>
  <si>
    <t>73142-2528</t>
  </si>
  <si>
    <t>29201-1558</t>
  </si>
  <si>
    <t>11729-6019</t>
  </si>
  <si>
    <t>MILACA</t>
  </si>
  <si>
    <t>56353-2814</t>
  </si>
  <si>
    <t>40422-1426</t>
  </si>
  <si>
    <t>SPO1</t>
  </si>
  <si>
    <t>75563-3874</t>
  </si>
  <si>
    <t>DAVENPORT</t>
  </si>
  <si>
    <t>52803-3355</t>
  </si>
  <si>
    <t>FORT WAYNE</t>
  </si>
  <si>
    <t>46815-8404</t>
  </si>
  <si>
    <t>32207-6139</t>
  </si>
  <si>
    <t>SUWANEE</t>
  </si>
  <si>
    <t>30024-5377</t>
  </si>
  <si>
    <t>59714-9785</t>
  </si>
  <si>
    <t>89014-0360</t>
  </si>
  <si>
    <t>76001-7801</t>
  </si>
  <si>
    <t>TRACY CITY</t>
  </si>
  <si>
    <t>37387-3034</t>
  </si>
  <si>
    <t>FAIRPORT</t>
  </si>
  <si>
    <t>14450-8949</t>
  </si>
  <si>
    <t>MACEDONIA</t>
  </si>
  <si>
    <t>44056-4305</t>
  </si>
  <si>
    <t>ACWORTH</t>
  </si>
  <si>
    <t>30101-4110</t>
  </si>
  <si>
    <t>FLOWER MOUND</t>
  </si>
  <si>
    <t>75028-4579</t>
  </si>
  <si>
    <t>WAXHAW</t>
  </si>
  <si>
    <t>28173-7018</t>
  </si>
  <si>
    <t>39365-8532</t>
  </si>
  <si>
    <t>MARIETTA</t>
  </si>
  <si>
    <t>30066-4942</t>
  </si>
  <si>
    <t>SULPHUR</t>
  </si>
  <si>
    <t>70663-4227</t>
  </si>
  <si>
    <t>85233-4631</t>
  </si>
  <si>
    <t>RANCHO MIRAGE</t>
  </si>
  <si>
    <t>92270-4133</t>
  </si>
  <si>
    <t>Bailey Int'L  Llc - Reno  Nv</t>
  </si>
  <si>
    <t>YAKIMA</t>
  </si>
  <si>
    <t>Meco.Com</t>
  </si>
  <si>
    <t>SAN GABRIEL</t>
  </si>
  <si>
    <t>BUCKEYE</t>
  </si>
  <si>
    <t>REPUBLIC</t>
  </si>
  <si>
    <t>SEATAC</t>
  </si>
  <si>
    <t>NOGALES</t>
  </si>
  <si>
    <t>SAUGUS</t>
  </si>
  <si>
    <t>COARSEGOLD</t>
  </si>
  <si>
    <t>PIONEERTOWN</t>
  </si>
  <si>
    <t>AMERICAN CANYON</t>
  </si>
  <si>
    <t>NORTHRIDGE</t>
  </si>
  <si>
    <t>PORT ANGELES</t>
  </si>
  <si>
    <t>PEBBLE BEACH</t>
  </si>
  <si>
    <t>DALY CITY</t>
  </si>
  <si>
    <t>TRABUCO CANYON</t>
  </si>
  <si>
    <t>POMEROY</t>
  </si>
  <si>
    <t>CLARK</t>
  </si>
  <si>
    <t>WITTMANN</t>
  </si>
  <si>
    <t>KANAB</t>
  </si>
  <si>
    <t>IRVINE</t>
  </si>
  <si>
    <t>SHADOW HILLS</t>
  </si>
  <si>
    <t>SALT LAKE CTY</t>
  </si>
  <si>
    <t>DES MOINES</t>
  </si>
  <si>
    <t>INGLEWOOD</t>
  </si>
  <si>
    <t>MUKILTEO</t>
  </si>
  <si>
    <t>ENCINO</t>
  </si>
  <si>
    <t>SILVERTHORNE</t>
  </si>
  <si>
    <t>TARZANA</t>
  </si>
  <si>
    <t>IMPERIAL</t>
  </si>
  <si>
    <t>PESCADERO</t>
  </si>
  <si>
    <t>SUSANVILLE</t>
  </si>
  <si>
    <t>LOS ALAMITOS</t>
  </si>
  <si>
    <t>CARMICHAEL</t>
  </si>
  <si>
    <t>MARICOPA</t>
  </si>
  <si>
    <t>GREEN VALLEY</t>
  </si>
  <si>
    <t>NEWPORT BEACH</t>
  </si>
  <si>
    <t>LINCOLN CITY</t>
  </si>
  <si>
    <t>PLENTYWOOD</t>
  </si>
  <si>
    <t>OREM</t>
  </si>
  <si>
    <t>EPHRAIM</t>
  </si>
  <si>
    <t>KING CITY</t>
  </si>
  <si>
    <t>SOUTH JORDAN</t>
  </si>
  <si>
    <t>LOVING</t>
  </si>
  <si>
    <t>R&amp;L</t>
  </si>
  <si>
    <t>7033A</t>
  </si>
  <si>
    <t>CNWY</t>
  </si>
  <si>
    <t>CITY OF COMMERCE</t>
  </si>
  <si>
    <t>UPGF</t>
  </si>
  <si>
    <t>HICKORY RIDGE</t>
  </si>
  <si>
    <t>FDXH</t>
  </si>
  <si>
    <t>CONWAY</t>
  </si>
  <si>
    <t>LAKEVIEW</t>
  </si>
  <si>
    <t>72642-7038</t>
  </si>
  <si>
    <t>WINCHESTER</t>
  </si>
  <si>
    <t>22603-8611</t>
  </si>
  <si>
    <t>89144-1229</t>
  </si>
  <si>
    <t>RAYTOWN</t>
  </si>
  <si>
    <t>MADISONVILLE</t>
  </si>
  <si>
    <t>70447-3116</t>
  </si>
  <si>
    <t>RUTHER GLEN</t>
  </si>
  <si>
    <t>ORLANDO</t>
  </si>
  <si>
    <t>32828-8831</t>
  </si>
  <si>
    <t>97211-3396</t>
  </si>
  <si>
    <t>NEW ORLEANS</t>
  </si>
  <si>
    <t>70127-3440</t>
  </si>
  <si>
    <t>ERLANGER</t>
  </si>
  <si>
    <t>GROVETON</t>
  </si>
  <si>
    <t>STONEWALL</t>
  </si>
  <si>
    <t>71078-2812</t>
  </si>
  <si>
    <t>HARTLY</t>
  </si>
  <si>
    <t>HUNTINGTON BEACH</t>
  </si>
  <si>
    <t>50201-1558</t>
  </si>
  <si>
    <t>83401-5789</t>
  </si>
  <si>
    <t>SELLERSVILLE</t>
  </si>
  <si>
    <t>KNOX</t>
  </si>
  <si>
    <t>MINTO</t>
  </si>
  <si>
    <t>58261-0378</t>
  </si>
  <si>
    <t>Dentalez</t>
  </si>
  <si>
    <t>FXFE</t>
  </si>
  <si>
    <t>EL SEGUNDO</t>
  </si>
  <si>
    <t>USPS</t>
  </si>
  <si>
    <t>98118-2826</t>
  </si>
  <si>
    <t>92596-8904</t>
  </si>
  <si>
    <t>LAPEER</t>
  </si>
  <si>
    <t>VOLCANO</t>
  </si>
  <si>
    <t>SCOTCH PLAINS</t>
  </si>
  <si>
    <t>MARY</t>
  </si>
  <si>
    <t>SUN CITY</t>
  </si>
  <si>
    <t>WAYLAND</t>
  </si>
  <si>
    <t>SANTE FE</t>
  </si>
  <si>
    <t>FXNL</t>
  </si>
  <si>
    <t>ANACORTES</t>
  </si>
  <si>
    <t>SANTA MARIA</t>
  </si>
  <si>
    <t>93455-0000</t>
  </si>
  <si>
    <t>PRICE</t>
  </si>
  <si>
    <t>CITY INDUSTRY</t>
  </si>
  <si>
    <t>97701-0000</t>
  </si>
  <si>
    <t>60098-0000</t>
  </si>
  <si>
    <t>84404-6930</t>
  </si>
  <si>
    <t>MIAMI</t>
  </si>
  <si>
    <t>BLACK EAGLE</t>
  </si>
  <si>
    <t>ANNAPOLIS JUNCTION</t>
  </si>
  <si>
    <t>PRIEST RIVER</t>
  </si>
  <si>
    <t>EMSY</t>
  </si>
  <si>
    <t>SHIPTO</t>
  </si>
  <si>
    <t>KARACHI</t>
  </si>
  <si>
    <t>.</t>
  </si>
  <si>
    <t>89506-7701</t>
  </si>
  <si>
    <t>OAKH</t>
  </si>
  <si>
    <t>VISTA</t>
  </si>
  <si>
    <t>BC</t>
  </si>
  <si>
    <t>V6V1Y8</t>
  </si>
  <si>
    <t>CALGARY</t>
  </si>
  <si>
    <t>AB</t>
  </si>
  <si>
    <t>T3N1A7</t>
  </si>
  <si>
    <t>LTL Eaches</t>
  </si>
  <si>
    <t>SM PKG Eaches</t>
  </si>
  <si>
    <t>SM PKG Cartons</t>
  </si>
  <si>
    <t>Customer1</t>
  </si>
  <si>
    <t>Customer2</t>
  </si>
  <si>
    <t>Customer3</t>
  </si>
  <si>
    <t>Customer4</t>
  </si>
  <si>
    <t>Customer5</t>
  </si>
  <si>
    <t>Customer6</t>
  </si>
  <si>
    <t>Customer7</t>
  </si>
  <si>
    <t>Customer8</t>
  </si>
  <si>
    <t>Customer9</t>
  </si>
  <si>
    <t>Customer10</t>
  </si>
  <si>
    <t>Customer11</t>
  </si>
  <si>
    <t>Customer12</t>
  </si>
  <si>
    <t>Customer13</t>
  </si>
  <si>
    <t>Customer14</t>
  </si>
  <si>
    <t>Customer15</t>
  </si>
  <si>
    <t>Customer16</t>
  </si>
  <si>
    <t>Customer17</t>
  </si>
  <si>
    <t>Customer18</t>
  </si>
  <si>
    <t>Customer19</t>
  </si>
  <si>
    <t>Customer20</t>
  </si>
  <si>
    <t>Customer21</t>
  </si>
  <si>
    <t>Customer22</t>
  </si>
  <si>
    <t>Customer23</t>
  </si>
  <si>
    <t>Customer24</t>
  </si>
  <si>
    <t>Customer25</t>
  </si>
  <si>
    <t>Customer26</t>
  </si>
  <si>
    <t>Customer27</t>
  </si>
  <si>
    <t>Customer28</t>
  </si>
  <si>
    <t>Customer29</t>
  </si>
  <si>
    <t>Customer30</t>
  </si>
  <si>
    <t>Customer31</t>
  </si>
  <si>
    <t>Customer32</t>
  </si>
  <si>
    <t>Customer33</t>
  </si>
  <si>
    <t>Customer34</t>
  </si>
  <si>
    <t>Customer35</t>
  </si>
  <si>
    <t>Customer36</t>
  </si>
  <si>
    <t>Customer37</t>
  </si>
  <si>
    <t>Customer38</t>
  </si>
  <si>
    <t>Customer39</t>
  </si>
  <si>
    <t>Customer40</t>
  </si>
  <si>
    <t>Customer41</t>
  </si>
  <si>
    <t>Customer42</t>
  </si>
  <si>
    <t>Customer43</t>
  </si>
  <si>
    <t>Customer44</t>
  </si>
  <si>
    <t>Customer45</t>
  </si>
  <si>
    <t>Customer46</t>
  </si>
  <si>
    <t>Customer47</t>
  </si>
  <si>
    <t>Customer48</t>
  </si>
  <si>
    <t>Customer49</t>
  </si>
  <si>
    <t>Customer50</t>
  </si>
  <si>
    <t>Customer51</t>
  </si>
  <si>
    <t>Customer52</t>
  </si>
  <si>
    <t>Customer53</t>
  </si>
  <si>
    <t>Customer54</t>
  </si>
  <si>
    <t>Customer55</t>
  </si>
  <si>
    <t>Customer56</t>
  </si>
  <si>
    <t>Customer57</t>
  </si>
  <si>
    <t>Customer58</t>
  </si>
  <si>
    <t>Customer59</t>
  </si>
  <si>
    <t>Customer60</t>
  </si>
  <si>
    <t>Customer61</t>
  </si>
  <si>
    <t>Customer62</t>
  </si>
  <si>
    <t>Customer63</t>
  </si>
  <si>
    <t>Customer64</t>
  </si>
  <si>
    <t>Customer65</t>
  </si>
  <si>
    <t>Customer66</t>
  </si>
  <si>
    <t>Customer67</t>
  </si>
  <si>
    <t>Customer68</t>
  </si>
  <si>
    <t>Customer69</t>
  </si>
  <si>
    <t>Customer70</t>
  </si>
  <si>
    <t>Customer71</t>
  </si>
  <si>
    <t>Customer72</t>
  </si>
  <si>
    <t>Customer73</t>
  </si>
  <si>
    <t>Customer74</t>
  </si>
  <si>
    <t>Customer75</t>
  </si>
  <si>
    <t>Customer76</t>
  </si>
  <si>
    <t>Customer77</t>
  </si>
  <si>
    <t>Customer78</t>
  </si>
  <si>
    <t>Customer79</t>
  </si>
  <si>
    <t>Customer80</t>
  </si>
  <si>
    <t>Customer81</t>
  </si>
  <si>
    <t>Customer82</t>
  </si>
  <si>
    <t>Customer83</t>
  </si>
  <si>
    <t>Customer84</t>
  </si>
  <si>
    <t>Customer85</t>
  </si>
  <si>
    <t>Customer86</t>
  </si>
  <si>
    <t>Customer87</t>
  </si>
  <si>
    <t>Customer88</t>
  </si>
  <si>
    <t>Customer89</t>
  </si>
  <si>
    <t>Customer90</t>
  </si>
  <si>
    <t>Customer91</t>
  </si>
  <si>
    <t>Customer92</t>
  </si>
  <si>
    <t>Customer93</t>
  </si>
  <si>
    <t>Customer94</t>
  </si>
  <si>
    <t>Customer95</t>
  </si>
  <si>
    <t>Customer96</t>
  </si>
  <si>
    <t>Customer97</t>
  </si>
  <si>
    <t>Customer98</t>
  </si>
  <si>
    <t>Customer99</t>
  </si>
  <si>
    <t>Customer100</t>
  </si>
  <si>
    <t>Customer101</t>
  </si>
  <si>
    <t>Customer102</t>
  </si>
  <si>
    <t>Customer103</t>
  </si>
  <si>
    <t>Customer104</t>
  </si>
  <si>
    <t>Customer105</t>
  </si>
  <si>
    <t>Customer106</t>
  </si>
  <si>
    <t>Customer107</t>
  </si>
  <si>
    <t>Customer108</t>
  </si>
  <si>
    <t>Customer109</t>
  </si>
  <si>
    <t>Customer110</t>
  </si>
  <si>
    <t>Customer111</t>
  </si>
  <si>
    <t>Customer112</t>
  </si>
  <si>
    <t>Customer113</t>
  </si>
  <si>
    <t>Customer114</t>
  </si>
  <si>
    <t>Customer115</t>
  </si>
  <si>
    <t>Customer116</t>
  </si>
  <si>
    <t>Customer117</t>
  </si>
  <si>
    <t>Customer118</t>
  </si>
  <si>
    <t>Customer119</t>
  </si>
  <si>
    <t>Customer120</t>
  </si>
  <si>
    <t>Customer121</t>
  </si>
  <si>
    <t>Customer122</t>
  </si>
  <si>
    <t>Customer123</t>
  </si>
  <si>
    <t>Customer124</t>
  </si>
  <si>
    <t>Customer125</t>
  </si>
  <si>
    <t>Customer126</t>
  </si>
  <si>
    <t>Customer127</t>
  </si>
  <si>
    <t>Customer128</t>
  </si>
  <si>
    <t>Customer129</t>
  </si>
  <si>
    <t>Customer130</t>
  </si>
  <si>
    <t>Customer131</t>
  </si>
  <si>
    <t>Customer132</t>
  </si>
  <si>
    <t>Customer133</t>
  </si>
  <si>
    <t>Customer134</t>
  </si>
  <si>
    <t>Customer135</t>
  </si>
  <si>
    <t>Customer136</t>
  </si>
  <si>
    <t>Customer137</t>
  </si>
  <si>
    <t>Customer138</t>
  </si>
  <si>
    <t>Customer139</t>
  </si>
  <si>
    <t>Customer140</t>
  </si>
  <si>
    <t>Customer141</t>
  </si>
  <si>
    <t>Customer142</t>
  </si>
  <si>
    <t>Customer143</t>
  </si>
  <si>
    <t>Customer144</t>
  </si>
  <si>
    <t>Customer145</t>
  </si>
  <si>
    <t>Customer146</t>
  </si>
  <si>
    <t>Customer147</t>
  </si>
  <si>
    <t>Customer148</t>
  </si>
  <si>
    <t>Customer149</t>
  </si>
  <si>
    <t>Customer150</t>
  </si>
  <si>
    <t>Customer151</t>
  </si>
  <si>
    <t>Customer152</t>
  </si>
  <si>
    <t>Customer153</t>
  </si>
  <si>
    <t>Customer154</t>
  </si>
  <si>
    <t>Customer155</t>
  </si>
  <si>
    <t>Customer156</t>
  </si>
  <si>
    <t>Customer157</t>
  </si>
  <si>
    <t>Customer158</t>
  </si>
  <si>
    <t>Customer159</t>
  </si>
  <si>
    <t>Customer160</t>
  </si>
  <si>
    <t>Customer161</t>
  </si>
  <si>
    <t>Customer162</t>
  </si>
  <si>
    <t>Customer163</t>
  </si>
  <si>
    <t>Customer164</t>
  </si>
  <si>
    <t>Customer165</t>
  </si>
  <si>
    <t>Customer166</t>
  </si>
  <si>
    <t>Customer167</t>
  </si>
  <si>
    <t>Customer168</t>
  </si>
  <si>
    <t>Customer169</t>
  </si>
  <si>
    <t>Customer170</t>
  </si>
  <si>
    <t>Customer171</t>
  </si>
  <si>
    <t>Customer172</t>
  </si>
  <si>
    <t>Customer173</t>
  </si>
  <si>
    <t>Customer174</t>
  </si>
  <si>
    <t>Customer175</t>
  </si>
  <si>
    <t>Customer176</t>
  </si>
  <si>
    <t>Customer177</t>
  </si>
  <si>
    <t>Customer178</t>
  </si>
  <si>
    <t>Customer179</t>
  </si>
  <si>
    <t>Customer180</t>
  </si>
  <si>
    <t>Customer181</t>
  </si>
  <si>
    <t>Customer182</t>
  </si>
  <si>
    <t>Customer183</t>
  </si>
  <si>
    <t>Customer184</t>
  </si>
  <si>
    <t>Customer185</t>
  </si>
  <si>
    <t>Customer186</t>
  </si>
  <si>
    <t>Customer187</t>
  </si>
  <si>
    <t>Customer188</t>
  </si>
  <si>
    <t>Customer189</t>
  </si>
  <si>
    <t>Customer190</t>
  </si>
  <si>
    <t>Customer191</t>
  </si>
  <si>
    <t>Customer192</t>
  </si>
  <si>
    <t>Customer193</t>
  </si>
  <si>
    <t>Customer194</t>
  </si>
  <si>
    <t>Customer195</t>
  </si>
  <si>
    <t>Customer196</t>
  </si>
  <si>
    <t>Customer197</t>
  </si>
  <si>
    <t>Customer198</t>
  </si>
  <si>
    <t>Customer199</t>
  </si>
  <si>
    <t>Customer200</t>
  </si>
  <si>
    <t>Customer201</t>
  </si>
  <si>
    <t>Customer202</t>
  </si>
  <si>
    <t>Customer203</t>
  </si>
  <si>
    <t>Customer204</t>
  </si>
  <si>
    <t>Customer205</t>
  </si>
  <si>
    <t>Customer206</t>
  </si>
  <si>
    <t>Customer207</t>
  </si>
  <si>
    <t>Customer208</t>
  </si>
  <si>
    <t>Customer209</t>
  </si>
  <si>
    <t>Customer210</t>
  </si>
  <si>
    <t>Customer211</t>
  </si>
  <si>
    <t>Customer212</t>
  </si>
  <si>
    <t>Customer213</t>
  </si>
  <si>
    <t>Customer214</t>
  </si>
  <si>
    <t>Customer215</t>
  </si>
  <si>
    <t>Customer216</t>
  </si>
  <si>
    <t>Customer217</t>
  </si>
  <si>
    <t>Customer218</t>
  </si>
  <si>
    <t>Customer219</t>
  </si>
  <si>
    <t>Customer220</t>
  </si>
  <si>
    <t>Customer221</t>
  </si>
  <si>
    <t>Customer222</t>
  </si>
  <si>
    <t>Customer223</t>
  </si>
  <si>
    <t>Customer224</t>
  </si>
  <si>
    <t>Customer225</t>
  </si>
  <si>
    <t>Customer226</t>
  </si>
  <si>
    <t>Customer227</t>
  </si>
  <si>
    <t>Customer228</t>
  </si>
  <si>
    <t>Customer229</t>
  </si>
  <si>
    <t>Customer230</t>
  </si>
  <si>
    <t>Customer231</t>
  </si>
  <si>
    <t>Customer232</t>
  </si>
  <si>
    <t>Customer233</t>
  </si>
  <si>
    <t>Customer234</t>
  </si>
  <si>
    <t>Customer235</t>
  </si>
  <si>
    <t>Customer236</t>
  </si>
  <si>
    <t>Customer237</t>
  </si>
  <si>
    <t>Customer238</t>
  </si>
  <si>
    <t>Customer239</t>
  </si>
  <si>
    <t>Customer240</t>
  </si>
  <si>
    <t>Customer241</t>
  </si>
  <si>
    <t>Customer242</t>
  </si>
  <si>
    <t>Customer243</t>
  </si>
  <si>
    <t>Customer244</t>
  </si>
  <si>
    <t>Customer245</t>
  </si>
  <si>
    <t>Customer246</t>
  </si>
  <si>
    <t>Customer247</t>
  </si>
  <si>
    <t>Customer248</t>
  </si>
  <si>
    <t>Customer249</t>
  </si>
  <si>
    <t>Customer250</t>
  </si>
  <si>
    <t>Customer251</t>
  </si>
  <si>
    <t>Customer252</t>
  </si>
  <si>
    <t>Customer253</t>
  </si>
  <si>
    <t>Customer254</t>
  </si>
  <si>
    <t>Customer255</t>
  </si>
  <si>
    <t>Customer256</t>
  </si>
  <si>
    <t>Customer257</t>
  </si>
  <si>
    <t>Customer258</t>
  </si>
  <si>
    <t>Customer259</t>
  </si>
  <si>
    <t>Customer260</t>
  </si>
  <si>
    <t>Customer261</t>
  </si>
  <si>
    <t>Customer262</t>
  </si>
  <si>
    <t>Customer263</t>
  </si>
  <si>
    <t>Customer264</t>
  </si>
  <si>
    <t>Customer265</t>
  </si>
  <si>
    <t>Customer266</t>
  </si>
  <si>
    <t>Customer267</t>
  </si>
  <si>
    <t>Customer268</t>
  </si>
  <si>
    <t>Customer269</t>
  </si>
  <si>
    <t>Customer270</t>
  </si>
  <si>
    <t>Customer271</t>
  </si>
  <si>
    <t>Customer272</t>
  </si>
  <si>
    <t>Customer273</t>
  </si>
  <si>
    <t>Customer274</t>
  </si>
  <si>
    <t>Customer275</t>
  </si>
  <si>
    <t>Customer276</t>
  </si>
  <si>
    <t>Customer277</t>
  </si>
  <si>
    <t>Customer278</t>
  </si>
  <si>
    <t>Customer279</t>
  </si>
  <si>
    <t>Customer280</t>
  </si>
  <si>
    <t>Customer281</t>
  </si>
  <si>
    <t>Customer282</t>
  </si>
  <si>
    <t>Customer283</t>
  </si>
  <si>
    <t>Customer284</t>
  </si>
  <si>
    <t>Customer285</t>
  </si>
  <si>
    <t>Customer286</t>
  </si>
  <si>
    <t>Customer287</t>
  </si>
  <si>
    <t>Customer288</t>
  </si>
  <si>
    <t>Customer289</t>
  </si>
  <si>
    <t>Customer290</t>
  </si>
  <si>
    <t>Customer291</t>
  </si>
  <si>
    <t>Customer292</t>
  </si>
  <si>
    <t>Customer293</t>
  </si>
  <si>
    <t>Customer294</t>
  </si>
  <si>
    <t>Customer295</t>
  </si>
  <si>
    <t>Customer296</t>
  </si>
  <si>
    <t>Customer297</t>
  </si>
  <si>
    <t>Customer298</t>
  </si>
  <si>
    <t>Customer299</t>
  </si>
  <si>
    <t>Customer300</t>
  </si>
  <si>
    <t>Customer301</t>
  </si>
  <si>
    <t>Customer302</t>
  </si>
  <si>
    <t>Customer303</t>
  </si>
  <si>
    <t>Customer304</t>
  </si>
  <si>
    <t>Customer305</t>
  </si>
  <si>
    <t>Customer306</t>
  </si>
  <si>
    <t>Customer307</t>
  </si>
  <si>
    <t>Customer308</t>
  </si>
  <si>
    <t>Customer309</t>
  </si>
  <si>
    <t>Customer310</t>
  </si>
  <si>
    <t>Customer311</t>
  </si>
  <si>
    <t>Customer312</t>
  </si>
  <si>
    <t>Customer313</t>
  </si>
  <si>
    <t>Customer314</t>
  </si>
  <si>
    <t>Customer315</t>
  </si>
  <si>
    <t>Customer316</t>
  </si>
  <si>
    <t>Customer317</t>
  </si>
  <si>
    <t>Customer318</t>
  </si>
  <si>
    <t>Customer319</t>
  </si>
  <si>
    <t>Customer320</t>
  </si>
  <si>
    <t>Customer321</t>
  </si>
  <si>
    <t>Customer322</t>
  </si>
  <si>
    <t>Customer323</t>
  </si>
  <si>
    <t>Customer324</t>
  </si>
  <si>
    <t>Customer325</t>
  </si>
  <si>
    <t>Customer326</t>
  </si>
  <si>
    <t>Customer327</t>
  </si>
  <si>
    <t>Customer328</t>
  </si>
  <si>
    <t>Customer329</t>
  </si>
  <si>
    <t>Customer330</t>
  </si>
  <si>
    <t>Customer331</t>
  </si>
  <si>
    <t>Customer332</t>
  </si>
  <si>
    <t>Customer333</t>
  </si>
  <si>
    <t>Customer334</t>
  </si>
  <si>
    <t>Customer335</t>
  </si>
  <si>
    <t>Customer336</t>
  </si>
  <si>
    <t>Customer337</t>
  </si>
  <si>
    <t>Customer338</t>
  </si>
  <si>
    <t>Customer339</t>
  </si>
  <si>
    <t>Customer340</t>
  </si>
  <si>
    <t>Customer341</t>
  </si>
  <si>
    <t>Customer342</t>
  </si>
  <si>
    <t>Customer343</t>
  </si>
  <si>
    <t>Customer344</t>
  </si>
  <si>
    <t>Customer345</t>
  </si>
  <si>
    <t>Customer346</t>
  </si>
  <si>
    <t>Customer347</t>
  </si>
  <si>
    <t>Customer348</t>
  </si>
  <si>
    <t>Customer349</t>
  </si>
  <si>
    <t>Customer350</t>
  </si>
  <si>
    <t>Customer351</t>
  </si>
  <si>
    <t>Customer352</t>
  </si>
  <si>
    <t>Customer353</t>
  </si>
  <si>
    <t>Customer354</t>
  </si>
  <si>
    <t>Customer355</t>
  </si>
  <si>
    <t>Customer356</t>
  </si>
  <si>
    <t>Customer357</t>
  </si>
  <si>
    <t>Customer358</t>
  </si>
  <si>
    <t>Customer359</t>
  </si>
  <si>
    <t>Customer360</t>
  </si>
  <si>
    <t>Customer361</t>
  </si>
  <si>
    <t>Customer362</t>
  </si>
  <si>
    <t>Customer363</t>
  </si>
  <si>
    <t>Customer364</t>
  </si>
  <si>
    <t>Customer365</t>
  </si>
  <si>
    <t>Customer366</t>
  </si>
  <si>
    <t>Customer367</t>
  </si>
  <si>
    <t>Customer368</t>
  </si>
  <si>
    <t>Customer369</t>
  </si>
  <si>
    <t>Customer370</t>
  </si>
  <si>
    <t>Customer371</t>
  </si>
  <si>
    <t>Customer372</t>
  </si>
  <si>
    <t>Customer373</t>
  </si>
  <si>
    <t>Customer374</t>
  </si>
  <si>
    <t>Customer375</t>
  </si>
  <si>
    <t>Customer376</t>
  </si>
  <si>
    <t>Customer377</t>
  </si>
  <si>
    <t>Customer378</t>
  </si>
  <si>
    <t>Customer379</t>
  </si>
  <si>
    <t>Customer380</t>
  </si>
  <si>
    <t>Customer381</t>
  </si>
  <si>
    <t>Customer382</t>
  </si>
  <si>
    <t>Customer383</t>
  </si>
  <si>
    <t>Customer384</t>
  </si>
  <si>
    <t>Customer385</t>
  </si>
  <si>
    <t>Customer386</t>
  </si>
  <si>
    <t>Customer387</t>
  </si>
  <si>
    <t>Customer388</t>
  </si>
  <si>
    <t>Customer389</t>
  </si>
  <si>
    <t>Customer390</t>
  </si>
  <si>
    <t>Customer391</t>
  </si>
  <si>
    <t>Customer392</t>
  </si>
  <si>
    <t>Customer393</t>
  </si>
  <si>
    <t>Customer394</t>
  </si>
  <si>
    <t>Customer395</t>
  </si>
  <si>
    <t>Customer396</t>
  </si>
  <si>
    <t>Customer397</t>
  </si>
  <si>
    <t>Customer398</t>
  </si>
  <si>
    <t>Customer399</t>
  </si>
  <si>
    <t>Customer400</t>
  </si>
  <si>
    <t>Customer401</t>
  </si>
  <si>
    <t>Customer402</t>
  </si>
  <si>
    <t>Customer403</t>
  </si>
  <si>
    <t>Customer404</t>
  </si>
  <si>
    <t>Customer405</t>
  </si>
  <si>
    <t>Customer406</t>
  </si>
  <si>
    <t>Customer407</t>
  </si>
  <si>
    <t>Customer408</t>
  </si>
  <si>
    <t>Customer409</t>
  </si>
  <si>
    <t>Customer410</t>
  </si>
  <si>
    <t>Customer411</t>
  </si>
  <si>
    <t>Customer412</t>
  </si>
  <si>
    <t>Customer413</t>
  </si>
  <si>
    <t>Customer414</t>
  </si>
  <si>
    <t>Customer415</t>
  </si>
  <si>
    <t>Customer416</t>
  </si>
  <si>
    <t>Customer417</t>
  </si>
  <si>
    <t>Customer418</t>
  </si>
  <si>
    <t>Customer419</t>
  </si>
  <si>
    <t>Customer420</t>
  </si>
  <si>
    <t>Customer421</t>
  </si>
  <si>
    <t>Customer422</t>
  </si>
  <si>
    <t>Customer423</t>
  </si>
  <si>
    <t>Customer424</t>
  </si>
  <si>
    <t>Customer425</t>
  </si>
  <si>
    <t>Customer426</t>
  </si>
  <si>
    <t>Customer427</t>
  </si>
  <si>
    <t>Customer428</t>
  </si>
  <si>
    <t>Customer429</t>
  </si>
  <si>
    <t>Customer430</t>
  </si>
  <si>
    <t>Customer431</t>
  </si>
  <si>
    <t>Customer432</t>
  </si>
  <si>
    <t>Customer433</t>
  </si>
  <si>
    <t>Customer434</t>
  </si>
  <si>
    <t>Customer435</t>
  </si>
  <si>
    <t>Customer436</t>
  </si>
  <si>
    <t>Customer437</t>
  </si>
  <si>
    <t>Customer438</t>
  </si>
  <si>
    <t>Customer439</t>
  </si>
  <si>
    <t>Customer440</t>
  </si>
  <si>
    <t>Customer441</t>
  </si>
  <si>
    <t>Customer442</t>
  </si>
  <si>
    <t>Customer443</t>
  </si>
  <si>
    <t>Customer444</t>
  </si>
  <si>
    <t>Customer445</t>
  </si>
  <si>
    <t>Customer446</t>
  </si>
  <si>
    <t>Customer447</t>
  </si>
  <si>
    <t>Customer448</t>
  </si>
  <si>
    <t>Customer449</t>
  </si>
  <si>
    <t>Customer450</t>
  </si>
  <si>
    <t>Customer451</t>
  </si>
  <si>
    <t>Customer452</t>
  </si>
  <si>
    <t>Customer453</t>
  </si>
  <si>
    <t>Customer454</t>
  </si>
  <si>
    <t>Customer455</t>
  </si>
  <si>
    <t>Customer456</t>
  </si>
  <si>
    <t>Customer457</t>
  </si>
  <si>
    <t>Customer458</t>
  </si>
  <si>
    <t>Customer459</t>
  </si>
  <si>
    <t>Customer460</t>
  </si>
  <si>
    <t>Customer461</t>
  </si>
  <si>
    <t>Customer462</t>
  </si>
  <si>
    <t>Customer463</t>
  </si>
  <si>
    <t>Customer464</t>
  </si>
  <si>
    <t>Customer465</t>
  </si>
  <si>
    <t>Customer466</t>
  </si>
  <si>
    <t>Customer467</t>
  </si>
  <si>
    <t>Customer468</t>
  </si>
  <si>
    <t>Customer469</t>
  </si>
  <si>
    <t>Customer470</t>
  </si>
  <si>
    <t>Customer471</t>
  </si>
  <si>
    <t>Customer472</t>
  </si>
  <si>
    <t>Customer473</t>
  </si>
  <si>
    <t>Customer474</t>
  </si>
  <si>
    <t>Customer475</t>
  </si>
  <si>
    <t>Customer476</t>
  </si>
  <si>
    <t>Customer477</t>
  </si>
  <si>
    <t>Customer478</t>
  </si>
  <si>
    <t>Customer479</t>
  </si>
  <si>
    <t>Customer480</t>
  </si>
  <si>
    <t>Customer481</t>
  </si>
  <si>
    <t>Customer482</t>
  </si>
  <si>
    <t>Customer483</t>
  </si>
  <si>
    <t>Customer484</t>
  </si>
  <si>
    <t>Customer485</t>
  </si>
  <si>
    <t>Customer486</t>
  </si>
  <si>
    <t>Customer487</t>
  </si>
  <si>
    <t>Customer488</t>
  </si>
  <si>
    <t>Customer489</t>
  </si>
  <si>
    <t>Customer490</t>
  </si>
  <si>
    <t>Customer491</t>
  </si>
  <si>
    <t>Customer492</t>
  </si>
  <si>
    <t>Customer493</t>
  </si>
  <si>
    <t>Customer494</t>
  </si>
  <si>
    <t>Customer495</t>
  </si>
  <si>
    <t>Customer496</t>
  </si>
  <si>
    <t>Customer497</t>
  </si>
  <si>
    <t>Customer498</t>
  </si>
  <si>
    <t>Customer499</t>
  </si>
  <si>
    <t>Customer500</t>
  </si>
  <si>
    <t>Customer501</t>
  </si>
  <si>
    <t>Customer502</t>
  </si>
  <si>
    <t>Customer503</t>
  </si>
  <si>
    <t>Customer504</t>
  </si>
  <si>
    <t>Customer505</t>
  </si>
  <si>
    <t>Customer506</t>
  </si>
  <si>
    <t>Customer507</t>
  </si>
  <si>
    <t>Customer508</t>
  </si>
  <si>
    <t>Customer509</t>
  </si>
  <si>
    <t>Customer510</t>
  </si>
  <si>
    <t>Customer511</t>
  </si>
  <si>
    <t>Customer512</t>
  </si>
  <si>
    <t>Customer513</t>
  </si>
  <si>
    <t>Customer514</t>
  </si>
  <si>
    <t>Customer515</t>
  </si>
  <si>
    <t>Customer516</t>
  </si>
  <si>
    <t>Customer517</t>
  </si>
  <si>
    <t>Customer518</t>
  </si>
  <si>
    <t>Customer519</t>
  </si>
  <si>
    <t>Customer520</t>
  </si>
  <si>
    <t>Customer521</t>
  </si>
  <si>
    <t>Customer522</t>
  </si>
  <si>
    <t>Customer523</t>
  </si>
  <si>
    <t>Customer524</t>
  </si>
  <si>
    <t>Customer525</t>
  </si>
  <si>
    <t>Customer526</t>
  </si>
  <si>
    <t>Customer527</t>
  </si>
  <si>
    <t>Customer528</t>
  </si>
  <si>
    <t>Customer529</t>
  </si>
  <si>
    <t>Customer530</t>
  </si>
  <si>
    <t>Customer531</t>
  </si>
  <si>
    <t>Customer532</t>
  </si>
  <si>
    <t>Customer533</t>
  </si>
  <si>
    <t>Customer534</t>
  </si>
  <si>
    <t>Customer535</t>
  </si>
  <si>
    <t>Customer536</t>
  </si>
  <si>
    <t>Customer537</t>
  </si>
  <si>
    <t>Customer538</t>
  </si>
  <si>
    <t>Customer539</t>
  </si>
  <si>
    <t>Customer540</t>
  </si>
  <si>
    <t>Customer541</t>
  </si>
  <si>
    <t>Customer542</t>
  </si>
  <si>
    <t>Customer543</t>
  </si>
  <si>
    <t>Customer544</t>
  </si>
  <si>
    <t>Customer545</t>
  </si>
  <si>
    <t>Customer546</t>
  </si>
  <si>
    <t>Customer547</t>
  </si>
  <si>
    <t>Customer548</t>
  </si>
  <si>
    <t>Customer549</t>
  </si>
  <si>
    <t>Customer550</t>
  </si>
  <si>
    <t>Customer551</t>
  </si>
  <si>
    <t>Customer552</t>
  </si>
  <si>
    <t>Customer553</t>
  </si>
  <si>
    <t>Customer554</t>
  </si>
  <si>
    <t>Customer555</t>
  </si>
  <si>
    <t>Customer556</t>
  </si>
  <si>
    <t>Customer557</t>
  </si>
  <si>
    <t>Customer558</t>
  </si>
  <si>
    <t>Customer559</t>
  </si>
  <si>
    <t>Customer560</t>
  </si>
  <si>
    <t>Customer561</t>
  </si>
  <si>
    <t>Customer562</t>
  </si>
  <si>
    <t>Customer563</t>
  </si>
  <si>
    <t>Customer564</t>
  </si>
  <si>
    <t>Customer565</t>
  </si>
  <si>
    <t>Customer566</t>
  </si>
  <si>
    <t>Customer567</t>
  </si>
  <si>
    <t>Customer568</t>
  </si>
  <si>
    <t>Customer569</t>
  </si>
  <si>
    <t>Customer570</t>
  </si>
  <si>
    <t>Customer571</t>
  </si>
  <si>
    <t>Customer572</t>
  </si>
  <si>
    <t>Customer573</t>
  </si>
  <si>
    <t>Customer574</t>
  </si>
  <si>
    <t>Customer575</t>
  </si>
  <si>
    <t>Customer576</t>
  </si>
  <si>
    <t>Customer577</t>
  </si>
  <si>
    <t>Customer578</t>
  </si>
  <si>
    <t>Customer579</t>
  </si>
  <si>
    <t>Customer580</t>
  </si>
  <si>
    <t>Customer581</t>
  </si>
  <si>
    <t>Customer582</t>
  </si>
  <si>
    <t>Customer583</t>
  </si>
  <si>
    <t>Customer584</t>
  </si>
  <si>
    <t>Customer585</t>
  </si>
  <si>
    <t>Customer586</t>
  </si>
  <si>
    <t>Customer587</t>
  </si>
  <si>
    <t>Customer588</t>
  </si>
  <si>
    <t>Customer589</t>
  </si>
  <si>
    <t>Customer590</t>
  </si>
  <si>
    <t>Customer591</t>
  </si>
  <si>
    <t>Customer592</t>
  </si>
  <si>
    <t>Customer593</t>
  </si>
  <si>
    <t>Customer594</t>
  </si>
  <si>
    <t>Customer595</t>
  </si>
  <si>
    <t>Customer596</t>
  </si>
  <si>
    <t>Customer597</t>
  </si>
  <si>
    <t>Customer598</t>
  </si>
  <si>
    <t>Customer599</t>
  </si>
  <si>
    <t>Customer600</t>
  </si>
  <si>
    <t>Customer601</t>
  </si>
  <si>
    <t>Customer602</t>
  </si>
  <si>
    <t>Customer603</t>
  </si>
  <si>
    <t>Customer604</t>
  </si>
  <si>
    <t>Customer605</t>
  </si>
  <si>
    <t>Customer606</t>
  </si>
  <si>
    <t>Customer607</t>
  </si>
  <si>
    <t>Customer608</t>
  </si>
  <si>
    <t>Customer609</t>
  </si>
  <si>
    <t>Customer610</t>
  </si>
  <si>
    <t>Customer611</t>
  </si>
  <si>
    <t>Customer612</t>
  </si>
  <si>
    <t>Customer613</t>
  </si>
  <si>
    <t>Customer614</t>
  </si>
  <si>
    <t>Customer615</t>
  </si>
  <si>
    <t>Customer616</t>
  </si>
  <si>
    <t>Customer617</t>
  </si>
  <si>
    <t>Customer618</t>
  </si>
  <si>
    <t>Customer619</t>
  </si>
  <si>
    <t>Customer620</t>
  </si>
  <si>
    <t>Customer621</t>
  </si>
  <si>
    <t>Customer622</t>
  </si>
  <si>
    <t>Customer623</t>
  </si>
  <si>
    <t>Customer624</t>
  </si>
  <si>
    <t>Customer625</t>
  </si>
  <si>
    <t>Customer626</t>
  </si>
  <si>
    <t>Customer627</t>
  </si>
  <si>
    <t>Customer628</t>
  </si>
  <si>
    <t>Customer629</t>
  </si>
  <si>
    <t>Customer630</t>
  </si>
  <si>
    <t>Customer631</t>
  </si>
  <si>
    <t>Customer632</t>
  </si>
  <si>
    <t>Customer633</t>
  </si>
  <si>
    <t>Customer634</t>
  </si>
  <si>
    <t>Customer635</t>
  </si>
  <si>
    <t>Customer636</t>
  </si>
  <si>
    <t>Customer637</t>
  </si>
  <si>
    <t>Customer638</t>
  </si>
  <si>
    <t>Customer639</t>
  </si>
  <si>
    <t>Customer640</t>
  </si>
  <si>
    <t>Customer641</t>
  </si>
  <si>
    <t>Customer642</t>
  </si>
  <si>
    <t>Customer643</t>
  </si>
  <si>
    <t>Customer644</t>
  </si>
  <si>
    <t>Customer645</t>
  </si>
  <si>
    <t>Customer646</t>
  </si>
  <si>
    <t>Customer647</t>
  </si>
  <si>
    <t>Customer648</t>
  </si>
  <si>
    <t>Customer649</t>
  </si>
  <si>
    <t>Customer650</t>
  </si>
  <si>
    <t>Customer651</t>
  </si>
  <si>
    <t>Customer652</t>
  </si>
  <si>
    <t>Customer653</t>
  </si>
  <si>
    <t>Customer654</t>
  </si>
  <si>
    <t>Customer655</t>
  </si>
  <si>
    <t>Customer656</t>
  </si>
  <si>
    <t>Customer657</t>
  </si>
  <si>
    <t>Customer658</t>
  </si>
  <si>
    <t>Customer659</t>
  </si>
  <si>
    <t>Customer660</t>
  </si>
  <si>
    <t>Customer661</t>
  </si>
  <si>
    <t>Customer662</t>
  </si>
  <si>
    <t>Customer663</t>
  </si>
  <si>
    <t>Customer664</t>
  </si>
  <si>
    <t>Customer665</t>
  </si>
  <si>
    <t>Customer666</t>
  </si>
  <si>
    <t>Customer667</t>
  </si>
  <si>
    <t>Customer668</t>
  </si>
  <si>
    <t>Customer669</t>
  </si>
  <si>
    <t>Customer670</t>
  </si>
  <si>
    <t>Customer671</t>
  </si>
  <si>
    <t>Customer672</t>
  </si>
  <si>
    <t>Customer673</t>
  </si>
  <si>
    <t>Customer674</t>
  </si>
  <si>
    <t>Customer675</t>
  </si>
  <si>
    <t>Customer676</t>
  </si>
  <si>
    <t>Customer677</t>
  </si>
  <si>
    <t>Customer678</t>
  </si>
  <si>
    <t>Customer679</t>
  </si>
  <si>
    <t>Customer680</t>
  </si>
  <si>
    <t>Customer681</t>
  </si>
  <si>
    <t>Customer682</t>
  </si>
  <si>
    <t>Customer683</t>
  </si>
  <si>
    <t>Customer684</t>
  </si>
  <si>
    <t>Customer685</t>
  </si>
  <si>
    <t>Customer686</t>
  </si>
  <si>
    <t>Customer687</t>
  </si>
  <si>
    <t>Customer688</t>
  </si>
  <si>
    <t>Customer689</t>
  </si>
  <si>
    <t>Customer690</t>
  </si>
  <si>
    <t>Customer691</t>
  </si>
  <si>
    <t>Customer692</t>
  </si>
  <si>
    <t>Customer693</t>
  </si>
  <si>
    <t>Customer694</t>
  </si>
  <si>
    <t>Customer695</t>
  </si>
  <si>
    <t>Customer696</t>
  </si>
  <si>
    <t>Customer697</t>
  </si>
  <si>
    <t>Customer698</t>
  </si>
  <si>
    <t>Customer699</t>
  </si>
  <si>
    <t>Customer700</t>
  </si>
  <si>
    <t>Customer701</t>
  </si>
  <si>
    <t>Customer702</t>
  </si>
  <si>
    <t>Customer703</t>
  </si>
  <si>
    <t>Customer704</t>
  </si>
  <si>
    <t>Customer705</t>
  </si>
  <si>
    <t>Customer706</t>
  </si>
  <si>
    <t>Customer707</t>
  </si>
  <si>
    <t>Customer708</t>
  </si>
  <si>
    <t>Customer709</t>
  </si>
  <si>
    <t>Customer710</t>
  </si>
  <si>
    <t>Customer711</t>
  </si>
  <si>
    <t>Customer712</t>
  </si>
  <si>
    <t>Customer713</t>
  </si>
  <si>
    <t>Customer714</t>
  </si>
  <si>
    <t>Customer715</t>
  </si>
  <si>
    <t>Customer716</t>
  </si>
  <si>
    <t>Customer717</t>
  </si>
  <si>
    <t>Customer718</t>
  </si>
  <si>
    <t>Customer719</t>
  </si>
  <si>
    <t>Customer720</t>
  </si>
  <si>
    <t>Customer721</t>
  </si>
  <si>
    <t>Customer722</t>
  </si>
  <si>
    <t>Customer723</t>
  </si>
  <si>
    <t>Customer724</t>
  </si>
  <si>
    <t>Customer725</t>
  </si>
  <si>
    <t>Customer726</t>
  </si>
  <si>
    <t>Customer727</t>
  </si>
  <si>
    <t>Customer728</t>
  </si>
  <si>
    <t>Customer729</t>
  </si>
  <si>
    <t>Customer730</t>
  </si>
  <si>
    <t>Customer731</t>
  </si>
  <si>
    <t>Customer732</t>
  </si>
  <si>
    <t>Customer733</t>
  </si>
  <si>
    <t>Customer734</t>
  </si>
  <si>
    <t>Customer735</t>
  </si>
  <si>
    <t>Customer736</t>
  </si>
  <si>
    <t>Customer737</t>
  </si>
  <si>
    <t>Customer738</t>
  </si>
  <si>
    <t>Customer739</t>
  </si>
  <si>
    <t>Customer740</t>
  </si>
  <si>
    <t>Customer741</t>
  </si>
  <si>
    <t>Customer742</t>
  </si>
  <si>
    <t>Customer743</t>
  </si>
  <si>
    <t>Customer744</t>
  </si>
  <si>
    <t>Customer745</t>
  </si>
  <si>
    <t>Customer746</t>
  </si>
  <si>
    <t>Customer747</t>
  </si>
  <si>
    <t>Customer748</t>
  </si>
  <si>
    <t>Customer749</t>
  </si>
  <si>
    <t>Customer750</t>
  </si>
  <si>
    <t>Customer751</t>
  </si>
  <si>
    <t>Customer752</t>
  </si>
  <si>
    <t>Customer753</t>
  </si>
  <si>
    <t>Customer754</t>
  </si>
  <si>
    <t>Customer755</t>
  </si>
  <si>
    <t>Customer756</t>
  </si>
  <si>
    <t>Customer757</t>
  </si>
  <si>
    <t>Customer758</t>
  </si>
  <si>
    <t>Customer759</t>
  </si>
  <si>
    <t>Customer760</t>
  </si>
  <si>
    <t>Customer761</t>
  </si>
  <si>
    <t>Customer762</t>
  </si>
  <si>
    <t>Customer763</t>
  </si>
  <si>
    <t>Customer764</t>
  </si>
  <si>
    <t>Customer765</t>
  </si>
  <si>
    <t>Customer766</t>
  </si>
  <si>
    <t>Customer767</t>
  </si>
  <si>
    <t>Customer768</t>
  </si>
  <si>
    <t>Customer769</t>
  </si>
  <si>
    <t>Customer770</t>
  </si>
  <si>
    <t>Customer771</t>
  </si>
  <si>
    <t>Customer772</t>
  </si>
  <si>
    <t>Customer773</t>
  </si>
  <si>
    <t>Customer774</t>
  </si>
  <si>
    <t>Customer775</t>
  </si>
  <si>
    <t>Customer776</t>
  </si>
  <si>
    <t>Customer777</t>
  </si>
  <si>
    <t>Customer778</t>
  </si>
  <si>
    <t>Customer779</t>
  </si>
  <si>
    <t>Customer780</t>
  </si>
  <si>
    <t>Customer781</t>
  </si>
  <si>
    <t>Customer782</t>
  </si>
  <si>
    <t>Customer783</t>
  </si>
  <si>
    <t>Customer784</t>
  </si>
  <si>
    <t>Customer785</t>
  </si>
  <si>
    <t>Customer786</t>
  </si>
  <si>
    <t>Customer787</t>
  </si>
  <si>
    <t>Customer788</t>
  </si>
  <si>
    <t>Customer789</t>
  </si>
  <si>
    <t>Customer790</t>
  </si>
  <si>
    <t>Customer791</t>
  </si>
  <si>
    <t>Customer792</t>
  </si>
  <si>
    <t>Customer793</t>
  </si>
  <si>
    <t>Customer794</t>
  </si>
  <si>
    <t>Customer795</t>
  </si>
  <si>
    <t>Customer796</t>
  </si>
  <si>
    <t>Customer797</t>
  </si>
  <si>
    <t>Customer798</t>
  </si>
  <si>
    <t>Customer799</t>
  </si>
  <si>
    <t>Customer800</t>
  </si>
  <si>
    <t>Customer801</t>
  </si>
  <si>
    <t>Customer802</t>
  </si>
  <si>
    <t>Customer803</t>
  </si>
  <si>
    <t>Customer804</t>
  </si>
  <si>
    <t>Customer805</t>
  </si>
  <si>
    <t>Customer806</t>
  </si>
  <si>
    <t>Customer807</t>
  </si>
  <si>
    <t>Customer808</t>
  </si>
  <si>
    <t>Customer809</t>
  </si>
  <si>
    <t>Customer810</t>
  </si>
  <si>
    <t>Customer811</t>
  </si>
  <si>
    <t>Customer812</t>
  </si>
  <si>
    <t>Customer813</t>
  </si>
  <si>
    <t>Customer814</t>
  </si>
  <si>
    <t>Customer815</t>
  </si>
  <si>
    <t>Customer816</t>
  </si>
  <si>
    <t>Customer817</t>
  </si>
  <si>
    <t>Customer818</t>
  </si>
  <si>
    <t>Customer819</t>
  </si>
  <si>
    <t>Customer820</t>
  </si>
  <si>
    <t>Customer821</t>
  </si>
  <si>
    <t>Customer822</t>
  </si>
  <si>
    <t>Customer823</t>
  </si>
  <si>
    <t>Customer824</t>
  </si>
  <si>
    <t>Customer825</t>
  </si>
  <si>
    <t>Customer826</t>
  </si>
  <si>
    <t>Customer827</t>
  </si>
  <si>
    <t>Customer828</t>
  </si>
  <si>
    <t>Customer829</t>
  </si>
  <si>
    <t>Customer830</t>
  </si>
  <si>
    <t>Customer831</t>
  </si>
  <si>
    <t>Customer832</t>
  </si>
  <si>
    <t>Customer833</t>
  </si>
  <si>
    <t>Customer834</t>
  </si>
  <si>
    <t>Customer835</t>
  </si>
  <si>
    <t>Customer836</t>
  </si>
  <si>
    <t>Customer837</t>
  </si>
  <si>
    <t>Customer838</t>
  </si>
  <si>
    <t>Customer839</t>
  </si>
  <si>
    <t>Customer840</t>
  </si>
  <si>
    <t>Customer841</t>
  </si>
  <si>
    <t>Customer842</t>
  </si>
  <si>
    <t>Customer843</t>
  </si>
  <si>
    <t>Customer844</t>
  </si>
  <si>
    <t>Customer845</t>
  </si>
  <si>
    <t>Customer846</t>
  </si>
  <si>
    <t>Customer847</t>
  </si>
  <si>
    <t>Customer848</t>
  </si>
  <si>
    <t>Customer849</t>
  </si>
  <si>
    <t>Customer850</t>
  </si>
  <si>
    <t>Customer851</t>
  </si>
  <si>
    <t>Customer852</t>
  </si>
  <si>
    <t>Customer853</t>
  </si>
  <si>
    <t>Customer854</t>
  </si>
  <si>
    <t>Customer855</t>
  </si>
  <si>
    <t>Customer856</t>
  </si>
  <si>
    <t>Customer857</t>
  </si>
  <si>
    <t>Customer858</t>
  </si>
  <si>
    <t>Customer859</t>
  </si>
  <si>
    <t>Customer860</t>
  </si>
  <si>
    <t>Customer861</t>
  </si>
  <si>
    <t>Customer862</t>
  </si>
  <si>
    <t>Customer863</t>
  </si>
  <si>
    <t>Customer864</t>
  </si>
  <si>
    <t>Customer865</t>
  </si>
  <si>
    <t>Customer866</t>
  </si>
  <si>
    <t>Customer867</t>
  </si>
  <si>
    <t>Customer868</t>
  </si>
  <si>
    <t>Customer869</t>
  </si>
  <si>
    <t>Customer870</t>
  </si>
  <si>
    <t>Customer871</t>
  </si>
  <si>
    <t>Customer872</t>
  </si>
  <si>
    <t>Customer873</t>
  </si>
  <si>
    <t>Customer874</t>
  </si>
  <si>
    <t>Customer875</t>
  </si>
  <si>
    <t>Customer876</t>
  </si>
  <si>
    <t>Customer877</t>
  </si>
  <si>
    <t>Customer878</t>
  </si>
  <si>
    <t>Customer879</t>
  </si>
  <si>
    <t>Customer880</t>
  </si>
  <si>
    <t>Customer881</t>
  </si>
  <si>
    <t>Customer882</t>
  </si>
  <si>
    <t>Customer883</t>
  </si>
  <si>
    <t>Customer884</t>
  </si>
  <si>
    <t>Customer885</t>
  </si>
  <si>
    <t>Customer886</t>
  </si>
  <si>
    <t>Customer887</t>
  </si>
  <si>
    <t>Customer888</t>
  </si>
  <si>
    <t>Customer889</t>
  </si>
  <si>
    <t>Customer890</t>
  </si>
  <si>
    <t>Customer891</t>
  </si>
  <si>
    <t>Customer892</t>
  </si>
  <si>
    <t>Customer893</t>
  </si>
  <si>
    <t>Customer894</t>
  </si>
  <si>
    <t>Customer895</t>
  </si>
  <si>
    <t>Customer896</t>
  </si>
  <si>
    <t>Customer897</t>
  </si>
  <si>
    <t>Customer898</t>
  </si>
  <si>
    <t>Customer899</t>
  </si>
  <si>
    <t>Customer900</t>
  </si>
  <si>
    <t>Customer901</t>
  </si>
  <si>
    <t>Customer902</t>
  </si>
  <si>
    <t>Customer903</t>
  </si>
  <si>
    <t>Customer904</t>
  </si>
  <si>
    <t>Customer905</t>
  </si>
  <si>
    <t>Customer906</t>
  </si>
  <si>
    <t>Customer907</t>
  </si>
  <si>
    <t>Customer908</t>
  </si>
  <si>
    <t>Customer909</t>
  </si>
  <si>
    <t>Customer910</t>
  </si>
  <si>
    <t>Customer911</t>
  </si>
  <si>
    <t>Customer912</t>
  </si>
  <si>
    <t>Customer913</t>
  </si>
  <si>
    <t>Customer914</t>
  </si>
  <si>
    <t>Customer915</t>
  </si>
  <si>
    <t>Customer916</t>
  </si>
  <si>
    <t>Customer917</t>
  </si>
  <si>
    <t>Customer918</t>
  </si>
  <si>
    <t>Customer919</t>
  </si>
  <si>
    <t>Customer920</t>
  </si>
  <si>
    <t>Customer921</t>
  </si>
  <si>
    <t>Customer922</t>
  </si>
  <si>
    <t>Customer923</t>
  </si>
  <si>
    <t>Customer924</t>
  </si>
  <si>
    <t>Customer925</t>
  </si>
  <si>
    <t>Customer926</t>
  </si>
  <si>
    <t>Customer927</t>
  </si>
  <si>
    <t>Customer928</t>
  </si>
  <si>
    <t>Customer929</t>
  </si>
  <si>
    <t>Customer930</t>
  </si>
  <si>
    <t>Customer931</t>
  </si>
  <si>
    <t>Customer932</t>
  </si>
  <si>
    <t>Customer933</t>
  </si>
  <si>
    <t>Customer934</t>
  </si>
  <si>
    <t>Customer935</t>
  </si>
  <si>
    <t>Customer936</t>
  </si>
  <si>
    <t>Customer937</t>
  </si>
  <si>
    <t>Customer938</t>
  </si>
  <si>
    <t>Customer939</t>
  </si>
  <si>
    <t>Customer940</t>
  </si>
  <si>
    <t>Customer941</t>
  </si>
  <si>
    <t>Customer942</t>
  </si>
  <si>
    <t>Customer943</t>
  </si>
  <si>
    <t>Customer944</t>
  </si>
  <si>
    <t>Customer945</t>
  </si>
  <si>
    <t>Customer946</t>
  </si>
  <si>
    <t>Customer947</t>
  </si>
  <si>
    <t>Customer948</t>
  </si>
  <si>
    <t>Customer949</t>
  </si>
  <si>
    <t>Customer950</t>
  </si>
  <si>
    <t>Customer951</t>
  </si>
  <si>
    <t>Customer952</t>
  </si>
  <si>
    <t>Customer953</t>
  </si>
  <si>
    <t>Customer954</t>
  </si>
  <si>
    <t>Customer955</t>
  </si>
  <si>
    <t>Customer956</t>
  </si>
  <si>
    <t>Customer957</t>
  </si>
  <si>
    <t>Customer958</t>
  </si>
  <si>
    <t>Customer959</t>
  </si>
  <si>
    <t>Customer960</t>
  </si>
  <si>
    <t>Customer961</t>
  </si>
  <si>
    <t>Customer962</t>
  </si>
  <si>
    <t>Customer963</t>
  </si>
  <si>
    <t>Customer964</t>
  </si>
  <si>
    <t>Customer965</t>
  </si>
  <si>
    <t>Customer966</t>
  </si>
  <si>
    <t>Customer967</t>
  </si>
  <si>
    <t>Customer968</t>
  </si>
  <si>
    <t>Customer969</t>
  </si>
  <si>
    <t>Customer970</t>
  </si>
  <si>
    <t>Customer971</t>
  </si>
  <si>
    <t>Customer972</t>
  </si>
  <si>
    <t>Customer973</t>
  </si>
  <si>
    <t>Customer974</t>
  </si>
  <si>
    <t>Customer975</t>
  </si>
  <si>
    <t>Customer976</t>
  </si>
  <si>
    <t>Customer977</t>
  </si>
  <si>
    <t>Customer978</t>
  </si>
  <si>
    <t>Customer979</t>
  </si>
  <si>
    <t>Customer980</t>
  </si>
  <si>
    <t>Customer981</t>
  </si>
  <si>
    <t>Customer982</t>
  </si>
  <si>
    <t>Customer983</t>
  </si>
  <si>
    <t>Customer984</t>
  </si>
  <si>
    <t>Customer985</t>
  </si>
  <si>
    <t>Customer986</t>
  </si>
  <si>
    <t>Customer987</t>
  </si>
  <si>
    <t>Customer988</t>
  </si>
  <si>
    <t>Customer989</t>
  </si>
  <si>
    <t>Customer990</t>
  </si>
  <si>
    <t>Customer991</t>
  </si>
  <si>
    <t>Customer992</t>
  </si>
  <si>
    <t>Customer993</t>
  </si>
  <si>
    <t>Customer994</t>
  </si>
  <si>
    <t>Customer995</t>
  </si>
  <si>
    <t>Customer996</t>
  </si>
  <si>
    <t>Customer997</t>
  </si>
  <si>
    <t>Customer998</t>
  </si>
  <si>
    <t>Customer999</t>
  </si>
  <si>
    <t>Customer1000</t>
  </si>
  <si>
    <t>Customer1001</t>
  </si>
  <si>
    <t>Customer1002</t>
  </si>
  <si>
    <t>Customer1003</t>
  </si>
  <si>
    <t>Customer1004</t>
  </si>
  <si>
    <t>Customer1005</t>
  </si>
  <si>
    <t>Customer1006</t>
  </si>
  <si>
    <t>Customer1007</t>
  </si>
  <si>
    <t>Customer1008</t>
  </si>
  <si>
    <t>Customer1009</t>
  </si>
  <si>
    <t>Customer1010</t>
  </si>
  <si>
    <t>Customer1011</t>
  </si>
  <si>
    <t>Customer1012</t>
  </si>
  <si>
    <t>Customer1013</t>
  </si>
  <si>
    <t>Customer1014</t>
  </si>
  <si>
    <t>Customer1015</t>
  </si>
  <si>
    <t>Customer1016</t>
  </si>
  <si>
    <t>Customer1017</t>
  </si>
  <si>
    <t>Customer1018</t>
  </si>
  <si>
    <t>Customer1019</t>
  </si>
  <si>
    <t>Customer1020</t>
  </si>
  <si>
    <t>Customer1021</t>
  </si>
  <si>
    <t>Customer1022</t>
  </si>
  <si>
    <t>Customer1023</t>
  </si>
  <si>
    <t>Customer1024</t>
  </si>
  <si>
    <t>Customer1025</t>
  </si>
  <si>
    <t>Customer1026</t>
  </si>
  <si>
    <t>Customer1027</t>
  </si>
  <si>
    <t>Customer1028</t>
  </si>
  <si>
    <t>Customer1029</t>
  </si>
  <si>
    <t>Customer1030</t>
  </si>
  <si>
    <t>Customer1031</t>
  </si>
  <si>
    <t>Customer1032</t>
  </si>
  <si>
    <t>Customer1033</t>
  </si>
  <si>
    <t>Customer1034</t>
  </si>
  <si>
    <t>Customer1035</t>
  </si>
  <si>
    <t>Customer1036</t>
  </si>
  <si>
    <t>Customer1037</t>
  </si>
  <si>
    <t>Customer1038</t>
  </si>
  <si>
    <t>Customer1039</t>
  </si>
  <si>
    <t>Customer1040</t>
  </si>
  <si>
    <t>Customer1041</t>
  </si>
  <si>
    <t>Customer1042</t>
  </si>
  <si>
    <t>Customer1043</t>
  </si>
  <si>
    <t>Customer1044</t>
  </si>
  <si>
    <t>Customer1045</t>
  </si>
  <si>
    <t>Customer1046</t>
  </si>
  <si>
    <t>Customer1047</t>
  </si>
  <si>
    <t>Customer1048</t>
  </si>
  <si>
    <t>Customer1049</t>
  </si>
  <si>
    <t>Customer1050</t>
  </si>
  <si>
    <t>Customer1051</t>
  </si>
  <si>
    <t>Customer1052</t>
  </si>
  <si>
    <t>Customer1053</t>
  </si>
  <si>
    <t>Customer1054</t>
  </si>
  <si>
    <t>Customer1055</t>
  </si>
  <si>
    <t>Customer1056</t>
  </si>
  <si>
    <t>Customer1057</t>
  </si>
  <si>
    <t>Customer1058</t>
  </si>
  <si>
    <t>Customer1059</t>
  </si>
  <si>
    <t>Customer1060</t>
  </si>
  <si>
    <t>Customer1061</t>
  </si>
  <si>
    <t>Customer1062</t>
  </si>
  <si>
    <t>Customer1063</t>
  </si>
  <si>
    <t>Customer1064</t>
  </si>
  <si>
    <t>Customer1065</t>
  </si>
  <si>
    <t>Customer1066</t>
  </si>
  <si>
    <t>Customer1067</t>
  </si>
  <si>
    <t>Customer1068</t>
  </si>
  <si>
    <t>Customer1069</t>
  </si>
  <si>
    <t>Customer1070</t>
  </si>
  <si>
    <t>Customer1071</t>
  </si>
  <si>
    <t>Customer1072</t>
  </si>
  <si>
    <t>Customer1073</t>
  </si>
  <si>
    <t>Customer1074</t>
  </si>
  <si>
    <t>Customer1075</t>
  </si>
  <si>
    <t>Customer1076</t>
  </si>
  <si>
    <t>Customer1077</t>
  </si>
  <si>
    <t>Customer1078</t>
  </si>
  <si>
    <t>Customer1079</t>
  </si>
  <si>
    <t>Customer1080</t>
  </si>
  <si>
    <t>Customer1081</t>
  </si>
  <si>
    <t>Customer1082</t>
  </si>
  <si>
    <t>Customer1083</t>
  </si>
  <si>
    <t>Customer1084</t>
  </si>
  <si>
    <t>Customer1085</t>
  </si>
  <si>
    <t>Customer1086</t>
  </si>
  <si>
    <t>Customer1087</t>
  </si>
  <si>
    <t>Customer1088</t>
  </si>
  <si>
    <t>Customer1089</t>
  </si>
  <si>
    <t>Customer1090</t>
  </si>
  <si>
    <t>Customer1091</t>
  </si>
  <si>
    <t>Customer1092</t>
  </si>
  <si>
    <t>Customer1093</t>
  </si>
  <si>
    <t>Customer1094</t>
  </si>
  <si>
    <t>Customer1095</t>
  </si>
  <si>
    <t>Customer1096</t>
  </si>
  <si>
    <t>Customer1097</t>
  </si>
  <si>
    <t>Customer1098</t>
  </si>
  <si>
    <t>Customer1099</t>
  </si>
  <si>
    <t>Customer1100</t>
  </si>
  <si>
    <t>Customer1101</t>
  </si>
  <si>
    <t>Customer1102</t>
  </si>
  <si>
    <t>Customer1103</t>
  </si>
  <si>
    <t>Customer1104</t>
  </si>
  <si>
    <t>Customer1105</t>
  </si>
  <si>
    <t>Customer1106</t>
  </si>
  <si>
    <t>Customer1107</t>
  </si>
  <si>
    <t>Customer1108</t>
  </si>
  <si>
    <t>Customer1109</t>
  </si>
  <si>
    <t>Customer1110</t>
  </si>
  <si>
    <t>Customer1111</t>
  </si>
  <si>
    <t>Customer1112</t>
  </si>
  <si>
    <t>Customer1113</t>
  </si>
  <si>
    <t>Customer1114</t>
  </si>
  <si>
    <t>Customer1115</t>
  </si>
  <si>
    <t>Customer1116</t>
  </si>
  <si>
    <t>Customer1117</t>
  </si>
  <si>
    <t>Customer1118</t>
  </si>
  <si>
    <t>Customer1119</t>
  </si>
  <si>
    <t>Customer1120</t>
  </si>
  <si>
    <t>Customer1121</t>
  </si>
  <si>
    <t>Customer1122</t>
  </si>
  <si>
    <t>Customer1123</t>
  </si>
  <si>
    <t>Customer1124</t>
  </si>
  <si>
    <t>Customer1125</t>
  </si>
  <si>
    <t>Customer1126</t>
  </si>
  <si>
    <t>Customer1127</t>
  </si>
  <si>
    <t>Customer1128</t>
  </si>
  <si>
    <t>Customer1129</t>
  </si>
  <si>
    <t>Customer1130</t>
  </si>
  <si>
    <t>Customer1131</t>
  </si>
  <si>
    <t>Customer1132</t>
  </si>
  <si>
    <t>Customer1133</t>
  </si>
  <si>
    <t>Customer1134</t>
  </si>
  <si>
    <t>Customer1135</t>
  </si>
  <si>
    <t>Customer1136</t>
  </si>
  <si>
    <t>Customer1137</t>
  </si>
  <si>
    <t>Customer1138</t>
  </si>
  <si>
    <t>Customer1139</t>
  </si>
  <si>
    <t>Customer1140</t>
  </si>
  <si>
    <t>Customer1141</t>
  </si>
  <si>
    <t>Customer1142</t>
  </si>
  <si>
    <t>Customer1143</t>
  </si>
  <si>
    <t>Customer1144</t>
  </si>
  <si>
    <t>Customer1145</t>
  </si>
  <si>
    <t>Customer1146</t>
  </si>
  <si>
    <t>Customer1147</t>
  </si>
  <si>
    <t>Customer1148</t>
  </si>
  <si>
    <t>Customer1149</t>
  </si>
  <si>
    <t>Customer1150</t>
  </si>
  <si>
    <t>Customer1151</t>
  </si>
  <si>
    <t>Customer1152</t>
  </si>
  <si>
    <t>Customer1153</t>
  </si>
  <si>
    <t>Customer1154</t>
  </si>
  <si>
    <t>Customer1155</t>
  </si>
  <si>
    <t>Customer1156</t>
  </si>
  <si>
    <t>Customer1157</t>
  </si>
  <si>
    <t>Customer1158</t>
  </si>
  <si>
    <t>Customer1159</t>
  </si>
  <si>
    <t>Customer1160</t>
  </si>
  <si>
    <t>Customer1161</t>
  </si>
  <si>
    <t>Customer1162</t>
  </si>
  <si>
    <t>Customer1163</t>
  </si>
  <si>
    <t>Customer1164</t>
  </si>
  <si>
    <t>Customer1165</t>
  </si>
  <si>
    <t>Customer1166</t>
  </si>
  <si>
    <t>Customer1167</t>
  </si>
  <si>
    <t>Customer1168</t>
  </si>
  <si>
    <t>Customer1169</t>
  </si>
  <si>
    <t>Customer1170</t>
  </si>
  <si>
    <t>Customer1171</t>
  </si>
  <si>
    <t>Customer1172</t>
  </si>
  <si>
    <t>Customer1173</t>
  </si>
  <si>
    <t>Customer1174</t>
  </si>
  <si>
    <t>Customer1175</t>
  </si>
  <si>
    <t>Customer1176</t>
  </si>
  <si>
    <t>Customer1177</t>
  </si>
  <si>
    <t>Customer1178</t>
  </si>
  <si>
    <t>Customer1179</t>
  </si>
  <si>
    <t>Customer1180</t>
  </si>
  <si>
    <t>Customer1181</t>
  </si>
  <si>
    <t>Customer1182</t>
  </si>
  <si>
    <t>Customer1183</t>
  </si>
  <si>
    <t>Customer1184</t>
  </si>
  <si>
    <t>Customer1185</t>
  </si>
  <si>
    <t>Customer1186</t>
  </si>
  <si>
    <t>Customer1187</t>
  </si>
  <si>
    <t>Customer1188</t>
  </si>
  <si>
    <t>Customer1189</t>
  </si>
  <si>
    <t>Customer1190</t>
  </si>
  <si>
    <t>Customer1191</t>
  </si>
  <si>
    <t>Customer1192</t>
  </si>
  <si>
    <t>Customer1193</t>
  </si>
  <si>
    <t>Customer1194</t>
  </si>
  <si>
    <t>Customer1195</t>
  </si>
  <si>
    <t>Customer1196</t>
  </si>
  <si>
    <t>Customer1197</t>
  </si>
  <si>
    <t>Customer1198</t>
  </si>
  <si>
    <t>Customer1199</t>
  </si>
  <si>
    <t>Customer1200</t>
  </si>
  <si>
    <t>Customer1201</t>
  </si>
  <si>
    <t>Customer1202</t>
  </si>
  <si>
    <t>Customer1203</t>
  </si>
  <si>
    <t>Customer1204</t>
  </si>
  <si>
    <t>Customer1205</t>
  </si>
  <si>
    <t>Customer1206</t>
  </si>
  <si>
    <t>Customer1207</t>
  </si>
  <si>
    <t>Customer1208</t>
  </si>
  <si>
    <t>Customer1209</t>
  </si>
  <si>
    <t>Customer1210</t>
  </si>
  <si>
    <t>Customer1211</t>
  </si>
  <si>
    <t>Customer1212</t>
  </si>
  <si>
    <t>Customer1213</t>
  </si>
  <si>
    <t>Customer1214</t>
  </si>
  <si>
    <t>Customer1215</t>
  </si>
  <si>
    <t>Customer1216</t>
  </si>
  <si>
    <t>Customer1217</t>
  </si>
  <si>
    <t>Customer1218</t>
  </si>
  <si>
    <t>Customer1219</t>
  </si>
  <si>
    <t>Customer1220</t>
  </si>
  <si>
    <t>Customer1221</t>
  </si>
  <si>
    <t>Customer1222</t>
  </si>
  <si>
    <t>Customer1223</t>
  </si>
  <si>
    <t>Customer1224</t>
  </si>
  <si>
    <t>Customer1225</t>
  </si>
  <si>
    <t>Customer1226</t>
  </si>
  <si>
    <t>Customer1227</t>
  </si>
  <si>
    <t>Customer1228</t>
  </si>
  <si>
    <t>Customer1229</t>
  </si>
  <si>
    <t>Customer1230</t>
  </si>
  <si>
    <t>Customer1231</t>
  </si>
  <si>
    <t>Customer1232</t>
  </si>
  <si>
    <t>Customer1233</t>
  </si>
  <si>
    <t>Customer1234</t>
  </si>
  <si>
    <t>Customer1235</t>
  </si>
  <si>
    <t>Customer1236</t>
  </si>
  <si>
    <t>Customer1237</t>
  </si>
  <si>
    <t>Customer1238</t>
  </si>
  <si>
    <t>Customer1239</t>
  </si>
  <si>
    <t>Customer1240</t>
  </si>
  <si>
    <t>Customer1241</t>
  </si>
  <si>
    <t>Customer1242</t>
  </si>
  <si>
    <t>Customer1243</t>
  </si>
  <si>
    <t>Customer1244</t>
  </si>
  <si>
    <t>Customer1245</t>
  </si>
  <si>
    <t>Customer1246</t>
  </si>
  <si>
    <t>Customer1247</t>
  </si>
  <si>
    <t>Customer1248</t>
  </si>
  <si>
    <t>Customer1249</t>
  </si>
  <si>
    <t>Customer1250</t>
  </si>
  <si>
    <t>Customer1251</t>
  </si>
  <si>
    <t>Customer1252</t>
  </si>
  <si>
    <t>Customer1253</t>
  </si>
  <si>
    <t>Customer1254</t>
  </si>
  <si>
    <t>Customer1255</t>
  </si>
  <si>
    <t>Customer1256</t>
  </si>
  <si>
    <t>Customer1257</t>
  </si>
  <si>
    <t>Customer1258</t>
  </si>
  <si>
    <t>Customer1259</t>
  </si>
  <si>
    <t>Customer1260</t>
  </si>
  <si>
    <t>Customer1261</t>
  </si>
  <si>
    <t>Customer1262</t>
  </si>
  <si>
    <t>Customer1263</t>
  </si>
  <si>
    <t>Customer1264</t>
  </si>
  <si>
    <t>Customer1265</t>
  </si>
  <si>
    <t>Customer1266</t>
  </si>
  <si>
    <t>Customer1267</t>
  </si>
  <si>
    <t>Customer1268</t>
  </si>
  <si>
    <t>Customer1269</t>
  </si>
  <si>
    <t>Customer1270</t>
  </si>
  <si>
    <t>Customer1271</t>
  </si>
  <si>
    <t>Customer1272</t>
  </si>
  <si>
    <t>Customer1273</t>
  </si>
  <si>
    <t>Customer1274</t>
  </si>
  <si>
    <t>Customer1275</t>
  </si>
  <si>
    <t>Customer1276</t>
  </si>
  <si>
    <t>Customer1277</t>
  </si>
  <si>
    <t>Customer1278</t>
  </si>
  <si>
    <t>Customer1279</t>
  </si>
  <si>
    <t>Customer1280</t>
  </si>
  <si>
    <t>Customer1281</t>
  </si>
  <si>
    <t>Customer1282</t>
  </si>
  <si>
    <t>Customer1283</t>
  </si>
  <si>
    <t>Customer1284</t>
  </si>
  <si>
    <t>Customer1285</t>
  </si>
  <si>
    <t>Customer1286</t>
  </si>
  <si>
    <t>Customer1287</t>
  </si>
  <si>
    <t>Customer1288</t>
  </si>
  <si>
    <t>Customer1289</t>
  </si>
  <si>
    <t>Customer1290</t>
  </si>
  <si>
    <t>Customer1291</t>
  </si>
  <si>
    <t>Customer1292</t>
  </si>
  <si>
    <t>Customer1293</t>
  </si>
  <si>
    <t>Customer1294</t>
  </si>
  <si>
    <t>Customer1295</t>
  </si>
  <si>
    <t>Customer1296</t>
  </si>
  <si>
    <t>Customer1297</t>
  </si>
  <si>
    <t>Customer1298</t>
  </si>
  <si>
    <t>Customer1299</t>
  </si>
  <si>
    <t>Customer1300</t>
  </si>
  <si>
    <t>Customer1301</t>
  </si>
  <si>
    <t>Customer1302</t>
  </si>
  <si>
    <t>Customer1303</t>
  </si>
  <si>
    <t>Customer1304</t>
  </si>
  <si>
    <t>Customer1305</t>
  </si>
  <si>
    <t>Customer1306</t>
  </si>
  <si>
    <t>Customer1307</t>
  </si>
  <si>
    <t>Customer1308</t>
  </si>
  <si>
    <t>Customer1309</t>
  </si>
  <si>
    <t>Customer1310</t>
  </si>
  <si>
    <t>Customer1311</t>
  </si>
  <si>
    <t>Customer1312</t>
  </si>
  <si>
    <t>Customer1313</t>
  </si>
  <si>
    <t>Customer1314</t>
  </si>
  <si>
    <t>Customer1315</t>
  </si>
  <si>
    <t>Customer1316</t>
  </si>
  <si>
    <t>Customer1317</t>
  </si>
  <si>
    <t>Customer1318</t>
  </si>
  <si>
    <t>Customer1319</t>
  </si>
  <si>
    <t>Customer1320</t>
  </si>
  <si>
    <t>Customer1321</t>
  </si>
  <si>
    <t>Customer1322</t>
  </si>
  <si>
    <t>Customer1323</t>
  </si>
  <si>
    <t>Customer1324</t>
  </si>
  <si>
    <t>Customer1325</t>
  </si>
  <si>
    <t>Customer1326</t>
  </si>
  <si>
    <t>Customer1327</t>
  </si>
  <si>
    <t>Customer1328</t>
  </si>
  <si>
    <t>Customer1329</t>
  </si>
  <si>
    <t>Customer1330</t>
  </si>
  <si>
    <t>Customer1331</t>
  </si>
  <si>
    <t>Customer1332</t>
  </si>
  <si>
    <t>Customer1333</t>
  </si>
  <si>
    <t>Customer1334</t>
  </si>
  <si>
    <t>Customer1335</t>
  </si>
  <si>
    <t>Customer1336</t>
  </si>
  <si>
    <t>Customer1337</t>
  </si>
  <si>
    <t>Customer1338</t>
  </si>
  <si>
    <t>Customer1339</t>
  </si>
  <si>
    <t>Customer1340</t>
  </si>
  <si>
    <t>Customer1341</t>
  </si>
  <si>
    <t>Customer1342</t>
  </si>
  <si>
    <t>Customer1343</t>
  </si>
  <si>
    <t>Customer1344</t>
  </si>
  <si>
    <t>Customer1345</t>
  </si>
  <si>
    <t>Customer1346</t>
  </si>
  <si>
    <t>Customer1347</t>
  </si>
  <si>
    <t>Customer1348</t>
  </si>
  <si>
    <t>Customer1349</t>
  </si>
  <si>
    <t>Customer1350</t>
  </si>
  <si>
    <t>Customer1351</t>
  </si>
  <si>
    <t>Customer1352</t>
  </si>
  <si>
    <t>Customer1353</t>
  </si>
  <si>
    <t>Customer1354</t>
  </si>
  <si>
    <t>Customer1355</t>
  </si>
  <si>
    <t>Customer1356</t>
  </si>
  <si>
    <t>Customer1357</t>
  </si>
  <si>
    <t>Customer1358</t>
  </si>
  <si>
    <t>Customer1359</t>
  </si>
  <si>
    <t>Customer1360</t>
  </si>
  <si>
    <t>Customer1361</t>
  </si>
  <si>
    <t>Customer1362</t>
  </si>
  <si>
    <t>Customer1363</t>
  </si>
  <si>
    <t>Customer1364</t>
  </si>
  <si>
    <t>Customer1365</t>
  </si>
  <si>
    <t>Customer1366</t>
  </si>
  <si>
    <t>Customer1367</t>
  </si>
  <si>
    <t>Customer1368</t>
  </si>
  <si>
    <t>Customer1369</t>
  </si>
  <si>
    <t>Customer1370</t>
  </si>
  <si>
    <t>Customer1371</t>
  </si>
  <si>
    <t>Customer1372</t>
  </si>
  <si>
    <t>Customer1373</t>
  </si>
  <si>
    <t>Customer1374</t>
  </si>
  <si>
    <t>Customer1375</t>
  </si>
  <si>
    <t>Customer1376</t>
  </si>
  <si>
    <t>Customer1377</t>
  </si>
  <si>
    <t>Customer1378</t>
  </si>
  <si>
    <t>Customer1379</t>
  </si>
  <si>
    <t>Customer1380</t>
  </si>
  <si>
    <t>Customer1381</t>
  </si>
  <si>
    <t>Customer1382</t>
  </si>
  <si>
    <t>Customer1383</t>
  </si>
  <si>
    <t>Customer1384</t>
  </si>
  <si>
    <t>Customer1385</t>
  </si>
  <si>
    <t>Customer1386</t>
  </si>
  <si>
    <t>Customer1387</t>
  </si>
  <si>
    <t>Customer1388</t>
  </si>
  <si>
    <t>Customer1389</t>
  </si>
  <si>
    <t>Customer1390</t>
  </si>
  <si>
    <t>Customer1391</t>
  </si>
  <si>
    <t>Customer1392</t>
  </si>
  <si>
    <t>Customer1393</t>
  </si>
  <si>
    <t>Customer1394</t>
  </si>
  <si>
    <t>Customer1395</t>
  </si>
  <si>
    <t>Customer1396</t>
  </si>
  <si>
    <t>Customer1397</t>
  </si>
  <si>
    <t>Customer1398</t>
  </si>
  <si>
    <t>Customer1399</t>
  </si>
  <si>
    <t>Customer1400</t>
  </si>
  <si>
    <t>Customer1401</t>
  </si>
  <si>
    <t>Customer1402</t>
  </si>
  <si>
    <t>Customer1403</t>
  </si>
  <si>
    <t>Customer1404</t>
  </si>
  <si>
    <t>Customer1405</t>
  </si>
  <si>
    <t>Customer1406</t>
  </si>
  <si>
    <t>Customer1407</t>
  </si>
  <si>
    <t>Customer1408</t>
  </si>
  <si>
    <t>Customer1409</t>
  </si>
  <si>
    <t>Customer1410</t>
  </si>
  <si>
    <t>Customer1411</t>
  </si>
  <si>
    <t>Customer1412</t>
  </si>
  <si>
    <t>Customer1413</t>
  </si>
  <si>
    <t>Customer1414</t>
  </si>
  <si>
    <t>Customer1415</t>
  </si>
  <si>
    <t>Customer1416</t>
  </si>
  <si>
    <t>Customer1417</t>
  </si>
  <si>
    <t>Customer1418</t>
  </si>
  <si>
    <t>Customer1419</t>
  </si>
  <si>
    <t>Customer1420</t>
  </si>
  <si>
    <t>Customer1421</t>
  </si>
  <si>
    <t>Customer1422</t>
  </si>
  <si>
    <t>Customer1423</t>
  </si>
  <si>
    <t>Customer1424</t>
  </si>
  <si>
    <t>Customer1425</t>
  </si>
  <si>
    <t>Customer1426</t>
  </si>
  <si>
    <t>Customer1427</t>
  </si>
  <si>
    <t>Customer1428</t>
  </si>
  <si>
    <t>Customer1429</t>
  </si>
  <si>
    <t>Customer1430</t>
  </si>
  <si>
    <t>Customer1431</t>
  </si>
  <si>
    <t>Customer1432</t>
  </si>
  <si>
    <t>Customer1433</t>
  </si>
  <si>
    <t>Customer1434</t>
  </si>
  <si>
    <t>Customer1435</t>
  </si>
  <si>
    <t>Customer1436</t>
  </si>
  <si>
    <t>Customer1437</t>
  </si>
  <si>
    <t>Customer1438</t>
  </si>
  <si>
    <t>Customer1439</t>
  </si>
  <si>
    <t>Customer1440</t>
  </si>
  <si>
    <t>Customer1441</t>
  </si>
  <si>
    <t>Customer1442</t>
  </si>
  <si>
    <t>Customer1443</t>
  </si>
  <si>
    <t>Customer1444</t>
  </si>
  <si>
    <t>Customer1445</t>
  </si>
  <si>
    <t>Customer1446</t>
  </si>
  <si>
    <t>Customer1447</t>
  </si>
  <si>
    <t>Customer1448</t>
  </si>
  <si>
    <t>Customer1449</t>
  </si>
  <si>
    <t>Customer1450</t>
  </si>
  <si>
    <t>Customer1451</t>
  </si>
  <si>
    <t>Customer1452</t>
  </si>
  <si>
    <t>Customer1453</t>
  </si>
  <si>
    <t>Customer1454</t>
  </si>
  <si>
    <t>Customer1455</t>
  </si>
  <si>
    <t>Customer1456</t>
  </si>
  <si>
    <t>Customer1457</t>
  </si>
  <si>
    <t>Customer1458</t>
  </si>
  <si>
    <t>Customer1459</t>
  </si>
  <si>
    <t>Customer1460</t>
  </si>
  <si>
    <t>Customer1461</t>
  </si>
  <si>
    <t>Customer1462</t>
  </si>
  <si>
    <t>Customer1463</t>
  </si>
  <si>
    <t>Customer1464</t>
  </si>
  <si>
    <t>Customer1465</t>
  </si>
  <si>
    <t>Customer1466</t>
  </si>
  <si>
    <t>Customer1467</t>
  </si>
  <si>
    <t>Customer1468</t>
  </si>
  <si>
    <t>Customer1469</t>
  </si>
  <si>
    <t>Customer1470</t>
  </si>
  <si>
    <t>Customer1471</t>
  </si>
  <si>
    <t>Customer1472</t>
  </si>
  <si>
    <t>Customer1473</t>
  </si>
  <si>
    <t>Customer1474</t>
  </si>
  <si>
    <t>Customer1475</t>
  </si>
  <si>
    <t>Customer1476</t>
  </si>
  <si>
    <t>Customer1477</t>
  </si>
  <si>
    <t>Customer1478</t>
  </si>
  <si>
    <t>Customer1479</t>
  </si>
  <si>
    <t>Customer1480</t>
  </si>
  <si>
    <t>Customer1481</t>
  </si>
  <si>
    <t>Customer1482</t>
  </si>
  <si>
    <t>Customer1483</t>
  </si>
  <si>
    <t>Customer1484</t>
  </si>
  <si>
    <t>Customer1485</t>
  </si>
  <si>
    <t>Customer1486</t>
  </si>
  <si>
    <t>Customer1487</t>
  </si>
  <si>
    <t>Customer1488</t>
  </si>
  <si>
    <t>Customer1489</t>
  </si>
  <si>
    <t>Customer1490</t>
  </si>
  <si>
    <t>Customer1491</t>
  </si>
  <si>
    <t>Customer1492</t>
  </si>
  <si>
    <t>Customer1493</t>
  </si>
  <si>
    <t>Customer1494</t>
  </si>
  <si>
    <t>Customer1495</t>
  </si>
  <si>
    <t>Customer1496</t>
  </si>
  <si>
    <t>Customer1497</t>
  </si>
  <si>
    <t>Customer1498</t>
  </si>
  <si>
    <t>Customer1499</t>
  </si>
  <si>
    <t>Customer1500</t>
  </si>
  <si>
    <t>Customer1501</t>
  </si>
  <si>
    <t>Customer1502</t>
  </si>
  <si>
    <t>Customer1503</t>
  </si>
  <si>
    <t>Customer1504</t>
  </si>
  <si>
    <t>Customer1505</t>
  </si>
  <si>
    <t>Customer1506</t>
  </si>
  <si>
    <t>Customer1507</t>
  </si>
  <si>
    <t>Customer1508</t>
  </si>
  <si>
    <t>Customer1509</t>
  </si>
  <si>
    <t>Customer1510</t>
  </si>
  <si>
    <t>Customer1511</t>
  </si>
  <si>
    <t>Customer1512</t>
  </si>
  <si>
    <t>Customer1513</t>
  </si>
  <si>
    <t>Customer1514</t>
  </si>
  <si>
    <t>Customer1515</t>
  </si>
  <si>
    <t>Customer1516</t>
  </si>
  <si>
    <t>Customer1517</t>
  </si>
  <si>
    <t>Customer1518</t>
  </si>
  <si>
    <t>Customer1519</t>
  </si>
  <si>
    <t>Customer1520</t>
  </si>
  <si>
    <t>Customer1521</t>
  </si>
  <si>
    <t>Customer1522</t>
  </si>
  <si>
    <t>Customer1523</t>
  </si>
  <si>
    <t>Customer1524</t>
  </si>
  <si>
    <t>Customer1525</t>
  </si>
  <si>
    <t>Customer1526</t>
  </si>
  <si>
    <t>Customer1527</t>
  </si>
  <si>
    <t>Customer1528</t>
  </si>
  <si>
    <t>Customer1529</t>
  </si>
  <si>
    <t>Customer1530</t>
  </si>
  <si>
    <t>Customer1531</t>
  </si>
  <si>
    <t>Customer1532</t>
  </si>
  <si>
    <t>Customer1533</t>
  </si>
  <si>
    <t>Customer1534</t>
  </si>
  <si>
    <t>Customer1535</t>
  </si>
  <si>
    <t>Customer1536</t>
  </si>
  <si>
    <t>Customer1537</t>
  </si>
  <si>
    <t>Customer1538</t>
  </si>
  <si>
    <t>Customer1539</t>
  </si>
  <si>
    <t>Customer1540</t>
  </si>
  <si>
    <t>Customer1541</t>
  </si>
  <si>
    <t>Customer1542</t>
  </si>
  <si>
    <t>Customer1543</t>
  </si>
  <si>
    <t>Customer1544</t>
  </si>
  <si>
    <t>Customer1545</t>
  </si>
  <si>
    <t>Customer1546</t>
  </si>
  <si>
    <t>Customer1547</t>
  </si>
  <si>
    <t>Customer1548</t>
  </si>
  <si>
    <t>Customer1549</t>
  </si>
  <si>
    <t>Customer1550</t>
  </si>
  <si>
    <t>Customer1551</t>
  </si>
  <si>
    <t>Customer1552</t>
  </si>
  <si>
    <t>Customer1553</t>
  </si>
  <si>
    <t>Customer1554</t>
  </si>
  <si>
    <t>Customer1555</t>
  </si>
  <si>
    <t>Customer1556</t>
  </si>
  <si>
    <t>Customer1557</t>
  </si>
  <si>
    <t>Customer1558</t>
  </si>
  <si>
    <t>Customer1559</t>
  </si>
  <si>
    <t>Customer1560</t>
  </si>
  <si>
    <t>Customer1561</t>
  </si>
  <si>
    <t>Customer1562</t>
  </si>
  <si>
    <t>Customer1563</t>
  </si>
  <si>
    <t>Customer1564</t>
  </si>
  <si>
    <t>Customer1565</t>
  </si>
  <si>
    <t>Customer1566</t>
  </si>
  <si>
    <t>Customer1567</t>
  </si>
  <si>
    <t>Customer1568</t>
  </si>
  <si>
    <t>Customer1569</t>
  </si>
  <si>
    <t>Customer1570</t>
  </si>
  <si>
    <t>Customer1571</t>
  </si>
  <si>
    <t>Customer1572</t>
  </si>
  <si>
    <t>Customer1573</t>
  </si>
  <si>
    <t>Customer1574</t>
  </si>
  <si>
    <t>Customer1575</t>
  </si>
  <si>
    <t>Customer1576</t>
  </si>
  <si>
    <t>Customer1577</t>
  </si>
  <si>
    <t>Customer1578</t>
  </si>
  <si>
    <t>Customer1579</t>
  </si>
  <si>
    <t>Customer1580</t>
  </si>
  <si>
    <t>Customer1581</t>
  </si>
  <si>
    <t>Customer1582</t>
  </si>
  <si>
    <t>Customer1583</t>
  </si>
  <si>
    <t>Customer1584</t>
  </si>
  <si>
    <t>Customer1585</t>
  </si>
  <si>
    <t>Customer1586</t>
  </si>
  <si>
    <t>Customer1587</t>
  </si>
  <si>
    <t>Customer1588</t>
  </si>
  <si>
    <t>Customer1589</t>
  </si>
  <si>
    <t>Customer1590</t>
  </si>
  <si>
    <t>Customer1591</t>
  </si>
  <si>
    <t>Customer1592</t>
  </si>
  <si>
    <t>Customer1593</t>
  </si>
  <si>
    <t>Customer1594</t>
  </si>
  <si>
    <t>Customer1595</t>
  </si>
  <si>
    <t>Customer1596</t>
  </si>
  <si>
    <t>Customer1597</t>
  </si>
  <si>
    <t>Customer1598</t>
  </si>
  <si>
    <t>Customer1599</t>
  </si>
  <si>
    <t>Customer1600</t>
  </si>
  <si>
    <t>Customer1601</t>
  </si>
  <si>
    <t>Customer1602</t>
  </si>
  <si>
    <t>Customer1603</t>
  </si>
  <si>
    <t>Customer1604</t>
  </si>
  <si>
    <t>Customer1605</t>
  </si>
  <si>
    <t>Customer1606</t>
  </si>
  <si>
    <t>Customer1607</t>
  </si>
  <si>
    <t>Customer1608</t>
  </si>
  <si>
    <t>Customer1609</t>
  </si>
  <si>
    <t>Customer1610</t>
  </si>
  <si>
    <t>Customer1611</t>
  </si>
  <si>
    <t>Customer1612</t>
  </si>
  <si>
    <t>Customer1613</t>
  </si>
  <si>
    <t>Customer1614</t>
  </si>
  <si>
    <t>Customer1615</t>
  </si>
  <si>
    <t>Customer1616</t>
  </si>
  <si>
    <t>Customer1617</t>
  </si>
  <si>
    <t>Customer1618</t>
  </si>
  <si>
    <t>Customer1619</t>
  </si>
  <si>
    <t>Customer1620</t>
  </si>
  <si>
    <t>Customer1621</t>
  </si>
  <si>
    <t>Customer1622</t>
  </si>
  <si>
    <t>Customer1623</t>
  </si>
  <si>
    <t>Customer1624</t>
  </si>
  <si>
    <t>Customer1625</t>
  </si>
  <si>
    <t>Customer1626</t>
  </si>
  <si>
    <t>Customer1627</t>
  </si>
  <si>
    <t>Customer1628</t>
  </si>
  <si>
    <t>Customer1629</t>
  </si>
  <si>
    <t>Customer1630</t>
  </si>
  <si>
    <t>Customer1631</t>
  </si>
  <si>
    <t>Customer1632</t>
  </si>
  <si>
    <t>Customer1633</t>
  </si>
  <si>
    <t>Customer1634</t>
  </si>
  <si>
    <t>Customer1635</t>
  </si>
  <si>
    <t>Customer1636</t>
  </si>
  <si>
    <t>Customer1637</t>
  </si>
  <si>
    <t>Customer1638</t>
  </si>
  <si>
    <t>Customer1639</t>
  </si>
  <si>
    <t>Customer1640</t>
  </si>
  <si>
    <t>Customer1641</t>
  </si>
  <si>
    <t>Customer1642</t>
  </si>
  <si>
    <t>Customer1643</t>
  </si>
  <si>
    <t>Customer1644</t>
  </si>
  <si>
    <t>Customer1645</t>
  </si>
  <si>
    <t>Customer1646</t>
  </si>
  <si>
    <t>Customer1647</t>
  </si>
  <si>
    <t>Customer1648</t>
  </si>
  <si>
    <t>Customer1649</t>
  </si>
  <si>
    <t>Customer1650</t>
  </si>
  <si>
    <t>Customer1651</t>
  </si>
  <si>
    <t>Customer1652</t>
  </si>
  <si>
    <t>Customer1653</t>
  </si>
  <si>
    <t>Customer1654</t>
  </si>
  <si>
    <t>Customer1655</t>
  </si>
  <si>
    <t>Customer1656</t>
  </si>
  <si>
    <t>Customer1657</t>
  </si>
  <si>
    <t>Customer1658</t>
  </si>
  <si>
    <t>Customer1659</t>
  </si>
  <si>
    <t>Customer1660</t>
  </si>
  <si>
    <t>Customer1661</t>
  </si>
  <si>
    <t>Customer1662</t>
  </si>
  <si>
    <t>Customer1663</t>
  </si>
  <si>
    <t>Customer1664</t>
  </si>
  <si>
    <t>Customer1665</t>
  </si>
  <si>
    <t>Customer1666</t>
  </si>
  <si>
    <t>Customer1667</t>
  </si>
  <si>
    <t>Customer1668</t>
  </si>
  <si>
    <t>Customer1669</t>
  </si>
  <si>
    <t>Customer1670</t>
  </si>
  <si>
    <t>Customer1671</t>
  </si>
  <si>
    <t>Customer1672</t>
  </si>
  <si>
    <t>Customer1673</t>
  </si>
  <si>
    <t>Customer1674</t>
  </si>
  <si>
    <t>Customer1675</t>
  </si>
  <si>
    <t>Customer1676</t>
  </si>
  <si>
    <t>Customer1677</t>
  </si>
  <si>
    <t>Customer1678</t>
  </si>
  <si>
    <t>Customer1679</t>
  </si>
  <si>
    <t>Customer1680</t>
  </si>
  <si>
    <t>Customer1681</t>
  </si>
  <si>
    <t>Customer1682</t>
  </si>
  <si>
    <t>Customer1683</t>
  </si>
  <si>
    <t>Customer1684</t>
  </si>
  <si>
    <t>Customer1685</t>
  </si>
  <si>
    <t>Customer1686</t>
  </si>
  <si>
    <t>Customer1687</t>
  </si>
  <si>
    <t>Customer1688</t>
  </si>
  <si>
    <t>Customer1689</t>
  </si>
  <si>
    <t>Customer1690</t>
  </si>
  <si>
    <t>Customer1691</t>
  </si>
  <si>
    <t>Customer1692</t>
  </si>
  <si>
    <t>Customer1693</t>
  </si>
  <si>
    <t>Customer1694</t>
  </si>
  <si>
    <t>Customer1695</t>
  </si>
  <si>
    <t>Customer1696</t>
  </si>
  <si>
    <t>Customer1697</t>
  </si>
  <si>
    <t>Customer1698</t>
  </si>
  <si>
    <t>Customer1699</t>
  </si>
  <si>
    <t>Customer1700</t>
  </si>
  <si>
    <t>Customer1701</t>
  </si>
  <si>
    <t>Customer1702</t>
  </si>
  <si>
    <t>Customer1703</t>
  </si>
  <si>
    <t>Customer1704</t>
  </si>
  <si>
    <t>Customer1705</t>
  </si>
  <si>
    <t>Customer1706</t>
  </si>
  <si>
    <t>Customer1707</t>
  </si>
  <si>
    <t>Customer1708</t>
  </si>
  <si>
    <t>Customer1709</t>
  </si>
  <si>
    <t>Customer1710</t>
  </si>
  <si>
    <t>Customer1711</t>
  </si>
  <si>
    <t>Customer1712</t>
  </si>
  <si>
    <t>Customer1713</t>
  </si>
  <si>
    <t>Customer1714</t>
  </si>
  <si>
    <t>Customer1715</t>
  </si>
  <si>
    <t>Customer1716</t>
  </si>
  <si>
    <t>Customer1717</t>
  </si>
  <si>
    <t>Customer1718</t>
  </si>
  <si>
    <t>Customer1719</t>
  </si>
  <si>
    <t>Customer1720</t>
  </si>
  <si>
    <t>Customer1721</t>
  </si>
  <si>
    <t>Customer1722</t>
  </si>
  <si>
    <t>Customer1723</t>
  </si>
  <si>
    <t>Customer1724</t>
  </si>
  <si>
    <t>Customer1725</t>
  </si>
  <si>
    <t>Customer1726</t>
  </si>
  <si>
    <t>Customer1727</t>
  </si>
  <si>
    <t>Customer1728</t>
  </si>
  <si>
    <t>Customer1729</t>
  </si>
  <si>
    <t>Customer1730</t>
  </si>
  <si>
    <t>Customer1731</t>
  </si>
  <si>
    <t>Customer1732</t>
  </si>
  <si>
    <t>Customer1733</t>
  </si>
  <si>
    <t>Customer1734</t>
  </si>
  <si>
    <t>Customer1735</t>
  </si>
  <si>
    <t>Customer1736</t>
  </si>
  <si>
    <t>Customer1737</t>
  </si>
  <si>
    <t>Customer1738</t>
  </si>
  <si>
    <t>Customer1739</t>
  </si>
  <si>
    <t>Customer1740</t>
  </si>
  <si>
    <t>Customer1741</t>
  </si>
  <si>
    <t>Customer1742</t>
  </si>
  <si>
    <t>Customer1743</t>
  </si>
  <si>
    <t>Customer1744</t>
  </si>
  <si>
    <t>Customer1745</t>
  </si>
  <si>
    <t>Customer1746</t>
  </si>
  <si>
    <t>Customer1747</t>
  </si>
  <si>
    <t>Customer1748</t>
  </si>
  <si>
    <t>Customer1749</t>
  </si>
  <si>
    <t>Customer1750</t>
  </si>
  <si>
    <t>Customer1751</t>
  </si>
  <si>
    <t>Customer1752</t>
  </si>
  <si>
    <t>Customer1753</t>
  </si>
  <si>
    <t>Customer1754</t>
  </si>
  <si>
    <t>Customer1755</t>
  </si>
  <si>
    <t>Customer1756</t>
  </si>
  <si>
    <t>Customer1757</t>
  </si>
  <si>
    <t>Customer1758</t>
  </si>
  <si>
    <t>Customer1759</t>
  </si>
  <si>
    <t>Customer1760</t>
  </si>
  <si>
    <t>Customer1761</t>
  </si>
  <si>
    <t>Customer1762</t>
  </si>
  <si>
    <t>Customer1763</t>
  </si>
  <si>
    <t>Customer1764</t>
  </si>
  <si>
    <t>Customer1765</t>
  </si>
  <si>
    <t>Customer1766</t>
  </si>
  <si>
    <t>Customer1767</t>
  </si>
  <si>
    <t>Customer1768</t>
  </si>
  <si>
    <t>Customer1769</t>
  </si>
  <si>
    <t>Customer1770</t>
  </si>
  <si>
    <t>Customer1771</t>
  </si>
  <si>
    <t>Customer1772</t>
  </si>
  <si>
    <t>Customer1773</t>
  </si>
  <si>
    <t>Customer1774</t>
  </si>
  <si>
    <t>Customer1775</t>
  </si>
  <si>
    <t>Customer1776</t>
  </si>
  <si>
    <t>Customer1777</t>
  </si>
  <si>
    <t>Customer1778</t>
  </si>
  <si>
    <t>Customer1779</t>
  </si>
  <si>
    <t>Customer1780</t>
  </si>
  <si>
    <t>Customer1781</t>
  </si>
  <si>
    <t>Customer1782</t>
  </si>
  <si>
    <t>Customer1783</t>
  </si>
  <si>
    <t>Customer1784</t>
  </si>
  <si>
    <t>Customer1785</t>
  </si>
  <si>
    <t>Customer1786</t>
  </si>
  <si>
    <t>Customer1787</t>
  </si>
  <si>
    <t>Customer1788</t>
  </si>
  <si>
    <t>Customer1789</t>
  </si>
  <si>
    <t>Customer1790</t>
  </si>
  <si>
    <t>Customer1791</t>
  </si>
  <si>
    <t>Customer1792</t>
  </si>
  <si>
    <t>Customer1793</t>
  </si>
  <si>
    <t>Customer1794</t>
  </si>
  <si>
    <t>Customer1795</t>
  </si>
  <si>
    <t>Customer1796</t>
  </si>
  <si>
    <t>Customer1797</t>
  </si>
  <si>
    <t>Customer1798</t>
  </si>
  <si>
    <t>Customer1799</t>
  </si>
  <si>
    <t>Customer1800</t>
  </si>
  <si>
    <t>Customer1801</t>
  </si>
  <si>
    <t>Customer1802</t>
  </si>
  <si>
    <t>Customer1803</t>
  </si>
  <si>
    <t>Customer1804</t>
  </si>
  <si>
    <t>Customer1805</t>
  </si>
  <si>
    <t>Customer1806</t>
  </si>
  <si>
    <t>Customer1807</t>
  </si>
  <si>
    <t>Customer1808</t>
  </si>
  <si>
    <t>Customer1809</t>
  </si>
  <si>
    <t>Customer1810</t>
  </si>
  <si>
    <t>Customer1811</t>
  </si>
  <si>
    <t>Customer1812</t>
  </si>
  <si>
    <t>Customer1813</t>
  </si>
  <si>
    <t>Customer1814</t>
  </si>
  <si>
    <t>Customer1815</t>
  </si>
  <si>
    <t>Customer1816</t>
  </si>
  <si>
    <t>Customer1817</t>
  </si>
  <si>
    <t>Customer1818</t>
  </si>
  <si>
    <t>Customer1819</t>
  </si>
  <si>
    <t>Customer1820</t>
  </si>
  <si>
    <t>Customer1821</t>
  </si>
  <si>
    <t>Customer1822</t>
  </si>
  <si>
    <t>Customer1823</t>
  </si>
  <si>
    <t>Customer1824</t>
  </si>
  <si>
    <t>Customer1825</t>
  </si>
  <si>
    <t>Customer1826</t>
  </si>
  <si>
    <t>Customer1827</t>
  </si>
  <si>
    <t>Customer1828</t>
  </si>
  <si>
    <t>Customer1829</t>
  </si>
  <si>
    <t>Customer1830</t>
  </si>
  <si>
    <t>Customer1831</t>
  </si>
  <si>
    <t>Customer1832</t>
  </si>
  <si>
    <t>Customer1833</t>
  </si>
  <si>
    <t>Customer1834</t>
  </si>
  <si>
    <t>Customer1835</t>
  </si>
  <si>
    <t>Customer1836</t>
  </si>
  <si>
    <t>Customer1837</t>
  </si>
  <si>
    <t>Customer1838</t>
  </si>
  <si>
    <t>Customer1839</t>
  </si>
  <si>
    <t>Customer1840</t>
  </si>
  <si>
    <t>Customer1841</t>
  </si>
  <si>
    <t>Customer1842</t>
  </si>
  <si>
    <t>Customer1843</t>
  </si>
  <si>
    <t>Customer1844</t>
  </si>
  <si>
    <t>Customer1845</t>
  </si>
  <si>
    <t>Customer1846</t>
  </si>
  <si>
    <t>Customer1847</t>
  </si>
  <si>
    <t>Customer1848</t>
  </si>
  <si>
    <t>Customer1849</t>
  </si>
  <si>
    <t>Customer1850</t>
  </si>
  <si>
    <t>Customer1851</t>
  </si>
  <si>
    <t>Customer1852</t>
  </si>
  <si>
    <t>Customer1853</t>
  </si>
  <si>
    <t>Customer1854</t>
  </si>
  <si>
    <t>Customer1855</t>
  </si>
  <si>
    <t>Customer1856</t>
  </si>
  <si>
    <t>Customer1857</t>
  </si>
  <si>
    <t>Customer1858</t>
  </si>
  <si>
    <t>Customer1859</t>
  </si>
  <si>
    <t>Customer1860</t>
  </si>
  <si>
    <t>Customer1861</t>
  </si>
  <si>
    <t>Customer1862</t>
  </si>
  <si>
    <t>Customer1863</t>
  </si>
  <si>
    <t>Customer1864</t>
  </si>
  <si>
    <t>Customer1865</t>
  </si>
  <si>
    <t>Customer1866</t>
  </si>
  <si>
    <t>Customer1867</t>
  </si>
  <si>
    <t>Customer1868</t>
  </si>
  <si>
    <t>Customer1869</t>
  </si>
  <si>
    <t>Customer1870</t>
  </si>
  <si>
    <t>Customer1871</t>
  </si>
  <si>
    <t>Customer1872</t>
  </si>
  <si>
    <t>Customer1873</t>
  </si>
  <si>
    <t>Customer1874</t>
  </si>
  <si>
    <t>Customer1875</t>
  </si>
  <si>
    <t>Customer1876</t>
  </si>
  <si>
    <t>Customer1877</t>
  </si>
  <si>
    <t>Customer1878</t>
  </si>
  <si>
    <t>Customer1879</t>
  </si>
  <si>
    <t>Customer1880</t>
  </si>
  <si>
    <t>Customer1881</t>
  </si>
  <si>
    <t>Customer1882</t>
  </si>
  <si>
    <t>Customer1883</t>
  </si>
  <si>
    <t>Customer1884</t>
  </si>
  <si>
    <t>Customer1885</t>
  </si>
  <si>
    <t>Customer1886</t>
  </si>
  <si>
    <t>Customer1887</t>
  </si>
  <si>
    <t>Customer1888</t>
  </si>
  <si>
    <t>Customer1889</t>
  </si>
  <si>
    <t>Customer1890</t>
  </si>
  <si>
    <t>Customer1891</t>
  </si>
  <si>
    <t>Customer1892</t>
  </si>
  <si>
    <t>Customer1893</t>
  </si>
  <si>
    <t>Customer1894</t>
  </si>
  <si>
    <t>Customer1895</t>
  </si>
  <si>
    <t>Customer1896</t>
  </si>
  <si>
    <t>Customer1897</t>
  </si>
  <si>
    <t>Customer1898</t>
  </si>
  <si>
    <t>Customer1899</t>
  </si>
  <si>
    <t>Customer1900</t>
  </si>
  <si>
    <t>Customer1901</t>
  </si>
  <si>
    <t>Customer1902</t>
  </si>
  <si>
    <t>Customer1903</t>
  </si>
  <si>
    <t>Customer1904</t>
  </si>
  <si>
    <t>Customer1905</t>
  </si>
  <si>
    <t>Customer1906</t>
  </si>
  <si>
    <t>Customer1907</t>
  </si>
  <si>
    <t>Customer1908</t>
  </si>
  <si>
    <t>Customer1909</t>
  </si>
  <si>
    <t>Customer1910</t>
  </si>
  <si>
    <t>Customer1911</t>
  </si>
  <si>
    <t>Customer1912</t>
  </si>
  <si>
    <t>Customer1913</t>
  </si>
  <si>
    <t>Customer1914</t>
  </si>
  <si>
    <t>Customer1915</t>
  </si>
  <si>
    <t>Customer1916</t>
  </si>
  <si>
    <t>Customer1917</t>
  </si>
  <si>
    <t>Customer1918</t>
  </si>
  <si>
    <t>Customer1919</t>
  </si>
  <si>
    <t>Customer1920</t>
  </si>
  <si>
    <t>Customer1921</t>
  </si>
  <si>
    <t>Customer1922</t>
  </si>
  <si>
    <t>Customer1923</t>
  </si>
  <si>
    <t>Customer1924</t>
  </si>
  <si>
    <t>Customer1925</t>
  </si>
  <si>
    <t>Customer1926</t>
  </si>
  <si>
    <t>Customer1927</t>
  </si>
  <si>
    <t>Customer1928</t>
  </si>
  <si>
    <t>Customer1929</t>
  </si>
  <si>
    <t>Customer1930</t>
  </si>
  <si>
    <t>Customer1931</t>
  </si>
  <si>
    <t>Customer1932</t>
  </si>
  <si>
    <t>Customer1933</t>
  </si>
  <si>
    <t>Customer1934</t>
  </si>
  <si>
    <t>Customer1935</t>
  </si>
  <si>
    <t>Customer1936</t>
  </si>
  <si>
    <t>Customer1937</t>
  </si>
  <si>
    <t>Customer1938</t>
  </si>
  <si>
    <t>Customer1939</t>
  </si>
  <si>
    <t>Customer1940</t>
  </si>
  <si>
    <t>Customer1941</t>
  </si>
  <si>
    <t>Customer1942</t>
  </si>
  <si>
    <t>Customer1943</t>
  </si>
  <si>
    <t>Customer1944</t>
  </si>
  <si>
    <t>Customer1945</t>
  </si>
  <si>
    <t>Customer1946</t>
  </si>
  <si>
    <t>Customer1947</t>
  </si>
  <si>
    <t>Customer1948</t>
  </si>
  <si>
    <t>Customer1949</t>
  </si>
  <si>
    <t>Customer1950</t>
  </si>
  <si>
    <t>Customer1951</t>
  </si>
  <si>
    <t>Customer1952</t>
  </si>
  <si>
    <t>Customer1953</t>
  </si>
  <si>
    <t>Customer1954</t>
  </si>
  <si>
    <t>Customer1955</t>
  </si>
  <si>
    <t>Customer1956</t>
  </si>
  <si>
    <t>Customer1957</t>
  </si>
  <si>
    <t>Customer1958</t>
  </si>
  <si>
    <t>Customer1959</t>
  </si>
  <si>
    <t>Customer1960</t>
  </si>
  <si>
    <t>Customer1961</t>
  </si>
  <si>
    <t>Customer1962</t>
  </si>
  <si>
    <t>Customer1963</t>
  </si>
  <si>
    <t>Customer1964</t>
  </si>
  <si>
    <t>Customer1965</t>
  </si>
  <si>
    <t>Customer1966</t>
  </si>
  <si>
    <t>Customer1967</t>
  </si>
  <si>
    <t>Customer1968</t>
  </si>
  <si>
    <t>Customer1969</t>
  </si>
  <si>
    <t>Customer1970</t>
  </si>
  <si>
    <t>Customer1971</t>
  </si>
  <si>
    <t>Customer1972</t>
  </si>
  <si>
    <t>Customer1973</t>
  </si>
  <si>
    <t>Customer1974</t>
  </si>
  <si>
    <t>Customer1975</t>
  </si>
  <si>
    <t>Customer1976</t>
  </si>
  <si>
    <t>Customer1977</t>
  </si>
  <si>
    <t>Customer1978</t>
  </si>
  <si>
    <t>Customer1979</t>
  </si>
  <si>
    <t>Customer1980</t>
  </si>
  <si>
    <t>Customer1981</t>
  </si>
  <si>
    <t>Customer1982</t>
  </si>
  <si>
    <t>Customer1983</t>
  </si>
  <si>
    <t>Customer1984</t>
  </si>
  <si>
    <t>Customer1985</t>
  </si>
  <si>
    <t>Customer1986</t>
  </si>
  <si>
    <t>Customer1987</t>
  </si>
  <si>
    <t>Customer1988</t>
  </si>
  <si>
    <t>Customer1989</t>
  </si>
  <si>
    <t>Customer1990</t>
  </si>
  <si>
    <t>Customer1991</t>
  </si>
  <si>
    <t>Customer1992</t>
  </si>
  <si>
    <t>Customer1993</t>
  </si>
  <si>
    <t>Customer1994</t>
  </si>
  <si>
    <t>Customer1995</t>
  </si>
  <si>
    <t>Customer1996</t>
  </si>
  <si>
    <t>Customer1997</t>
  </si>
  <si>
    <t>Customer1998</t>
  </si>
  <si>
    <t>Customer1999</t>
  </si>
  <si>
    <t>Customer2000</t>
  </si>
  <si>
    <t>Customer2001</t>
  </si>
  <si>
    <t>Customer2002</t>
  </si>
  <si>
    <t>Customer2003</t>
  </si>
  <si>
    <t>Customer2004</t>
  </si>
  <si>
    <t>Customer2005</t>
  </si>
  <si>
    <t>Customer2006</t>
  </si>
  <si>
    <t>Customer2007</t>
  </si>
  <si>
    <t>Customer2008</t>
  </si>
  <si>
    <t>Customer2009</t>
  </si>
  <si>
    <t>Customer2010</t>
  </si>
  <si>
    <t>Customer2011</t>
  </si>
  <si>
    <t>Customer2012</t>
  </si>
  <si>
    <t>Customer2013</t>
  </si>
  <si>
    <t>Customer2014</t>
  </si>
  <si>
    <t>Customer2015</t>
  </si>
  <si>
    <t>Customer2016</t>
  </si>
  <si>
    <t>Customer2017</t>
  </si>
  <si>
    <t>Customer2018</t>
  </si>
  <si>
    <t>Customer2019</t>
  </si>
  <si>
    <t>Customer2020</t>
  </si>
  <si>
    <t>Customer2021</t>
  </si>
  <si>
    <t>Customer2022</t>
  </si>
  <si>
    <t>Customer2023</t>
  </si>
  <si>
    <t>Customer2024</t>
  </si>
  <si>
    <t>Customer2025</t>
  </si>
  <si>
    <t>Customer2026</t>
  </si>
  <si>
    <t>Customer2027</t>
  </si>
  <si>
    <t>Customer2028</t>
  </si>
  <si>
    <t>Customer2029</t>
  </si>
  <si>
    <t>Customer2030</t>
  </si>
  <si>
    <t>Customer2031</t>
  </si>
  <si>
    <t>Customer2032</t>
  </si>
  <si>
    <t>Customer2033</t>
  </si>
  <si>
    <t>Customer2034</t>
  </si>
  <si>
    <t>Customer2035</t>
  </si>
  <si>
    <t>Customer2036</t>
  </si>
  <si>
    <t>Customer2037</t>
  </si>
  <si>
    <t>Customer2038</t>
  </si>
  <si>
    <t>Customer2039</t>
  </si>
  <si>
    <t>Customer2040</t>
  </si>
  <si>
    <t>Customer2041</t>
  </si>
  <si>
    <t>Customer2042</t>
  </si>
  <si>
    <t>Customer2043</t>
  </si>
  <si>
    <t>Customer2044</t>
  </si>
  <si>
    <t>Customer2045</t>
  </si>
  <si>
    <t>Customer2046</t>
  </si>
  <si>
    <t>Customer2047</t>
  </si>
  <si>
    <t>Customer2048</t>
  </si>
  <si>
    <t>Customer2049</t>
  </si>
  <si>
    <t>Customer2050</t>
  </si>
  <si>
    <t>Customer2051</t>
  </si>
  <si>
    <t>Customer2052</t>
  </si>
  <si>
    <t>Customer2053</t>
  </si>
  <si>
    <t>Customer2054</t>
  </si>
  <si>
    <t>Customer2055</t>
  </si>
  <si>
    <t>Customer2056</t>
  </si>
  <si>
    <t>Customer2057</t>
  </si>
  <si>
    <t>Customer2058</t>
  </si>
  <si>
    <t>Customer2059</t>
  </si>
  <si>
    <t>Customer2060</t>
  </si>
  <si>
    <t>Customer2061</t>
  </si>
  <si>
    <t>Customer2062</t>
  </si>
  <si>
    <t>Customer2063</t>
  </si>
  <si>
    <t>Customer2064</t>
  </si>
  <si>
    <t>Customer2065</t>
  </si>
  <si>
    <t>Customer2066</t>
  </si>
  <si>
    <t>Customer2067</t>
  </si>
  <si>
    <t>Customer2068</t>
  </si>
  <si>
    <t>Customer2069</t>
  </si>
  <si>
    <t>Customer2070</t>
  </si>
  <si>
    <t>Customer2071</t>
  </si>
  <si>
    <t>Customer2072</t>
  </si>
  <si>
    <t>Customer2073</t>
  </si>
  <si>
    <t>Customer2074</t>
  </si>
  <si>
    <t>Customer2075</t>
  </si>
  <si>
    <t>Customer2076</t>
  </si>
  <si>
    <t>Customer2077</t>
  </si>
  <si>
    <t>Customer2078</t>
  </si>
  <si>
    <t>Customer2079</t>
  </si>
  <si>
    <t>Customer2080</t>
  </si>
  <si>
    <t>Customer2081</t>
  </si>
  <si>
    <t>Customer2082</t>
  </si>
  <si>
    <t>Customer2083</t>
  </si>
  <si>
    <t>Customer2084</t>
  </si>
  <si>
    <t>Customer2085</t>
  </si>
  <si>
    <t>Customer2086</t>
  </si>
  <si>
    <t>Customer2087</t>
  </si>
  <si>
    <t>Customer2088</t>
  </si>
  <si>
    <t>Customer2089</t>
  </si>
  <si>
    <t>Customer2090</t>
  </si>
  <si>
    <t>Customer2091</t>
  </si>
  <si>
    <t>Customer2092</t>
  </si>
  <si>
    <t>Customer2093</t>
  </si>
  <si>
    <t>Customer2094</t>
  </si>
  <si>
    <t>Customer2095</t>
  </si>
  <si>
    <t>Customer2096</t>
  </si>
  <si>
    <t>Customer2097</t>
  </si>
  <si>
    <t>Customer2098</t>
  </si>
  <si>
    <t>Customer2099</t>
  </si>
  <si>
    <t>Customer2100</t>
  </si>
  <si>
    <t>Customer2101</t>
  </si>
  <si>
    <t>Customer2102</t>
  </si>
  <si>
    <t>Customer2103</t>
  </si>
  <si>
    <t>Customer2104</t>
  </si>
  <si>
    <t>Customer2105</t>
  </si>
  <si>
    <t>Customer2106</t>
  </si>
  <si>
    <t>Customer2107</t>
  </si>
  <si>
    <t>Customer2108</t>
  </si>
  <si>
    <t>Customer2109</t>
  </si>
  <si>
    <t>Customer2110</t>
  </si>
  <si>
    <t>Customer2111</t>
  </si>
  <si>
    <t>Customer2112</t>
  </si>
  <si>
    <t>Customer2113</t>
  </si>
  <si>
    <t>Customer2114</t>
  </si>
  <si>
    <t>Customer2115</t>
  </si>
  <si>
    <t>Customer2116</t>
  </si>
  <si>
    <t>Customer2117</t>
  </si>
  <si>
    <t>Customer2118</t>
  </si>
  <si>
    <t>Customer2119</t>
  </si>
  <si>
    <t>Customer2120</t>
  </si>
  <si>
    <t>Customer2121</t>
  </si>
  <si>
    <t>Customer2122</t>
  </si>
  <si>
    <t>Customer2123</t>
  </si>
  <si>
    <t>Customer2124</t>
  </si>
  <si>
    <t>Customer2125</t>
  </si>
  <si>
    <t>Customer2126</t>
  </si>
  <si>
    <t>Customer2127</t>
  </si>
  <si>
    <t>Customer2128</t>
  </si>
  <si>
    <t>Customer2129</t>
  </si>
  <si>
    <t>Customer2130</t>
  </si>
  <si>
    <t>Customer2131</t>
  </si>
  <si>
    <t>Customer2132</t>
  </si>
  <si>
    <t>Customer2133</t>
  </si>
  <si>
    <t>Customer2134</t>
  </si>
  <si>
    <t>Customer2135</t>
  </si>
  <si>
    <t>Customer2136</t>
  </si>
  <si>
    <t>Customer2137</t>
  </si>
  <si>
    <t>Customer2138</t>
  </si>
  <si>
    <t>Customer2139</t>
  </si>
  <si>
    <t>Customer2140</t>
  </si>
  <si>
    <t>Customer2141</t>
  </si>
  <si>
    <t>Customer2142</t>
  </si>
  <si>
    <t>Customer2143</t>
  </si>
  <si>
    <t>Customer2144</t>
  </si>
  <si>
    <t>Customer2145</t>
  </si>
  <si>
    <t>Customer2146</t>
  </si>
  <si>
    <t>Customer2147</t>
  </si>
  <si>
    <t>Customer2148</t>
  </si>
  <si>
    <t>Customer2149</t>
  </si>
  <si>
    <t>Customer2150</t>
  </si>
  <si>
    <t>Customer2151</t>
  </si>
  <si>
    <t>Customer2152</t>
  </si>
  <si>
    <t>Customer2153</t>
  </si>
  <si>
    <t>Customer2154</t>
  </si>
  <si>
    <t>Customer2155</t>
  </si>
  <si>
    <t>Customer2156</t>
  </si>
  <si>
    <t>Customer2157</t>
  </si>
  <si>
    <t>Customer2158</t>
  </si>
  <si>
    <t>Customer2159</t>
  </si>
  <si>
    <t>Customer2160</t>
  </si>
  <si>
    <t>Customer2161</t>
  </si>
  <si>
    <t>Customer2162</t>
  </si>
  <si>
    <t>Customer2163</t>
  </si>
  <si>
    <t>Customer2164</t>
  </si>
  <si>
    <t>Customer2165</t>
  </si>
  <si>
    <t>Customer2166</t>
  </si>
  <si>
    <t>Customer2167</t>
  </si>
  <si>
    <t>Customer2168</t>
  </si>
  <si>
    <t>Customer2169</t>
  </si>
  <si>
    <t>Customer2170</t>
  </si>
  <si>
    <t>Customer2171</t>
  </si>
  <si>
    <t>Customer2172</t>
  </si>
  <si>
    <t>Customer2173</t>
  </si>
  <si>
    <t>Customer2174</t>
  </si>
  <si>
    <t>Customer2175</t>
  </si>
  <si>
    <t>Customer2176</t>
  </si>
  <si>
    <t>Customer2177</t>
  </si>
  <si>
    <t>Customer2178</t>
  </si>
  <si>
    <t>Customer2179</t>
  </si>
  <si>
    <t>Customer2180</t>
  </si>
  <si>
    <t>Customer2181</t>
  </si>
  <si>
    <t>Customer2182</t>
  </si>
  <si>
    <t>Customer2183</t>
  </si>
  <si>
    <t>Customer2184</t>
  </si>
  <si>
    <t>Customer2185</t>
  </si>
  <si>
    <t>Customer2186</t>
  </si>
  <si>
    <t>Customer2187</t>
  </si>
  <si>
    <t>Customer2188</t>
  </si>
  <si>
    <t>Customer2189</t>
  </si>
  <si>
    <t>Customer2190</t>
  </si>
  <si>
    <t>Customer2191</t>
  </si>
  <si>
    <t>Customer2192</t>
  </si>
  <si>
    <t>Customer2193</t>
  </si>
  <si>
    <t>Customer2194</t>
  </si>
  <si>
    <t>Customer2195</t>
  </si>
  <si>
    <t>Customer2196</t>
  </si>
  <si>
    <t>Customer2197</t>
  </si>
  <si>
    <t>Customer2198</t>
  </si>
  <si>
    <t>Customer2199</t>
  </si>
  <si>
    <t>Customer2200</t>
  </si>
  <si>
    <t>Customer2201</t>
  </si>
  <si>
    <t>Customer2202</t>
  </si>
  <si>
    <t>Customer2203</t>
  </si>
  <si>
    <t>Customer2204</t>
  </si>
  <si>
    <t>Customer2205</t>
  </si>
  <si>
    <t>Customer2206</t>
  </si>
  <si>
    <t>Customer2207</t>
  </si>
  <si>
    <t>Customer2208</t>
  </si>
  <si>
    <t>Customer2209</t>
  </si>
  <si>
    <t>Customer2210</t>
  </si>
  <si>
    <t>Customer2211</t>
  </si>
  <si>
    <t>Customer2212</t>
  </si>
  <si>
    <t>Customer2213</t>
  </si>
  <si>
    <t>Customer2214</t>
  </si>
  <si>
    <t>Customer2215</t>
  </si>
  <si>
    <t>Customer2216</t>
  </si>
  <si>
    <t>Customer2217</t>
  </si>
  <si>
    <t>Customer2218</t>
  </si>
  <si>
    <t>Customer2219</t>
  </si>
  <si>
    <t>Customer2220</t>
  </si>
  <si>
    <t>Customer2221</t>
  </si>
  <si>
    <t>Customer2222</t>
  </si>
  <si>
    <t>Customer2223</t>
  </si>
  <si>
    <t>Customer2224</t>
  </si>
  <si>
    <t>Customer2225</t>
  </si>
  <si>
    <t>Customer2226</t>
  </si>
  <si>
    <t>Customer2227</t>
  </si>
  <si>
    <t>Customer2228</t>
  </si>
  <si>
    <t>Customer2229</t>
  </si>
  <si>
    <t>Customer2230</t>
  </si>
  <si>
    <t>Customer2231</t>
  </si>
  <si>
    <t>Customer2232</t>
  </si>
  <si>
    <t>Customer2233</t>
  </si>
  <si>
    <t>Customer2234</t>
  </si>
  <si>
    <t>Customer2235</t>
  </si>
  <si>
    <t>Customer2236</t>
  </si>
  <si>
    <t>Customer2237</t>
  </si>
  <si>
    <t>Customer2238</t>
  </si>
  <si>
    <t>Customer2239</t>
  </si>
  <si>
    <t>Customer2240</t>
  </si>
  <si>
    <t>Customer2241</t>
  </si>
  <si>
    <t>Customer2242</t>
  </si>
  <si>
    <t>Customer2243</t>
  </si>
  <si>
    <t>Customer2244</t>
  </si>
  <si>
    <t>Customer2245</t>
  </si>
  <si>
    <t>Customer2246</t>
  </si>
  <si>
    <t>Customer2247</t>
  </si>
  <si>
    <t>Customer2248</t>
  </si>
  <si>
    <t>Customer2249</t>
  </si>
  <si>
    <t>Customer2250</t>
  </si>
  <si>
    <t>Customer2251</t>
  </si>
  <si>
    <t>Customer2252</t>
  </si>
  <si>
    <t>Customer2253</t>
  </si>
  <si>
    <t>Customer2254</t>
  </si>
  <si>
    <t>Customer2255</t>
  </si>
  <si>
    <t>Customer2256</t>
  </si>
  <si>
    <t>Customer2257</t>
  </si>
  <si>
    <t>Customer2258</t>
  </si>
  <si>
    <t>Customer2259</t>
  </si>
  <si>
    <t>Customer2260</t>
  </si>
  <si>
    <t>Customer2261</t>
  </si>
  <si>
    <t>Customer2262</t>
  </si>
  <si>
    <t>Customer2263</t>
  </si>
  <si>
    <t>Customer2264</t>
  </si>
  <si>
    <t>Customer2265</t>
  </si>
  <si>
    <t>Customer2266</t>
  </si>
  <si>
    <t>Customer2267</t>
  </si>
  <si>
    <t>Customer2268</t>
  </si>
  <si>
    <t>Customer2269</t>
  </si>
  <si>
    <t>Customer2270</t>
  </si>
  <si>
    <t>Customer2271</t>
  </si>
  <si>
    <t>Customer2272</t>
  </si>
  <si>
    <t>Customer2273</t>
  </si>
  <si>
    <t>Customer2274</t>
  </si>
  <si>
    <t>Customer2275</t>
  </si>
  <si>
    <t>Customer2276</t>
  </si>
  <si>
    <t>Customer2277</t>
  </si>
  <si>
    <t>Customer2278</t>
  </si>
  <si>
    <t>Customer2279</t>
  </si>
  <si>
    <t>Customer2280</t>
  </si>
  <si>
    <t>Customer2281</t>
  </si>
  <si>
    <t>Customer2282</t>
  </si>
  <si>
    <t>Customer2283</t>
  </si>
  <si>
    <t>Customer2284</t>
  </si>
  <si>
    <t>Customer2285</t>
  </si>
  <si>
    <t>Customer2286</t>
  </si>
  <si>
    <t>Customer2287</t>
  </si>
  <si>
    <t>Customer2288</t>
  </si>
  <si>
    <t>Customer2289</t>
  </si>
  <si>
    <t>Customer2290</t>
  </si>
  <si>
    <t>Customer2291</t>
  </si>
  <si>
    <t>Customer2292</t>
  </si>
  <si>
    <t>Customer2293</t>
  </si>
  <si>
    <t>Customer2294</t>
  </si>
  <si>
    <t>Customer2295</t>
  </si>
  <si>
    <t>Customer2296</t>
  </si>
  <si>
    <t>Customer2297</t>
  </si>
  <si>
    <t>Customer2298</t>
  </si>
  <si>
    <t>Customer2299</t>
  </si>
  <si>
    <t>Customer2300</t>
  </si>
  <si>
    <t>Customer2301</t>
  </si>
  <si>
    <t>Customer2302</t>
  </si>
  <si>
    <t>Customer2303</t>
  </si>
  <si>
    <t>Customer2304</t>
  </si>
  <si>
    <t>Customer2305</t>
  </si>
  <si>
    <t>Customer2306</t>
  </si>
  <si>
    <t>Customer2307</t>
  </si>
  <si>
    <t>Customer2308</t>
  </si>
  <si>
    <t>Customer2309</t>
  </si>
  <si>
    <t>Customer2310</t>
  </si>
  <si>
    <t>Customer2311</t>
  </si>
  <si>
    <t>Customer2312</t>
  </si>
  <si>
    <t>Customer2313</t>
  </si>
  <si>
    <t>Customer2314</t>
  </si>
  <si>
    <t>Customer2315</t>
  </si>
  <si>
    <t>Customer2316</t>
  </si>
  <si>
    <t>Customer2317</t>
  </si>
  <si>
    <t>Customer2318</t>
  </si>
  <si>
    <t>Customer2319</t>
  </si>
  <si>
    <t>Customer2320</t>
  </si>
  <si>
    <t>Customer2321</t>
  </si>
  <si>
    <t>Customer2322</t>
  </si>
  <si>
    <t>Customer2323</t>
  </si>
  <si>
    <t>Customer2324</t>
  </si>
  <si>
    <t>Customer2325</t>
  </si>
  <si>
    <t>Customer2326</t>
  </si>
  <si>
    <t>Customer2327</t>
  </si>
  <si>
    <t>Customer2328</t>
  </si>
  <si>
    <t>Customer2329</t>
  </si>
  <si>
    <t>Customer2330</t>
  </si>
  <si>
    <t>Customer2331</t>
  </si>
  <si>
    <t>Customer2332</t>
  </si>
  <si>
    <t>Customer2333</t>
  </si>
  <si>
    <t>Customer2334</t>
  </si>
  <si>
    <t>Customer2335</t>
  </si>
  <si>
    <t>Customer2336</t>
  </si>
  <si>
    <t>Customer2337</t>
  </si>
  <si>
    <t>Customer2338</t>
  </si>
  <si>
    <t>Customer2339</t>
  </si>
  <si>
    <t>Customer2340</t>
  </si>
  <si>
    <t>Customer2341</t>
  </si>
  <si>
    <t>Customer2342</t>
  </si>
  <si>
    <t>Customer2343</t>
  </si>
  <si>
    <t>Customer2344</t>
  </si>
  <si>
    <t>Customer2345</t>
  </si>
  <si>
    <t>Customer2346</t>
  </si>
  <si>
    <t>Customer2347</t>
  </si>
  <si>
    <t>Customer2348</t>
  </si>
  <si>
    <t>Customer2349</t>
  </si>
  <si>
    <t>Customer2350</t>
  </si>
  <si>
    <t>Customer2351</t>
  </si>
  <si>
    <t>Customer2352</t>
  </si>
  <si>
    <t>Customer2353</t>
  </si>
  <si>
    <t>Customer2354</t>
  </si>
  <si>
    <t>Customer2355</t>
  </si>
  <si>
    <t>Customer2356</t>
  </si>
  <si>
    <t>Customer2357</t>
  </si>
  <si>
    <t>Customer2358</t>
  </si>
  <si>
    <t>Customer2359</t>
  </si>
  <si>
    <t>Customer2360</t>
  </si>
  <si>
    <t>Customer2361</t>
  </si>
  <si>
    <t>Customer2362</t>
  </si>
  <si>
    <t>Customer2363</t>
  </si>
  <si>
    <t>Customer2364</t>
  </si>
  <si>
    <t>Customer2365</t>
  </si>
  <si>
    <t>Customer2366</t>
  </si>
  <si>
    <t>Customer2367</t>
  </si>
  <si>
    <t>Customer2368</t>
  </si>
  <si>
    <t>Customer2369</t>
  </si>
  <si>
    <t>Customer2370</t>
  </si>
  <si>
    <t>Customer2371</t>
  </si>
  <si>
    <t>Customer2372</t>
  </si>
  <si>
    <t>Customer2373</t>
  </si>
  <si>
    <t>Customer2374</t>
  </si>
  <si>
    <t>Customer2375</t>
  </si>
  <si>
    <t>Customer2376</t>
  </si>
  <si>
    <t>Customer2377</t>
  </si>
  <si>
    <t>Customer2378</t>
  </si>
  <si>
    <t>Customer2379</t>
  </si>
  <si>
    <t>Customer2380</t>
  </si>
  <si>
    <t>Customer2381</t>
  </si>
  <si>
    <t>Customer2382</t>
  </si>
  <si>
    <t>Customer2383</t>
  </si>
  <si>
    <t>Customer2384</t>
  </si>
  <si>
    <t>Customer2385</t>
  </si>
  <si>
    <t>Customer2386</t>
  </si>
  <si>
    <t>Customer2387</t>
  </si>
  <si>
    <t>Customer2388</t>
  </si>
  <si>
    <t>Customer2389</t>
  </si>
  <si>
    <t>Customer2390</t>
  </si>
  <si>
    <t>Customer2391</t>
  </si>
  <si>
    <t>Customer2392</t>
  </si>
  <si>
    <t>Customer2393</t>
  </si>
  <si>
    <t>Customer2394</t>
  </si>
  <si>
    <t>Customer2395</t>
  </si>
  <si>
    <t>Customer2396</t>
  </si>
  <si>
    <t>Customer2397</t>
  </si>
  <si>
    <t>Customer2398</t>
  </si>
  <si>
    <t>Customer2399</t>
  </si>
  <si>
    <t>Customer2400</t>
  </si>
  <si>
    <t>Customer2401</t>
  </si>
  <si>
    <t>Customer2402</t>
  </si>
  <si>
    <t>Customer2403</t>
  </si>
  <si>
    <t>Customer2404</t>
  </si>
  <si>
    <t>Customer2405</t>
  </si>
  <si>
    <t>Customer2406</t>
  </si>
  <si>
    <t>Customer2407</t>
  </si>
  <si>
    <t>Customer2408</t>
  </si>
  <si>
    <t>Customer2409</t>
  </si>
  <si>
    <t>Customer2410</t>
  </si>
  <si>
    <t>Customer2411</t>
  </si>
  <si>
    <t>Customer2412</t>
  </si>
  <si>
    <t>Customer2413</t>
  </si>
  <si>
    <t>Customer2414</t>
  </si>
  <si>
    <t>Customer2415</t>
  </si>
  <si>
    <t>Customer2416</t>
  </si>
  <si>
    <t>Customer2417</t>
  </si>
  <si>
    <t>Customer2418</t>
  </si>
  <si>
    <t>Customer2419</t>
  </si>
  <si>
    <t>Customer2420</t>
  </si>
  <si>
    <t>Customer2421</t>
  </si>
  <si>
    <t>Customer2422</t>
  </si>
  <si>
    <t>Customer2423</t>
  </si>
  <si>
    <t>Customer2424</t>
  </si>
  <si>
    <t>Customer2425</t>
  </si>
  <si>
    <t>Customer2426</t>
  </si>
  <si>
    <t>Customer2427</t>
  </si>
  <si>
    <t>Customer2428</t>
  </si>
  <si>
    <t>Customer2429</t>
  </si>
  <si>
    <t>Customer2430</t>
  </si>
  <si>
    <t>Customer2431</t>
  </si>
  <si>
    <t>Customer2432</t>
  </si>
  <si>
    <t>Customer2433</t>
  </si>
  <si>
    <t>Customer2434</t>
  </si>
  <si>
    <t>Customer2435</t>
  </si>
  <si>
    <t>Customer2436</t>
  </si>
  <si>
    <t>Customer2437</t>
  </si>
  <si>
    <t>Customer2438</t>
  </si>
  <si>
    <t>Customer2439</t>
  </si>
  <si>
    <t>Customer2440</t>
  </si>
  <si>
    <t>Customer2441</t>
  </si>
  <si>
    <t>Customer2442</t>
  </si>
  <si>
    <t>Customer2443</t>
  </si>
  <si>
    <t>Customer2444</t>
  </si>
  <si>
    <t>Customer2445</t>
  </si>
  <si>
    <t>Customer2446</t>
  </si>
  <si>
    <t>Customer2447</t>
  </si>
  <si>
    <t>Customer2448</t>
  </si>
  <si>
    <t>Customer2449</t>
  </si>
  <si>
    <t>Customer2450</t>
  </si>
  <si>
    <t>Customer2451</t>
  </si>
  <si>
    <t>Customer2452</t>
  </si>
  <si>
    <t>Customer2453</t>
  </si>
  <si>
    <t>Customer2454</t>
  </si>
  <si>
    <t>Customer2455</t>
  </si>
  <si>
    <t>Customer2456</t>
  </si>
  <si>
    <t>Customer2457</t>
  </si>
  <si>
    <t>Customer2458</t>
  </si>
  <si>
    <t>Customer2459</t>
  </si>
  <si>
    <t>Customer2460</t>
  </si>
  <si>
    <t>Customer2461</t>
  </si>
  <si>
    <t>Customer2462</t>
  </si>
  <si>
    <t>Customer2463</t>
  </si>
  <si>
    <t>Customer2464</t>
  </si>
  <si>
    <t>Customer2465</t>
  </si>
  <si>
    <t>Customer2466</t>
  </si>
  <si>
    <t>Customer2467</t>
  </si>
  <si>
    <t>Customer2468</t>
  </si>
  <si>
    <t>Customer2469</t>
  </si>
  <si>
    <t>Customer2470</t>
  </si>
  <si>
    <t>Customer2471</t>
  </si>
  <si>
    <t>Customer2472</t>
  </si>
  <si>
    <t>Customer2473</t>
  </si>
  <si>
    <t>Customer2474</t>
  </si>
  <si>
    <t>Customer2475</t>
  </si>
  <si>
    <t>Customer2476</t>
  </si>
  <si>
    <t>Customer2477</t>
  </si>
  <si>
    <t>Customer2478</t>
  </si>
  <si>
    <t>Customer2479</t>
  </si>
  <si>
    <t>Customer2480</t>
  </si>
  <si>
    <t>Customer2481</t>
  </si>
  <si>
    <t>Customer2482</t>
  </si>
  <si>
    <t>Customer2483</t>
  </si>
  <si>
    <t>Customer2484</t>
  </si>
  <si>
    <t>Customer2485</t>
  </si>
  <si>
    <t>Customer2486</t>
  </si>
  <si>
    <t>Customer2487</t>
  </si>
  <si>
    <t>Customer2488</t>
  </si>
  <si>
    <t>Customer2489</t>
  </si>
  <si>
    <t>Customer2490</t>
  </si>
  <si>
    <t>Customer2491</t>
  </si>
  <si>
    <t>Customer2492</t>
  </si>
  <si>
    <t>Customer2493</t>
  </si>
  <si>
    <t>Customer2494</t>
  </si>
  <si>
    <t>Customer2495</t>
  </si>
  <si>
    <t>Customer2496</t>
  </si>
  <si>
    <t>Customer2497</t>
  </si>
  <si>
    <t>Customer2498</t>
  </si>
  <si>
    <t>Customer2499</t>
  </si>
  <si>
    <t>Customer2500</t>
  </si>
  <si>
    <t>Customer2501</t>
  </si>
  <si>
    <t>Customer2502</t>
  </si>
  <si>
    <t>Customer2503</t>
  </si>
  <si>
    <t>Customer2504</t>
  </si>
  <si>
    <t>Customer2505</t>
  </si>
  <si>
    <t>Customer2506</t>
  </si>
  <si>
    <t>Customer2507</t>
  </si>
  <si>
    <t>Customer2508</t>
  </si>
  <si>
    <t>Customer2509</t>
  </si>
  <si>
    <t>Customer2510</t>
  </si>
  <si>
    <t>Customer2511</t>
  </si>
  <si>
    <t>Customer2512</t>
  </si>
  <si>
    <t>Customer2513</t>
  </si>
  <si>
    <t>Customer2514</t>
  </si>
  <si>
    <t>Customer2515</t>
  </si>
  <si>
    <t>Customer2516</t>
  </si>
  <si>
    <t>Customer2517</t>
  </si>
  <si>
    <t>Customer2518</t>
  </si>
  <si>
    <t>Customer2519</t>
  </si>
  <si>
    <t>Customer2520</t>
  </si>
  <si>
    <t>Customer2521</t>
  </si>
  <si>
    <t>Customer2522</t>
  </si>
  <si>
    <t>Customer2523</t>
  </si>
  <si>
    <t>Customer2524</t>
  </si>
  <si>
    <t>Customer2525</t>
  </si>
  <si>
    <t>Customer2526</t>
  </si>
  <si>
    <t>Customer2527</t>
  </si>
  <si>
    <t>Customer2528</t>
  </si>
  <si>
    <t>Customer2529</t>
  </si>
  <si>
    <t>Customer2530</t>
  </si>
  <si>
    <t>Customer2531</t>
  </si>
  <si>
    <t>Customer2532</t>
  </si>
  <si>
    <t>Customer2533</t>
  </si>
  <si>
    <t>Customer2534</t>
  </si>
  <si>
    <t>Customer2535</t>
  </si>
  <si>
    <t>Customer2536</t>
  </si>
  <si>
    <t>Customer2537</t>
  </si>
  <si>
    <t>Customer2538</t>
  </si>
  <si>
    <t>Customer2539</t>
  </si>
  <si>
    <t>Customer2540</t>
  </si>
  <si>
    <t>Customer2541</t>
  </si>
  <si>
    <t>Customer2542</t>
  </si>
  <si>
    <t>Customer2543</t>
  </si>
  <si>
    <t>Customer2544</t>
  </si>
  <si>
    <t>Customer2545</t>
  </si>
  <si>
    <t>Customer2546</t>
  </si>
  <si>
    <t>Customer2547</t>
  </si>
  <si>
    <t>Customer2548</t>
  </si>
  <si>
    <t>Customer2549</t>
  </si>
  <si>
    <t>Customer2550</t>
  </si>
  <si>
    <t>Customer2551</t>
  </si>
  <si>
    <t>Customer2552</t>
  </si>
  <si>
    <t>Customer2553</t>
  </si>
  <si>
    <t>Customer2554</t>
  </si>
  <si>
    <t>Customer2555</t>
  </si>
  <si>
    <t>Customer2556</t>
  </si>
  <si>
    <t>Customer2557</t>
  </si>
  <si>
    <t>Customer2558</t>
  </si>
  <si>
    <t>Customer2559</t>
  </si>
  <si>
    <t>Customer2560</t>
  </si>
  <si>
    <t>Customer2561</t>
  </si>
  <si>
    <t>Customer2562</t>
  </si>
  <si>
    <t>Customer2563</t>
  </si>
  <si>
    <t>Customer2564</t>
  </si>
  <si>
    <t>Customer2565</t>
  </si>
  <si>
    <t>Customer2566</t>
  </si>
  <si>
    <t>Customer2567</t>
  </si>
  <si>
    <t>Customer2568</t>
  </si>
  <si>
    <t>Customer2569</t>
  </si>
  <si>
    <t>Customer2570</t>
  </si>
  <si>
    <t>Customer2571</t>
  </si>
  <si>
    <t>Customer2572</t>
  </si>
  <si>
    <t>Customer2573</t>
  </si>
  <si>
    <t>Customer2574</t>
  </si>
  <si>
    <t>Customer2575</t>
  </si>
  <si>
    <t>Customer2576</t>
  </si>
  <si>
    <t>Customer2577</t>
  </si>
  <si>
    <t>Customer2578</t>
  </si>
  <si>
    <t>Customer2579</t>
  </si>
  <si>
    <t>Customer2580</t>
  </si>
  <si>
    <t>Customer2581</t>
  </si>
  <si>
    <t>Customer2582</t>
  </si>
  <si>
    <t>Customer2583</t>
  </si>
  <si>
    <t>Customer2584</t>
  </si>
  <si>
    <t>Customer2585</t>
  </si>
  <si>
    <t>Customer2586</t>
  </si>
  <si>
    <t>Customer2587</t>
  </si>
  <si>
    <t>Customer2588</t>
  </si>
  <si>
    <t>Customer2589</t>
  </si>
  <si>
    <t>Customer2590</t>
  </si>
  <si>
    <t>Customer2591</t>
  </si>
  <si>
    <t>Customer2592</t>
  </si>
  <si>
    <t>Customer2593</t>
  </si>
  <si>
    <t>Customer2594</t>
  </si>
  <si>
    <t>Customer2595</t>
  </si>
  <si>
    <t>Customer2596</t>
  </si>
  <si>
    <t>Customer2597</t>
  </si>
  <si>
    <t>Customer2598</t>
  </si>
  <si>
    <t>Customer2599</t>
  </si>
  <si>
    <t>Customer2600</t>
  </si>
  <si>
    <t>Customer2601</t>
  </si>
  <si>
    <t>Customer2602</t>
  </si>
  <si>
    <t>Customer2603</t>
  </si>
  <si>
    <t>Customer2604</t>
  </si>
  <si>
    <t>Customer2605</t>
  </si>
  <si>
    <t>Customer2606</t>
  </si>
  <si>
    <t>Customer2607</t>
  </si>
  <si>
    <t>Customer2608</t>
  </si>
  <si>
    <t>Customer2609</t>
  </si>
  <si>
    <t>Customer2610</t>
  </si>
  <si>
    <t>Customer2611</t>
  </si>
  <si>
    <t>Customer2612</t>
  </si>
  <si>
    <t>Customer2613</t>
  </si>
  <si>
    <t>Customer2614</t>
  </si>
  <si>
    <t>Customer2615</t>
  </si>
  <si>
    <t>Customer2616</t>
  </si>
  <si>
    <t>Customer2617</t>
  </si>
  <si>
    <t>Customer2618</t>
  </si>
  <si>
    <t>Customer2619</t>
  </si>
  <si>
    <t>Customer2620</t>
  </si>
  <si>
    <t>Customer2621</t>
  </si>
  <si>
    <t>Customer2622</t>
  </si>
  <si>
    <t>Customer2623</t>
  </si>
  <si>
    <t>Customer2624</t>
  </si>
  <si>
    <t>Customer2625</t>
  </si>
  <si>
    <t>Customer2626</t>
  </si>
  <si>
    <t>Customer2627</t>
  </si>
  <si>
    <t>Customer2628</t>
  </si>
  <si>
    <t>Customer2629</t>
  </si>
  <si>
    <t>Customer2630</t>
  </si>
  <si>
    <t>Customer2631</t>
  </si>
  <si>
    <t>Customer2632</t>
  </si>
  <si>
    <t>Customer2633</t>
  </si>
  <si>
    <t>Customer2634</t>
  </si>
  <si>
    <t>Customer2635</t>
  </si>
  <si>
    <t>Customer2636</t>
  </si>
  <si>
    <t>Customer2637</t>
  </si>
  <si>
    <t>Customer2638</t>
  </si>
  <si>
    <t>Customer2639</t>
  </si>
  <si>
    <t>Customer2640</t>
  </si>
  <si>
    <t>Customer2641</t>
  </si>
  <si>
    <t>Customer2642</t>
  </si>
  <si>
    <t>Customer2643</t>
  </si>
  <si>
    <t>Customer2644</t>
  </si>
  <si>
    <t>Customer2645</t>
  </si>
  <si>
    <t>Customer2646</t>
  </si>
  <si>
    <t>Customer2647</t>
  </si>
  <si>
    <t>Customer2648</t>
  </si>
  <si>
    <t>Customer2649</t>
  </si>
  <si>
    <t>Customer2650</t>
  </si>
  <si>
    <t>Customer2651</t>
  </si>
  <si>
    <t>Customer2652</t>
  </si>
  <si>
    <t>Customer2653</t>
  </si>
  <si>
    <t>Customer2654</t>
  </si>
  <si>
    <t>Customer2655</t>
  </si>
  <si>
    <t>Customer2656</t>
  </si>
  <si>
    <t>Customer2657</t>
  </si>
  <si>
    <t>Customer2658</t>
  </si>
  <si>
    <t>Customer2659</t>
  </si>
  <si>
    <t>Customer2660</t>
  </si>
  <si>
    <t>Customer2661</t>
  </si>
  <si>
    <t>Customer2662</t>
  </si>
  <si>
    <t>Customer2663</t>
  </si>
  <si>
    <t>Customer2664</t>
  </si>
  <si>
    <t>Customer2665</t>
  </si>
  <si>
    <t>Customer2666</t>
  </si>
  <si>
    <t>Customer2667</t>
  </si>
  <si>
    <t>Customer2668</t>
  </si>
  <si>
    <t>Customer2669</t>
  </si>
  <si>
    <t>Customer2670</t>
  </si>
  <si>
    <t>Customer2671</t>
  </si>
  <si>
    <t>Customer2672</t>
  </si>
  <si>
    <t>Customer2673</t>
  </si>
  <si>
    <t>Customer2674</t>
  </si>
  <si>
    <t>Customer2675</t>
  </si>
  <si>
    <t>Customer2676</t>
  </si>
  <si>
    <t>Customer2677</t>
  </si>
  <si>
    <t>Customer2678</t>
  </si>
  <si>
    <t>Customer2679</t>
  </si>
  <si>
    <t>Customer2680</t>
  </si>
  <si>
    <t>Customer2681</t>
  </si>
  <si>
    <t>Customer2682</t>
  </si>
  <si>
    <t>Customer2683</t>
  </si>
  <si>
    <t>Customer2684</t>
  </si>
  <si>
    <t>Customer2685</t>
  </si>
  <si>
    <t>Customer2686</t>
  </si>
  <si>
    <t>Customer2687</t>
  </si>
  <si>
    <t>Customer2688</t>
  </si>
  <si>
    <t>Customer2689</t>
  </si>
  <si>
    <t>Customer2690</t>
  </si>
  <si>
    <t>Customer2691</t>
  </si>
  <si>
    <t>Customer2692</t>
  </si>
  <si>
    <t>Customer2693</t>
  </si>
  <si>
    <t>Customer2694</t>
  </si>
  <si>
    <t>Customer2695</t>
  </si>
  <si>
    <t>Customer2696</t>
  </si>
  <si>
    <t>Customer2697</t>
  </si>
  <si>
    <t>Customer2698</t>
  </si>
  <si>
    <t>Customer2699</t>
  </si>
  <si>
    <t>Customer2700</t>
  </si>
  <si>
    <t>Customer2701</t>
  </si>
  <si>
    <t>Customer2702</t>
  </si>
  <si>
    <t>Customer2703</t>
  </si>
  <si>
    <t>Customer2704</t>
  </si>
  <si>
    <t>Customer2705</t>
  </si>
  <si>
    <t>Customer2706</t>
  </si>
  <si>
    <t>Customer2707</t>
  </si>
  <si>
    <t>Customer2708</t>
  </si>
  <si>
    <t>Customer2709</t>
  </si>
  <si>
    <t>Customer2710</t>
  </si>
  <si>
    <t>Customer2711</t>
  </si>
  <si>
    <t>Customer2712</t>
  </si>
  <si>
    <t>Customer2713</t>
  </si>
  <si>
    <t>Customer2714</t>
  </si>
  <si>
    <t>Customer2715</t>
  </si>
  <si>
    <t>Customer2716</t>
  </si>
  <si>
    <t>Customer2717</t>
  </si>
  <si>
    <t>Customer2718</t>
  </si>
  <si>
    <t>Customer2719</t>
  </si>
  <si>
    <t>Customer2720</t>
  </si>
  <si>
    <t>Customer2721</t>
  </si>
  <si>
    <t>Customer2722</t>
  </si>
  <si>
    <t>Customer2723</t>
  </si>
  <si>
    <t>Customer2724</t>
  </si>
  <si>
    <t>Customer2725</t>
  </si>
  <si>
    <t>Customer2726</t>
  </si>
  <si>
    <t>Customer2727</t>
  </si>
  <si>
    <t>Customer2728</t>
  </si>
  <si>
    <t>Customer2729</t>
  </si>
  <si>
    <t>Customer2730</t>
  </si>
  <si>
    <t>Customer2731</t>
  </si>
  <si>
    <t>Customer2732</t>
  </si>
  <si>
    <t>Customer2733</t>
  </si>
  <si>
    <t>Customer2734</t>
  </si>
  <si>
    <t>Customer2735</t>
  </si>
  <si>
    <t>Customer2736</t>
  </si>
  <si>
    <t>Customer2737</t>
  </si>
  <si>
    <t>Customer2738</t>
  </si>
  <si>
    <t>Customer2739</t>
  </si>
  <si>
    <t>Customer2740</t>
  </si>
  <si>
    <t>Customer2741</t>
  </si>
  <si>
    <t>Customer2742</t>
  </si>
  <si>
    <t>Customer2743</t>
  </si>
  <si>
    <t>Customer2744</t>
  </si>
  <si>
    <t>Customer2745</t>
  </si>
  <si>
    <t>Customer2746</t>
  </si>
  <si>
    <t>Customer2747</t>
  </si>
  <si>
    <t>Customer2748</t>
  </si>
  <si>
    <t>Customer2749</t>
  </si>
  <si>
    <t>Customer2750</t>
  </si>
  <si>
    <t>Customer2751</t>
  </si>
  <si>
    <t>Customer2752</t>
  </si>
  <si>
    <t>Customer2753</t>
  </si>
  <si>
    <t>Customer2754</t>
  </si>
  <si>
    <t>Customer2755</t>
  </si>
  <si>
    <t>Customer2756</t>
  </si>
  <si>
    <t>Customer2757</t>
  </si>
  <si>
    <t>Customer2758</t>
  </si>
  <si>
    <t>Customer2759</t>
  </si>
  <si>
    <t>Customer2760</t>
  </si>
  <si>
    <t>Customer2761</t>
  </si>
  <si>
    <t>Customer2762</t>
  </si>
  <si>
    <t>Customer2763</t>
  </si>
  <si>
    <t>Customer2764</t>
  </si>
  <si>
    <t>Customer2765</t>
  </si>
  <si>
    <t>Customer2766</t>
  </si>
  <si>
    <t>Customer2767</t>
  </si>
  <si>
    <t>Customer2768</t>
  </si>
  <si>
    <t>Customer2769</t>
  </si>
  <si>
    <t>Customer2770</t>
  </si>
  <si>
    <t>Customer2771</t>
  </si>
  <si>
    <t>Customer2772</t>
  </si>
  <si>
    <t>Customer2773</t>
  </si>
  <si>
    <t>Customer2774</t>
  </si>
  <si>
    <t>Customer2775</t>
  </si>
  <si>
    <t>Customer2776</t>
  </si>
  <si>
    <t>Customer2777</t>
  </si>
  <si>
    <t>Customer2778</t>
  </si>
  <si>
    <t>Customer2779</t>
  </si>
  <si>
    <t>Customer2780</t>
  </si>
  <si>
    <t>Customer2781</t>
  </si>
  <si>
    <t>Customer2782</t>
  </si>
  <si>
    <t>Customer2783</t>
  </si>
  <si>
    <t>Customer2784</t>
  </si>
  <si>
    <t>Customer2785</t>
  </si>
  <si>
    <t>Customer2786</t>
  </si>
  <si>
    <t>Customer2787</t>
  </si>
  <si>
    <t>Customer2788</t>
  </si>
  <si>
    <t>Customer2789</t>
  </si>
  <si>
    <t>Customer2790</t>
  </si>
  <si>
    <t>Customer2791</t>
  </si>
  <si>
    <t>Customer2792</t>
  </si>
  <si>
    <t>Customer2793</t>
  </si>
  <si>
    <t>Customer2794</t>
  </si>
  <si>
    <t>Customer2795</t>
  </si>
  <si>
    <t>Customer2796</t>
  </si>
  <si>
    <t>Customer2797</t>
  </si>
  <si>
    <t>Customer2798</t>
  </si>
  <si>
    <t>Customer2799</t>
  </si>
  <si>
    <t>Customer2800</t>
  </si>
  <si>
    <t>Customer2801</t>
  </si>
  <si>
    <t>Customer2802</t>
  </si>
  <si>
    <t>Customer2803</t>
  </si>
  <si>
    <t>Customer2804</t>
  </si>
  <si>
    <t>Customer2805</t>
  </si>
  <si>
    <t>Customer2806</t>
  </si>
  <si>
    <t>Customer2807</t>
  </si>
  <si>
    <t>Customer2808</t>
  </si>
  <si>
    <t>Customer2809</t>
  </si>
  <si>
    <t>Customer2810</t>
  </si>
  <si>
    <t>Customer2811</t>
  </si>
  <si>
    <t>Customer2812</t>
  </si>
  <si>
    <t>Customer2813</t>
  </si>
  <si>
    <t>Customer2814</t>
  </si>
  <si>
    <t>Customer2815</t>
  </si>
  <si>
    <t>Customer2816</t>
  </si>
  <si>
    <t>Customer2817</t>
  </si>
  <si>
    <t>Customer2818</t>
  </si>
  <si>
    <t>Customer2819</t>
  </si>
  <si>
    <t>Customer2820</t>
  </si>
  <si>
    <t>Customer2821</t>
  </si>
  <si>
    <t>Customer2822</t>
  </si>
  <si>
    <t>Customer2823</t>
  </si>
  <si>
    <t>Customer2824</t>
  </si>
  <si>
    <t>Customer2825</t>
  </si>
  <si>
    <t>Customer2826</t>
  </si>
  <si>
    <t>Customer2827</t>
  </si>
  <si>
    <t>Customer2828</t>
  </si>
  <si>
    <t>Customer2829</t>
  </si>
  <si>
    <t>Customer2830</t>
  </si>
  <si>
    <t>Customer2831</t>
  </si>
  <si>
    <t>Customer2832</t>
  </si>
  <si>
    <t>Customer2833</t>
  </si>
  <si>
    <t>Customer2834</t>
  </si>
  <si>
    <t>Customer2835</t>
  </si>
  <si>
    <t>Customer2836</t>
  </si>
  <si>
    <t>Customer2837</t>
  </si>
  <si>
    <t>Customer2838</t>
  </si>
  <si>
    <t>Customer2839</t>
  </si>
  <si>
    <t>Customer2840</t>
  </si>
  <si>
    <t>Customer2841</t>
  </si>
  <si>
    <t>Customer2842</t>
  </si>
  <si>
    <t>Customer2843</t>
  </si>
  <si>
    <t>Customer2844</t>
  </si>
  <si>
    <t>Customer2845</t>
  </si>
  <si>
    <t>Customer2846</t>
  </si>
  <si>
    <t>Customer2847</t>
  </si>
  <si>
    <t>Customer2848</t>
  </si>
  <si>
    <t>Customer2849</t>
  </si>
  <si>
    <t>Customer2850</t>
  </si>
  <si>
    <t>Customer2851</t>
  </si>
  <si>
    <t>Customer2852</t>
  </si>
  <si>
    <t>Customer2853</t>
  </si>
  <si>
    <t>Customer2854</t>
  </si>
  <si>
    <t>Customer2855</t>
  </si>
  <si>
    <t>Customer2856</t>
  </si>
  <si>
    <t>Customer2857</t>
  </si>
  <si>
    <t>Customer2858</t>
  </si>
  <si>
    <t>Customer2859</t>
  </si>
  <si>
    <t>Customer2860</t>
  </si>
  <si>
    <t>Customer2861</t>
  </si>
  <si>
    <t>Customer2862</t>
  </si>
  <si>
    <t>Customer2863</t>
  </si>
  <si>
    <t>Customer2864</t>
  </si>
  <si>
    <t>Customer2865</t>
  </si>
  <si>
    <t>Customer2866</t>
  </si>
  <si>
    <t>Customer2867</t>
  </si>
  <si>
    <t>Customer2868</t>
  </si>
  <si>
    <t>Customer2869</t>
  </si>
  <si>
    <t>Customer2870</t>
  </si>
  <si>
    <t>Customer2871</t>
  </si>
  <si>
    <t>Customer2872</t>
  </si>
  <si>
    <t>Customer2873</t>
  </si>
  <si>
    <t>Customer2874</t>
  </si>
  <si>
    <t>Customer2875</t>
  </si>
  <si>
    <t>Customer2876</t>
  </si>
  <si>
    <t>Customer2877</t>
  </si>
  <si>
    <t>Customer2878</t>
  </si>
  <si>
    <t>Customer2879</t>
  </si>
  <si>
    <t>Customer2880</t>
  </si>
  <si>
    <t>Customer2881</t>
  </si>
  <si>
    <t>Customer2882</t>
  </si>
  <si>
    <t>Customer2883</t>
  </si>
  <si>
    <t>Customer2884</t>
  </si>
  <si>
    <t>Customer2885</t>
  </si>
  <si>
    <t>Customer2886</t>
  </si>
  <si>
    <t>Customer2887</t>
  </si>
  <si>
    <t>Customer2888</t>
  </si>
  <si>
    <t>Customer2889</t>
  </si>
  <si>
    <t>Customer2890</t>
  </si>
  <si>
    <t>Customer2891</t>
  </si>
  <si>
    <t>Customer2892</t>
  </si>
  <si>
    <t>Customer2893</t>
  </si>
  <si>
    <t>Customer2894</t>
  </si>
  <si>
    <t>Customer2895</t>
  </si>
  <si>
    <t>Customer2896</t>
  </si>
  <si>
    <t>Customer2897</t>
  </si>
  <si>
    <t>Customer2898</t>
  </si>
  <si>
    <t>Customer2899</t>
  </si>
  <si>
    <t>Customer2900</t>
  </si>
  <si>
    <t>Customer2901</t>
  </si>
  <si>
    <t>Customer2902</t>
  </si>
  <si>
    <t>Customer2903</t>
  </si>
  <si>
    <t>Customer2904</t>
  </si>
  <si>
    <t>Customer2905</t>
  </si>
  <si>
    <t>Customer2906</t>
  </si>
  <si>
    <t>Customer2907</t>
  </si>
  <si>
    <t>Customer2908</t>
  </si>
  <si>
    <t>Customer2909</t>
  </si>
  <si>
    <t>Customer2910</t>
  </si>
  <si>
    <t>Customer2911</t>
  </si>
  <si>
    <t>Customer2912</t>
  </si>
  <si>
    <t>Customer2913</t>
  </si>
  <si>
    <t>Customer2914</t>
  </si>
  <si>
    <t>Customer2915</t>
  </si>
  <si>
    <t>Customer2916</t>
  </si>
  <si>
    <t>Customer2917</t>
  </si>
  <si>
    <t>Customer2918</t>
  </si>
  <si>
    <t>Customer2919</t>
  </si>
  <si>
    <t>Customer2920</t>
  </si>
  <si>
    <t>Customer2921</t>
  </si>
  <si>
    <t>Customer2922</t>
  </si>
  <si>
    <t>Customer2923</t>
  </si>
  <si>
    <t>Customer2924</t>
  </si>
  <si>
    <t>Customer2925</t>
  </si>
  <si>
    <t>Customer2926</t>
  </si>
  <si>
    <t>Customer2927</t>
  </si>
  <si>
    <t>Customer2928</t>
  </si>
  <si>
    <t>Customer2929</t>
  </si>
  <si>
    <t>Customer2930</t>
  </si>
  <si>
    <t>Customer2931</t>
  </si>
  <si>
    <t>Customer2932</t>
  </si>
  <si>
    <t>Customer2933</t>
  </si>
  <si>
    <t>Customer2934</t>
  </si>
  <si>
    <t>Customer2935</t>
  </si>
  <si>
    <t>Customer2936</t>
  </si>
  <si>
    <t>Customer2937</t>
  </si>
  <si>
    <t>Customer2938</t>
  </si>
  <si>
    <t>Customer2939</t>
  </si>
  <si>
    <t>Customer2940</t>
  </si>
  <si>
    <t>Customer2941</t>
  </si>
  <si>
    <t>Customer2942</t>
  </si>
  <si>
    <t>Customer2943</t>
  </si>
  <si>
    <t>Customer2944</t>
  </si>
  <si>
    <t>Customer2945</t>
  </si>
  <si>
    <t>Customer2946</t>
  </si>
  <si>
    <t>Customer2947</t>
  </si>
  <si>
    <t>Customer2948</t>
  </si>
  <si>
    <t>Customer2949</t>
  </si>
  <si>
    <t>Customer2950</t>
  </si>
  <si>
    <t>Customer2951</t>
  </si>
  <si>
    <t>Customer2952</t>
  </si>
  <si>
    <t>Customer2953</t>
  </si>
  <si>
    <t>Customer2954</t>
  </si>
  <si>
    <t>Customer2955</t>
  </si>
  <si>
    <t>Customer2956</t>
  </si>
  <si>
    <t>Customer2957</t>
  </si>
  <si>
    <t>Customer2958</t>
  </si>
  <si>
    <t>Customer2959</t>
  </si>
  <si>
    <t>Customer2960</t>
  </si>
  <si>
    <t>Customer2961</t>
  </si>
  <si>
    <t>Customer2962</t>
  </si>
  <si>
    <t>Customer2963</t>
  </si>
  <si>
    <t>Customer2964</t>
  </si>
  <si>
    <t>Customer2965</t>
  </si>
  <si>
    <t>Customer2966</t>
  </si>
  <si>
    <t>Customer2967</t>
  </si>
  <si>
    <t>Customer2968</t>
  </si>
  <si>
    <t>Customer2969</t>
  </si>
  <si>
    <t>Customer2970</t>
  </si>
  <si>
    <t>Customer2971</t>
  </si>
  <si>
    <t>Customer2972</t>
  </si>
  <si>
    <t>Customer2973</t>
  </si>
  <si>
    <t>Customer2974</t>
  </si>
  <si>
    <t>Customer2975</t>
  </si>
  <si>
    <t>Customer2976</t>
  </si>
  <si>
    <t>Customer2977</t>
  </si>
  <si>
    <t>Customer2978</t>
  </si>
  <si>
    <t>Customer2979</t>
  </si>
  <si>
    <t>Customer2980</t>
  </si>
  <si>
    <t>Customer2981</t>
  </si>
  <si>
    <t>Customer2982</t>
  </si>
  <si>
    <t>Customer2983</t>
  </si>
  <si>
    <t>Customer2984</t>
  </si>
  <si>
    <t>Customer2985</t>
  </si>
  <si>
    <t>Customer2986</t>
  </si>
  <si>
    <t>Customer2987</t>
  </si>
  <si>
    <t>Customer2988</t>
  </si>
  <si>
    <t>Customer2989</t>
  </si>
  <si>
    <t>Customer2990</t>
  </si>
  <si>
    <t>Customer2991</t>
  </si>
  <si>
    <t>Customer2992</t>
  </si>
  <si>
    <t>Customer2993</t>
  </si>
  <si>
    <t>Customer2994</t>
  </si>
  <si>
    <t>Customer2995</t>
  </si>
  <si>
    <t>Customer2996</t>
  </si>
  <si>
    <t>Customer2997</t>
  </si>
  <si>
    <t>Customer2998</t>
  </si>
  <si>
    <t>Customer2999</t>
  </si>
  <si>
    <t>Customer3000</t>
  </si>
  <si>
    <t>Customer3001</t>
  </si>
  <si>
    <t>Customer3002</t>
  </si>
  <si>
    <t>Customer3003</t>
  </si>
  <si>
    <t>Customer3004</t>
  </si>
  <si>
    <t>Customer3005</t>
  </si>
  <si>
    <t>Customer3006</t>
  </si>
  <si>
    <t>Customer3007</t>
  </si>
  <si>
    <t>Customer3008</t>
  </si>
  <si>
    <t>Customer3009</t>
  </si>
  <si>
    <t>Customer3010</t>
  </si>
  <si>
    <t>Customer3011</t>
  </si>
  <si>
    <t>Customer3012</t>
  </si>
  <si>
    <t>Customer3013</t>
  </si>
  <si>
    <t>Customer3014</t>
  </si>
  <si>
    <t>Customer3015</t>
  </si>
  <si>
    <t>Customer3016</t>
  </si>
  <si>
    <t>Customer3017</t>
  </si>
  <si>
    <t>Customer3018</t>
  </si>
  <si>
    <t>Customer3019</t>
  </si>
  <si>
    <t>Customer3020</t>
  </si>
  <si>
    <t>Customer3021</t>
  </si>
  <si>
    <t>Customer3022</t>
  </si>
  <si>
    <t>Customer3023</t>
  </si>
  <si>
    <t>Customer3024</t>
  </si>
  <si>
    <t>Customer3025</t>
  </si>
  <si>
    <t>Customer3026</t>
  </si>
  <si>
    <t>Customer3027</t>
  </si>
  <si>
    <t>Customer3028</t>
  </si>
  <si>
    <t>Customer3029</t>
  </si>
  <si>
    <t>Customer3030</t>
  </si>
  <si>
    <t>Customer3031</t>
  </si>
  <si>
    <t>Customer3032</t>
  </si>
  <si>
    <t>Customer3033</t>
  </si>
  <si>
    <t>Customer3034</t>
  </si>
  <si>
    <t>Customer3035</t>
  </si>
  <si>
    <t>Customer3036</t>
  </si>
  <si>
    <t>Customer3037</t>
  </si>
  <si>
    <t>Customer3038</t>
  </si>
  <si>
    <t>Customer3039</t>
  </si>
  <si>
    <t>Customer3040</t>
  </si>
  <si>
    <t>Customer3041</t>
  </si>
  <si>
    <t>Customer3042</t>
  </si>
  <si>
    <t>Customer3043</t>
  </si>
  <si>
    <t>Customer3044</t>
  </si>
  <si>
    <t>Customer3045</t>
  </si>
  <si>
    <t>Customer3046</t>
  </si>
  <si>
    <t>Customer3047</t>
  </si>
  <si>
    <t>Customer3048</t>
  </si>
  <si>
    <t>Customer3049</t>
  </si>
  <si>
    <t>Customer3050</t>
  </si>
  <si>
    <t>Customer3051</t>
  </si>
  <si>
    <t>Customer3052</t>
  </si>
  <si>
    <t>Customer3053</t>
  </si>
  <si>
    <t>Customer3054</t>
  </si>
  <si>
    <t>Customer3055</t>
  </si>
  <si>
    <t>Customer3056</t>
  </si>
  <si>
    <t>Customer3057</t>
  </si>
  <si>
    <t>Customer3058</t>
  </si>
  <si>
    <t>Customer3059</t>
  </si>
  <si>
    <t>Customer3060</t>
  </si>
  <si>
    <t>Customer3061</t>
  </si>
  <si>
    <t>Customer3062</t>
  </si>
  <si>
    <t>Customer3063</t>
  </si>
  <si>
    <t>Customer3064</t>
  </si>
  <si>
    <t>Customer3065</t>
  </si>
  <si>
    <t>Customer3066</t>
  </si>
  <si>
    <t>Customer3067</t>
  </si>
  <si>
    <t>Customer3068</t>
  </si>
  <si>
    <t>Customer3069</t>
  </si>
  <si>
    <t>Customer3070</t>
  </si>
  <si>
    <t>Customer3071</t>
  </si>
  <si>
    <t>Customer3072</t>
  </si>
  <si>
    <t>Customer3073</t>
  </si>
  <si>
    <t>Customer3074</t>
  </si>
  <si>
    <t>Customer3075</t>
  </si>
  <si>
    <t>Customer3076</t>
  </si>
  <si>
    <t>Customer3077</t>
  </si>
  <si>
    <t>Customer3078</t>
  </si>
  <si>
    <t>Customer3079</t>
  </si>
  <si>
    <t>Customer3080</t>
  </si>
  <si>
    <t>Customer3081</t>
  </si>
  <si>
    <t>Customer3082</t>
  </si>
  <si>
    <t>Customer3083</t>
  </si>
  <si>
    <t>Customer3084</t>
  </si>
  <si>
    <t>Customer3085</t>
  </si>
  <si>
    <t>Customer3086</t>
  </si>
  <si>
    <t>Customer3087</t>
  </si>
  <si>
    <t>Customer3088</t>
  </si>
  <si>
    <t>Customer3089</t>
  </si>
  <si>
    <t>Customer3090</t>
  </si>
  <si>
    <t>Customer3091</t>
  </si>
  <si>
    <t>Customer3092</t>
  </si>
  <si>
    <t>Customer3093</t>
  </si>
  <si>
    <t>Customer3094</t>
  </si>
  <si>
    <t>Customer3095</t>
  </si>
  <si>
    <t>Customer3096</t>
  </si>
  <si>
    <t>Customer3097</t>
  </si>
  <si>
    <t>Customer3098</t>
  </si>
  <si>
    <t>Customer3099</t>
  </si>
  <si>
    <t>Customer3100</t>
  </si>
  <si>
    <t>Customer3101</t>
  </si>
  <si>
    <t>Customer3102</t>
  </si>
  <si>
    <t>Customer3103</t>
  </si>
  <si>
    <t>Customer3104</t>
  </si>
  <si>
    <t>Customer3105</t>
  </si>
  <si>
    <t>Customer3106</t>
  </si>
  <si>
    <t>Customer3107</t>
  </si>
  <si>
    <t>Customer3108</t>
  </si>
  <si>
    <t>Customer3109</t>
  </si>
  <si>
    <t>Customer3110</t>
  </si>
  <si>
    <t>Customer3111</t>
  </si>
  <si>
    <t>Customer3112</t>
  </si>
  <si>
    <t>Customer3113</t>
  </si>
  <si>
    <t>Customer3114</t>
  </si>
  <si>
    <t>Customer3115</t>
  </si>
  <si>
    <t>Customer3116</t>
  </si>
  <si>
    <t>Customer3117</t>
  </si>
  <si>
    <t>Customer3118</t>
  </si>
  <si>
    <t>Customer3119</t>
  </si>
  <si>
    <t>Customer3120</t>
  </si>
  <si>
    <t>Customer3121</t>
  </si>
  <si>
    <t>Customer3122</t>
  </si>
  <si>
    <t>Customer3123</t>
  </si>
  <si>
    <t>Customer3124</t>
  </si>
  <si>
    <t>Customer3125</t>
  </si>
  <si>
    <t>Customer3126</t>
  </si>
  <si>
    <t>Customer3127</t>
  </si>
  <si>
    <t>Customer3128</t>
  </si>
  <si>
    <t>Customer3129</t>
  </si>
  <si>
    <t>Customer3130</t>
  </si>
  <si>
    <t>Customer3131</t>
  </si>
  <si>
    <t>Customer3132</t>
  </si>
  <si>
    <t>Customer3133</t>
  </si>
  <si>
    <t>Customer3134</t>
  </si>
  <si>
    <t>Customer3135</t>
  </si>
  <si>
    <t>Customer3136</t>
  </si>
  <si>
    <t>Customer3137</t>
  </si>
  <si>
    <t>Customer3138</t>
  </si>
  <si>
    <t>Customer3139</t>
  </si>
  <si>
    <t>Customer3140</t>
  </si>
  <si>
    <t>Customer3141</t>
  </si>
  <si>
    <t>Customer3142</t>
  </si>
  <si>
    <t>Customer3143</t>
  </si>
  <si>
    <t>Customer3144</t>
  </si>
  <si>
    <t>Customer3145</t>
  </si>
  <si>
    <t>Customer3146</t>
  </si>
  <si>
    <t>Customer3147</t>
  </si>
  <si>
    <t>Customer3148</t>
  </si>
  <si>
    <t>Customer3149</t>
  </si>
  <si>
    <t>Customer3150</t>
  </si>
  <si>
    <t>Customer3151</t>
  </si>
  <si>
    <t>Customer3152</t>
  </si>
  <si>
    <t>Customer3153</t>
  </si>
  <si>
    <t>Customer3154</t>
  </si>
  <si>
    <t>Customer3155</t>
  </si>
  <si>
    <t>Customer3156</t>
  </si>
  <si>
    <t>Customer3157</t>
  </si>
  <si>
    <t>Customer3158</t>
  </si>
  <si>
    <t>Customer3159</t>
  </si>
  <si>
    <t>Customer3160</t>
  </si>
  <si>
    <t>Customer3161</t>
  </si>
  <si>
    <t>Customer3162</t>
  </si>
  <si>
    <t>Customer3163</t>
  </si>
  <si>
    <t>Customer3164</t>
  </si>
  <si>
    <t>Customer3165</t>
  </si>
  <si>
    <t>Customer3166</t>
  </si>
  <si>
    <t>Customer3167</t>
  </si>
  <si>
    <t>Customer3168</t>
  </si>
  <si>
    <t>Customer3169</t>
  </si>
  <si>
    <t>Customer3170</t>
  </si>
  <si>
    <t>Customer3171</t>
  </si>
  <si>
    <t>Customer3172</t>
  </si>
  <si>
    <t>Customer3173</t>
  </si>
  <si>
    <t>Customer3174</t>
  </si>
  <si>
    <t>Customer3175</t>
  </si>
  <si>
    <t>Customer3176</t>
  </si>
  <si>
    <t>Customer3177</t>
  </si>
  <si>
    <t>Customer3178</t>
  </si>
  <si>
    <t>Customer3179</t>
  </si>
  <si>
    <t>Customer3180</t>
  </si>
  <si>
    <t>Customer3181</t>
  </si>
  <si>
    <t>Customer3182</t>
  </si>
  <si>
    <t>Customer3183</t>
  </si>
  <si>
    <t>Customer3184</t>
  </si>
  <si>
    <t>Customer3185</t>
  </si>
  <si>
    <t>Customer3186</t>
  </si>
  <si>
    <t>Customer3187</t>
  </si>
  <si>
    <t>Customer3188</t>
  </si>
  <si>
    <t>Customer3189</t>
  </si>
  <si>
    <t>Customer3190</t>
  </si>
  <si>
    <t>Customer3191</t>
  </si>
  <si>
    <t>Customer3192</t>
  </si>
  <si>
    <t>Customer3193</t>
  </si>
  <si>
    <t>Customer3194</t>
  </si>
  <si>
    <t>Customer3195</t>
  </si>
  <si>
    <t>Customer3196</t>
  </si>
  <si>
    <t>Customer3197</t>
  </si>
  <si>
    <t>Customer3198</t>
  </si>
  <si>
    <t>Customer3199</t>
  </si>
  <si>
    <t>Customer3200</t>
  </si>
  <si>
    <t>Customer3201</t>
  </si>
  <si>
    <t>Customer3202</t>
  </si>
  <si>
    <t>Customer3203</t>
  </si>
  <si>
    <t>Customer3204</t>
  </si>
  <si>
    <t>Customer3205</t>
  </si>
  <si>
    <t>Customer3206</t>
  </si>
  <si>
    <t>Customer3207</t>
  </si>
  <si>
    <t>Customer3208</t>
  </si>
  <si>
    <t>Customer3209</t>
  </si>
  <si>
    <t>Customer3210</t>
  </si>
  <si>
    <t>Customer3211</t>
  </si>
  <si>
    <t>Customer3212</t>
  </si>
  <si>
    <t>Customer3213</t>
  </si>
  <si>
    <t>Customer3214</t>
  </si>
  <si>
    <t>Customer3215</t>
  </si>
  <si>
    <t>Customer3216</t>
  </si>
  <si>
    <t>Customer3217</t>
  </si>
  <si>
    <t>Customer3218</t>
  </si>
  <si>
    <t>Customer3219</t>
  </si>
  <si>
    <t>Customer3220</t>
  </si>
  <si>
    <t>Customer3221</t>
  </si>
  <si>
    <t>Customer3222</t>
  </si>
  <si>
    <t>Customer3223</t>
  </si>
  <si>
    <t>Customer3224</t>
  </si>
  <si>
    <t>Customer3225</t>
  </si>
  <si>
    <t>Customer3226</t>
  </si>
  <si>
    <t>Customer3227</t>
  </si>
  <si>
    <t>Customer3228</t>
  </si>
  <si>
    <t>Customer3229</t>
  </si>
  <si>
    <t>Customer3230</t>
  </si>
  <si>
    <t>Customer3231</t>
  </si>
  <si>
    <t>Customer3232</t>
  </si>
  <si>
    <t>Customer3233</t>
  </si>
  <si>
    <t>Customer3234</t>
  </si>
  <si>
    <t>Customer3235</t>
  </si>
  <si>
    <t>Customer3236</t>
  </si>
  <si>
    <t>Customer3237</t>
  </si>
  <si>
    <t>Customer3238</t>
  </si>
  <si>
    <t>Customer3239</t>
  </si>
  <si>
    <t>Customer3240</t>
  </si>
  <si>
    <t>Customer3241</t>
  </si>
  <si>
    <t>Customer3242</t>
  </si>
  <si>
    <t>Customer3243</t>
  </si>
  <si>
    <t>Customer3244</t>
  </si>
  <si>
    <t>Customer3245</t>
  </si>
  <si>
    <t>Customer3246</t>
  </si>
  <si>
    <t>Customer3247</t>
  </si>
  <si>
    <t>Customer3248</t>
  </si>
  <si>
    <t>Customer3249</t>
  </si>
  <si>
    <t>Customer3250</t>
  </si>
  <si>
    <t>Customer3251</t>
  </si>
  <si>
    <t>Customer3252</t>
  </si>
  <si>
    <t>Customer3253</t>
  </si>
  <si>
    <t>Customer3254</t>
  </si>
  <si>
    <t>Customer3255</t>
  </si>
  <si>
    <t>Customer3256</t>
  </si>
  <si>
    <t>Customer3257</t>
  </si>
  <si>
    <t>Customer3258</t>
  </si>
  <si>
    <t>Customer3259</t>
  </si>
  <si>
    <t>Customer3260</t>
  </si>
  <si>
    <t>Customer3261</t>
  </si>
  <si>
    <t>Customer3262</t>
  </si>
  <si>
    <t>Customer3263</t>
  </si>
  <si>
    <t>Customer3264</t>
  </si>
  <si>
    <t>Customer3265</t>
  </si>
  <si>
    <t>Customer3266</t>
  </si>
  <si>
    <t>Customer3267</t>
  </si>
  <si>
    <t>Customer3268</t>
  </si>
  <si>
    <t>Customer3269</t>
  </si>
  <si>
    <t>Customer3270</t>
  </si>
  <si>
    <t>Customer3271</t>
  </si>
  <si>
    <t>Customer3272</t>
  </si>
  <si>
    <t>Customer3273</t>
  </si>
  <si>
    <t>Customer3274</t>
  </si>
  <si>
    <t>Customer3275</t>
  </si>
  <si>
    <t>Customer3276</t>
  </si>
  <si>
    <t>Customer3277</t>
  </si>
  <si>
    <t>Customer3278</t>
  </si>
  <si>
    <t>Customer3279</t>
  </si>
  <si>
    <t>Customer3280</t>
  </si>
  <si>
    <t>Customer3281</t>
  </si>
  <si>
    <t>Customer3282</t>
  </si>
  <si>
    <t>Customer3283</t>
  </si>
  <si>
    <t>Customer3284</t>
  </si>
  <si>
    <t>Customer3285</t>
  </si>
  <si>
    <t>Customer3286</t>
  </si>
  <si>
    <t>Customer3287</t>
  </si>
  <si>
    <t>Customer3288</t>
  </si>
  <si>
    <t>Customer3289</t>
  </si>
  <si>
    <t>Customer3290</t>
  </si>
  <si>
    <t>Customer3291</t>
  </si>
  <si>
    <t>Customer3292</t>
  </si>
  <si>
    <t>Customer3293</t>
  </si>
  <si>
    <t>Customer3294</t>
  </si>
  <si>
    <t>Customer3295</t>
  </si>
  <si>
    <t>Customer3296</t>
  </si>
  <si>
    <t>Customer3297</t>
  </si>
  <si>
    <t>Customer3298</t>
  </si>
  <si>
    <t>Customer3299</t>
  </si>
  <si>
    <t>Customer3300</t>
  </si>
  <si>
    <t>Customer3301</t>
  </si>
  <si>
    <t>Customer3302</t>
  </si>
  <si>
    <t>Customer3303</t>
  </si>
  <si>
    <t>Customer3304</t>
  </si>
  <si>
    <t>Customer3305</t>
  </si>
  <si>
    <t>Customer3306</t>
  </si>
  <si>
    <t>Customer3307</t>
  </si>
  <si>
    <t>Customer3308</t>
  </si>
  <si>
    <t>Customer3309</t>
  </si>
  <si>
    <t>Customer3310</t>
  </si>
  <si>
    <t>Customer3311</t>
  </si>
  <si>
    <t>Customer3312</t>
  </si>
  <si>
    <t>Customer3313</t>
  </si>
  <si>
    <t>Customer3314</t>
  </si>
  <si>
    <t>Customer3315</t>
  </si>
  <si>
    <t>Customer3316</t>
  </si>
  <si>
    <t>Customer3317</t>
  </si>
  <si>
    <t>Customer3318</t>
  </si>
  <si>
    <t>Customer3319</t>
  </si>
  <si>
    <t>Customer3320</t>
  </si>
  <si>
    <t>Customer3321</t>
  </si>
  <si>
    <t>Customer3322</t>
  </si>
  <si>
    <t>Customer3323</t>
  </si>
  <si>
    <t>Customer3324</t>
  </si>
  <si>
    <t>Customer3325</t>
  </si>
  <si>
    <t>Customer3326</t>
  </si>
  <si>
    <t>Customer3327</t>
  </si>
  <si>
    <t>Customer3328</t>
  </si>
  <si>
    <t>Customer3329</t>
  </si>
  <si>
    <t>Customer3330</t>
  </si>
  <si>
    <t>Customer3331</t>
  </si>
  <si>
    <t>Customer3332</t>
  </si>
  <si>
    <t>Customer3333</t>
  </si>
  <si>
    <t>Customer3334</t>
  </si>
  <si>
    <t>Customer3335</t>
  </si>
  <si>
    <t>Customer3336</t>
  </si>
  <si>
    <t>Customer3337</t>
  </si>
  <si>
    <t>Customer3338</t>
  </si>
  <si>
    <t>Customer3339</t>
  </si>
  <si>
    <t>Customer3340</t>
  </si>
  <si>
    <t>Customer3341</t>
  </si>
  <si>
    <t>Customer3342</t>
  </si>
  <si>
    <t>Customer3343</t>
  </si>
  <si>
    <t>Customer3344</t>
  </si>
  <si>
    <t>Customer3345</t>
  </si>
  <si>
    <t>Customer3346</t>
  </si>
  <si>
    <t>Customer3347</t>
  </si>
  <si>
    <t>Customer3348</t>
  </si>
  <si>
    <t>Customer3349</t>
  </si>
  <si>
    <t>Customer3350</t>
  </si>
  <si>
    <t>Customer3351</t>
  </si>
  <si>
    <t>Customer3352</t>
  </si>
  <si>
    <t>Customer3353</t>
  </si>
  <si>
    <t>Customer3354</t>
  </si>
  <si>
    <t>Customer3355</t>
  </si>
  <si>
    <t>Customer3356</t>
  </si>
  <si>
    <t>Customer3357</t>
  </si>
  <si>
    <t>Customer3358</t>
  </si>
  <si>
    <t>Customer3359</t>
  </si>
  <si>
    <t>Customer3360</t>
  </si>
  <si>
    <t>Customer3361</t>
  </si>
  <si>
    <t>Customer3362</t>
  </si>
  <si>
    <t>Customer3363</t>
  </si>
  <si>
    <t>Customer3364</t>
  </si>
  <si>
    <t>Customer3365</t>
  </si>
  <si>
    <t>Customer3366</t>
  </si>
  <si>
    <t>Customer3367</t>
  </si>
  <si>
    <t>Customer3368</t>
  </si>
  <si>
    <t>Customer3369</t>
  </si>
  <si>
    <t>Customer3370</t>
  </si>
  <si>
    <t>Customer3371</t>
  </si>
  <si>
    <t>Customer3372</t>
  </si>
  <si>
    <t>Customer3373</t>
  </si>
  <si>
    <t>Customer3374</t>
  </si>
  <si>
    <t>Customer3375</t>
  </si>
  <si>
    <t>Customer3376</t>
  </si>
  <si>
    <t>Customer3377</t>
  </si>
  <si>
    <t>Customer3378</t>
  </si>
  <si>
    <t>Customer3379</t>
  </si>
  <si>
    <t>Customer3380</t>
  </si>
  <si>
    <t>Customer3381</t>
  </si>
  <si>
    <t>Customer3382</t>
  </si>
  <si>
    <t>Customer3383</t>
  </si>
  <si>
    <t>Customer3384</t>
  </si>
  <si>
    <t>Customer3385</t>
  </si>
  <si>
    <t>Customer3386</t>
  </si>
  <si>
    <t>Customer3387</t>
  </si>
  <si>
    <t>Customer3388</t>
  </si>
  <si>
    <t>Customer3389</t>
  </si>
  <si>
    <t>Customer3390</t>
  </si>
  <si>
    <t>Customer3391</t>
  </si>
  <si>
    <t>Customer3392</t>
  </si>
  <si>
    <t>Customer3393</t>
  </si>
  <si>
    <t>Customer3394</t>
  </si>
  <si>
    <t>Customer3395</t>
  </si>
  <si>
    <t>Customer3396</t>
  </si>
  <si>
    <t>Customer3397</t>
  </si>
  <si>
    <t>Customer3398</t>
  </si>
  <si>
    <t>Customer3399</t>
  </si>
  <si>
    <t>Customer3400</t>
  </si>
  <si>
    <t>Customer3401</t>
  </si>
  <si>
    <t>Customer3402</t>
  </si>
  <si>
    <t>Customer3403</t>
  </si>
  <si>
    <t>Customer3404</t>
  </si>
  <si>
    <t>Customer3405</t>
  </si>
  <si>
    <t>Customer3406</t>
  </si>
  <si>
    <t>Customer3407</t>
  </si>
  <si>
    <t>Customer3408</t>
  </si>
  <si>
    <t>Customer3409</t>
  </si>
  <si>
    <t>Customer3410</t>
  </si>
  <si>
    <t>Customer3411</t>
  </si>
  <si>
    <t>Customer3412</t>
  </si>
  <si>
    <t>Customer3413</t>
  </si>
  <si>
    <t>Customer3414</t>
  </si>
  <si>
    <t>Customer3415</t>
  </si>
  <si>
    <t>Customer3416</t>
  </si>
  <si>
    <t>Customer3417</t>
  </si>
  <si>
    <t>Customer3418</t>
  </si>
  <si>
    <t>Customer3419</t>
  </si>
  <si>
    <t>Customer3420</t>
  </si>
  <si>
    <t>Customer3421</t>
  </si>
  <si>
    <t>Customer3422</t>
  </si>
  <si>
    <t>Customer3423</t>
  </si>
  <si>
    <t>Customer3424</t>
  </si>
  <si>
    <t>Customer3425</t>
  </si>
  <si>
    <t>Customer3426</t>
  </si>
  <si>
    <t>Customer3427</t>
  </si>
  <si>
    <t>Customer3428</t>
  </si>
  <si>
    <t>Customer3429</t>
  </si>
  <si>
    <t>Customer3430</t>
  </si>
  <si>
    <t>Customer3431</t>
  </si>
  <si>
    <t>Customer3432</t>
  </si>
  <si>
    <t>Customer3433</t>
  </si>
  <si>
    <t>Customer3434</t>
  </si>
  <si>
    <t>Customer3435</t>
  </si>
  <si>
    <t>Customer3436</t>
  </si>
  <si>
    <t>Customer3437</t>
  </si>
  <si>
    <t>Customer3438</t>
  </si>
  <si>
    <t>Customer3439</t>
  </si>
  <si>
    <t>Customer3440</t>
  </si>
  <si>
    <t>Customer3441</t>
  </si>
  <si>
    <t>Customer3442</t>
  </si>
  <si>
    <t>Customer3443</t>
  </si>
  <si>
    <t>Customer3444</t>
  </si>
  <si>
    <t>Customer3445</t>
  </si>
  <si>
    <t>Customer3446</t>
  </si>
  <si>
    <t>Customer3447</t>
  </si>
  <si>
    <t>Customer3448</t>
  </si>
  <si>
    <t>Customer3449</t>
  </si>
  <si>
    <t>Customer3450</t>
  </si>
  <si>
    <t>Customer3451</t>
  </si>
  <si>
    <t>Customer3452</t>
  </si>
  <si>
    <t>Customer3453</t>
  </si>
  <si>
    <t>Customer3454</t>
  </si>
  <si>
    <t>Customer3455</t>
  </si>
  <si>
    <t>Customer3456</t>
  </si>
  <si>
    <t>Customer3457</t>
  </si>
  <si>
    <t>Customer3458</t>
  </si>
  <si>
    <t>Customer3459</t>
  </si>
  <si>
    <t>Customer3460</t>
  </si>
  <si>
    <t>Customer3461</t>
  </si>
  <si>
    <t>Customer3462</t>
  </si>
  <si>
    <t>Customer3463</t>
  </si>
  <si>
    <t>Customer3464</t>
  </si>
  <si>
    <t>Customer3465</t>
  </si>
  <si>
    <t>Customer3466</t>
  </si>
  <si>
    <t>Customer3467</t>
  </si>
  <si>
    <t>Customer3468</t>
  </si>
  <si>
    <t>Customer3469</t>
  </si>
  <si>
    <t>Customer3470</t>
  </si>
  <si>
    <t>Customer3471</t>
  </si>
  <si>
    <t>Customer3472</t>
  </si>
  <si>
    <t>Customer3473</t>
  </si>
  <si>
    <t>Customer3474</t>
  </si>
  <si>
    <t>Customer3475</t>
  </si>
  <si>
    <t>Customer3476</t>
  </si>
  <si>
    <t>Customer3477</t>
  </si>
  <si>
    <t>Customer3478</t>
  </si>
  <si>
    <t>Customer3479</t>
  </si>
  <si>
    <t>Customer3480</t>
  </si>
  <si>
    <t>Customer3481</t>
  </si>
  <si>
    <t>Customer3482</t>
  </si>
  <si>
    <t>Customer3483</t>
  </si>
  <si>
    <t>Customer3484</t>
  </si>
  <si>
    <t>Customer3485</t>
  </si>
  <si>
    <t>Customer3486</t>
  </si>
  <si>
    <t>Customer3487</t>
  </si>
  <si>
    <t>Customer3488</t>
  </si>
  <si>
    <t>Customer3489</t>
  </si>
  <si>
    <t>Customer3490</t>
  </si>
  <si>
    <t>Customer3491</t>
  </si>
  <si>
    <t>Customer3492</t>
  </si>
  <si>
    <t>Customer3493</t>
  </si>
  <si>
    <t>Customer3494</t>
  </si>
  <si>
    <t>Customer3495</t>
  </si>
  <si>
    <t>Customer3496</t>
  </si>
  <si>
    <t>Customer3497</t>
  </si>
  <si>
    <t>Customer3498</t>
  </si>
  <si>
    <t>Customer3499</t>
  </si>
  <si>
    <t>Customer3500</t>
  </si>
  <si>
    <t>Customer3501</t>
  </si>
  <si>
    <t>Customer3502</t>
  </si>
  <si>
    <t>Customer3503</t>
  </si>
  <si>
    <t>Customer3504</t>
  </si>
  <si>
    <t>Customer3505</t>
  </si>
  <si>
    <t>Customer3506</t>
  </si>
  <si>
    <t>Customer3507</t>
  </si>
  <si>
    <t>Customer3508</t>
  </si>
  <si>
    <t>Customer3509</t>
  </si>
  <si>
    <t>Customer3510</t>
  </si>
  <si>
    <t>Customer3511</t>
  </si>
  <si>
    <t>Customer3512</t>
  </si>
  <si>
    <t>Customer3513</t>
  </si>
  <si>
    <t>Customer3514</t>
  </si>
  <si>
    <t>Customer3515</t>
  </si>
  <si>
    <t>Customer3516</t>
  </si>
  <si>
    <t>Customer3517</t>
  </si>
  <si>
    <t>Customer3518</t>
  </si>
  <si>
    <t>Customer3519</t>
  </si>
  <si>
    <t>Customer3520</t>
  </si>
  <si>
    <t>Customer3521</t>
  </si>
  <si>
    <t>Customer3522</t>
  </si>
  <si>
    <t>Customer3523</t>
  </si>
  <si>
    <t>Customer3524</t>
  </si>
  <si>
    <t>Customer3525</t>
  </si>
  <si>
    <t>Customer3526</t>
  </si>
  <si>
    <t>Customer3527</t>
  </si>
  <si>
    <t>Customer3528</t>
  </si>
  <si>
    <t>Customer3529</t>
  </si>
  <si>
    <t>Customer3530</t>
  </si>
  <si>
    <t>Customer3531</t>
  </si>
  <si>
    <t>Customer3532</t>
  </si>
  <si>
    <t>Customer3533</t>
  </si>
  <si>
    <t>Customer3534</t>
  </si>
  <si>
    <t>Customer3535</t>
  </si>
  <si>
    <t>Customer3536</t>
  </si>
  <si>
    <t>Customer3537</t>
  </si>
  <si>
    <t>Customer3538</t>
  </si>
  <si>
    <t>Customer3539</t>
  </si>
  <si>
    <t>Customer3540</t>
  </si>
  <si>
    <t>Customer3541</t>
  </si>
  <si>
    <t>Customer3542</t>
  </si>
  <si>
    <t>Customer3543</t>
  </si>
  <si>
    <t>Customer3544</t>
  </si>
  <si>
    <t>Customer3545</t>
  </si>
  <si>
    <t>Customer3546</t>
  </si>
  <si>
    <t>Customer3547</t>
  </si>
  <si>
    <t>Customer3548</t>
  </si>
  <si>
    <t>Customer3549</t>
  </si>
  <si>
    <t>Customer3550</t>
  </si>
  <si>
    <t>Customer3551</t>
  </si>
  <si>
    <t>Customer3552</t>
  </si>
  <si>
    <t>Customer3553</t>
  </si>
  <si>
    <t>Customer3554</t>
  </si>
  <si>
    <t>Customer3555</t>
  </si>
  <si>
    <t>Customer3556</t>
  </si>
  <si>
    <t>Customer3557</t>
  </si>
  <si>
    <t>Customer3558</t>
  </si>
  <si>
    <t>Customer3559</t>
  </si>
  <si>
    <t>Customer3560</t>
  </si>
  <si>
    <t>Customer3561</t>
  </si>
  <si>
    <t>Customer3562</t>
  </si>
  <si>
    <t>Customer3563</t>
  </si>
  <si>
    <t>Customer3564</t>
  </si>
  <si>
    <t>Customer3565</t>
  </si>
  <si>
    <t>Customer3566</t>
  </si>
  <si>
    <t>Customer3567</t>
  </si>
  <si>
    <t>Customer3568</t>
  </si>
  <si>
    <t>Customer3569</t>
  </si>
  <si>
    <t>Customer3570</t>
  </si>
  <si>
    <t>Customer3571</t>
  </si>
  <si>
    <t>Customer3572</t>
  </si>
  <si>
    <t>Customer3573</t>
  </si>
  <si>
    <t>Customer3574</t>
  </si>
  <si>
    <t>Customer3575</t>
  </si>
  <si>
    <t>Customer3576</t>
  </si>
  <si>
    <t>Customer3577</t>
  </si>
  <si>
    <t>Customer3578</t>
  </si>
  <si>
    <t>Customer3579</t>
  </si>
  <si>
    <t>Customer3580</t>
  </si>
  <si>
    <t>Customer3581</t>
  </si>
  <si>
    <t>Customer3582</t>
  </si>
  <si>
    <t>Customer3583</t>
  </si>
  <si>
    <t>Customer3584</t>
  </si>
  <si>
    <t>Customer3585</t>
  </si>
  <si>
    <t>Customer3586</t>
  </si>
  <si>
    <t>Customer3587</t>
  </si>
  <si>
    <t>Orders Total</t>
  </si>
  <si>
    <t xml:space="preserve">LTL Cartons </t>
  </si>
  <si>
    <t>Cartons Total</t>
  </si>
  <si>
    <t>Cases Total</t>
  </si>
  <si>
    <t>Lines Total</t>
  </si>
  <si>
    <t>Eaches Total</t>
  </si>
  <si>
    <t>LTL Eaches (Including  Amazon)</t>
  </si>
  <si>
    <t>Acct#</t>
  </si>
  <si>
    <t>Work Definition</t>
  </si>
  <si>
    <t>Time with Minutes as % of Hr</t>
  </si>
  <si>
    <t>Janitorial</t>
  </si>
  <si>
    <t>Supervisory</t>
  </si>
  <si>
    <t>Warehouse Training</t>
  </si>
  <si>
    <t>BT Local Driver</t>
  </si>
  <si>
    <t>Truck Receipt</t>
  </si>
  <si>
    <t>Truck Ship</t>
  </si>
  <si>
    <t>Order Checking</t>
  </si>
  <si>
    <t>Regular Pick</t>
  </si>
  <si>
    <t>Special Request</t>
  </si>
  <si>
    <t>Stocking</t>
  </si>
  <si>
    <t>Other Warehouse</t>
  </si>
  <si>
    <t>Shedrain Pulling eaches</t>
  </si>
  <si>
    <t>Shedrain Target hourly</t>
  </si>
  <si>
    <t>Returns</t>
  </si>
  <si>
    <t>PPG Aerospace Special Request</t>
  </si>
  <si>
    <t>Smartpak Picking</t>
  </si>
  <si>
    <t>Smartpak SM PKG Receipt</t>
  </si>
  <si>
    <t>Smartpak TL Receipt</t>
  </si>
  <si>
    <t>CLERICAL BREAKS</t>
  </si>
  <si>
    <t>CLERICAL PTO</t>
  </si>
  <si>
    <t>CLERICAL REGULAR C.S.</t>
  </si>
  <si>
    <t>CLERICAL TRAINING</t>
  </si>
  <si>
    <t>CLERICAL BILLING</t>
  </si>
  <si>
    <t>CLERICAL EXTRA CLERICAL</t>
  </si>
  <si>
    <t>CLERICAL PHYSICAL INVENTORY</t>
  </si>
  <si>
    <t xml:space="preserve">Hours Inbound and Return </t>
  </si>
  <si>
    <t>Hours Outbound</t>
  </si>
  <si>
    <t>Hours EL</t>
  </si>
  <si>
    <t>CLR Hours</t>
  </si>
  <si>
    <t>Hours Inbound</t>
  </si>
  <si>
    <t xml:space="preserve">Swooc </t>
  </si>
  <si>
    <t xml:space="preserve">MCR </t>
  </si>
  <si>
    <t xml:space="preserve">Calla </t>
  </si>
  <si>
    <t xml:space="preserve">Allen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</si>
</sst>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0"/>
    <numFmt numFmtId="165" formatCode="&quot;$&quot;#,##0.00"/>
    <numFmt numFmtId="166" formatCode="m/d;@"/>
  </numFmts>
  <fonts count="1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sz val="18"/>
      <color theme="1"/>
      <name val="Arial"/>
      <family val="2"/>
    </font>
    <font>
      <b/>
      <sz val="18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4EEC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E6CDFF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219">
    <xf numFmtId="0" fontId="0" fillId="0" borderId="0" xfId="0"/>
    <xf numFmtId="0" fontId="3" fillId="0" borderId="4" xfId="0" applyFont="1" applyBorder="1" applyAlignment="1">
      <alignment horizontal="center" wrapText="1"/>
    </xf>
    <xf numFmtId="165" fontId="4" fillId="0" borderId="4" xfId="0" applyNumberFormat="1" applyFont="1" applyBorder="1" applyAlignment="1">
      <alignment horizontal="center" wrapText="1"/>
    </xf>
    <xf numFmtId="165" fontId="4" fillId="0" borderId="6" xfId="0" applyNumberFormat="1" applyFont="1" applyBorder="1" applyAlignment="1">
      <alignment horizontal="center" wrapText="1"/>
    </xf>
    <xf numFmtId="2" fontId="4" fillId="0" borderId="7" xfId="0" applyNumberFormat="1" applyFont="1" applyBorder="1" applyAlignment="1">
      <alignment horizontal="center" wrapText="1"/>
    </xf>
    <xf numFmtId="165" fontId="4" fillId="0" borderId="8" xfId="0" applyNumberFormat="1" applyFont="1" applyBorder="1" applyAlignment="1">
      <alignment horizontal="center" wrapText="1"/>
    </xf>
    <xf numFmtId="165" fontId="4" fillId="0" borderId="7" xfId="0" applyNumberFormat="1" applyFont="1" applyBorder="1" applyAlignment="1">
      <alignment horizontal="center" wrapText="1"/>
    </xf>
    <xf numFmtId="165" fontId="4" fillId="0" borderId="5" xfId="0" applyNumberFormat="1" applyFont="1" applyBorder="1" applyAlignment="1">
      <alignment horizontal="center" wrapText="1"/>
    </xf>
    <xf numFmtId="166" fontId="5" fillId="2" borderId="9" xfId="0" applyNumberFormat="1" applyFont="1" applyFill="1" applyBorder="1" applyAlignment="1">
      <alignment horizontal="center"/>
    </xf>
    <xf numFmtId="165" fontId="4" fillId="3" borderId="13" xfId="0" applyNumberFormat="1" applyFont="1" applyFill="1" applyBorder="1"/>
    <xf numFmtId="165" fontId="4" fillId="3" borderId="12" xfId="0" applyNumberFormat="1" applyFont="1" applyFill="1" applyBorder="1"/>
    <xf numFmtId="2" fontId="4" fillId="3" borderId="14" xfId="0" applyNumberFormat="1" applyFont="1" applyFill="1" applyBorder="1"/>
    <xf numFmtId="165" fontId="4" fillId="4" borderId="15" xfId="0" applyNumberFormat="1" applyFont="1" applyFill="1" applyBorder="1"/>
    <xf numFmtId="165" fontId="4" fillId="3" borderId="14" xfId="0" applyNumberFormat="1" applyFont="1" applyFill="1" applyBorder="1"/>
    <xf numFmtId="165" fontId="4" fillId="4" borderId="14" xfId="0" applyNumberFormat="1" applyFont="1" applyFill="1" applyBorder="1"/>
    <xf numFmtId="165" fontId="4" fillId="4" borderId="11" xfId="0" applyNumberFormat="1" applyFont="1" applyFill="1" applyBorder="1"/>
    <xf numFmtId="165" fontId="4" fillId="3" borderId="9" xfId="0" applyNumberFormat="1" applyFont="1" applyFill="1" applyBorder="1"/>
    <xf numFmtId="2" fontId="4" fillId="3" borderId="21" xfId="0" applyNumberFormat="1" applyFont="1" applyFill="1" applyBorder="1"/>
    <xf numFmtId="165" fontId="4" fillId="4" borderId="22" xfId="0" applyNumberFormat="1" applyFont="1" applyFill="1" applyBorder="1"/>
    <xf numFmtId="165" fontId="4" fillId="3" borderId="21" xfId="0" applyNumberFormat="1" applyFont="1" applyFill="1" applyBorder="1"/>
    <xf numFmtId="165" fontId="4" fillId="4" borderId="21" xfId="0" applyNumberFormat="1" applyFont="1" applyFill="1" applyBorder="1"/>
    <xf numFmtId="165" fontId="4" fillId="4" borderId="19" xfId="0" applyNumberFormat="1" applyFont="1" applyFill="1" applyBorder="1"/>
    <xf numFmtId="3" fontId="3" fillId="8" borderId="19" xfId="0" applyNumberFormat="1" applyFont="1" applyFill="1" applyBorder="1"/>
    <xf numFmtId="3" fontId="3" fillId="8" borderId="20" xfId="0" applyNumberFormat="1" applyFont="1" applyFill="1" applyBorder="1"/>
    <xf numFmtId="165" fontId="3" fillId="8" borderId="9" xfId="0" applyNumberFormat="1" applyFont="1" applyFill="1" applyBorder="1"/>
    <xf numFmtId="165" fontId="3" fillId="8" borderId="20" xfId="0" applyNumberFormat="1" applyFont="1" applyFill="1" applyBorder="1"/>
    <xf numFmtId="4" fontId="3" fillId="8" borderId="20" xfId="0" applyNumberFormat="1" applyFont="1" applyFill="1" applyBorder="1"/>
    <xf numFmtId="165" fontId="3" fillId="6" borderId="22" xfId="0" applyNumberFormat="1" applyFont="1" applyFill="1" applyBorder="1"/>
    <xf numFmtId="165" fontId="3" fillId="8" borderId="21" xfId="0" applyNumberFormat="1" applyFont="1" applyFill="1" applyBorder="1"/>
    <xf numFmtId="165" fontId="3" fillId="6" borderId="21" xfId="0" applyNumberFormat="1" applyFont="1" applyFill="1" applyBorder="1"/>
    <xf numFmtId="2" fontId="3" fillId="8" borderId="21" xfId="0" applyNumberFormat="1" applyFont="1" applyFill="1" applyBorder="1"/>
    <xf numFmtId="165" fontId="3" fillId="6" borderId="19" xfId="0" applyNumberFormat="1" applyFont="1" applyFill="1" applyBorder="1"/>
    <xf numFmtId="165" fontId="5" fillId="3" borderId="9" xfId="0" applyNumberFormat="1" applyFont="1" applyFill="1" applyBorder="1"/>
    <xf numFmtId="165" fontId="5" fillId="3" borderId="21" xfId="0" applyNumberFormat="1" applyFont="1" applyFill="1" applyBorder="1"/>
    <xf numFmtId="165" fontId="3" fillId="8" borderId="23" xfId="0" applyNumberFormat="1" applyFont="1" applyFill="1" applyBorder="1"/>
    <xf numFmtId="165" fontId="3" fillId="8" borderId="25" xfId="0" applyNumberFormat="1" applyFont="1" applyFill="1" applyBorder="1"/>
    <xf numFmtId="2" fontId="3" fillId="8" borderId="26" xfId="0" applyNumberFormat="1" applyFont="1" applyFill="1" applyBorder="1"/>
    <xf numFmtId="165" fontId="3" fillId="6" borderId="27" xfId="0" applyNumberFormat="1" applyFont="1" applyFill="1" applyBorder="1"/>
    <xf numFmtId="165" fontId="3" fillId="8" borderId="26" xfId="0" applyNumberFormat="1" applyFont="1" applyFill="1" applyBorder="1"/>
    <xf numFmtId="2" fontId="3" fillId="8" borderId="25" xfId="0" applyNumberFormat="1" applyFont="1" applyFill="1" applyBorder="1"/>
    <xf numFmtId="165" fontId="3" fillId="6" borderId="24" xfId="0" applyNumberFormat="1" applyFont="1" applyFill="1" applyBorder="1"/>
    <xf numFmtId="0" fontId="4" fillId="0" borderId="0" xfId="0" applyFont="1"/>
    <xf numFmtId="3" fontId="4" fillId="0" borderId="0" xfId="0" applyNumberFormat="1" applyFont="1"/>
    <xf numFmtId="165" fontId="4" fillId="0" borderId="0" xfId="0" applyNumberFormat="1" applyFont="1"/>
    <xf numFmtId="2" fontId="4" fillId="0" borderId="0" xfId="0" applyNumberFormat="1" applyFont="1"/>
    <xf numFmtId="0" fontId="3" fillId="7" borderId="28" xfId="0" applyFont="1" applyFill="1" applyBorder="1" applyAlignment="1">
      <alignment horizontal="center"/>
    </xf>
    <xf numFmtId="3" fontId="3" fillId="11" borderId="6" xfId="0" applyNumberFormat="1" applyFont="1" applyFill="1" applyBorder="1"/>
    <xf numFmtId="165" fontId="3" fillId="11" borderId="4" xfId="0" applyNumberFormat="1" applyFont="1" applyFill="1" applyBorder="1"/>
    <xf numFmtId="165" fontId="3" fillId="11" borderId="6" xfId="0" applyNumberFormat="1" applyFont="1" applyFill="1" applyBorder="1"/>
    <xf numFmtId="2" fontId="3" fillId="11" borderId="7" xfId="0" applyNumberFormat="1" applyFont="1" applyFill="1" applyBorder="1"/>
    <xf numFmtId="165" fontId="3" fillId="10" borderId="8" xfId="0" applyNumberFormat="1" applyFont="1" applyFill="1" applyBorder="1"/>
    <xf numFmtId="165" fontId="3" fillId="11" borderId="7" xfId="0" applyNumberFormat="1" applyFont="1" applyFill="1" applyBorder="1"/>
    <xf numFmtId="165" fontId="3" fillId="10" borderId="7" xfId="0" applyNumberFormat="1" applyFont="1" applyFill="1" applyBorder="1"/>
    <xf numFmtId="2" fontId="3" fillId="11" borderId="6" xfId="0" applyNumberFormat="1" applyFont="1" applyFill="1" applyBorder="1"/>
    <xf numFmtId="165" fontId="3" fillId="10" borderId="5" xfId="0" applyNumberFormat="1" applyFont="1" applyFill="1" applyBorder="1"/>
    <xf numFmtId="3" fontId="3" fillId="11" borderId="7" xfId="0" applyNumberFormat="1" applyFont="1" applyFill="1" applyBorder="1"/>
    <xf numFmtId="0" fontId="7" fillId="0" borderId="0" xfId="0" applyFont="1"/>
    <xf numFmtId="0" fontId="8" fillId="0" borderId="0" xfId="0" applyFont="1"/>
    <xf numFmtId="164" fontId="8" fillId="0" borderId="0" xfId="0" applyNumberFormat="1" applyFont="1"/>
    <xf numFmtId="0" fontId="9" fillId="0" borderId="0" xfId="0" applyFont="1"/>
    <xf numFmtId="3" fontId="4" fillId="0" borderId="7" xfId="0" applyNumberFormat="1" applyFont="1" applyBorder="1" applyAlignment="1">
      <alignment horizontal="center" wrapText="1"/>
    </xf>
    <xf numFmtId="10" fontId="7" fillId="0" borderId="0" xfId="0" applyNumberFormat="1" applyFont="1"/>
    <xf numFmtId="10" fontId="7" fillId="0" borderId="0" xfId="1" applyNumberFormat="1" applyFont="1"/>
    <xf numFmtId="165" fontId="9" fillId="5" borderId="16" xfId="0" applyNumberFormat="1" applyFont="1" applyFill="1" applyBorder="1"/>
    <xf numFmtId="2" fontId="9" fillId="5" borderId="17" xfId="0" applyNumberFormat="1" applyFont="1" applyFill="1" applyBorder="1"/>
    <xf numFmtId="165" fontId="9" fillId="6" borderId="18" xfId="0" applyNumberFormat="1" applyFont="1" applyFill="1" applyBorder="1"/>
    <xf numFmtId="165" fontId="9" fillId="5" borderId="9" xfId="0" applyNumberFormat="1" applyFont="1" applyFill="1" applyBorder="1"/>
    <xf numFmtId="2" fontId="9" fillId="5" borderId="21" xfId="0" applyNumberFormat="1" applyFont="1" applyFill="1" applyBorder="1"/>
    <xf numFmtId="165" fontId="9" fillId="6" borderId="19" xfId="0" applyNumberFormat="1" applyFont="1" applyFill="1" applyBorder="1"/>
    <xf numFmtId="165" fontId="9" fillId="9" borderId="9" xfId="0" applyNumberFormat="1" applyFont="1" applyFill="1" applyBorder="1"/>
    <xf numFmtId="2" fontId="9" fillId="9" borderId="21" xfId="0" applyNumberFormat="1" applyFont="1" applyFill="1" applyBorder="1"/>
    <xf numFmtId="165" fontId="9" fillId="10" borderId="19" xfId="0" applyNumberFormat="1" applyFont="1" applyFill="1" applyBorder="1"/>
    <xf numFmtId="3" fontId="3" fillId="8" borderId="30" xfId="0" applyNumberFormat="1" applyFont="1" applyFill="1" applyBorder="1"/>
    <xf numFmtId="3" fontId="3" fillId="8" borderId="31" xfId="0" applyNumberFormat="1" applyFont="1" applyFill="1" applyBorder="1"/>
    <xf numFmtId="2" fontId="9" fillId="9" borderId="26" xfId="0" applyNumberFormat="1" applyFont="1" applyFill="1" applyBorder="1"/>
    <xf numFmtId="165" fontId="9" fillId="10" borderId="24" xfId="0" applyNumberFormat="1" applyFont="1" applyFill="1" applyBorder="1"/>
    <xf numFmtId="3" fontId="3" fillId="11" borderId="3" xfId="0" applyNumberFormat="1" applyFont="1" applyFill="1" applyBorder="1"/>
    <xf numFmtId="2" fontId="4" fillId="12" borderId="6" xfId="0" applyNumberFormat="1" applyFont="1" applyFill="1" applyBorder="1" applyAlignment="1">
      <alignment horizontal="center" wrapText="1"/>
    </xf>
    <xf numFmtId="3" fontId="4" fillId="12" borderId="6" xfId="0" applyNumberFormat="1" applyFont="1" applyFill="1" applyBorder="1" applyAlignment="1">
      <alignment horizontal="center" wrapText="1"/>
    </xf>
    <xf numFmtId="3" fontId="4" fillId="12" borderId="7" xfId="0" applyNumberFormat="1" applyFont="1" applyFill="1" applyBorder="1" applyAlignment="1">
      <alignment horizontal="center" wrapText="1"/>
    </xf>
    <xf numFmtId="3" fontId="4" fillId="12" borderId="3" xfId="0" applyNumberFormat="1" applyFont="1" applyFill="1" applyBorder="1" applyAlignment="1">
      <alignment horizontal="center" wrapText="1"/>
    </xf>
    <xf numFmtId="2" fontId="4" fillId="12" borderId="7" xfId="0" applyNumberFormat="1" applyFont="1" applyFill="1" applyBorder="1" applyAlignment="1">
      <alignment horizontal="center" wrapText="1"/>
    </xf>
    <xf numFmtId="165" fontId="3" fillId="8" borderId="30" xfId="0" applyNumberFormat="1" applyFont="1" applyFill="1" applyBorder="1"/>
    <xf numFmtId="165" fontId="9" fillId="5" borderId="20" xfId="0" applyNumberFormat="1" applyFont="1" applyFill="1" applyBorder="1"/>
    <xf numFmtId="165" fontId="9" fillId="9" borderId="20" xfId="0" applyNumberFormat="1" applyFont="1" applyFill="1" applyBorder="1"/>
    <xf numFmtId="165" fontId="9" fillId="9" borderId="25" xfId="0" applyNumberFormat="1" applyFont="1" applyFill="1" applyBorder="1"/>
    <xf numFmtId="4" fontId="3" fillId="8" borderId="9" xfId="0" applyNumberFormat="1" applyFont="1" applyFill="1" applyBorder="1"/>
    <xf numFmtId="4" fontId="3" fillId="8" borderId="29" xfId="0" applyNumberFormat="1" applyFont="1" applyFill="1" applyBorder="1"/>
    <xf numFmtId="2" fontId="3" fillId="8" borderId="23" xfId="0" applyNumberFormat="1" applyFont="1" applyFill="1" applyBorder="1"/>
    <xf numFmtId="2" fontId="3" fillId="8" borderId="24" xfId="0" applyNumberFormat="1" applyFont="1" applyFill="1" applyBorder="1"/>
    <xf numFmtId="165" fontId="4" fillId="4" borderId="29" xfId="0" applyNumberFormat="1" applyFont="1" applyFill="1" applyBorder="1"/>
    <xf numFmtId="165" fontId="3" fillId="6" borderId="29" xfId="0" applyNumberFormat="1" applyFont="1" applyFill="1" applyBorder="1"/>
    <xf numFmtId="165" fontId="3" fillId="6" borderId="33" xfId="0" applyNumberFormat="1" applyFont="1" applyFill="1" applyBorder="1"/>
    <xf numFmtId="165" fontId="4" fillId="0" borderId="34" xfId="0" applyNumberFormat="1" applyFont="1" applyBorder="1"/>
    <xf numFmtId="2" fontId="4" fillId="0" borderId="34" xfId="0" applyNumberFormat="1" applyFont="1" applyBorder="1"/>
    <xf numFmtId="166" fontId="3" fillId="7" borderId="9" xfId="0" applyNumberFormat="1" applyFont="1" applyFill="1" applyBorder="1" applyAlignment="1">
      <alignment horizontal="center"/>
    </xf>
    <xf numFmtId="166" fontId="3" fillId="7" borderId="23" xfId="0" applyNumberFormat="1" applyFont="1" applyFill="1" applyBorder="1" applyAlignment="1">
      <alignment horizontal="center"/>
    </xf>
    <xf numFmtId="0" fontId="12" fillId="0" borderId="32" xfId="0" applyFont="1" applyBorder="1"/>
    <xf numFmtId="0" fontId="11" fillId="13" borderId="21" xfId="0" applyFont="1" applyFill="1" applyBorder="1" applyAlignment="1">
      <alignment horizontal="right"/>
    </xf>
    <xf numFmtId="0" fontId="12" fillId="0" borderId="22" xfId="0" applyFont="1" applyBorder="1"/>
    <xf numFmtId="0" fontId="9" fillId="0" borderId="20" xfId="0" applyFont="1" applyBorder="1"/>
    <xf numFmtId="165" fontId="9" fillId="9" borderId="23" xfId="0" applyNumberFormat="1" applyFont="1" applyFill="1" applyBorder="1"/>
    <xf numFmtId="165" fontId="3" fillId="6" borderId="26" xfId="0" applyNumberFormat="1" applyFont="1" applyFill="1" applyBorder="1"/>
    <xf numFmtId="3" fontId="3" fillId="8" borderId="25" xfId="0" applyNumberFormat="1" applyFont="1" applyFill="1" applyBorder="1"/>
    <xf numFmtId="3" fontId="3" fillId="8" borderId="24" xfId="0" applyNumberFormat="1" applyFont="1" applyFill="1" applyBorder="1"/>
    <xf numFmtId="2" fontId="4" fillId="13" borderId="6" xfId="0" applyNumberFormat="1" applyFont="1" applyFill="1" applyBorder="1" applyAlignment="1">
      <alignment horizontal="center" wrapText="1"/>
    </xf>
    <xf numFmtId="2" fontId="4" fillId="13" borderId="7" xfId="0" applyNumberFormat="1" applyFont="1" applyFill="1" applyBorder="1" applyAlignment="1">
      <alignment horizontal="center" wrapText="1"/>
    </xf>
    <xf numFmtId="3" fontId="4" fillId="0" borderId="3" xfId="0" applyNumberFormat="1" applyFont="1" applyBorder="1" applyAlignment="1">
      <alignment horizontal="center" wrapText="1"/>
    </xf>
    <xf numFmtId="3" fontId="4" fillId="0" borderId="6" xfId="0" applyNumberFormat="1" applyFont="1" applyBorder="1" applyAlignment="1">
      <alignment horizontal="center" wrapText="1"/>
    </xf>
    <xf numFmtId="3" fontId="4" fillId="13" borderId="3" xfId="0" applyNumberFormat="1" applyFont="1" applyFill="1" applyBorder="1" applyAlignment="1">
      <alignment horizontal="center" wrapText="1"/>
    </xf>
    <xf numFmtId="3" fontId="4" fillId="13" borderId="6" xfId="0" applyNumberFormat="1" applyFont="1" applyFill="1" applyBorder="1" applyAlignment="1">
      <alignment horizontal="center" wrapText="1"/>
    </xf>
    <xf numFmtId="0" fontId="1" fillId="0" borderId="0" xfId="0" applyFont="1"/>
    <xf numFmtId="164" fontId="1" fillId="0" borderId="0" xfId="0" applyNumberFormat="1" applyFont="1"/>
    <xf numFmtId="164" fontId="9" fillId="0" borderId="0" xfId="0" applyNumberFormat="1" applyFont="1"/>
    <xf numFmtId="0" fontId="13" fillId="0" borderId="0" xfId="0" applyFont="1" applyAlignment="1">
      <alignment horizontal="center"/>
    </xf>
    <xf numFmtId="164" fontId="9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0" fontId="14" fillId="0" borderId="0" xfId="0" applyFont="1"/>
    <xf numFmtId="0" fontId="14" fillId="0" borderId="32" xfId="0" applyFont="1" applyBorder="1"/>
    <xf numFmtId="2" fontId="4" fillId="14" borderId="21" xfId="0" applyNumberFormat="1" applyFont="1" applyFill="1" applyBorder="1"/>
    <xf numFmtId="2" fontId="4" fillId="14" borderId="12" xfId="0" applyNumberFormat="1" applyFont="1" applyFill="1" applyBorder="1"/>
    <xf numFmtId="2" fontId="4" fillId="14" borderId="20" xfId="0" applyNumberFormat="1" applyFont="1" applyFill="1" applyBorder="1"/>
    <xf numFmtId="3" fontId="4" fillId="14" borderId="14" xfId="0" applyNumberFormat="1" applyFont="1" applyFill="1" applyBorder="1"/>
    <xf numFmtId="3" fontId="4" fillId="14" borderId="21" xfId="0" applyNumberFormat="1" applyFont="1" applyFill="1" applyBorder="1"/>
    <xf numFmtId="4" fontId="4" fillId="14" borderId="14" xfId="0" applyNumberFormat="1" applyFont="1" applyFill="1" applyBorder="1"/>
    <xf numFmtId="4" fontId="4" fillId="14" borderId="21" xfId="0" applyNumberFormat="1" applyFont="1" applyFill="1" applyBorder="1"/>
    <xf numFmtId="2" fontId="4" fillId="14" borderId="9" xfId="0" applyNumberFormat="1" applyFont="1" applyFill="1" applyBorder="1"/>
    <xf numFmtId="2" fontId="4" fillId="14" borderId="10" xfId="0" applyNumberFormat="1" applyFont="1" applyFill="1" applyBorder="1"/>
    <xf numFmtId="4" fontId="4" fillId="14" borderId="29" xfId="0" applyNumberFormat="1" applyFont="1" applyFill="1" applyBorder="1"/>
    <xf numFmtId="4" fontId="4" fillId="14" borderId="20" xfId="0" applyNumberFormat="1" applyFont="1" applyFill="1" applyBorder="1"/>
    <xf numFmtId="2" fontId="4" fillId="14" borderId="19" xfId="0" applyNumberFormat="1" applyFont="1" applyFill="1" applyBorder="1"/>
    <xf numFmtId="2" fontId="4" fillId="14" borderId="29" xfId="0" applyNumberFormat="1" applyFont="1" applyFill="1" applyBorder="1"/>
    <xf numFmtId="4" fontId="4" fillId="14" borderId="9" xfId="0" applyNumberFormat="1" applyFont="1" applyFill="1" applyBorder="1"/>
    <xf numFmtId="2" fontId="9" fillId="5" borderId="14" xfId="0" applyNumberFormat="1" applyFont="1" applyFill="1" applyBorder="1"/>
    <xf numFmtId="164" fontId="1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0" fontId="15" fillId="0" borderId="0" xfId="0" applyFont="1"/>
    <xf numFmtId="0" fontId="15" fillId="0" borderId="0" xfId="0" applyFont="1" applyAlignment="1">
      <alignment horizontal="right"/>
    </xf>
    <xf numFmtId="9" fontId="7" fillId="0" borderId="0" xfId="1" applyFont="1" applyAlignment="1">
      <alignment horizontal="right"/>
    </xf>
    <xf numFmtId="0" fontId="7" fillId="0" borderId="0" xfId="0" applyFont="1" applyAlignment="1">
      <alignment horizontal="center"/>
    </xf>
    <xf numFmtId="9" fontId="7" fillId="0" borderId="0" xfId="1" applyFont="1"/>
    <xf numFmtId="165" fontId="9" fillId="5" borderId="13" xfId="0" applyNumberFormat="1" applyFont="1" applyFill="1" applyBorder="1"/>
    <xf numFmtId="165" fontId="9" fillId="9" borderId="21" xfId="0" applyNumberFormat="1" applyFont="1" applyFill="1" applyBorder="1"/>
    <xf numFmtId="3" fontId="4" fillId="14" borderId="12" xfId="0" applyNumberFormat="1" applyFont="1" applyFill="1" applyBorder="1"/>
    <xf numFmtId="3" fontId="4" fillId="14" borderId="20" xfId="0" applyNumberFormat="1" applyFont="1" applyFill="1" applyBorder="1"/>
    <xf numFmtId="3" fontId="4" fillId="14" borderId="19" xfId="0" applyNumberFormat="1" applyFont="1" applyFill="1" applyBorder="1"/>
    <xf numFmtId="3" fontId="4" fillId="14" borderId="11" xfId="0" applyNumberFormat="1" applyFont="1" applyFill="1" applyBorder="1"/>
    <xf numFmtId="3" fontId="4" fillId="13" borderId="7" xfId="0" applyNumberFormat="1" applyFont="1" applyFill="1" applyBorder="1" applyAlignment="1">
      <alignment horizontal="center" wrapText="1"/>
    </xf>
    <xf numFmtId="3" fontId="3" fillId="8" borderId="21" xfId="0" applyNumberFormat="1" applyFont="1" applyFill="1" applyBorder="1"/>
    <xf numFmtId="3" fontId="3" fillId="8" borderId="26" xfId="0" applyNumberFormat="1" applyFont="1" applyFill="1" applyBorder="1"/>
    <xf numFmtId="3" fontId="4" fillId="14" borderId="9" xfId="0" applyNumberFormat="1" applyFont="1" applyFill="1" applyBorder="1"/>
    <xf numFmtId="3" fontId="3" fillId="8" borderId="9" xfId="0" applyNumberFormat="1" applyFont="1" applyFill="1" applyBorder="1"/>
    <xf numFmtId="3" fontId="3" fillId="8" borderId="23" xfId="0" applyNumberFormat="1" applyFont="1" applyFill="1" applyBorder="1"/>
    <xf numFmtId="4" fontId="3" fillId="8" borderId="21" xfId="0" applyNumberFormat="1" applyFont="1" applyFill="1" applyBorder="1"/>
    <xf numFmtId="165" fontId="4" fillId="0" borderId="3" xfId="0" applyNumberFormat="1" applyFont="1" applyBorder="1"/>
    <xf numFmtId="2" fontId="4" fillId="0" borderId="3" xfId="0" applyNumberFormat="1" applyFont="1" applyBorder="1"/>
    <xf numFmtId="4" fontId="4" fillId="14" borderId="12" xfId="0" applyNumberFormat="1" applyFont="1" applyFill="1" applyBorder="1"/>
    <xf numFmtId="165" fontId="4" fillId="3" borderId="22" xfId="0" applyNumberFormat="1" applyFont="1" applyFill="1" applyBorder="1"/>
    <xf numFmtId="165" fontId="5" fillId="3" borderId="22" xfId="0" applyNumberFormat="1" applyFont="1" applyFill="1" applyBorder="1"/>
    <xf numFmtId="2" fontId="4" fillId="0" borderId="8" xfId="0" applyNumberFormat="1" applyFont="1" applyBorder="1" applyAlignment="1">
      <alignment horizontal="center" wrapText="1"/>
    </xf>
    <xf numFmtId="2" fontId="4" fillId="3" borderId="15" xfId="0" applyNumberFormat="1" applyFont="1" applyFill="1" applyBorder="1"/>
    <xf numFmtId="2" fontId="3" fillId="11" borderId="8" xfId="0" applyNumberFormat="1" applyFont="1" applyFill="1" applyBorder="1"/>
    <xf numFmtId="2" fontId="3" fillId="16" borderId="26" xfId="0" applyNumberFormat="1" applyFont="1" applyFill="1" applyBorder="1"/>
    <xf numFmtId="2" fontId="3" fillId="16" borderId="15" xfId="0" applyNumberFormat="1" applyFont="1" applyFill="1" applyBorder="1"/>
    <xf numFmtId="2" fontId="4" fillId="3" borderId="22" xfId="0" applyNumberFormat="1" applyFont="1" applyFill="1" applyBorder="1"/>
    <xf numFmtId="2" fontId="3" fillId="16" borderId="22" xfId="0" applyNumberFormat="1" applyFont="1" applyFill="1" applyBorder="1"/>
    <xf numFmtId="165" fontId="4" fillId="0" borderId="35" xfId="0" applyNumberFormat="1" applyFont="1" applyBorder="1" applyAlignment="1">
      <alignment horizontal="center" wrapText="1"/>
    </xf>
    <xf numFmtId="2" fontId="4" fillId="12" borderId="35" xfId="0" applyNumberFormat="1" applyFont="1" applyFill="1" applyBorder="1" applyAlignment="1">
      <alignment horizontal="center" wrapText="1"/>
    </xf>
    <xf numFmtId="2" fontId="4" fillId="12" borderId="36" xfId="0" applyNumberFormat="1" applyFont="1" applyFill="1" applyBorder="1" applyAlignment="1">
      <alignment horizontal="center" wrapText="1"/>
    </xf>
    <xf numFmtId="165" fontId="4" fillId="0" borderId="36" xfId="0" applyNumberFormat="1" applyFont="1" applyBorder="1" applyAlignment="1">
      <alignment horizontal="center" wrapText="1"/>
    </xf>
    <xf numFmtId="2" fontId="4" fillId="0" borderId="35" xfId="0" applyNumberFormat="1" applyFont="1" applyBorder="1" applyAlignment="1">
      <alignment horizontal="center" wrapText="1"/>
    </xf>
    <xf numFmtId="2" fontId="4" fillId="0" borderId="37" xfId="0" applyNumberFormat="1" applyFont="1" applyBorder="1" applyAlignment="1">
      <alignment horizontal="center" wrapText="1"/>
    </xf>
    <xf numFmtId="165" fontId="4" fillId="0" borderId="37" xfId="0" applyNumberFormat="1" applyFont="1" applyBorder="1" applyAlignment="1">
      <alignment horizontal="center" wrapText="1"/>
    </xf>
    <xf numFmtId="9" fontId="9" fillId="0" borderId="0" xfId="1" applyFont="1" applyAlignment="1">
      <alignment horizontal="right"/>
    </xf>
    <xf numFmtId="9" fontId="9" fillId="0" borderId="0" xfId="1" applyFont="1"/>
    <xf numFmtId="3" fontId="4" fillId="14" borderId="13" xfId="0" applyNumberFormat="1" applyFont="1" applyFill="1" applyBorder="1"/>
    <xf numFmtId="0" fontId="11" fillId="17" borderId="21" xfId="0" applyFont="1" applyFill="1" applyBorder="1" applyAlignment="1">
      <alignment horizontal="right"/>
    </xf>
    <xf numFmtId="3" fontId="4" fillId="17" borderId="6" xfId="0" applyNumberFormat="1" applyFont="1" applyFill="1" applyBorder="1" applyAlignment="1">
      <alignment horizontal="center" wrapText="1"/>
    </xf>
    <xf numFmtId="3" fontId="4" fillId="17" borderId="7" xfId="0" applyNumberFormat="1" applyFont="1" applyFill="1" applyBorder="1" applyAlignment="1">
      <alignment horizontal="center" wrapText="1"/>
    </xf>
    <xf numFmtId="2" fontId="4" fillId="17" borderId="7" xfId="0" applyNumberFormat="1" applyFont="1" applyFill="1" applyBorder="1" applyAlignment="1">
      <alignment horizontal="center" wrapText="1"/>
    </xf>
    <xf numFmtId="2" fontId="4" fillId="17" borderId="6" xfId="0" applyNumberFormat="1" applyFont="1" applyFill="1" applyBorder="1" applyAlignment="1">
      <alignment horizontal="center" wrapText="1"/>
    </xf>
    <xf numFmtId="3" fontId="4" fillId="18" borderId="21" xfId="0" applyNumberFormat="1" applyFont="1" applyFill="1" applyBorder="1"/>
    <xf numFmtId="3" fontId="4" fillId="18" borderId="20" xfId="0" applyNumberFormat="1" applyFont="1" applyFill="1" applyBorder="1"/>
    <xf numFmtId="4" fontId="4" fillId="18" borderId="14" xfId="0" applyNumberFormat="1" applyFont="1" applyFill="1" applyBorder="1"/>
    <xf numFmtId="4" fontId="4" fillId="18" borderId="12" xfId="0" applyNumberFormat="1" applyFont="1" applyFill="1" applyBorder="1"/>
    <xf numFmtId="4" fontId="4" fillId="18" borderId="21" xfId="0" applyNumberFormat="1" applyFont="1" applyFill="1" applyBorder="1"/>
    <xf numFmtId="3" fontId="4" fillId="18" borderId="14" xfId="0" applyNumberFormat="1" applyFont="1" applyFill="1" applyBorder="1"/>
    <xf numFmtId="3" fontId="4" fillId="18" borderId="12" xfId="0" applyNumberFormat="1" applyFont="1" applyFill="1" applyBorder="1"/>
    <xf numFmtId="15" fontId="0" fillId="0" borderId="0" xfId="0" applyNumberFormat="1"/>
    <xf numFmtId="166" fontId="5" fillId="15" borderId="9" xfId="0" applyNumberFormat="1" applyFont="1" applyFill="1" applyBorder="1" applyAlignment="1">
      <alignment horizontal="center"/>
    </xf>
    <xf numFmtId="3" fontId="4" fillId="15" borderId="20" xfId="0" applyNumberFormat="1" applyFont="1" applyFill="1" applyBorder="1"/>
    <xf numFmtId="3" fontId="4" fillId="15" borderId="21" xfId="0" applyNumberFormat="1" applyFont="1" applyFill="1" applyBorder="1"/>
    <xf numFmtId="4" fontId="4" fillId="15" borderId="21" xfId="0" applyNumberFormat="1" applyFont="1" applyFill="1" applyBorder="1"/>
    <xf numFmtId="2" fontId="4" fillId="15" borderId="21" xfId="0" applyNumberFormat="1" applyFont="1" applyFill="1" applyBorder="1"/>
    <xf numFmtId="4" fontId="4" fillId="15" borderId="12" xfId="0" applyNumberFormat="1" applyFont="1" applyFill="1" applyBorder="1"/>
    <xf numFmtId="0" fontId="9" fillId="15" borderId="0" xfId="0" applyFont="1" applyFill="1"/>
    <xf numFmtId="4" fontId="4" fillId="15" borderId="14" xfId="0" applyNumberFormat="1" applyFont="1" applyFill="1" applyBorder="1"/>
    <xf numFmtId="3" fontId="4" fillId="15" borderId="9" xfId="0" applyNumberFormat="1" applyFont="1" applyFill="1" applyBorder="1"/>
    <xf numFmtId="3" fontId="4" fillId="15" borderId="19" xfId="0" applyNumberFormat="1" applyFont="1" applyFill="1" applyBorder="1"/>
    <xf numFmtId="2" fontId="4" fillId="15" borderId="29" xfId="0" applyNumberFormat="1" applyFont="1" applyFill="1" applyBorder="1"/>
    <xf numFmtId="2" fontId="4" fillId="15" borderId="20" xfId="0" applyNumberFormat="1" applyFont="1" applyFill="1" applyBorder="1"/>
    <xf numFmtId="2" fontId="4" fillId="15" borderId="9" xfId="0" applyNumberFormat="1" applyFont="1" applyFill="1" applyBorder="1"/>
    <xf numFmtId="2" fontId="4" fillId="15" borderId="12" xfId="0" applyNumberFormat="1" applyFont="1" applyFill="1" applyBorder="1"/>
    <xf numFmtId="0" fontId="13" fillId="0" borderId="21" xfId="0" applyFont="1" applyBorder="1" applyAlignment="1">
      <alignment horizontal="center"/>
    </xf>
    <xf numFmtId="3" fontId="10" fillId="0" borderId="1" xfId="0" applyNumberFormat="1" applyFont="1" applyBorder="1" applyAlignment="1">
      <alignment horizontal="center"/>
    </xf>
    <xf numFmtId="3" fontId="10" fillId="0" borderId="3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2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548235"/>
      <color rgb="FF99CC00"/>
      <color rgb="FFA4EEC5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84605-CF83-4BCD-8A29-FEE4085962D6}">
  <sheetPr codeName="Sheet1">
    <tabColor rgb="FF92D050"/>
    <pageSetUpPr fitToPage="1"/>
  </sheetPr>
  <dimension ref="A1:AM39"/>
  <sheetViews>
    <sheetView tabSelected="1" zoomScaleNormal="100" workbookViewId="0">
      <pane xSplit="1" ySplit="5" topLeftCell="B6" activePane="bottomRight" state="frozen"/>
      <selection activeCell="A6" sqref="A6:A34"/>
      <selection pane="topRight" activeCell="A6" sqref="A6:A34"/>
      <selection pane="bottomLeft" activeCell="A6" sqref="A6:A34"/>
      <selection pane="bottomRight" activeCell="K10" sqref="K10"/>
    </sheetView>
  </sheetViews>
  <sheetFormatPr defaultColWidth="9.109375" defaultRowHeight="13.8" x14ac:dyDescent="0.25"/>
  <cols>
    <col min="1" max="1" width="9.109375" style="59"/>
    <col min="2" max="7" width="9.33203125" style="59" bestFit="1" customWidth="1"/>
    <col min="8" max="9" width="11" style="59" bestFit="1" customWidth="1"/>
    <col min="10" max="10" width="9.33203125" style="59" bestFit="1" customWidth="1"/>
    <col min="11" max="11" width="9.88671875" style="59" customWidth="1"/>
    <col min="12" max="12" width="9.6640625" style="59" customWidth="1"/>
    <col min="13" max="13" width="11" style="59" bestFit="1" customWidth="1"/>
    <col min="14" max="14" width="9.5546875" style="59" customWidth="1"/>
    <col min="15" max="15" width="10.6640625" style="59" customWidth="1"/>
    <col min="16" max="16" width="9.33203125" style="59" bestFit="1" customWidth="1"/>
    <col min="17" max="17" width="9.88671875" style="59" customWidth="1"/>
    <col min="18" max="19" width="9.33203125" style="59" bestFit="1" customWidth="1"/>
    <col min="20" max="20" width="11.33203125" style="59" customWidth="1"/>
    <col min="21" max="21" width="9.33203125" style="59" bestFit="1" customWidth="1"/>
    <col min="22" max="24" width="9.88671875" style="59" bestFit="1" customWidth="1"/>
    <col min="25" max="25" width="9.33203125" style="59" bestFit="1" customWidth="1"/>
    <col min="26" max="28" width="11" style="59" bestFit="1" customWidth="1"/>
    <col min="29" max="29" width="9.33203125" style="59" bestFit="1" customWidth="1"/>
    <col min="30" max="30" width="9.33203125" style="59" customWidth="1"/>
    <col min="31" max="31" width="10.109375" style="59" bestFit="1" customWidth="1"/>
    <col min="32" max="33" width="9.33203125" style="59" bestFit="1" customWidth="1"/>
    <col min="34" max="34" width="11" style="59" bestFit="1" customWidth="1"/>
    <col min="35" max="35" width="9.33203125" style="59" bestFit="1" customWidth="1"/>
    <col min="36" max="36" width="9.88671875" style="59" bestFit="1" customWidth="1"/>
    <col min="37" max="37" width="12" style="59" bestFit="1" customWidth="1"/>
    <col min="38" max="38" width="9.88671875" style="59" bestFit="1" customWidth="1"/>
    <col min="39" max="39" width="9.33203125" style="59" bestFit="1" customWidth="1"/>
    <col min="40" max="16384" width="9.109375" style="59"/>
  </cols>
  <sheetData>
    <row r="1" spans="1:39" ht="23.25" customHeight="1" x14ac:dyDescent="0.4">
      <c r="A1" s="98" t="s">
        <v>20</v>
      </c>
      <c r="B1" s="118" t="s">
        <v>7201</v>
      </c>
      <c r="C1" s="118"/>
      <c r="D1" s="118"/>
      <c r="E1" s="98" t="s">
        <v>21</v>
      </c>
      <c r="F1" s="97">
        <v>7758</v>
      </c>
      <c r="G1" s="98" t="s">
        <v>22</v>
      </c>
      <c r="H1" s="203"/>
      <c r="I1" s="203"/>
      <c r="J1" s="203"/>
    </row>
    <row r="2" spans="1:39" s="56" customFormat="1" ht="16.5" customHeight="1" x14ac:dyDescent="0.2">
      <c r="A2" s="135"/>
      <c r="B2" s="136"/>
      <c r="C2" s="136"/>
      <c r="D2" s="136"/>
      <c r="E2" s="137"/>
      <c r="F2" s="136"/>
      <c r="G2" s="136"/>
      <c r="H2" s="138">
        <v>0.93</v>
      </c>
      <c r="I2" s="139"/>
      <c r="J2" s="139"/>
      <c r="K2" s="139"/>
      <c r="L2" s="140">
        <v>0.74</v>
      </c>
      <c r="M2" s="140">
        <v>0.62</v>
      </c>
      <c r="N2" s="140">
        <v>1</v>
      </c>
      <c r="S2" s="140"/>
      <c r="W2" s="140">
        <v>7.0000000000000007E-2</v>
      </c>
      <c r="Y2" s="140">
        <v>0.26</v>
      </c>
      <c r="Z2" s="140">
        <v>0.38</v>
      </c>
    </row>
    <row r="3" spans="1:39" s="111" customFormat="1" thickBot="1" x14ac:dyDescent="0.3">
      <c r="A3" s="134"/>
      <c r="B3" s="112"/>
      <c r="C3" s="112">
        <v>0.76</v>
      </c>
      <c r="D3" s="112"/>
      <c r="E3" s="112">
        <v>1.24</v>
      </c>
      <c r="F3" s="112">
        <v>5.16</v>
      </c>
      <c r="G3" s="112">
        <v>0.26</v>
      </c>
      <c r="H3" s="112">
        <f>H2*C3</f>
        <v>0.70680000000000009</v>
      </c>
      <c r="I3" s="112"/>
      <c r="J3" s="112"/>
      <c r="K3" s="112"/>
      <c r="L3" s="112">
        <f>L2*E3</f>
        <v>0.91759999999999997</v>
      </c>
      <c r="M3" s="112">
        <f>M2*F3</f>
        <v>3.1992000000000003</v>
      </c>
      <c r="N3" s="112">
        <f>N2*G3</f>
        <v>0.26</v>
      </c>
      <c r="O3" s="112"/>
      <c r="P3" s="112"/>
      <c r="Q3" s="112"/>
      <c r="R3" s="112"/>
      <c r="S3" s="112">
        <v>33.520000000000003</v>
      </c>
      <c r="T3" s="112"/>
      <c r="U3" s="112"/>
      <c r="V3" s="112"/>
      <c r="W3" s="112">
        <f>W2*C3</f>
        <v>5.3200000000000004E-2</v>
      </c>
      <c r="X3" s="112"/>
      <c r="Y3" s="112">
        <f>Y2*E3</f>
        <v>0.32240000000000002</v>
      </c>
      <c r="Z3" s="112">
        <f>Z2*F3</f>
        <v>1.9608000000000001</v>
      </c>
      <c r="AA3" s="112"/>
      <c r="AB3" s="112"/>
      <c r="AC3" s="112"/>
      <c r="AD3" s="112"/>
      <c r="AE3" s="112"/>
      <c r="AF3" s="112">
        <f>S3</f>
        <v>33.520000000000003</v>
      </c>
      <c r="AG3" s="112"/>
      <c r="AH3" s="112"/>
      <c r="AI3" s="112"/>
      <c r="AJ3" s="112"/>
      <c r="AK3" s="112"/>
      <c r="AL3" s="112"/>
      <c r="AM3" s="112"/>
    </row>
    <row r="4" spans="1:39" ht="15" customHeight="1" thickBot="1" x14ac:dyDescent="0.3">
      <c r="B4" s="204" t="s">
        <v>23</v>
      </c>
      <c r="C4" s="205"/>
      <c r="D4" s="205"/>
      <c r="E4" s="206"/>
      <c r="F4" s="207" t="s">
        <v>27</v>
      </c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9"/>
      <c r="U4" s="207" t="s">
        <v>26</v>
      </c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9"/>
      <c r="AJ4" s="207" t="s">
        <v>1</v>
      </c>
      <c r="AK4" s="208"/>
      <c r="AL4" s="209"/>
    </row>
    <row r="5" spans="1:39" ht="53.4" thickBot="1" x14ac:dyDescent="0.3">
      <c r="A5" s="1" t="s">
        <v>2</v>
      </c>
      <c r="B5" s="110" t="s">
        <v>7158</v>
      </c>
      <c r="C5" s="110" t="s">
        <v>7159</v>
      </c>
      <c r="D5" s="147" t="s">
        <v>3570</v>
      </c>
      <c r="E5" s="106" t="s">
        <v>7193</v>
      </c>
      <c r="F5" s="5" t="s">
        <v>3</v>
      </c>
      <c r="G5" s="60" t="s">
        <v>30</v>
      </c>
      <c r="H5" s="107" t="s">
        <v>34</v>
      </c>
      <c r="I5" s="6" t="s">
        <v>4</v>
      </c>
      <c r="J5" s="106" t="s">
        <v>7194</v>
      </c>
      <c r="K5" s="6" t="s">
        <v>5</v>
      </c>
      <c r="L5" s="105" t="s">
        <v>7195</v>
      </c>
      <c r="M5" s="3" t="s">
        <v>6</v>
      </c>
      <c r="N5" s="6" t="s">
        <v>7</v>
      </c>
      <c r="O5" s="4" t="s">
        <v>8</v>
      </c>
      <c r="P5" s="7" t="s">
        <v>9</v>
      </c>
      <c r="Q5" s="60" t="s">
        <v>30</v>
      </c>
      <c r="R5" s="107" t="s">
        <v>34</v>
      </c>
      <c r="S5" s="6" t="s">
        <v>4</v>
      </c>
      <c r="T5" s="6" t="s">
        <v>10</v>
      </c>
      <c r="U5" s="106" t="s">
        <v>7196</v>
      </c>
      <c r="V5" s="105" t="s">
        <v>35</v>
      </c>
      <c r="W5" s="6" t="s">
        <v>11</v>
      </c>
      <c r="X5" s="105" t="s">
        <v>38</v>
      </c>
      <c r="Y5" s="3" t="s">
        <v>6</v>
      </c>
      <c r="Z5" s="6" t="s">
        <v>7</v>
      </c>
      <c r="AA5" s="4" t="s">
        <v>8</v>
      </c>
      <c r="AB5" s="159" t="s">
        <v>36</v>
      </c>
      <c r="AC5" s="5" t="s">
        <v>12</v>
      </c>
      <c r="AD5" s="2" t="s">
        <v>7</v>
      </c>
      <c r="AE5" s="4" t="s">
        <v>8</v>
      </c>
      <c r="AF5" s="7" t="s">
        <v>9</v>
      </c>
    </row>
    <row r="6" spans="1:39" x14ac:dyDescent="0.25">
      <c r="A6" s="8" t="s">
        <v>37</v>
      </c>
      <c r="B6" s="143">
        <v>0</v>
      </c>
      <c r="C6" s="122">
        <v>0</v>
      </c>
      <c r="D6" s="122">
        <v>0</v>
      </c>
      <c r="E6" s="125">
        <v>0</v>
      </c>
      <c r="F6" s="18">
        <f>IFERROR(#REF!/E6,0)</f>
        <v>0</v>
      </c>
      <c r="G6" s="13">
        <f t="shared" ref="G6:H12" si="0">C6*L$3</f>
        <v>0</v>
      </c>
      <c r="H6" s="13">
        <f t="shared" si="0"/>
        <v>0</v>
      </c>
      <c r="I6" s="13">
        <f>G6+H6</f>
        <v>0</v>
      </c>
      <c r="J6" s="125">
        <v>0</v>
      </c>
      <c r="K6" s="14">
        <f>IFERROR((G6+H6+#REF!)/J6,0)</f>
        <v>0</v>
      </c>
      <c r="L6" s="125">
        <v>0</v>
      </c>
      <c r="M6" s="10">
        <f t="shared" ref="M6:M12" si="1">L6*S$3</f>
        <v>0</v>
      </c>
      <c r="N6" s="13">
        <f>I6+M6</f>
        <v>0</v>
      </c>
      <c r="O6" s="11">
        <f t="shared" ref="O6:O12" si="2">E6+J6+L6</f>
        <v>0</v>
      </c>
      <c r="P6" s="21">
        <f t="shared" ref="P6:P7" si="3">IFERROR(N6/O6,0)</f>
        <v>0</v>
      </c>
      <c r="Q6" s="13">
        <f t="shared" ref="Q6:R12" si="4">C6*Y$3</f>
        <v>0</v>
      </c>
      <c r="R6" s="13">
        <f t="shared" si="4"/>
        <v>0</v>
      </c>
      <c r="S6" s="13">
        <f t="shared" ref="S6:S7" si="5">Q6+R6</f>
        <v>0</v>
      </c>
      <c r="T6" s="13">
        <f>S6</f>
        <v>0</v>
      </c>
      <c r="U6" s="125">
        <v>0</v>
      </c>
      <c r="V6" s="156">
        <v>0</v>
      </c>
      <c r="W6" s="20">
        <f t="shared" ref="W6:W7" si="6">IFERROR(T6/U6,0)</f>
        <v>0</v>
      </c>
      <c r="X6" s="125">
        <v>0</v>
      </c>
      <c r="Y6" s="10">
        <f t="shared" ref="Y6:Y12" si="7">X6*AF$3</f>
        <v>0</v>
      </c>
      <c r="Z6" s="13">
        <f t="shared" ref="Z6:Z7" si="8">T6+Y6</f>
        <v>0</v>
      </c>
      <c r="AA6" s="11">
        <f t="shared" ref="AA6:AA7" si="9">U6+X6</f>
        <v>0</v>
      </c>
      <c r="AB6" s="160">
        <f t="shared" ref="AB6:AB37" si="10">IFERROR(B6/AA6, 0)</f>
        <v>0</v>
      </c>
      <c r="AC6" s="12">
        <f t="shared" ref="AC6:AC7" si="11">IFERROR(Z6/AA6,0)</f>
        <v>0</v>
      </c>
      <c r="AD6" s="66">
        <f t="shared" ref="AD6:AE12" si="12">Z6+N6</f>
        <v>0</v>
      </c>
      <c r="AE6" s="67">
        <f t="shared" si="12"/>
        <v>0</v>
      </c>
      <c r="AF6" s="68">
        <f t="shared" ref="AF6:AF7" si="13">IFERROR(AD6/AE6,0)</f>
        <v>0</v>
      </c>
    </row>
    <row r="7" spans="1:39" ht="14.4" thickBot="1" x14ac:dyDescent="0.3">
      <c r="A7" s="8" t="s">
        <v>37</v>
      </c>
      <c r="B7" s="143">
        <v>0</v>
      </c>
      <c r="C7" s="122">
        <v>0</v>
      </c>
      <c r="D7" s="122">
        <v>0</v>
      </c>
      <c r="E7" s="125">
        <v>0</v>
      </c>
      <c r="F7" s="18">
        <f>IFERROR(#REF!/E7,0)</f>
        <v>0</v>
      </c>
      <c r="G7" s="13">
        <f t="shared" si="0"/>
        <v>0</v>
      </c>
      <c r="H7" s="13">
        <f t="shared" si="0"/>
        <v>0</v>
      </c>
      <c r="I7" s="13">
        <f t="shared" ref="I7:I17" si="14">G7+H7</f>
        <v>0</v>
      </c>
      <c r="J7" s="125">
        <v>0</v>
      </c>
      <c r="K7" s="14">
        <f>IFERROR((G7+H7+#REF!)/J7,0)</f>
        <v>0</v>
      </c>
      <c r="L7" s="125">
        <v>0</v>
      </c>
      <c r="M7" s="10">
        <f t="shared" si="1"/>
        <v>0</v>
      </c>
      <c r="N7" s="13">
        <f t="shared" ref="N7:N36" si="15">I7+M7</f>
        <v>0</v>
      </c>
      <c r="O7" s="11">
        <f t="shared" si="2"/>
        <v>0</v>
      </c>
      <c r="P7" s="21">
        <f t="shared" si="3"/>
        <v>0</v>
      </c>
      <c r="Q7" s="13">
        <f t="shared" si="4"/>
        <v>0</v>
      </c>
      <c r="R7" s="13">
        <f t="shared" si="4"/>
        <v>0</v>
      </c>
      <c r="S7" s="13">
        <f t="shared" si="5"/>
        <v>0</v>
      </c>
      <c r="T7" s="13">
        <f t="shared" ref="T7:T36" si="16">S7</f>
        <v>0</v>
      </c>
      <c r="U7" s="125">
        <v>0</v>
      </c>
      <c r="V7" s="156">
        <v>0</v>
      </c>
      <c r="W7" s="20">
        <f t="shared" si="6"/>
        <v>0</v>
      </c>
      <c r="X7" s="125">
        <v>0</v>
      </c>
      <c r="Y7" s="10">
        <f t="shared" si="7"/>
        <v>0</v>
      </c>
      <c r="Z7" s="13">
        <f t="shared" si="8"/>
        <v>0</v>
      </c>
      <c r="AA7" s="11">
        <f t="shared" si="9"/>
        <v>0</v>
      </c>
      <c r="AB7" s="160">
        <f t="shared" si="10"/>
        <v>0</v>
      </c>
      <c r="AC7" s="12">
        <f t="shared" si="11"/>
        <v>0</v>
      </c>
      <c r="AD7" s="66">
        <f t="shared" si="12"/>
        <v>0</v>
      </c>
      <c r="AE7" s="67">
        <f t="shared" si="12"/>
        <v>0</v>
      </c>
      <c r="AF7" s="68">
        <f t="shared" si="13"/>
        <v>0</v>
      </c>
    </row>
    <row r="8" spans="1:39" x14ac:dyDescent="0.25">
      <c r="A8" s="8" t="s">
        <v>37</v>
      </c>
      <c r="B8" s="143">
        <v>0</v>
      </c>
      <c r="C8" s="122">
        <v>0</v>
      </c>
      <c r="D8" s="122">
        <v>0</v>
      </c>
      <c r="E8" s="124">
        <v>0</v>
      </c>
      <c r="F8" s="12">
        <f>IFERROR(#REF!/E8,0)</f>
        <v>0</v>
      </c>
      <c r="G8" s="13">
        <f t="shared" si="0"/>
        <v>0</v>
      </c>
      <c r="H8" s="13">
        <f t="shared" si="0"/>
        <v>0</v>
      </c>
      <c r="I8" s="13">
        <f t="shared" si="14"/>
        <v>0</v>
      </c>
      <c r="J8" s="125">
        <v>0</v>
      </c>
      <c r="K8" s="14">
        <f>IFERROR((G8+H8+#REF!)/J8,0)</f>
        <v>0</v>
      </c>
      <c r="L8" s="125">
        <v>0</v>
      </c>
      <c r="M8" s="10">
        <f t="shared" si="1"/>
        <v>0</v>
      </c>
      <c r="N8" s="13">
        <f t="shared" si="15"/>
        <v>0</v>
      </c>
      <c r="O8" s="11">
        <f t="shared" si="2"/>
        <v>0</v>
      </c>
      <c r="P8" s="15">
        <f>IFERROR(N8/O8,0)</f>
        <v>0</v>
      </c>
      <c r="Q8" s="13">
        <f t="shared" si="4"/>
        <v>0</v>
      </c>
      <c r="R8" s="13">
        <f t="shared" si="4"/>
        <v>0</v>
      </c>
      <c r="S8" s="13">
        <f>Q8+R8</f>
        <v>0</v>
      </c>
      <c r="T8" s="13">
        <f t="shared" si="16"/>
        <v>0</v>
      </c>
      <c r="U8" s="125">
        <v>0</v>
      </c>
      <c r="V8" s="156">
        <v>0</v>
      </c>
      <c r="W8" s="14">
        <f>IFERROR(T8/U8,0)</f>
        <v>0</v>
      </c>
      <c r="X8" s="124">
        <v>0</v>
      </c>
      <c r="Y8" s="10">
        <f t="shared" si="7"/>
        <v>0</v>
      </c>
      <c r="Z8" s="13">
        <f>T8+Y8</f>
        <v>0</v>
      </c>
      <c r="AA8" s="11">
        <f>U8+X8</f>
        <v>0</v>
      </c>
      <c r="AB8" s="160">
        <f t="shared" si="10"/>
        <v>0</v>
      </c>
      <c r="AC8" s="12">
        <f t="shared" ref="AC8:AC9" si="17">IFERROR(Z8/AA8,0)</f>
        <v>0</v>
      </c>
      <c r="AD8" s="63">
        <f t="shared" si="12"/>
        <v>0</v>
      </c>
      <c r="AE8" s="133">
        <f t="shared" si="12"/>
        <v>0</v>
      </c>
      <c r="AF8" s="65">
        <f>IFERROR(AD8/AE8,0)</f>
        <v>0</v>
      </c>
    </row>
    <row r="9" spans="1:39" x14ac:dyDescent="0.25">
      <c r="A9" s="8" t="s">
        <v>37</v>
      </c>
      <c r="B9" s="143">
        <v>0</v>
      </c>
      <c r="C9" s="122">
        <v>0</v>
      </c>
      <c r="D9" s="122">
        <v>0</v>
      </c>
      <c r="E9" s="125">
        <v>0</v>
      </c>
      <c r="F9" s="18">
        <f>IFERROR(#REF!/E9,0)</f>
        <v>0</v>
      </c>
      <c r="G9" s="13">
        <f t="shared" si="0"/>
        <v>0</v>
      </c>
      <c r="H9" s="13">
        <f t="shared" si="0"/>
        <v>0</v>
      </c>
      <c r="I9" s="13">
        <f t="shared" si="14"/>
        <v>0</v>
      </c>
      <c r="J9" s="125">
        <v>0</v>
      </c>
      <c r="K9" s="14">
        <f>IFERROR((G9+H9+#REF!)/J9,0)</f>
        <v>0</v>
      </c>
      <c r="L9" s="125">
        <v>0</v>
      </c>
      <c r="M9" s="10">
        <f t="shared" si="1"/>
        <v>0</v>
      </c>
      <c r="N9" s="13">
        <f t="shared" si="15"/>
        <v>0</v>
      </c>
      <c r="O9" s="11">
        <f t="shared" si="2"/>
        <v>0</v>
      </c>
      <c r="P9" s="21">
        <f t="shared" ref="P9" si="18">IFERROR(N9/O9,0)</f>
        <v>0</v>
      </c>
      <c r="Q9" s="13">
        <f t="shared" si="4"/>
        <v>0</v>
      </c>
      <c r="R9" s="13">
        <f t="shared" si="4"/>
        <v>0</v>
      </c>
      <c r="S9" s="13">
        <f t="shared" ref="S9" si="19">Q9+R9</f>
        <v>0</v>
      </c>
      <c r="T9" s="13">
        <f t="shared" si="16"/>
        <v>0</v>
      </c>
      <c r="U9" s="125">
        <v>0</v>
      </c>
      <c r="V9" s="156">
        <v>0</v>
      </c>
      <c r="W9" s="20">
        <f t="shared" ref="W9" si="20">IFERROR(T9/U9,0)</f>
        <v>0</v>
      </c>
      <c r="X9" s="125">
        <v>0</v>
      </c>
      <c r="Y9" s="10">
        <f t="shared" si="7"/>
        <v>0</v>
      </c>
      <c r="Z9" s="13">
        <f t="shared" ref="Z9" si="21">T9+Y9</f>
        <v>0</v>
      </c>
      <c r="AA9" s="11">
        <f t="shared" ref="AA9" si="22">U9+X9</f>
        <v>0</v>
      </c>
      <c r="AB9" s="160">
        <f t="shared" si="10"/>
        <v>0</v>
      </c>
      <c r="AC9" s="12">
        <f t="shared" si="17"/>
        <v>0</v>
      </c>
      <c r="AD9" s="66">
        <f t="shared" si="12"/>
        <v>0</v>
      </c>
      <c r="AE9" s="67">
        <f t="shared" si="12"/>
        <v>0</v>
      </c>
      <c r="AF9" s="68">
        <f t="shared" ref="AF9" si="23">IFERROR(AD9/AE9,0)</f>
        <v>0</v>
      </c>
    </row>
    <row r="10" spans="1:39" x14ac:dyDescent="0.25">
      <c r="A10" s="8">
        <v>45231</v>
      </c>
      <c r="B10" s="143">
        <v>2</v>
      </c>
      <c r="C10" s="122">
        <v>0</v>
      </c>
      <c r="D10" s="122">
        <v>2</v>
      </c>
      <c r="E10" s="125">
        <v>0</v>
      </c>
      <c r="F10" s="18">
        <f>IFERROR(#REF!/E10,0)</f>
        <v>0</v>
      </c>
      <c r="G10" s="13">
        <f t="shared" si="0"/>
        <v>0</v>
      </c>
      <c r="H10" s="13">
        <f t="shared" si="0"/>
        <v>6.3984000000000005</v>
      </c>
      <c r="I10" s="13">
        <f t="shared" si="14"/>
        <v>6.3984000000000005</v>
      </c>
      <c r="J10" s="125">
        <v>0</v>
      </c>
      <c r="K10" s="14">
        <f>IFERROR((G10+H10+#REF!)/J10,0)</f>
        <v>0</v>
      </c>
      <c r="L10" s="125">
        <v>0</v>
      </c>
      <c r="M10" s="10">
        <f t="shared" si="1"/>
        <v>0</v>
      </c>
      <c r="N10" s="13">
        <f t="shared" si="15"/>
        <v>6.3984000000000005</v>
      </c>
      <c r="O10" s="11">
        <f t="shared" si="2"/>
        <v>0</v>
      </c>
      <c r="P10" s="21">
        <f t="shared" ref="P10:P11" si="24">IFERROR(N10/O10,0)</f>
        <v>0</v>
      </c>
      <c r="Q10" s="13">
        <f t="shared" si="4"/>
        <v>0</v>
      </c>
      <c r="R10" s="13">
        <f t="shared" si="4"/>
        <v>3.9216000000000002</v>
      </c>
      <c r="S10" s="13">
        <f t="shared" ref="S10:S11" si="25">Q10+R10</f>
        <v>3.9216000000000002</v>
      </c>
      <c r="T10" s="13">
        <f t="shared" si="16"/>
        <v>3.9216000000000002</v>
      </c>
      <c r="U10" s="125">
        <v>0.67</v>
      </c>
      <c r="V10" s="156">
        <v>0</v>
      </c>
      <c r="W10" s="20">
        <f t="shared" ref="W10:W11" si="26">IFERROR(T10/U10,0)</f>
        <v>5.8531343283582089</v>
      </c>
      <c r="X10" s="125">
        <v>0</v>
      </c>
      <c r="Y10" s="10">
        <f t="shared" si="7"/>
        <v>0</v>
      </c>
      <c r="Z10" s="13">
        <f t="shared" ref="Z10:Z11" si="27">T10+Y10</f>
        <v>3.9216000000000002</v>
      </c>
      <c r="AA10" s="11">
        <f t="shared" ref="AA10:AA11" si="28">U10+X10</f>
        <v>0.67</v>
      </c>
      <c r="AB10" s="160">
        <f t="shared" si="10"/>
        <v>2.9850746268656714</v>
      </c>
      <c r="AC10" s="12">
        <f t="shared" ref="AC10:AC11" si="29">IFERROR(Z10/AA10,0)</f>
        <v>5.8531343283582089</v>
      </c>
      <c r="AD10" s="66">
        <f t="shared" si="12"/>
        <v>10.32</v>
      </c>
      <c r="AE10" s="67">
        <f t="shared" si="12"/>
        <v>0.67</v>
      </c>
      <c r="AF10" s="68">
        <f t="shared" ref="AF10:AF11" si="30">IFERROR(AD10/AE10,0)</f>
        <v>15.402985074626866</v>
      </c>
    </row>
    <row r="11" spans="1:39" x14ac:dyDescent="0.25">
      <c r="A11" s="8">
        <v>45232</v>
      </c>
      <c r="B11" s="143">
        <v>12</v>
      </c>
      <c r="C11" s="122">
        <f>21+6+3+21</f>
        <v>51</v>
      </c>
      <c r="D11" s="122">
        <f>60-51</f>
        <v>9</v>
      </c>
      <c r="E11" s="125">
        <v>0</v>
      </c>
      <c r="F11" s="18">
        <f>IFERROR(#REF!/E11,0)</f>
        <v>0</v>
      </c>
      <c r="G11" s="13">
        <f t="shared" si="0"/>
        <v>46.797599999999996</v>
      </c>
      <c r="H11" s="13">
        <f t="shared" si="0"/>
        <v>28.792800000000003</v>
      </c>
      <c r="I11" s="13">
        <f t="shared" si="14"/>
        <v>75.590400000000002</v>
      </c>
      <c r="J11" s="125">
        <v>1.81</v>
      </c>
      <c r="K11" s="14">
        <f>IFERROR((G11+H11+#REF!)/J11,0)</f>
        <v>0</v>
      </c>
      <c r="L11" s="125">
        <v>0</v>
      </c>
      <c r="M11" s="10">
        <f t="shared" si="1"/>
        <v>0</v>
      </c>
      <c r="N11" s="13">
        <f t="shared" si="15"/>
        <v>75.590400000000002</v>
      </c>
      <c r="O11" s="11">
        <f t="shared" si="2"/>
        <v>1.81</v>
      </c>
      <c r="P11" s="21">
        <f t="shared" si="24"/>
        <v>41.762651933701655</v>
      </c>
      <c r="Q11" s="13">
        <f t="shared" si="4"/>
        <v>16.442399999999999</v>
      </c>
      <c r="R11" s="13">
        <f t="shared" si="4"/>
        <v>17.647200000000002</v>
      </c>
      <c r="S11" s="13">
        <f t="shared" si="25"/>
        <v>34.089600000000004</v>
      </c>
      <c r="T11" s="13">
        <f t="shared" si="16"/>
        <v>34.089600000000004</v>
      </c>
      <c r="U11" s="125">
        <v>0.5</v>
      </c>
      <c r="V11" s="156">
        <v>0</v>
      </c>
      <c r="W11" s="20">
        <f t="shared" si="26"/>
        <v>68.179200000000009</v>
      </c>
      <c r="X11" s="125">
        <v>0.17</v>
      </c>
      <c r="Y11" s="10">
        <f t="shared" si="7"/>
        <v>5.6984000000000012</v>
      </c>
      <c r="Z11" s="13">
        <f t="shared" si="27"/>
        <v>39.788000000000004</v>
      </c>
      <c r="AA11" s="11">
        <f t="shared" si="28"/>
        <v>0.67</v>
      </c>
      <c r="AB11" s="160">
        <f t="shared" si="10"/>
        <v>17.910447761194028</v>
      </c>
      <c r="AC11" s="12">
        <f t="shared" si="29"/>
        <v>59.385074626865674</v>
      </c>
      <c r="AD11" s="66">
        <f t="shared" si="12"/>
        <v>115.3784</v>
      </c>
      <c r="AE11" s="67">
        <f t="shared" si="12"/>
        <v>2.48</v>
      </c>
      <c r="AF11" s="68">
        <f t="shared" si="30"/>
        <v>46.523548387096774</v>
      </c>
    </row>
    <row r="12" spans="1:39" x14ac:dyDescent="0.25">
      <c r="A12" s="8">
        <v>45233</v>
      </c>
      <c r="B12" s="144">
        <v>10</v>
      </c>
      <c r="C12" s="123">
        <v>44</v>
      </c>
      <c r="D12" s="123">
        <v>3</v>
      </c>
      <c r="E12" s="125">
        <v>0</v>
      </c>
      <c r="F12" s="18">
        <f>IFERROR(#REF!/E12,0)</f>
        <v>0</v>
      </c>
      <c r="G12" s="13">
        <f t="shared" si="0"/>
        <v>40.374400000000001</v>
      </c>
      <c r="H12" s="13">
        <f t="shared" si="0"/>
        <v>9.5975999999999999</v>
      </c>
      <c r="I12" s="13">
        <f t="shared" si="14"/>
        <v>49.972000000000001</v>
      </c>
      <c r="J12" s="125">
        <v>4</v>
      </c>
      <c r="K12" s="14">
        <f>IFERROR((G12+H12+#REF!)/J12,0)</f>
        <v>0</v>
      </c>
      <c r="L12" s="125">
        <v>0</v>
      </c>
      <c r="M12" s="10">
        <f t="shared" si="1"/>
        <v>0</v>
      </c>
      <c r="N12" s="13">
        <f t="shared" si="15"/>
        <v>49.972000000000001</v>
      </c>
      <c r="O12" s="11">
        <f t="shared" si="2"/>
        <v>4</v>
      </c>
      <c r="P12" s="21">
        <f t="shared" ref="P12:P37" si="31">IFERROR(N12/O12,0)</f>
        <v>12.493</v>
      </c>
      <c r="Q12" s="13">
        <f t="shared" si="4"/>
        <v>14.185600000000001</v>
      </c>
      <c r="R12" s="13">
        <f t="shared" si="4"/>
        <v>5.8824000000000005</v>
      </c>
      <c r="S12" s="13">
        <f>Q12+R12</f>
        <v>20.068000000000001</v>
      </c>
      <c r="T12" s="13">
        <f t="shared" si="16"/>
        <v>20.068000000000001</v>
      </c>
      <c r="U12" s="125">
        <v>0.25</v>
      </c>
      <c r="V12" s="156">
        <v>0</v>
      </c>
      <c r="W12" s="20">
        <f t="shared" ref="W12:W36" si="32">IFERROR(T12/U12,0)</f>
        <v>80.272000000000006</v>
      </c>
      <c r="X12" s="125">
        <v>0</v>
      </c>
      <c r="Y12" s="10">
        <f t="shared" si="7"/>
        <v>0</v>
      </c>
      <c r="Z12" s="13">
        <f>T12+Y12</f>
        <v>20.068000000000001</v>
      </c>
      <c r="AA12" s="11">
        <f>U12+X12</f>
        <v>0.25</v>
      </c>
      <c r="AB12" s="160">
        <f t="shared" si="10"/>
        <v>40</v>
      </c>
      <c r="AC12" s="12">
        <f t="shared" ref="AC12:AC13" si="33">IFERROR(Z12/AA12,0)</f>
        <v>80.272000000000006</v>
      </c>
      <c r="AD12" s="66">
        <f t="shared" si="12"/>
        <v>70.040000000000006</v>
      </c>
      <c r="AE12" s="67">
        <f t="shared" si="12"/>
        <v>4.25</v>
      </c>
      <c r="AF12" s="68">
        <f t="shared" ref="AF12:AF37" si="34">IFERROR(AD12/AE12,0)</f>
        <v>16.48</v>
      </c>
    </row>
    <row r="13" spans="1:39" x14ac:dyDescent="0.25">
      <c r="A13" s="95" t="s">
        <v>13</v>
      </c>
      <c r="B13" s="23">
        <f t="shared" ref="B13:E13" si="35">SUM(B8:B12)</f>
        <v>24</v>
      </c>
      <c r="C13" s="23">
        <f t="shared" si="35"/>
        <v>95</v>
      </c>
      <c r="D13" s="148">
        <f t="shared" si="35"/>
        <v>14</v>
      </c>
      <c r="E13" s="26">
        <f t="shared" si="35"/>
        <v>0</v>
      </c>
      <c r="F13" s="27">
        <f>IFERROR(#REF!/E13,0)</f>
        <v>0</v>
      </c>
      <c r="G13" s="28">
        <f>SUM(G8:G12)</f>
        <v>87.171999999999997</v>
      </c>
      <c r="H13" s="28">
        <f>SUM(H8:H12)</f>
        <v>44.788800000000002</v>
      </c>
      <c r="I13" s="25">
        <f>SUM(I8:I12)</f>
        <v>131.96080000000001</v>
      </c>
      <c r="J13" s="26">
        <f>SUM(J8:J12)</f>
        <v>5.8100000000000005</v>
      </c>
      <c r="K13" s="29">
        <f>IFERROR((G13+H13+#REF!)/J13,0)</f>
        <v>0</v>
      </c>
      <c r="L13" s="26">
        <f>SUM(L8:L12)</f>
        <v>0</v>
      </c>
      <c r="M13" s="25">
        <f>SUM(M8:M12)</f>
        <v>0</v>
      </c>
      <c r="N13" s="28">
        <f>SUM(N8:N12)</f>
        <v>131.96080000000001</v>
      </c>
      <c r="O13" s="30">
        <f>SUM(O8:O12)</f>
        <v>5.8100000000000005</v>
      </c>
      <c r="P13" s="31">
        <f>IFERROR(N13/O13,0)</f>
        <v>22.712702237521512</v>
      </c>
      <c r="Q13" s="28">
        <f t="shared" ref="Q13:V13" si="36">SUM(Q8:Q12)</f>
        <v>30.628</v>
      </c>
      <c r="R13" s="28">
        <f t="shared" si="36"/>
        <v>27.451200000000004</v>
      </c>
      <c r="S13" s="25">
        <f t="shared" si="36"/>
        <v>58.0792</v>
      </c>
      <c r="T13" s="28">
        <f t="shared" si="36"/>
        <v>58.0792</v>
      </c>
      <c r="U13" s="26">
        <f t="shared" si="36"/>
        <v>1.42</v>
      </c>
      <c r="V13" s="26">
        <f t="shared" si="36"/>
        <v>0</v>
      </c>
      <c r="W13" s="29">
        <f>IFERROR(T13/U13,0)</f>
        <v>40.900845070422534</v>
      </c>
      <c r="X13" s="26">
        <f>SUM(X8:X12)</f>
        <v>0.17</v>
      </c>
      <c r="Y13" s="25">
        <f>SUM(Y8:Y12)</f>
        <v>5.6984000000000012</v>
      </c>
      <c r="Z13" s="28">
        <f>SUM(Z8:Z12)</f>
        <v>63.777600000000007</v>
      </c>
      <c r="AA13" s="30">
        <f>SUM(AA8:AA12)</f>
        <v>1.59</v>
      </c>
      <c r="AB13" s="163">
        <f t="shared" si="10"/>
        <v>15.094339622641508</v>
      </c>
      <c r="AC13" s="27">
        <f t="shared" si="33"/>
        <v>40.111698113207552</v>
      </c>
      <c r="AD13" s="142">
        <f>SUM(AD8:AD12)</f>
        <v>195.73840000000001</v>
      </c>
      <c r="AE13" s="70">
        <f>SUM(AE8:AE12)</f>
        <v>7.4</v>
      </c>
      <c r="AF13" s="71">
        <f t="shared" si="34"/>
        <v>26.451135135135136</v>
      </c>
    </row>
    <row r="14" spans="1:39" x14ac:dyDescent="0.25">
      <c r="A14" s="8">
        <v>45236</v>
      </c>
      <c r="B14" s="143">
        <v>7</v>
      </c>
      <c r="C14" s="122">
        <v>0</v>
      </c>
      <c r="D14" s="122">
        <v>8</v>
      </c>
      <c r="E14" s="124">
        <v>0</v>
      </c>
      <c r="F14" s="18">
        <f>IFERROR(#REF!/E14,0)</f>
        <v>0</v>
      </c>
      <c r="G14" s="13">
        <f t="shared" ref="G14:H17" si="37">C14*L$3</f>
        <v>0</v>
      </c>
      <c r="H14" s="13">
        <f t="shared" si="37"/>
        <v>25.593600000000002</v>
      </c>
      <c r="I14" s="13">
        <f t="shared" si="14"/>
        <v>25.593600000000002</v>
      </c>
      <c r="J14" s="124">
        <v>0.8</v>
      </c>
      <c r="K14" s="14">
        <f>IFERROR((G14+H14+#REF!)/J14,0)</f>
        <v>0</v>
      </c>
      <c r="L14" s="124">
        <v>0</v>
      </c>
      <c r="M14" s="10">
        <f>L14*S$3</f>
        <v>0</v>
      </c>
      <c r="N14" s="13">
        <f t="shared" si="15"/>
        <v>25.593600000000002</v>
      </c>
      <c r="O14" s="17">
        <f>E14+J14+L14</f>
        <v>0.8</v>
      </c>
      <c r="P14" s="21">
        <f t="shared" si="31"/>
        <v>31.992000000000001</v>
      </c>
      <c r="Q14" s="13">
        <f t="shared" ref="Q14:R17" si="38">C14*Y$3</f>
        <v>0</v>
      </c>
      <c r="R14" s="13">
        <f t="shared" si="38"/>
        <v>15.686400000000001</v>
      </c>
      <c r="S14" s="13">
        <f>Q14+R14</f>
        <v>15.686400000000001</v>
      </c>
      <c r="T14" s="13">
        <f t="shared" si="16"/>
        <v>15.686400000000001</v>
      </c>
      <c r="U14" s="124">
        <v>0.5</v>
      </c>
      <c r="V14" s="156">
        <v>0</v>
      </c>
      <c r="W14" s="20">
        <f t="shared" si="32"/>
        <v>31.372800000000002</v>
      </c>
      <c r="X14" s="124">
        <v>0</v>
      </c>
      <c r="Y14" s="10">
        <f>X14*AF$3</f>
        <v>0</v>
      </c>
      <c r="Z14" s="13">
        <f>T14+Y14</f>
        <v>15.686400000000001</v>
      </c>
      <c r="AA14" s="11">
        <f>U14+X14</f>
        <v>0.5</v>
      </c>
      <c r="AB14" s="160">
        <f t="shared" si="10"/>
        <v>14</v>
      </c>
      <c r="AC14" s="18">
        <f t="shared" ref="AC14:AC37" si="39">IFERROR(Z14/AA14,0)</f>
        <v>31.372800000000002</v>
      </c>
      <c r="AD14" s="141">
        <f t="shared" ref="AD14:AE17" si="40">Z14+N14</f>
        <v>41.28</v>
      </c>
      <c r="AE14" s="67">
        <f t="shared" si="40"/>
        <v>1.3</v>
      </c>
      <c r="AF14" s="68">
        <f t="shared" si="34"/>
        <v>31.753846153846155</v>
      </c>
    </row>
    <row r="15" spans="1:39" x14ac:dyDescent="0.25">
      <c r="A15" s="8">
        <v>45237</v>
      </c>
      <c r="B15" s="144">
        <v>1</v>
      </c>
      <c r="C15" s="123">
        <v>0</v>
      </c>
      <c r="D15" s="123">
        <v>1</v>
      </c>
      <c r="E15" s="125">
        <v>0</v>
      </c>
      <c r="F15" s="18">
        <f>IFERROR(#REF!/E15,0)</f>
        <v>0</v>
      </c>
      <c r="G15" s="13">
        <f t="shared" si="37"/>
        <v>0</v>
      </c>
      <c r="H15" s="13">
        <f t="shared" si="37"/>
        <v>3.1992000000000003</v>
      </c>
      <c r="I15" s="13">
        <f t="shared" si="14"/>
        <v>3.1992000000000003</v>
      </c>
      <c r="J15" s="125">
        <v>1.25</v>
      </c>
      <c r="K15" s="14">
        <f>IFERROR((G15+H15+#REF!)/J15,0)</f>
        <v>0</v>
      </c>
      <c r="L15" s="125">
        <v>1.52</v>
      </c>
      <c r="M15" s="10">
        <f>L15*S$3</f>
        <v>50.950400000000002</v>
      </c>
      <c r="N15" s="13">
        <f t="shared" si="15"/>
        <v>54.1496</v>
      </c>
      <c r="O15" s="17">
        <f>E15+J15+L15</f>
        <v>2.77</v>
      </c>
      <c r="P15" s="21">
        <f t="shared" si="31"/>
        <v>19.548592057761734</v>
      </c>
      <c r="Q15" s="13">
        <f t="shared" si="38"/>
        <v>0</v>
      </c>
      <c r="R15" s="13">
        <f t="shared" si="38"/>
        <v>1.9608000000000001</v>
      </c>
      <c r="S15" s="13">
        <f>Q15+R15</f>
        <v>1.9608000000000001</v>
      </c>
      <c r="T15" s="13">
        <f t="shared" si="16"/>
        <v>1.9608000000000001</v>
      </c>
      <c r="U15" s="125">
        <v>0.91999999999999993</v>
      </c>
      <c r="V15" s="156">
        <v>0.42</v>
      </c>
      <c r="W15" s="20">
        <f t="shared" si="32"/>
        <v>2.1313043478260871</v>
      </c>
      <c r="X15" s="125">
        <v>0</v>
      </c>
      <c r="Y15" s="10">
        <f>X15*AF$3</f>
        <v>0</v>
      </c>
      <c r="Z15" s="13">
        <f>T15+Y15</f>
        <v>1.9608000000000001</v>
      </c>
      <c r="AA15" s="11">
        <f>U15+X15</f>
        <v>0.91999999999999993</v>
      </c>
      <c r="AB15" s="160">
        <f t="shared" si="10"/>
        <v>1.0869565217391306</v>
      </c>
      <c r="AC15" s="18">
        <f t="shared" si="39"/>
        <v>2.1313043478260871</v>
      </c>
      <c r="AD15" s="141">
        <f t="shared" si="40"/>
        <v>56.110399999999998</v>
      </c>
      <c r="AE15" s="67">
        <f t="shared" si="40"/>
        <v>3.69</v>
      </c>
      <c r="AF15" s="68">
        <f t="shared" si="34"/>
        <v>15.206070460704607</v>
      </c>
    </row>
    <row r="16" spans="1:39" x14ac:dyDescent="0.25">
      <c r="A16" s="8">
        <v>45238</v>
      </c>
      <c r="B16" s="144">
        <v>4</v>
      </c>
      <c r="C16" s="123">
        <v>0</v>
      </c>
      <c r="D16" s="123">
        <v>4</v>
      </c>
      <c r="E16" s="125">
        <v>0</v>
      </c>
      <c r="F16" s="18">
        <f>IFERROR(#REF!/E16,0)</f>
        <v>0</v>
      </c>
      <c r="G16" s="13">
        <f t="shared" si="37"/>
        <v>0</v>
      </c>
      <c r="H16" s="13">
        <f t="shared" si="37"/>
        <v>12.796800000000001</v>
      </c>
      <c r="I16" s="13">
        <f t="shared" si="14"/>
        <v>12.796800000000001</v>
      </c>
      <c r="J16" s="125">
        <v>0.99</v>
      </c>
      <c r="K16" s="14">
        <f>IFERROR((G16+H16+#REF!)/J16,0)</f>
        <v>0</v>
      </c>
      <c r="L16" s="125">
        <v>2.77</v>
      </c>
      <c r="M16" s="10">
        <f>L16*S$3</f>
        <v>92.850400000000008</v>
      </c>
      <c r="N16" s="13">
        <f t="shared" si="15"/>
        <v>105.64720000000001</v>
      </c>
      <c r="O16" s="17">
        <f>E16+J16+L16</f>
        <v>3.76</v>
      </c>
      <c r="P16" s="21">
        <f t="shared" si="31"/>
        <v>28.097659574468089</v>
      </c>
      <c r="Q16" s="13">
        <f t="shared" si="38"/>
        <v>0</v>
      </c>
      <c r="R16" s="13">
        <f t="shared" si="38"/>
        <v>7.8432000000000004</v>
      </c>
      <c r="S16" s="13">
        <f>Q16+R16</f>
        <v>7.8432000000000004</v>
      </c>
      <c r="T16" s="13">
        <f t="shared" si="16"/>
        <v>7.8432000000000004</v>
      </c>
      <c r="U16" s="125">
        <v>0.25</v>
      </c>
      <c r="V16" s="156">
        <v>0</v>
      </c>
      <c r="W16" s="20">
        <f>IFERROR(T16/U16,0)</f>
        <v>31.372800000000002</v>
      </c>
      <c r="X16" s="125">
        <v>0</v>
      </c>
      <c r="Y16" s="10">
        <f>X16*AF$3</f>
        <v>0</v>
      </c>
      <c r="Z16" s="13">
        <f>T16+Y16</f>
        <v>7.8432000000000004</v>
      </c>
      <c r="AA16" s="11">
        <f>U16+X16</f>
        <v>0.25</v>
      </c>
      <c r="AB16" s="160">
        <f t="shared" si="10"/>
        <v>16</v>
      </c>
      <c r="AC16" s="18">
        <f t="shared" si="39"/>
        <v>31.372800000000002</v>
      </c>
      <c r="AD16" s="141">
        <f t="shared" si="40"/>
        <v>113.49040000000001</v>
      </c>
      <c r="AE16" s="67">
        <f t="shared" si="40"/>
        <v>4.01</v>
      </c>
      <c r="AF16" s="68">
        <f t="shared" si="34"/>
        <v>28.301845386533671</v>
      </c>
    </row>
    <row r="17" spans="1:32" x14ac:dyDescent="0.25">
      <c r="A17" s="8">
        <v>45239</v>
      </c>
      <c r="B17" s="144">
        <v>8</v>
      </c>
      <c r="C17" s="123">
        <v>0</v>
      </c>
      <c r="D17" s="123">
        <v>54</v>
      </c>
      <c r="E17" s="125">
        <v>0</v>
      </c>
      <c r="F17" s="18">
        <f>IFERROR(#REF!/E17,0)</f>
        <v>0</v>
      </c>
      <c r="G17" s="13">
        <f t="shared" si="37"/>
        <v>0</v>
      </c>
      <c r="H17" s="13">
        <f t="shared" si="37"/>
        <v>172.75680000000003</v>
      </c>
      <c r="I17" s="13">
        <f t="shared" si="14"/>
        <v>172.75680000000003</v>
      </c>
      <c r="J17" s="125">
        <v>1.35</v>
      </c>
      <c r="K17" s="14">
        <f>IFERROR((G17+H17+#REF!)/J17,0)</f>
        <v>0</v>
      </c>
      <c r="L17" s="125">
        <v>0.88</v>
      </c>
      <c r="M17" s="10">
        <f>L17*S$3</f>
        <v>29.497600000000002</v>
      </c>
      <c r="N17" s="13">
        <f t="shared" si="15"/>
        <v>202.25440000000003</v>
      </c>
      <c r="O17" s="17">
        <f>E17+J17+L17</f>
        <v>2.23</v>
      </c>
      <c r="P17" s="21">
        <f t="shared" si="31"/>
        <v>90.697040358744417</v>
      </c>
      <c r="Q17" s="13">
        <f t="shared" si="38"/>
        <v>0</v>
      </c>
      <c r="R17" s="13">
        <f t="shared" si="38"/>
        <v>105.8832</v>
      </c>
      <c r="S17" s="13">
        <f>Q17+R17</f>
        <v>105.8832</v>
      </c>
      <c r="T17" s="13">
        <f t="shared" si="16"/>
        <v>105.8832</v>
      </c>
      <c r="U17" s="125">
        <v>0.5</v>
      </c>
      <c r="V17" s="156">
        <v>0</v>
      </c>
      <c r="W17" s="20">
        <f t="shared" si="32"/>
        <v>211.7664</v>
      </c>
      <c r="X17" s="125">
        <v>0.17</v>
      </c>
      <c r="Y17" s="10">
        <f>X17*AF$3</f>
        <v>5.6984000000000012</v>
      </c>
      <c r="Z17" s="13">
        <f>T17+Y17</f>
        <v>111.58160000000001</v>
      </c>
      <c r="AA17" s="11">
        <f>U17+X17</f>
        <v>0.67</v>
      </c>
      <c r="AB17" s="160">
        <f t="shared" si="10"/>
        <v>11.940298507462686</v>
      </c>
      <c r="AC17" s="18">
        <f t="shared" si="39"/>
        <v>166.53970149253732</v>
      </c>
      <c r="AD17" s="141">
        <f t="shared" si="40"/>
        <v>313.83600000000001</v>
      </c>
      <c r="AE17" s="67">
        <f t="shared" si="40"/>
        <v>2.9</v>
      </c>
      <c r="AF17" s="68">
        <f t="shared" si="34"/>
        <v>108.21931034482759</v>
      </c>
    </row>
    <row r="18" spans="1:32" s="195" customFormat="1" x14ac:dyDescent="0.25">
      <c r="A18" s="189">
        <v>45240</v>
      </c>
      <c r="B18" s="190"/>
      <c r="C18" s="191"/>
      <c r="D18" s="191"/>
      <c r="E18" s="192"/>
      <c r="F18" s="18">
        <f>IFERROR(#REF!/E18,0)</f>
        <v>0</v>
      </c>
      <c r="G18" s="13">
        <f t="shared" ref="G18" si="41">C18*L$3</f>
        <v>0</v>
      </c>
      <c r="H18" s="13">
        <f t="shared" ref="H18" si="42">D18*M$3</f>
        <v>0</v>
      </c>
      <c r="I18" s="13">
        <f t="shared" ref="I18" si="43">G18+H18</f>
        <v>0</v>
      </c>
      <c r="J18" s="192"/>
      <c r="K18" s="14">
        <f>IFERROR((G18+H18+#REF!)/J18,0)</f>
        <v>0</v>
      </c>
      <c r="L18" s="192"/>
      <c r="M18" s="10">
        <f>L18*S$3</f>
        <v>0</v>
      </c>
      <c r="N18" s="13">
        <f t="shared" ref="N18" si="44">I18+M18</f>
        <v>0</v>
      </c>
      <c r="O18" s="17">
        <f>E18+J18+L18</f>
        <v>0</v>
      </c>
      <c r="P18" s="21">
        <f t="shared" ref="P18" si="45">IFERROR(N18/O18,0)</f>
        <v>0</v>
      </c>
      <c r="Q18" s="13">
        <f t="shared" ref="Q18" si="46">C18*Y$3</f>
        <v>0</v>
      </c>
      <c r="R18" s="13">
        <f t="shared" ref="R18" si="47">D18*Z$3</f>
        <v>0</v>
      </c>
      <c r="S18" s="13">
        <f>Q18+R18</f>
        <v>0</v>
      </c>
      <c r="T18" s="13">
        <f t="shared" ref="T18" si="48">S18</f>
        <v>0</v>
      </c>
      <c r="U18" s="192"/>
      <c r="V18" s="194"/>
      <c r="W18" s="20">
        <f t="shared" si="32"/>
        <v>0</v>
      </c>
      <c r="X18" s="192"/>
      <c r="Y18" s="10">
        <f>X18*AF$3</f>
        <v>0</v>
      </c>
      <c r="Z18" s="13">
        <f>T18+Y18</f>
        <v>0</v>
      </c>
      <c r="AA18" s="11">
        <f>U18+X18</f>
        <v>0</v>
      </c>
      <c r="AB18" s="160">
        <f t="shared" ref="AB18" si="49">IFERROR(B18/AA18, 0)</f>
        <v>0</v>
      </c>
      <c r="AC18" s="18">
        <f t="shared" ref="AC18" si="50">IFERROR(Z18/AA18,0)</f>
        <v>0</v>
      </c>
      <c r="AD18" s="141">
        <f t="shared" ref="AD18" si="51">Z18+N18</f>
        <v>0</v>
      </c>
      <c r="AE18" s="67">
        <f t="shared" ref="AE18" si="52">AA18+O18</f>
        <v>0</v>
      </c>
      <c r="AF18" s="68">
        <f t="shared" ref="AF18" si="53">IFERROR(AD18/AE18,0)</f>
        <v>0</v>
      </c>
    </row>
    <row r="19" spans="1:32" x14ac:dyDescent="0.25">
      <c r="A19" s="95" t="s">
        <v>13</v>
      </c>
      <c r="B19" s="23">
        <f t="shared" ref="B19:C19" si="54">SUM(B14:B18)</f>
        <v>20</v>
      </c>
      <c r="C19" s="23">
        <f t="shared" si="54"/>
        <v>0</v>
      </c>
      <c r="D19" s="148">
        <f>SUM(D14:D18)</f>
        <v>67</v>
      </c>
      <c r="E19" s="26">
        <f>SUM(E14:E18)</f>
        <v>0</v>
      </c>
      <c r="F19" s="27">
        <f>IFERROR(#REF!/E19,0)</f>
        <v>0</v>
      </c>
      <c r="G19" s="28">
        <f>SUM(G14:G18)</f>
        <v>0</v>
      </c>
      <c r="H19" s="28">
        <f>SUM(H14:H18)</f>
        <v>214.34640000000002</v>
      </c>
      <c r="I19" s="25">
        <f>SUM(I14:I18)</f>
        <v>214.34640000000002</v>
      </c>
      <c r="J19" s="26">
        <f>SUM(J14:J18)</f>
        <v>4.3900000000000006</v>
      </c>
      <c r="K19" s="29">
        <f>IFERROR((G19+H19+#REF!)/J19,0)</f>
        <v>0</v>
      </c>
      <c r="L19" s="26">
        <f>SUM(L14:L18)</f>
        <v>5.17</v>
      </c>
      <c r="M19" s="25">
        <f>SUM(M14:M18)</f>
        <v>173.29840000000002</v>
      </c>
      <c r="N19" s="28">
        <f>SUM(N14:N18)</f>
        <v>387.64480000000003</v>
      </c>
      <c r="O19" s="30">
        <f>SUM(O14:O18)</f>
        <v>9.56</v>
      </c>
      <c r="P19" s="31">
        <f t="shared" si="31"/>
        <v>40.548619246861925</v>
      </c>
      <c r="Q19" s="28">
        <f t="shared" ref="Q19:U19" si="55">SUM(Q14:Q18)</f>
        <v>0</v>
      </c>
      <c r="R19" s="28">
        <f>SUM(R14:R18)</f>
        <v>131.37360000000001</v>
      </c>
      <c r="S19" s="25">
        <f t="shared" si="55"/>
        <v>131.37360000000001</v>
      </c>
      <c r="T19" s="28">
        <f t="shared" si="55"/>
        <v>131.37360000000001</v>
      </c>
      <c r="U19" s="26">
        <f t="shared" si="55"/>
        <v>2.17</v>
      </c>
      <c r="V19" s="26">
        <f>SUM(V14:V18)</f>
        <v>0.42</v>
      </c>
      <c r="W19" s="29">
        <f>IFERROR(T19/U19,0)</f>
        <v>60.540829493087564</v>
      </c>
      <c r="X19" s="26">
        <f>SUM(X14:X18)</f>
        <v>0.17</v>
      </c>
      <c r="Y19" s="25">
        <f>SUM(Y14:Y18)</f>
        <v>5.6984000000000012</v>
      </c>
      <c r="Z19" s="28">
        <f>SUM(Z14:Z18)</f>
        <v>137.072</v>
      </c>
      <c r="AA19" s="30">
        <f>SUM(AA14:AA18)</f>
        <v>2.34</v>
      </c>
      <c r="AB19" s="163">
        <f t="shared" si="10"/>
        <v>8.5470085470085468</v>
      </c>
      <c r="AC19" s="27">
        <f>IFERROR(Z19/AA19,0)</f>
        <v>58.577777777777783</v>
      </c>
      <c r="AD19" s="69">
        <f>SUM(AD14:AD18)</f>
        <v>524.71680000000003</v>
      </c>
      <c r="AE19" s="70">
        <f>SUM(AE14:AE18)</f>
        <v>11.9</v>
      </c>
      <c r="AF19" s="71">
        <f t="shared" si="34"/>
        <v>44.093848739495797</v>
      </c>
    </row>
    <row r="20" spans="1:32" x14ac:dyDescent="0.25">
      <c r="A20" s="8">
        <v>45243</v>
      </c>
      <c r="B20" s="143"/>
      <c r="C20" s="122"/>
      <c r="D20" s="122"/>
      <c r="E20" s="124"/>
      <c r="F20" s="18">
        <f>IFERROR(#REF!/E20,0)</f>
        <v>0</v>
      </c>
      <c r="G20" s="13">
        <f t="shared" ref="G20:H24" si="56">C20*L$3</f>
        <v>0</v>
      </c>
      <c r="H20" s="13">
        <f t="shared" si="56"/>
        <v>0</v>
      </c>
      <c r="I20" s="13">
        <f t="shared" ref="I20:I36" si="57">G20+H20</f>
        <v>0</v>
      </c>
      <c r="J20" s="124"/>
      <c r="K20" s="14">
        <f>IFERROR((G20+H20+#REF!)/J20,0)</f>
        <v>0</v>
      </c>
      <c r="L20" s="124"/>
      <c r="M20" s="10">
        <f>L20*S$3</f>
        <v>0</v>
      </c>
      <c r="N20" s="13">
        <f t="shared" si="15"/>
        <v>0</v>
      </c>
      <c r="O20" s="17">
        <f>E20+J20+L20</f>
        <v>0</v>
      </c>
      <c r="P20" s="21">
        <f t="shared" si="31"/>
        <v>0</v>
      </c>
      <c r="Q20" s="13">
        <f t="shared" ref="Q20:R24" si="58">C20*Y$3</f>
        <v>0</v>
      </c>
      <c r="R20" s="13">
        <f t="shared" si="58"/>
        <v>0</v>
      </c>
      <c r="S20" s="13">
        <f>Q20+R20</f>
        <v>0</v>
      </c>
      <c r="T20" s="13">
        <f t="shared" si="16"/>
        <v>0</v>
      </c>
      <c r="U20" s="124"/>
      <c r="V20" s="156"/>
      <c r="W20" s="20">
        <f t="shared" si="32"/>
        <v>0</v>
      </c>
      <c r="X20" s="124"/>
      <c r="Y20" s="10">
        <f>X20*AF$3</f>
        <v>0</v>
      </c>
      <c r="Z20" s="13">
        <f>T20+Y20</f>
        <v>0</v>
      </c>
      <c r="AA20" s="11">
        <f>U20+X20</f>
        <v>0</v>
      </c>
      <c r="AB20" s="160">
        <f t="shared" si="10"/>
        <v>0</v>
      </c>
      <c r="AC20" s="18">
        <f t="shared" si="39"/>
        <v>0</v>
      </c>
      <c r="AD20" s="141">
        <f t="shared" ref="AD20:AE24" si="59">Z20+N20</f>
        <v>0</v>
      </c>
      <c r="AE20" s="67">
        <f t="shared" si="59"/>
        <v>0</v>
      </c>
      <c r="AF20" s="68">
        <f t="shared" si="34"/>
        <v>0</v>
      </c>
    </row>
    <row r="21" spans="1:32" x14ac:dyDescent="0.25">
      <c r="A21" s="8">
        <v>45244</v>
      </c>
      <c r="B21" s="144"/>
      <c r="C21" s="123"/>
      <c r="D21" s="123"/>
      <c r="E21" s="125"/>
      <c r="F21" s="18">
        <f>IFERROR(#REF!/E21,0)</f>
        <v>0</v>
      </c>
      <c r="G21" s="13">
        <f t="shared" si="56"/>
        <v>0</v>
      </c>
      <c r="H21" s="13">
        <f t="shared" si="56"/>
        <v>0</v>
      </c>
      <c r="I21" s="13">
        <f t="shared" si="57"/>
        <v>0</v>
      </c>
      <c r="J21" s="125"/>
      <c r="K21" s="14">
        <f>IFERROR((G21+H21+#REF!)/J21,0)</f>
        <v>0</v>
      </c>
      <c r="L21" s="125"/>
      <c r="M21" s="10">
        <f>L21*S$3</f>
        <v>0</v>
      </c>
      <c r="N21" s="13">
        <f t="shared" si="15"/>
        <v>0</v>
      </c>
      <c r="O21" s="17">
        <f>E21+J21+L21</f>
        <v>0</v>
      </c>
      <c r="P21" s="21">
        <f t="shared" si="31"/>
        <v>0</v>
      </c>
      <c r="Q21" s="13">
        <f t="shared" si="58"/>
        <v>0</v>
      </c>
      <c r="R21" s="13">
        <f t="shared" si="58"/>
        <v>0</v>
      </c>
      <c r="S21" s="13">
        <f>Q21+R21</f>
        <v>0</v>
      </c>
      <c r="T21" s="13">
        <f t="shared" si="16"/>
        <v>0</v>
      </c>
      <c r="U21" s="125"/>
      <c r="V21" s="156"/>
      <c r="W21" s="20">
        <f t="shared" si="32"/>
        <v>0</v>
      </c>
      <c r="X21" s="125"/>
      <c r="Y21" s="10">
        <f>X21*AF$3</f>
        <v>0</v>
      </c>
      <c r="Z21" s="13">
        <f>T21+Y21</f>
        <v>0</v>
      </c>
      <c r="AA21" s="11">
        <f>U21+X21</f>
        <v>0</v>
      </c>
      <c r="AB21" s="160">
        <f t="shared" si="10"/>
        <v>0</v>
      </c>
      <c r="AC21" s="18">
        <f t="shared" si="39"/>
        <v>0</v>
      </c>
      <c r="AD21" s="141">
        <f t="shared" si="59"/>
        <v>0</v>
      </c>
      <c r="AE21" s="67">
        <f t="shared" si="59"/>
        <v>0</v>
      </c>
      <c r="AF21" s="68">
        <f t="shared" si="34"/>
        <v>0</v>
      </c>
    </row>
    <row r="22" spans="1:32" x14ac:dyDescent="0.25">
      <c r="A22" s="8">
        <v>45245</v>
      </c>
      <c r="B22" s="144"/>
      <c r="C22" s="123"/>
      <c r="D22" s="123"/>
      <c r="E22" s="125"/>
      <c r="F22" s="18">
        <f>IFERROR(#REF!/E22,0)</f>
        <v>0</v>
      </c>
      <c r="G22" s="13">
        <f t="shared" si="56"/>
        <v>0</v>
      </c>
      <c r="H22" s="13">
        <f t="shared" si="56"/>
        <v>0</v>
      </c>
      <c r="I22" s="13">
        <f t="shared" si="57"/>
        <v>0</v>
      </c>
      <c r="J22" s="125"/>
      <c r="K22" s="14">
        <f>IFERROR((G22+H22+#REF!)/J22,0)</f>
        <v>0</v>
      </c>
      <c r="L22" s="125"/>
      <c r="M22" s="10">
        <f>L22*S$3</f>
        <v>0</v>
      </c>
      <c r="N22" s="13">
        <f t="shared" si="15"/>
        <v>0</v>
      </c>
      <c r="O22" s="17">
        <f>E22+J22+L22</f>
        <v>0</v>
      </c>
      <c r="P22" s="21">
        <f>IFERROR(N22/O22,0)</f>
        <v>0</v>
      </c>
      <c r="Q22" s="13">
        <f t="shared" si="58"/>
        <v>0</v>
      </c>
      <c r="R22" s="13">
        <f t="shared" si="58"/>
        <v>0</v>
      </c>
      <c r="S22" s="13">
        <f>Q22+R22</f>
        <v>0</v>
      </c>
      <c r="T22" s="13">
        <f t="shared" si="16"/>
        <v>0</v>
      </c>
      <c r="U22" s="125"/>
      <c r="V22" s="156"/>
      <c r="W22" s="20">
        <f t="shared" si="32"/>
        <v>0</v>
      </c>
      <c r="X22" s="125"/>
      <c r="Y22" s="10">
        <f>X22*AF$3</f>
        <v>0</v>
      </c>
      <c r="Z22" s="13">
        <f>T22+Y22</f>
        <v>0</v>
      </c>
      <c r="AA22" s="11">
        <f>U22+X22</f>
        <v>0</v>
      </c>
      <c r="AB22" s="160">
        <f t="shared" si="10"/>
        <v>0</v>
      </c>
      <c r="AC22" s="18">
        <f t="shared" si="39"/>
        <v>0</v>
      </c>
      <c r="AD22" s="141">
        <f t="shared" si="59"/>
        <v>0</v>
      </c>
      <c r="AE22" s="67">
        <f t="shared" si="59"/>
        <v>0</v>
      </c>
      <c r="AF22" s="68">
        <f t="shared" si="34"/>
        <v>0</v>
      </c>
    </row>
    <row r="23" spans="1:32" x14ac:dyDescent="0.25">
      <c r="A23" s="8">
        <v>45246</v>
      </c>
      <c r="B23" s="144"/>
      <c r="C23" s="123"/>
      <c r="D23" s="123"/>
      <c r="E23" s="125"/>
      <c r="F23" s="18">
        <f>IFERROR(#REF!/E23,0)</f>
        <v>0</v>
      </c>
      <c r="G23" s="13">
        <f t="shared" si="56"/>
        <v>0</v>
      </c>
      <c r="H23" s="13">
        <f t="shared" si="56"/>
        <v>0</v>
      </c>
      <c r="I23" s="13">
        <f t="shared" si="57"/>
        <v>0</v>
      </c>
      <c r="J23" s="125"/>
      <c r="K23" s="14">
        <f>IFERROR((G23+H23+#REF!)/J23,0)</f>
        <v>0</v>
      </c>
      <c r="L23" s="125"/>
      <c r="M23" s="10">
        <f>L23*S$3</f>
        <v>0</v>
      </c>
      <c r="N23" s="13">
        <f t="shared" si="15"/>
        <v>0</v>
      </c>
      <c r="O23" s="17">
        <f>E23+J23+L23</f>
        <v>0</v>
      </c>
      <c r="P23" s="21">
        <f t="shared" si="31"/>
        <v>0</v>
      </c>
      <c r="Q23" s="13">
        <f t="shared" si="58"/>
        <v>0</v>
      </c>
      <c r="R23" s="13">
        <f t="shared" si="58"/>
        <v>0</v>
      </c>
      <c r="S23" s="13">
        <f>Q23+R23</f>
        <v>0</v>
      </c>
      <c r="T23" s="13">
        <f t="shared" si="16"/>
        <v>0</v>
      </c>
      <c r="U23" s="125"/>
      <c r="V23" s="156"/>
      <c r="W23" s="20">
        <f t="shared" si="32"/>
        <v>0</v>
      </c>
      <c r="X23" s="125"/>
      <c r="Y23" s="10">
        <f>X23*AF$3</f>
        <v>0</v>
      </c>
      <c r="Z23" s="13">
        <f>T23+Y23</f>
        <v>0</v>
      </c>
      <c r="AA23" s="11">
        <f>U23+X23</f>
        <v>0</v>
      </c>
      <c r="AB23" s="160">
        <f t="shared" si="10"/>
        <v>0</v>
      </c>
      <c r="AC23" s="18">
        <f t="shared" si="39"/>
        <v>0</v>
      </c>
      <c r="AD23" s="141">
        <f t="shared" si="59"/>
        <v>0</v>
      </c>
      <c r="AE23" s="67">
        <f t="shared" si="59"/>
        <v>0</v>
      </c>
      <c r="AF23" s="68">
        <f t="shared" si="34"/>
        <v>0</v>
      </c>
    </row>
    <row r="24" spans="1:32" x14ac:dyDescent="0.25">
      <c r="A24" s="8">
        <v>45247</v>
      </c>
      <c r="B24" s="144"/>
      <c r="C24" s="123"/>
      <c r="D24" s="123"/>
      <c r="E24" s="125"/>
      <c r="F24" s="18">
        <f>IFERROR(#REF!/E24,0)</f>
        <v>0</v>
      </c>
      <c r="G24" s="13">
        <f t="shared" si="56"/>
        <v>0</v>
      </c>
      <c r="H24" s="13">
        <f t="shared" si="56"/>
        <v>0</v>
      </c>
      <c r="I24" s="13">
        <f t="shared" si="57"/>
        <v>0</v>
      </c>
      <c r="J24" s="125"/>
      <c r="K24" s="14">
        <f>IFERROR((G24+H24+#REF!)/J24,0)</f>
        <v>0</v>
      </c>
      <c r="L24" s="125"/>
      <c r="M24" s="10">
        <f>L24*S$3</f>
        <v>0</v>
      </c>
      <c r="N24" s="13">
        <f t="shared" si="15"/>
        <v>0</v>
      </c>
      <c r="O24" s="17">
        <f>E24+J24+L24</f>
        <v>0</v>
      </c>
      <c r="P24" s="21">
        <f t="shared" si="31"/>
        <v>0</v>
      </c>
      <c r="Q24" s="13">
        <f t="shared" si="58"/>
        <v>0</v>
      </c>
      <c r="R24" s="13">
        <f t="shared" si="58"/>
        <v>0</v>
      </c>
      <c r="S24" s="13">
        <f>Q24+R24</f>
        <v>0</v>
      </c>
      <c r="T24" s="13">
        <f t="shared" si="16"/>
        <v>0</v>
      </c>
      <c r="U24" s="125"/>
      <c r="V24" s="156"/>
      <c r="W24" s="20">
        <f t="shared" si="32"/>
        <v>0</v>
      </c>
      <c r="X24" s="125"/>
      <c r="Y24" s="10">
        <f>X24*AF$3</f>
        <v>0</v>
      </c>
      <c r="Z24" s="13">
        <f>T24+Y24</f>
        <v>0</v>
      </c>
      <c r="AA24" s="11">
        <f>U24+X24</f>
        <v>0</v>
      </c>
      <c r="AB24" s="160">
        <f t="shared" si="10"/>
        <v>0</v>
      </c>
      <c r="AC24" s="18">
        <f t="shared" si="39"/>
        <v>0</v>
      </c>
      <c r="AD24" s="141">
        <f t="shared" si="59"/>
        <v>0</v>
      </c>
      <c r="AE24" s="67">
        <f t="shared" si="59"/>
        <v>0</v>
      </c>
      <c r="AF24" s="68">
        <f t="shared" si="34"/>
        <v>0</v>
      </c>
    </row>
    <row r="25" spans="1:32" x14ac:dyDescent="0.25">
      <c r="A25" s="95" t="s">
        <v>13</v>
      </c>
      <c r="B25" s="23">
        <f t="shared" ref="B25:E25" si="60">SUM(B20:B24)</f>
        <v>0</v>
      </c>
      <c r="C25" s="23">
        <f t="shared" si="60"/>
        <v>0</v>
      </c>
      <c r="D25" s="148">
        <f>SUM(D20:D24)</f>
        <v>0</v>
      </c>
      <c r="E25" s="26">
        <f t="shared" si="60"/>
        <v>0</v>
      </c>
      <c r="F25" s="27">
        <f>IFERROR(#REF!/E25,0)</f>
        <v>0</v>
      </c>
      <c r="G25" s="28">
        <f>SUM(G20:G24)</f>
        <v>0</v>
      </c>
      <c r="H25" s="28">
        <f>SUM(H20:H24)</f>
        <v>0</v>
      </c>
      <c r="I25" s="25">
        <f>SUM(I20:I24)</f>
        <v>0</v>
      </c>
      <c r="J25" s="26">
        <f>SUM(J20:J24)</f>
        <v>0</v>
      </c>
      <c r="K25" s="29">
        <f>IFERROR((G25+H25+#REF!)/J25,0)</f>
        <v>0</v>
      </c>
      <c r="L25" s="26">
        <f>SUM(L20:L24)</f>
        <v>0</v>
      </c>
      <c r="M25" s="25">
        <f>SUM(M20:M24)</f>
        <v>0</v>
      </c>
      <c r="N25" s="28">
        <f>SUM(N20:N24)</f>
        <v>0</v>
      </c>
      <c r="O25" s="30">
        <f>SUM(O20:O24)</f>
        <v>0</v>
      </c>
      <c r="P25" s="31">
        <f t="shared" si="31"/>
        <v>0</v>
      </c>
      <c r="Q25" s="28">
        <f t="shared" ref="Q25:U25" si="61">SUM(Q20:Q24)</f>
        <v>0</v>
      </c>
      <c r="R25" s="28">
        <f>SUM(R20:R24)</f>
        <v>0</v>
      </c>
      <c r="S25" s="25">
        <f t="shared" si="61"/>
        <v>0</v>
      </c>
      <c r="T25" s="28">
        <f t="shared" si="61"/>
        <v>0</v>
      </c>
      <c r="U25" s="26">
        <f t="shared" si="61"/>
        <v>0</v>
      </c>
      <c r="V25" s="26">
        <f>SUM(V20:V24)</f>
        <v>0</v>
      </c>
      <c r="W25" s="29">
        <f>IFERROR(T25/U25,0)</f>
        <v>0</v>
      </c>
      <c r="X25" s="26">
        <f>SUM(X20:X24)</f>
        <v>0</v>
      </c>
      <c r="Y25" s="25">
        <f>SUM(Y20:Y24)</f>
        <v>0</v>
      </c>
      <c r="Z25" s="28">
        <f>SUM(Z20:Z24)</f>
        <v>0</v>
      </c>
      <c r="AA25" s="30">
        <f>SUM(AA20:AA24)</f>
        <v>0</v>
      </c>
      <c r="AB25" s="163">
        <f t="shared" si="10"/>
        <v>0</v>
      </c>
      <c r="AC25" s="27">
        <f>IFERROR(Z25/AA25,0)</f>
        <v>0</v>
      </c>
      <c r="AD25" s="69">
        <f>SUM(AD20:AD24)</f>
        <v>0</v>
      </c>
      <c r="AE25" s="70">
        <f>SUM(AE20:AE24)</f>
        <v>0</v>
      </c>
      <c r="AF25" s="71">
        <f t="shared" si="34"/>
        <v>0</v>
      </c>
    </row>
    <row r="26" spans="1:32" x14ac:dyDescent="0.25">
      <c r="A26" s="8">
        <v>45250</v>
      </c>
      <c r="B26" s="143"/>
      <c r="C26" s="122"/>
      <c r="D26" s="122"/>
      <c r="E26" s="124"/>
      <c r="F26" s="18">
        <f>IFERROR(#REF!/E26,0)</f>
        <v>0</v>
      </c>
      <c r="G26" s="13">
        <f t="shared" ref="G26:H30" si="62">C26*L$3</f>
        <v>0</v>
      </c>
      <c r="H26" s="13">
        <f t="shared" si="62"/>
        <v>0</v>
      </c>
      <c r="I26" s="13">
        <f t="shared" si="57"/>
        <v>0</v>
      </c>
      <c r="J26" s="124"/>
      <c r="K26" s="14">
        <f>IFERROR((G26+H26+#REF!)/J26,0)</f>
        <v>0</v>
      </c>
      <c r="L26" s="124"/>
      <c r="M26" s="10">
        <f>L26*S$3</f>
        <v>0</v>
      </c>
      <c r="N26" s="13">
        <f t="shared" si="15"/>
        <v>0</v>
      </c>
      <c r="O26" s="17">
        <f>E26+J26+L26</f>
        <v>0</v>
      </c>
      <c r="P26" s="21">
        <f t="shared" si="31"/>
        <v>0</v>
      </c>
      <c r="Q26" s="13">
        <f t="shared" ref="Q26:R30" si="63">C26*Y$3</f>
        <v>0</v>
      </c>
      <c r="R26" s="13">
        <f t="shared" si="63"/>
        <v>0</v>
      </c>
      <c r="S26" s="13">
        <f>Q26+R26</f>
        <v>0</v>
      </c>
      <c r="T26" s="13">
        <f t="shared" si="16"/>
        <v>0</v>
      </c>
      <c r="U26" s="124"/>
      <c r="V26" s="156"/>
      <c r="W26" s="20">
        <f t="shared" si="32"/>
        <v>0</v>
      </c>
      <c r="X26" s="124"/>
      <c r="Y26" s="10">
        <f>X26*AF$3</f>
        <v>0</v>
      </c>
      <c r="Z26" s="13">
        <f>T26+Y26</f>
        <v>0</v>
      </c>
      <c r="AA26" s="11">
        <f>U26+X26</f>
        <v>0</v>
      </c>
      <c r="AB26" s="160">
        <f t="shared" si="10"/>
        <v>0</v>
      </c>
      <c r="AC26" s="18">
        <f t="shared" si="39"/>
        <v>0</v>
      </c>
      <c r="AD26" s="141">
        <f t="shared" ref="AD26:AE30" si="64">Z26+N26</f>
        <v>0</v>
      </c>
      <c r="AE26" s="67">
        <f t="shared" si="64"/>
        <v>0</v>
      </c>
      <c r="AF26" s="68">
        <f t="shared" si="34"/>
        <v>0</v>
      </c>
    </row>
    <row r="27" spans="1:32" x14ac:dyDescent="0.25">
      <c r="A27" s="8">
        <v>45251</v>
      </c>
      <c r="B27" s="144"/>
      <c r="C27" s="123"/>
      <c r="D27" s="123"/>
      <c r="E27" s="125"/>
      <c r="F27" s="18">
        <f>IFERROR(#REF!/E27,0)</f>
        <v>0</v>
      </c>
      <c r="G27" s="13">
        <f t="shared" si="62"/>
        <v>0</v>
      </c>
      <c r="H27" s="13">
        <f t="shared" si="62"/>
        <v>0</v>
      </c>
      <c r="I27" s="13">
        <f t="shared" si="57"/>
        <v>0</v>
      </c>
      <c r="J27" s="125"/>
      <c r="K27" s="14">
        <f>IFERROR((G27+H27+#REF!)/J27,0)</f>
        <v>0</v>
      </c>
      <c r="L27" s="125"/>
      <c r="M27" s="10">
        <f>L27*S$3</f>
        <v>0</v>
      </c>
      <c r="N27" s="13">
        <f t="shared" si="15"/>
        <v>0</v>
      </c>
      <c r="O27" s="17">
        <f>E27+J27+L27</f>
        <v>0</v>
      </c>
      <c r="P27" s="21">
        <f t="shared" si="31"/>
        <v>0</v>
      </c>
      <c r="Q27" s="13">
        <f t="shared" si="63"/>
        <v>0</v>
      </c>
      <c r="R27" s="13">
        <f t="shared" si="63"/>
        <v>0</v>
      </c>
      <c r="S27" s="13">
        <f>Q27+R27</f>
        <v>0</v>
      </c>
      <c r="T27" s="13">
        <f t="shared" si="16"/>
        <v>0</v>
      </c>
      <c r="U27" s="125"/>
      <c r="V27" s="156"/>
      <c r="W27" s="20">
        <f t="shared" si="32"/>
        <v>0</v>
      </c>
      <c r="X27" s="125"/>
      <c r="Y27" s="10">
        <f>X27*AF$3</f>
        <v>0</v>
      </c>
      <c r="Z27" s="13">
        <f>T27+Y27</f>
        <v>0</v>
      </c>
      <c r="AA27" s="11">
        <f>U27+X27</f>
        <v>0</v>
      </c>
      <c r="AB27" s="160">
        <f t="shared" si="10"/>
        <v>0</v>
      </c>
      <c r="AC27" s="18">
        <f t="shared" si="39"/>
        <v>0</v>
      </c>
      <c r="AD27" s="141">
        <f t="shared" si="64"/>
        <v>0</v>
      </c>
      <c r="AE27" s="67">
        <f t="shared" si="64"/>
        <v>0</v>
      </c>
      <c r="AF27" s="68">
        <f t="shared" si="34"/>
        <v>0</v>
      </c>
    </row>
    <row r="28" spans="1:32" x14ac:dyDescent="0.25">
      <c r="A28" s="8">
        <v>45252</v>
      </c>
      <c r="B28" s="144"/>
      <c r="C28" s="123"/>
      <c r="D28" s="123"/>
      <c r="E28" s="125"/>
      <c r="F28" s="18">
        <f>IFERROR(#REF!/E28,0)</f>
        <v>0</v>
      </c>
      <c r="G28" s="13">
        <f t="shared" si="62"/>
        <v>0</v>
      </c>
      <c r="H28" s="13">
        <f t="shared" si="62"/>
        <v>0</v>
      </c>
      <c r="I28" s="13">
        <f t="shared" si="57"/>
        <v>0</v>
      </c>
      <c r="J28" s="125"/>
      <c r="K28" s="14">
        <f>IFERROR((G28+H28+#REF!)/J28,0)</f>
        <v>0</v>
      </c>
      <c r="L28" s="125"/>
      <c r="M28" s="10">
        <f>L28*S$3</f>
        <v>0</v>
      </c>
      <c r="N28" s="13">
        <f t="shared" si="15"/>
        <v>0</v>
      </c>
      <c r="O28" s="17">
        <f>E28+J28+L28</f>
        <v>0</v>
      </c>
      <c r="P28" s="21">
        <f>IFERROR(N28/O28,0)</f>
        <v>0</v>
      </c>
      <c r="Q28" s="13">
        <f t="shared" si="63"/>
        <v>0</v>
      </c>
      <c r="R28" s="13">
        <f t="shared" si="63"/>
        <v>0</v>
      </c>
      <c r="S28" s="13">
        <f>Q28+R28</f>
        <v>0</v>
      </c>
      <c r="T28" s="13">
        <f t="shared" si="16"/>
        <v>0</v>
      </c>
      <c r="U28" s="125"/>
      <c r="V28" s="156"/>
      <c r="W28" s="20">
        <f t="shared" si="32"/>
        <v>0</v>
      </c>
      <c r="X28" s="125"/>
      <c r="Y28" s="10">
        <f>X28*AF$3</f>
        <v>0</v>
      </c>
      <c r="Z28" s="13">
        <f>T28+Y28</f>
        <v>0</v>
      </c>
      <c r="AA28" s="11">
        <f>U28+X28</f>
        <v>0</v>
      </c>
      <c r="AB28" s="160">
        <f t="shared" si="10"/>
        <v>0</v>
      </c>
      <c r="AC28" s="18">
        <f t="shared" si="39"/>
        <v>0</v>
      </c>
      <c r="AD28" s="141">
        <f t="shared" si="64"/>
        <v>0</v>
      </c>
      <c r="AE28" s="67">
        <f t="shared" si="64"/>
        <v>0</v>
      </c>
      <c r="AF28" s="68">
        <f t="shared" si="34"/>
        <v>0</v>
      </c>
    </row>
    <row r="29" spans="1:32" x14ac:dyDescent="0.25">
      <c r="A29" s="8">
        <v>45253</v>
      </c>
      <c r="B29" s="144"/>
      <c r="C29" s="123"/>
      <c r="D29" s="123"/>
      <c r="E29" s="125"/>
      <c r="F29" s="18">
        <f>IFERROR(#REF!/E29,0)</f>
        <v>0</v>
      </c>
      <c r="G29" s="13">
        <f t="shared" si="62"/>
        <v>0</v>
      </c>
      <c r="H29" s="13">
        <f t="shared" si="62"/>
        <v>0</v>
      </c>
      <c r="I29" s="13">
        <f t="shared" si="57"/>
        <v>0</v>
      </c>
      <c r="J29" s="125"/>
      <c r="K29" s="14">
        <f>IFERROR((G29+H29+#REF!)/J29,0)</f>
        <v>0</v>
      </c>
      <c r="L29" s="125"/>
      <c r="M29" s="10">
        <f>L29*S$3</f>
        <v>0</v>
      </c>
      <c r="N29" s="13">
        <f t="shared" si="15"/>
        <v>0</v>
      </c>
      <c r="O29" s="17">
        <f>E29+J29+L29</f>
        <v>0</v>
      </c>
      <c r="P29" s="21">
        <f t="shared" si="31"/>
        <v>0</v>
      </c>
      <c r="Q29" s="13">
        <f t="shared" si="63"/>
        <v>0</v>
      </c>
      <c r="R29" s="13">
        <f t="shared" si="63"/>
        <v>0</v>
      </c>
      <c r="S29" s="13">
        <f>Q29+R29</f>
        <v>0</v>
      </c>
      <c r="T29" s="13">
        <f t="shared" si="16"/>
        <v>0</v>
      </c>
      <c r="U29" s="125"/>
      <c r="V29" s="156"/>
      <c r="W29" s="20">
        <f t="shared" si="32"/>
        <v>0</v>
      </c>
      <c r="X29" s="125"/>
      <c r="Y29" s="10">
        <f>X29*AF$3</f>
        <v>0</v>
      </c>
      <c r="Z29" s="13">
        <f>T29+Y29</f>
        <v>0</v>
      </c>
      <c r="AA29" s="11">
        <f>U29+X29</f>
        <v>0</v>
      </c>
      <c r="AB29" s="160">
        <f t="shared" si="10"/>
        <v>0</v>
      </c>
      <c r="AC29" s="18">
        <f t="shared" si="39"/>
        <v>0</v>
      </c>
      <c r="AD29" s="141">
        <f t="shared" si="64"/>
        <v>0</v>
      </c>
      <c r="AE29" s="67">
        <f t="shared" si="64"/>
        <v>0</v>
      </c>
      <c r="AF29" s="68">
        <f t="shared" si="34"/>
        <v>0</v>
      </c>
    </row>
    <row r="30" spans="1:32" x14ac:dyDescent="0.25">
      <c r="A30" s="8">
        <v>45254</v>
      </c>
      <c r="B30" s="144"/>
      <c r="C30" s="123"/>
      <c r="D30" s="123"/>
      <c r="E30" s="125"/>
      <c r="F30" s="18">
        <f>IFERROR(#REF!/E30,0)</f>
        <v>0</v>
      </c>
      <c r="G30" s="13">
        <f t="shared" si="62"/>
        <v>0</v>
      </c>
      <c r="H30" s="13">
        <f t="shared" si="62"/>
        <v>0</v>
      </c>
      <c r="I30" s="13">
        <f t="shared" si="57"/>
        <v>0</v>
      </c>
      <c r="J30" s="125"/>
      <c r="K30" s="14">
        <f>IFERROR((G30+H30+#REF!)/J30,0)</f>
        <v>0</v>
      </c>
      <c r="L30" s="125"/>
      <c r="M30" s="10">
        <f>L30*S$3</f>
        <v>0</v>
      </c>
      <c r="N30" s="13">
        <f t="shared" si="15"/>
        <v>0</v>
      </c>
      <c r="O30" s="17">
        <f>E30+J30+L30</f>
        <v>0</v>
      </c>
      <c r="P30" s="21">
        <f t="shared" si="31"/>
        <v>0</v>
      </c>
      <c r="Q30" s="13">
        <f t="shared" si="63"/>
        <v>0</v>
      </c>
      <c r="R30" s="13">
        <f t="shared" si="63"/>
        <v>0</v>
      </c>
      <c r="S30" s="13">
        <f>Q30+R30</f>
        <v>0</v>
      </c>
      <c r="T30" s="13">
        <f t="shared" si="16"/>
        <v>0</v>
      </c>
      <c r="U30" s="125"/>
      <c r="V30" s="156"/>
      <c r="W30" s="20">
        <f t="shared" si="32"/>
        <v>0</v>
      </c>
      <c r="X30" s="125"/>
      <c r="Y30" s="10">
        <f>X30*AF$3</f>
        <v>0</v>
      </c>
      <c r="Z30" s="13">
        <f>T30+Y30</f>
        <v>0</v>
      </c>
      <c r="AA30" s="11">
        <f>U30+X30</f>
        <v>0</v>
      </c>
      <c r="AB30" s="160">
        <f t="shared" si="10"/>
        <v>0</v>
      </c>
      <c r="AC30" s="18">
        <f t="shared" si="39"/>
        <v>0</v>
      </c>
      <c r="AD30" s="141">
        <f t="shared" si="64"/>
        <v>0</v>
      </c>
      <c r="AE30" s="67">
        <f t="shared" si="64"/>
        <v>0</v>
      </c>
      <c r="AF30" s="68">
        <f t="shared" si="34"/>
        <v>0</v>
      </c>
    </row>
    <row r="31" spans="1:32" x14ac:dyDescent="0.25">
      <c r="A31" s="95" t="s">
        <v>13</v>
      </c>
      <c r="B31" s="23">
        <f t="shared" ref="B31:E31" si="65">SUM(B26:B30)</f>
        <v>0</v>
      </c>
      <c r="C31" s="23">
        <f t="shared" si="65"/>
        <v>0</v>
      </c>
      <c r="D31" s="148">
        <f>SUM(D26:D30)</f>
        <v>0</v>
      </c>
      <c r="E31" s="26">
        <f t="shared" si="65"/>
        <v>0</v>
      </c>
      <c r="F31" s="27">
        <f>IFERROR(#REF!/E31,0)</f>
        <v>0</v>
      </c>
      <c r="G31" s="28">
        <f>SUM(G26:G30)</f>
        <v>0</v>
      </c>
      <c r="H31" s="28">
        <f>SUM(H26:H30)</f>
        <v>0</v>
      </c>
      <c r="I31" s="25">
        <f>SUM(I26:I30)</f>
        <v>0</v>
      </c>
      <c r="J31" s="26">
        <f>SUM(J26:J30)</f>
        <v>0</v>
      </c>
      <c r="K31" s="29">
        <f>IFERROR((G31+H31+#REF!)/J31,0)</f>
        <v>0</v>
      </c>
      <c r="L31" s="26">
        <f>SUM(L26:L30)</f>
        <v>0</v>
      </c>
      <c r="M31" s="25">
        <f>SUM(M26:M30)</f>
        <v>0</v>
      </c>
      <c r="N31" s="28">
        <f>SUM(N26:N30)</f>
        <v>0</v>
      </c>
      <c r="O31" s="30">
        <f>SUM(O26:O30)</f>
        <v>0</v>
      </c>
      <c r="P31" s="31">
        <f t="shared" si="31"/>
        <v>0</v>
      </c>
      <c r="Q31" s="28">
        <f t="shared" ref="Q31:U31" si="66">SUM(Q26:Q30)</f>
        <v>0</v>
      </c>
      <c r="R31" s="28">
        <f>SUM(R26:R30)</f>
        <v>0</v>
      </c>
      <c r="S31" s="25">
        <f t="shared" si="66"/>
        <v>0</v>
      </c>
      <c r="T31" s="28">
        <f t="shared" si="66"/>
        <v>0</v>
      </c>
      <c r="U31" s="26">
        <f t="shared" si="66"/>
        <v>0</v>
      </c>
      <c r="V31" s="26">
        <f>SUM(V26:V30)</f>
        <v>0</v>
      </c>
      <c r="W31" s="29">
        <f>IFERROR(T31/U31,0)</f>
        <v>0</v>
      </c>
      <c r="X31" s="26">
        <f>SUM(X26:X30)</f>
        <v>0</v>
      </c>
      <c r="Y31" s="25">
        <f>SUM(Y26:Y30)</f>
        <v>0</v>
      </c>
      <c r="Z31" s="28">
        <f>SUM(Z26:Z30)</f>
        <v>0</v>
      </c>
      <c r="AA31" s="30">
        <f>SUM(AA26:AA30)</f>
        <v>0</v>
      </c>
      <c r="AB31" s="163">
        <f t="shared" si="10"/>
        <v>0</v>
      </c>
      <c r="AC31" s="27">
        <f>IFERROR(Z31/AA31,0)</f>
        <v>0</v>
      </c>
      <c r="AD31" s="69">
        <f>SUM(AD26:AD30)</f>
        <v>0</v>
      </c>
      <c r="AE31" s="70">
        <f>SUM(AE26:AE30)</f>
        <v>0</v>
      </c>
      <c r="AF31" s="71">
        <f t="shared" si="34"/>
        <v>0</v>
      </c>
    </row>
    <row r="32" spans="1:32" x14ac:dyDescent="0.25">
      <c r="A32" s="8">
        <v>45257</v>
      </c>
      <c r="B32" s="143"/>
      <c r="C32" s="122"/>
      <c r="D32" s="122"/>
      <c r="E32" s="124"/>
      <c r="F32" s="18">
        <f>IFERROR(#REF!/E32,0)</f>
        <v>0</v>
      </c>
      <c r="G32" s="13">
        <f t="shared" ref="G32:H36" si="67">C32*L$3</f>
        <v>0</v>
      </c>
      <c r="H32" s="13">
        <f t="shared" si="67"/>
        <v>0</v>
      </c>
      <c r="I32" s="13">
        <f t="shared" si="57"/>
        <v>0</v>
      </c>
      <c r="J32" s="124"/>
      <c r="K32" s="14">
        <f>IFERROR((G32+H32+#REF!)/J32,0)</f>
        <v>0</v>
      </c>
      <c r="L32" s="124"/>
      <c r="M32" s="10">
        <f>L32*S$3</f>
        <v>0</v>
      </c>
      <c r="N32" s="13">
        <f t="shared" si="15"/>
        <v>0</v>
      </c>
      <c r="O32" s="17">
        <f>E32+J32+L32</f>
        <v>0</v>
      </c>
      <c r="P32" s="21">
        <f t="shared" si="31"/>
        <v>0</v>
      </c>
      <c r="Q32" s="13">
        <f t="shared" ref="Q32:R36" si="68">C32*Y$3</f>
        <v>0</v>
      </c>
      <c r="R32" s="13">
        <f t="shared" si="68"/>
        <v>0</v>
      </c>
      <c r="S32" s="13">
        <f>Q32+R32</f>
        <v>0</v>
      </c>
      <c r="T32" s="13">
        <f t="shared" si="16"/>
        <v>0</v>
      </c>
      <c r="U32" s="124"/>
      <c r="V32" s="156"/>
      <c r="W32" s="20">
        <f t="shared" si="32"/>
        <v>0</v>
      </c>
      <c r="X32" s="124"/>
      <c r="Y32" s="10">
        <f>X32*AF$3</f>
        <v>0</v>
      </c>
      <c r="Z32" s="13">
        <f>T32+Y32</f>
        <v>0</v>
      </c>
      <c r="AA32" s="11">
        <f>U32+X32</f>
        <v>0</v>
      </c>
      <c r="AB32" s="160">
        <f t="shared" si="10"/>
        <v>0</v>
      </c>
      <c r="AC32" s="18">
        <f t="shared" si="39"/>
        <v>0</v>
      </c>
      <c r="AD32" s="141">
        <f t="shared" ref="AD32:AE36" si="69">Z32+N32</f>
        <v>0</v>
      </c>
      <c r="AE32" s="67">
        <f t="shared" si="69"/>
        <v>0</v>
      </c>
      <c r="AF32" s="68">
        <f t="shared" si="34"/>
        <v>0</v>
      </c>
    </row>
    <row r="33" spans="1:32" x14ac:dyDescent="0.25">
      <c r="A33" s="8">
        <v>45258</v>
      </c>
      <c r="B33" s="144"/>
      <c r="C33" s="123"/>
      <c r="D33" s="123"/>
      <c r="E33" s="125"/>
      <c r="F33" s="18">
        <f>IFERROR(#REF!/E33,0)</f>
        <v>0</v>
      </c>
      <c r="G33" s="13">
        <f t="shared" si="67"/>
        <v>0</v>
      </c>
      <c r="H33" s="13">
        <f t="shared" si="67"/>
        <v>0</v>
      </c>
      <c r="I33" s="13">
        <f t="shared" si="57"/>
        <v>0</v>
      </c>
      <c r="J33" s="125"/>
      <c r="K33" s="14">
        <f>IFERROR((G33+H33+#REF!)/J33,0)</f>
        <v>0</v>
      </c>
      <c r="L33" s="125"/>
      <c r="M33" s="10">
        <f>L33*S$3</f>
        <v>0</v>
      </c>
      <c r="N33" s="13">
        <f t="shared" si="15"/>
        <v>0</v>
      </c>
      <c r="O33" s="17">
        <f>E33+J33+L33</f>
        <v>0</v>
      </c>
      <c r="P33" s="21">
        <f t="shared" si="31"/>
        <v>0</v>
      </c>
      <c r="Q33" s="13">
        <f t="shared" si="68"/>
        <v>0</v>
      </c>
      <c r="R33" s="13">
        <f t="shared" si="68"/>
        <v>0</v>
      </c>
      <c r="S33" s="13">
        <f>Q33+R33</f>
        <v>0</v>
      </c>
      <c r="T33" s="13">
        <f t="shared" si="16"/>
        <v>0</v>
      </c>
      <c r="U33" s="125"/>
      <c r="V33" s="156"/>
      <c r="W33" s="20">
        <f t="shared" si="32"/>
        <v>0</v>
      </c>
      <c r="X33" s="125"/>
      <c r="Y33" s="10">
        <f>X33*AF$3</f>
        <v>0</v>
      </c>
      <c r="Z33" s="13">
        <f>T33+Y33</f>
        <v>0</v>
      </c>
      <c r="AA33" s="11">
        <f>U33+X33</f>
        <v>0</v>
      </c>
      <c r="AB33" s="160">
        <f t="shared" si="10"/>
        <v>0</v>
      </c>
      <c r="AC33" s="18">
        <f t="shared" si="39"/>
        <v>0</v>
      </c>
      <c r="AD33" s="141">
        <f t="shared" si="69"/>
        <v>0</v>
      </c>
      <c r="AE33" s="67">
        <f t="shared" si="69"/>
        <v>0</v>
      </c>
      <c r="AF33" s="68">
        <f t="shared" si="34"/>
        <v>0</v>
      </c>
    </row>
    <row r="34" spans="1:32" x14ac:dyDescent="0.25">
      <c r="A34" s="8">
        <v>45259</v>
      </c>
      <c r="B34" s="144"/>
      <c r="C34" s="123"/>
      <c r="D34" s="123"/>
      <c r="E34" s="125"/>
      <c r="F34" s="18">
        <f>IFERROR(#REF!/E34,0)</f>
        <v>0</v>
      </c>
      <c r="G34" s="13">
        <f t="shared" si="67"/>
        <v>0</v>
      </c>
      <c r="H34" s="13">
        <f t="shared" si="67"/>
        <v>0</v>
      </c>
      <c r="I34" s="13">
        <f t="shared" si="57"/>
        <v>0</v>
      </c>
      <c r="J34" s="125"/>
      <c r="K34" s="14">
        <f>IFERROR((G34+H34+#REF!)/J34,0)</f>
        <v>0</v>
      </c>
      <c r="L34" s="125"/>
      <c r="M34" s="10">
        <f>L34*S$3</f>
        <v>0</v>
      </c>
      <c r="N34" s="13">
        <f t="shared" si="15"/>
        <v>0</v>
      </c>
      <c r="O34" s="17">
        <f>E34+J34+L34</f>
        <v>0</v>
      </c>
      <c r="P34" s="21">
        <f t="shared" si="31"/>
        <v>0</v>
      </c>
      <c r="Q34" s="13">
        <f t="shared" si="68"/>
        <v>0</v>
      </c>
      <c r="R34" s="13">
        <f t="shared" si="68"/>
        <v>0</v>
      </c>
      <c r="S34" s="13">
        <f>Q34+R34</f>
        <v>0</v>
      </c>
      <c r="T34" s="13">
        <f t="shared" si="16"/>
        <v>0</v>
      </c>
      <c r="U34" s="125"/>
      <c r="V34" s="156"/>
      <c r="W34" s="20">
        <f t="shared" si="32"/>
        <v>0</v>
      </c>
      <c r="X34" s="125"/>
      <c r="Y34" s="10">
        <f>X34*AF$3</f>
        <v>0</v>
      </c>
      <c r="Z34" s="13">
        <f>T34+Y34</f>
        <v>0</v>
      </c>
      <c r="AA34" s="11">
        <f>U34+X34</f>
        <v>0</v>
      </c>
      <c r="AB34" s="160">
        <f t="shared" si="10"/>
        <v>0</v>
      </c>
      <c r="AC34" s="18">
        <f t="shared" si="39"/>
        <v>0</v>
      </c>
      <c r="AD34" s="141">
        <f t="shared" si="69"/>
        <v>0</v>
      </c>
      <c r="AE34" s="67">
        <f t="shared" si="69"/>
        <v>0</v>
      </c>
      <c r="AF34" s="68">
        <f t="shared" si="34"/>
        <v>0</v>
      </c>
    </row>
    <row r="35" spans="1:32" x14ac:dyDescent="0.25">
      <c r="A35" s="8">
        <v>45260</v>
      </c>
      <c r="B35" s="144"/>
      <c r="C35" s="123"/>
      <c r="D35" s="123"/>
      <c r="E35" s="125"/>
      <c r="F35" s="18">
        <f>IFERROR(#REF!/E35,0)</f>
        <v>0</v>
      </c>
      <c r="G35" s="13">
        <f t="shared" si="67"/>
        <v>0</v>
      </c>
      <c r="H35" s="13">
        <f t="shared" si="67"/>
        <v>0</v>
      </c>
      <c r="I35" s="13">
        <f t="shared" si="57"/>
        <v>0</v>
      </c>
      <c r="J35" s="125"/>
      <c r="K35" s="14">
        <f>IFERROR((G35+H35+#REF!)/J35,0)</f>
        <v>0</v>
      </c>
      <c r="L35" s="125"/>
      <c r="M35" s="10">
        <f>L35*S$3</f>
        <v>0</v>
      </c>
      <c r="N35" s="13">
        <f t="shared" si="15"/>
        <v>0</v>
      </c>
      <c r="O35" s="17">
        <f>E35+J35+L35</f>
        <v>0</v>
      </c>
      <c r="P35" s="21">
        <f t="shared" si="31"/>
        <v>0</v>
      </c>
      <c r="Q35" s="13">
        <f t="shared" si="68"/>
        <v>0</v>
      </c>
      <c r="R35" s="13">
        <f t="shared" si="68"/>
        <v>0</v>
      </c>
      <c r="S35" s="13">
        <f>Q35+R35</f>
        <v>0</v>
      </c>
      <c r="T35" s="13">
        <f t="shared" si="16"/>
        <v>0</v>
      </c>
      <c r="U35" s="125"/>
      <c r="V35" s="156"/>
      <c r="W35" s="20">
        <f t="shared" si="32"/>
        <v>0</v>
      </c>
      <c r="X35" s="125"/>
      <c r="Y35" s="10">
        <f>X35*AF$3</f>
        <v>0</v>
      </c>
      <c r="Z35" s="13">
        <f>T35+Y35</f>
        <v>0</v>
      </c>
      <c r="AA35" s="11">
        <f>U35+X35</f>
        <v>0</v>
      </c>
      <c r="AB35" s="160">
        <f t="shared" si="10"/>
        <v>0</v>
      </c>
      <c r="AC35" s="18">
        <f t="shared" si="39"/>
        <v>0</v>
      </c>
      <c r="AD35" s="141">
        <f t="shared" si="69"/>
        <v>0</v>
      </c>
      <c r="AE35" s="67">
        <f t="shared" si="69"/>
        <v>0</v>
      </c>
      <c r="AF35" s="68">
        <f t="shared" si="34"/>
        <v>0</v>
      </c>
    </row>
    <row r="36" spans="1:32" x14ac:dyDescent="0.25">
      <c r="A36" s="8"/>
      <c r="B36" s="144"/>
      <c r="C36" s="123"/>
      <c r="D36" s="123"/>
      <c r="E36" s="125"/>
      <c r="F36" s="18">
        <f>IFERROR(#REF!/E36,0)</f>
        <v>0</v>
      </c>
      <c r="G36" s="13">
        <f t="shared" si="67"/>
        <v>0</v>
      </c>
      <c r="H36" s="13">
        <f t="shared" si="67"/>
        <v>0</v>
      </c>
      <c r="I36" s="13">
        <f t="shared" si="57"/>
        <v>0</v>
      </c>
      <c r="J36" s="125"/>
      <c r="K36" s="14">
        <f>IFERROR((G36+H36+#REF!)/J36,0)</f>
        <v>0</v>
      </c>
      <c r="L36" s="125"/>
      <c r="M36" s="10">
        <f>L36*S$3</f>
        <v>0</v>
      </c>
      <c r="N36" s="13">
        <f t="shared" si="15"/>
        <v>0</v>
      </c>
      <c r="O36" s="17">
        <f>E36+J36+L36</f>
        <v>0</v>
      </c>
      <c r="P36" s="21">
        <f t="shared" si="31"/>
        <v>0</v>
      </c>
      <c r="Q36" s="13">
        <f t="shared" si="68"/>
        <v>0</v>
      </c>
      <c r="R36" s="13">
        <f t="shared" si="68"/>
        <v>0</v>
      </c>
      <c r="S36" s="13">
        <f>Q36+R36</f>
        <v>0</v>
      </c>
      <c r="T36" s="13">
        <f t="shared" si="16"/>
        <v>0</v>
      </c>
      <c r="U36" s="125"/>
      <c r="V36" s="156"/>
      <c r="W36" s="20">
        <f t="shared" si="32"/>
        <v>0</v>
      </c>
      <c r="X36" s="125"/>
      <c r="Y36" s="10">
        <f>X36*AF$3</f>
        <v>0</v>
      </c>
      <c r="Z36" s="13">
        <f>T36+Y36</f>
        <v>0</v>
      </c>
      <c r="AA36" s="11">
        <f>U36+X36</f>
        <v>0</v>
      </c>
      <c r="AB36" s="160">
        <f t="shared" si="10"/>
        <v>0</v>
      </c>
      <c r="AC36" s="18">
        <f t="shared" si="39"/>
        <v>0</v>
      </c>
      <c r="AD36" s="141">
        <f t="shared" si="69"/>
        <v>0</v>
      </c>
      <c r="AE36" s="67">
        <f t="shared" si="69"/>
        <v>0</v>
      </c>
      <c r="AF36" s="68">
        <f t="shared" si="34"/>
        <v>0</v>
      </c>
    </row>
    <row r="37" spans="1:32" ht="14.4" thickBot="1" x14ac:dyDescent="0.3">
      <c r="A37" s="96" t="s">
        <v>14</v>
      </c>
      <c r="B37" s="103">
        <f t="shared" ref="B37:E37" si="70">SUM(B32:B36)</f>
        <v>0</v>
      </c>
      <c r="C37" s="103">
        <f t="shared" si="70"/>
        <v>0</v>
      </c>
      <c r="D37" s="149">
        <f>SUM(D32:D36)</f>
        <v>0</v>
      </c>
      <c r="E37" s="36">
        <f t="shared" si="70"/>
        <v>0</v>
      </c>
      <c r="F37" s="37">
        <f>IFERROR(#REF!/E37,0)</f>
        <v>0</v>
      </c>
      <c r="G37" s="38">
        <f>SUM(G32:G36)</f>
        <v>0</v>
      </c>
      <c r="H37" s="38">
        <f>SUM(H32:H36)</f>
        <v>0</v>
      </c>
      <c r="I37" s="38">
        <f>SUM(I32:I36)</f>
        <v>0</v>
      </c>
      <c r="J37" s="36">
        <f>SUM(J32:J36)</f>
        <v>0</v>
      </c>
      <c r="K37" s="29">
        <f>IFERROR((G37+H37+#REF!)/J37,0)</f>
        <v>0</v>
      </c>
      <c r="L37" s="39">
        <f>SUM(L32:L36)</f>
        <v>0</v>
      </c>
      <c r="M37" s="35">
        <f>SUM(M32:M36)</f>
        <v>0</v>
      </c>
      <c r="N37" s="38">
        <f>SUM(N32:N36)</f>
        <v>0</v>
      </c>
      <c r="O37" s="36">
        <f>SUM(O32:O36)</f>
        <v>0</v>
      </c>
      <c r="P37" s="40">
        <f t="shared" si="31"/>
        <v>0</v>
      </c>
      <c r="Q37" s="38">
        <f t="shared" ref="Q37:U37" si="71">SUM(Q32:Q36)</f>
        <v>0</v>
      </c>
      <c r="R37" s="38">
        <f>SUM(R32:R36)</f>
        <v>0</v>
      </c>
      <c r="S37" s="38">
        <f t="shared" si="71"/>
        <v>0</v>
      </c>
      <c r="T37" s="38">
        <f t="shared" si="71"/>
        <v>0</v>
      </c>
      <c r="U37" s="36">
        <f t="shared" si="71"/>
        <v>0</v>
      </c>
      <c r="V37" s="39">
        <f>SUM(V32:V36)</f>
        <v>0</v>
      </c>
      <c r="W37" s="102">
        <f>IFERROR(T37/U37,0)</f>
        <v>0</v>
      </c>
      <c r="X37" s="39">
        <f>SUM(X32:X36)</f>
        <v>0</v>
      </c>
      <c r="Y37" s="35">
        <f>SUM(Y32:Y36)</f>
        <v>0</v>
      </c>
      <c r="Z37" s="38">
        <f>SUM(Z32:Z36)</f>
        <v>0</v>
      </c>
      <c r="AA37" s="162">
        <f>SUM(AA32:AA36)</f>
        <v>0</v>
      </c>
      <c r="AB37" s="163">
        <f t="shared" si="10"/>
        <v>0</v>
      </c>
      <c r="AC37" s="37">
        <f t="shared" si="39"/>
        <v>0</v>
      </c>
      <c r="AD37" s="101">
        <f>SUM(AD32:AD36)</f>
        <v>0</v>
      </c>
      <c r="AE37" s="74">
        <f>SUM(AE32:AE36)</f>
        <v>0</v>
      </c>
      <c r="AF37" s="75">
        <f t="shared" si="34"/>
        <v>0</v>
      </c>
    </row>
    <row r="38" spans="1:32" ht="14.4" thickBot="1" x14ac:dyDescent="0.3">
      <c r="A38" s="41"/>
      <c r="B38" s="42"/>
      <c r="C38" s="42"/>
      <c r="D38" s="42"/>
      <c r="E38" s="44"/>
      <c r="F38" s="43"/>
      <c r="G38" s="43"/>
      <c r="H38" s="43"/>
      <c r="I38" s="43"/>
      <c r="J38" s="44"/>
      <c r="K38" s="43"/>
      <c r="L38" s="44"/>
      <c r="M38" s="43"/>
      <c r="N38" s="43"/>
      <c r="O38" s="44"/>
      <c r="P38" s="43"/>
      <c r="Q38" s="43"/>
      <c r="R38" s="43"/>
      <c r="S38" s="43"/>
      <c r="T38" s="43"/>
      <c r="U38" s="43"/>
      <c r="V38" s="44"/>
      <c r="W38" s="43"/>
      <c r="X38" s="44"/>
      <c r="Y38" s="43"/>
      <c r="Z38" s="43"/>
      <c r="AA38" s="44"/>
      <c r="AB38" s="44"/>
      <c r="AC38" s="43"/>
    </row>
    <row r="39" spans="1:32" ht="14.4" thickBot="1" x14ac:dyDescent="0.3">
      <c r="A39" s="45" t="s">
        <v>15</v>
      </c>
      <c r="B39" s="46">
        <f t="shared" ref="B39:E39" si="72">B13+B19+B25+B31+B37</f>
        <v>44</v>
      </c>
      <c r="C39" s="46">
        <f t="shared" si="72"/>
        <v>95</v>
      </c>
      <c r="D39" s="76">
        <f>D13+D19+D25+D31+D37</f>
        <v>81</v>
      </c>
      <c r="E39" s="49">
        <f t="shared" si="72"/>
        <v>0</v>
      </c>
      <c r="F39" s="50">
        <f>IFERROR(#REF!/E39,0)</f>
        <v>0</v>
      </c>
      <c r="G39" s="51">
        <f>G13+G19+G25+G31+G37</f>
        <v>87.171999999999997</v>
      </c>
      <c r="H39" s="51">
        <f>H13+H19+H25+H31+H37</f>
        <v>259.1352</v>
      </c>
      <c r="I39" s="51">
        <f>I13+I19+I25+I31+I37</f>
        <v>346.30720000000002</v>
      </c>
      <c r="J39" s="49">
        <f>J13+J19+J25+J31+J37</f>
        <v>10.200000000000001</v>
      </c>
      <c r="K39" s="52">
        <f>IFERROR((G39+H39+#REF!)/J39,0)</f>
        <v>0</v>
      </c>
      <c r="L39" s="53">
        <f>L13+L19+L25+L31+L37</f>
        <v>5.17</v>
      </c>
      <c r="M39" s="48">
        <f>M13+M19+M25+M31+M37</f>
        <v>173.29840000000002</v>
      </c>
      <c r="N39" s="51">
        <f>N13+N19+N25+N31+N37</f>
        <v>519.60560000000009</v>
      </c>
      <c r="O39" s="49">
        <f>O13+O19+O25+O31+O37</f>
        <v>15.370000000000001</v>
      </c>
      <c r="P39" s="54">
        <f>IFERROR(N39/O39,0)</f>
        <v>33.806480156148346</v>
      </c>
      <c r="Q39" s="51">
        <f t="shared" ref="Q39:U39" si="73">Q13+Q19+Q25+Q31+Q37</f>
        <v>30.628</v>
      </c>
      <c r="R39" s="51">
        <f>R13+R19+R25+R31+R37</f>
        <v>158.82480000000001</v>
      </c>
      <c r="S39" s="51">
        <f t="shared" si="73"/>
        <v>189.45280000000002</v>
      </c>
      <c r="T39" s="51">
        <f t="shared" si="73"/>
        <v>189.45280000000002</v>
      </c>
      <c r="U39" s="49">
        <f t="shared" si="73"/>
        <v>3.59</v>
      </c>
      <c r="V39" s="53">
        <f>V13+V19+V25+V31+V37</f>
        <v>0.42</v>
      </c>
      <c r="W39" s="52">
        <f>IFERROR(T39/U39,0)</f>
        <v>52.772367688022292</v>
      </c>
      <c r="X39" s="53">
        <f>X13+X19+X25+X31+X37</f>
        <v>0.34</v>
      </c>
      <c r="Y39" s="48">
        <f>Y13+Y19+Y25+Y31+Y37</f>
        <v>11.396800000000002</v>
      </c>
      <c r="Z39" s="51">
        <f>Z13+Z19+Z25+Z31+Z37</f>
        <v>200.84960000000001</v>
      </c>
      <c r="AA39" s="49">
        <f>AA13+AA19+AA25+AA31+AA37</f>
        <v>3.9299999999999997</v>
      </c>
      <c r="AB39" s="161">
        <f>IFERROR(B39/AA39, 0)</f>
        <v>11.195928753180663</v>
      </c>
      <c r="AC39" s="54">
        <f>IFERROR(Z39/AA39,0)</f>
        <v>51.106768447837155</v>
      </c>
      <c r="AD39" s="48">
        <f>AD13+AD19+AD25+AD31+AD37</f>
        <v>720.4552000000001</v>
      </c>
      <c r="AE39" s="49">
        <f>AE13+AE19+AE25+AE31+AE37</f>
        <v>19.3</v>
      </c>
      <c r="AF39" s="54">
        <f>IFERROR(AD39/AE39,0)</f>
        <v>37.32928497409327</v>
      </c>
    </row>
  </sheetData>
  <mergeCells count="5">
    <mergeCell ref="H1:J1"/>
    <mergeCell ref="B4:E4"/>
    <mergeCell ref="F4:T4"/>
    <mergeCell ref="AJ4:AL4"/>
    <mergeCell ref="U4:AI4"/>
  </mergeCells>
  <dataValidations count="1">
    <dataValidation allowBlank="1" sqref="A6:A36" xr:uid="{F2E43155-ED46-4B33-9DCE-8C46CAEC728D}"/>
  </dataValidations>
  <pageMargins left="0" right="0" top="0" bottom="0" header="0.3" footer="0.3"/>
  <pageSetup scale="97" fitToWidth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3867D-2FFE-498B-BCA2-7EA86DDF67AA}">
  <sheetPr codeName="Sheet2">
    <tabColor rgb="FF92D050"/>
  </sheetPr>
  <dimension ref="A1:AL39"/>
  <sheetViews>
    <sheetView zoomScaleNormal="100" workbookViewId="0">
      <pane xSplit="1" ySplit="5" topLeftCell="G6" activePane="bottomRight" state="frozen"/>
      <selection activeCell="A6" sqref="A6:A34"/>
      <selection pane="topRight" activeCell="A6" sqref="A6:A34"/>
      <selection pane="bottomLeft" activeCell="A6" sqref="A6:A34"/>
      <selection pane="bottomRight" activeCell="X18" sqref="X18"/>
    </sheetView>
  </sheetViews>
  <sheetFormatPr defaultColWidth="9.109375" defaultRowHeight="13.8" x14ac:dyDescent="0.25"/>
  <cols>
    <col min="1" max="1" width="9.109375" style="59"/>
    <col min="2" max="6" width="9.33203125" style="59" bestFit="1" customWidth="1"/>
    <col min="7" max="8" width="9.88671875" style="59" bestFit="1" customWidth="1"/>
    <col min="9" max="9" width="9.33203125" style="59" bestFit="1" customWidth="1"/>
    <col min="10" max="10" width="9.88671875" style="59" customWidth="1"/>
    <col min="11" max="11" width="9.88671875" style="59" bestFit="1" customWidth="1"/>
    <col min="12" max="13" width="11" style="59" bestFit="1" customWidth="1"/>
    <col min="14" max="14" width="9.33203125" style="59" bestFit="1" customWidth="1"/>
    <col min="15" max="15" width="9.88671875" style="59" customWidth="1"/>
    <col min="16" max="17" width="9.33203125" style="59" bestFit="1" customWidth="1"/>
    <col min="18" max="18" width="11" style="59" bestFit="1" customWidth="1"/>
    <col min="19" max="19" width="9.33203125" style="59" bestFit="1" customWidth="1"/>
    <col min="20" max="20" width="9.88671875" style="59" bestFit="1" customWidth="1"/>
    <col min="21" max="27" width="9.33203125" style="59" bestFit="1" customWidth="1"/>
    <col min="28" max="28" width="9.33203125" style="59" customWidth="1"/>
    <col min="29" max="30" width="10.109375" style="59" bestFit="1" customWidth="1"/>
    <col min="31" max="34" width="9.33203125" style="59" bestFit="1" customWidth="1"/>
    <col min="35" max="35" width="10.109375" style="59" bestFit="1" customWidth="1"/>
    <col min="36" max="36" width="9.88671875" style="59" bestFit="1" customWidth="1"/>
    <col min="37" max="37" width="9.33203125" style="59" bestFit="1" customWidth="1"/>
    <col min="38" max="16384" width="9.109375" style="59"/>
  </cols>
  <sheetData>
    <row r="1" spans="1:38" ht="23.25" customHeight="1" x14ac:dyDescent="0.4">
      <c r="A1" s="98"/>
      <c r="B1" s="118" t="s">
        <v>7200</v>
      </c>
      <c r="C1" s="118"/>
      <c r="D1" s="118"/>
      <c r="E1" s="98" t="s">
        <v>21</v>
      </c>
      <c r="F1" s="97">
        <v>7864</v>
      </c>
      <c r="G1" s="98" t="s">
        <v>22</v>
      </c>
      <c r="H1" s="203"/>
      <c r="I1" s="203"/>
      <c r="J1" s="203"/>
    </row>
    <row r="2" spans="1:38" ht="16.5" customHeight="1" x14ac:dyDescent="0.4">
      <c r="A2" s="116"/>
      <c r="B2" s="117"/>
      <c r="C2" s="115">
        <v>4.7E-2</v>
      </c>
      <c r="D2" s="117"/>
      <c r="E2" s="113">
        <v>0.41</v>
      </c>
      <c r="F2" s="113">
        <v>0.71</v>
      </c>
      <c r="G2" s="173">
        <v>0.9</v>
      </c>
      <c r="H2" s="114"/>
      <c r="I2" s="114"/>
      <c r="J2" s="114"/>
      <c r="K2" s="174">
        <v>0.78</v>
      </c>
      <c r="L2" s="174">
        <v>0.9</v>
      </c>
      <c r="Q2" s="113">
        <v>37.5</v>
      </c>
      <c r="U2" s="174">
        <v>0.1</v>
      </c>
      <c r="W2" s="174">
        <v>0.22</v>
      </c>
      <c r="X2" s="174">
        <v>0.1</v>
      </c>
    </row>
    <row r="3" spans="1:38" s="111" customFormat="1" thickBot="1" x14ac:dyDescent="0.3">
      <c r="A3" s="112"/>
      <c r="B3" s="112"/>
      <c r="C3" s="112"/>
      <c r="D3" s="112"/>
      <c r="E3" s="112"/>
      <c r="F3" s="112"/>
      <c r="G3" s="112">
        <f>G2*C2</f>
        <v>4.2300000000000004E-2</v>
      </c>
      <c r="H3" s="112"/>
      <c r="I3" s="112"/>
      <c r="J3" s="112"/>
      <c r="K3" s="112">
        <f>K2*E2</f>
        <v>0.31979999999999997</v>
      </c>
      <c r="L3" s="112">
        <f>L2*F2</f>
        <v>0.63900000000000001</v>
      </c>
      <c r="M3" s="112"/>
      <c r="N3" s="112"/>
      <c r="O3" s="112"/>
      <c r="P3" s="112"/>
      <c r="Q3" s="112">
        <f>Q2</f>
        <v>37.5</v>
      </c>
      <c r="R3" s="112"/>
      <c r="S3" s="112"/>
      <c r="T3" s="112"/>
      <c r="U3" s="112">
        <f>C2*U2</f>
        <v>4.7000000000000002E-3</v>
      </c>
      <c r="V3" s="112"/>
      <c r="W3" s="112">
        <f>W2*E2</f>
        <v>9.0199999999999989E-2</v>
      </c>
      <c r="X3" s="112">
        <f>X2*F2</f>
        <v>7.0999999999999994E-2</v>
      </c>
      <c r="Y3" s="112"/>
      <c r="Z3" s="112"/>
      <c r="AA3" s="112"/>
      <c r="AB3" s="112"/>
      <c r="AC3" s="112"/>
      <c r="AD3" s="112">
        <f>Q2</f>
        <v>37.5</v>
      </c>
      <c r="AE3" s="112"/>
      <c r="AF3" s="112"/>
      <c r="AG3" s="112"/>
      <c r="AH3" s="112"/>
      <c r="AI3" s="112"/>
      <c r="AJ3" s="112"/>
      <c r="AK3" s="112"/>
    </row>
    <row r="4" spans="1:38" ht="15" customHeight="1" thickBot="1" x14ac:dyDescent="0.3">
      <c r="B4" s="210" t="s">
        <v>0</v>
      </c>
      <c r="C4" s="211"/>
      <c r="D4" s="204" t="s">
        <v>23</v>
      </c>
      <c r="E4" s="205"/>
      <c r="F4" s="206"/>
      <c r="G4" s="207" t="s">
        <v>27</v>
      </c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9"/>
      <c r="U4" s="207" t="s">
        <v>26</v>
      </c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8"/>
      <c r="AH4" s="208"/>
      <c r="AI4" s="209"/>
      <c r="AJ4" s="207" t="s">
        <v>1</v>
      </c>
      <c r="AK4" s="208"/>
      <c r="AL4" s="209"/>
    </row>
    <row r="5" spans="1:38" ht="53.4" thickBot="1" x14ac:dyDescent="0.3">
      <c r="A5" s="1" t="s">
        <v>2</v>
      </c>
      <c r="B5" s="110" t="s">
        <v>7158</v>
      </c>
      <c r="C5" s="110" t="s">
        <v>3568</v>
      </c>
      <c r="D5" s="109" t="s">
        <v>3569</v>
      </c>
      <c r="E5" s="106" t="s">
        <v>7197</v>
      </c>
      <c r="F5" s="5" t="s">
        <v>3</v>
      </c>
      <c r="G5" s="60" t="s">
        <v>25</v>
      </c>
      <c r="H5" s="107" t="s">
        <v>24</v>
      </c>
      <c r="I5" s="6" t="s">
        <v>4</v>
      </c>
      <c r="J5" s="106" t="s">
        <v>7194</v>
      </c>
      <c r="K5" s="6" t="s">
        <v>5</v>
      </c>
      <c r="L5" s="105" t="s">
        <v>7195</v>
      </c>
      <c r="M5" s="3" t="s">
        <v>6</v>
      </c>
      <c r="N5" s="6" t="s">
        <v>7</v>
      </c>
      <c r="O5" s="4" t="s">
        <v>8</v>
      </c>
      <c r="P5" s="7" t="s">
        <v>9</v>
      </c>
      <c r="Q5" s="108" t="s">
        <v>25</v>
      </c>
      <c r="R5" s="107" t="s">
        <v>24</v>
      </c>
      <c r="S5" s="6" t="s">
        <v>4</v>
      </c>
      <c r="T5" s="6" t="s">
        <v>10</v>
      </c>
      <c r="U5" s="106" t="s">
        <v>7196</v>
      </c>
      <c r="V5" s="105" t="s">
        <v>35</v>
      </c>
      <c r="W5" s="6" t="s">
        <v>11</v>
      </c>
      <c r="X5" s="105" t="s">
        <v>38</v>
      </c>
      <c r="Y5" s="3" t="s">
        <v>6</v>
      </c>
      <c r="Z5" s="6" t="s">
        <v>7</v>
      </c>
      <c r="AA5" s="4" t="s">
        <v>8</v>
      </c>
      <c r="AB5" s="159" t="s">
        <v>36</v>
      </c>
      <c r="AC5" s="5" t="s">
        <v>12</v>
      </c>
      <c r="AD5" s="2" t="s">
        <v>7</v>
      </c>
      <c r="AE5" s="4" t="s">
        <v>8</v>
      </c>
      <c r="AF5" s="7" t="s">
        <v>9</v>
      </c>
    </row>
    <row r="6" spans="1:38" x14ac:dyDescent="0.25">
      <c r="A6" s="8" t="s">
        <v>37</v>
      </c>
      <c r="B6" s="143">
        <v>0</v>
      </c>
      <c r="C6" s="122">
        <v>0</v>
      </c>
      <c r="D6" s="122">
        <v>0</v>
      </c>
      <c r="E6" s="124">
        <v>0</v>
      </c>
      <c r="F6" s="12">
        <f>IFERROR(#REF!/E6,0)</f>
        <v>0</v>
      </c>
      <c r="G6" s="13">
        <f t="shared" ref="G6:H12" si="0">C6*K$3</f>
        <v>0</v>
      </c>
      <c r="H6" s="13">
        <f t="shared" si="0"/>
        <v>0</v>
      </c>
      <c r="I6" s="13">
        <f>G6+H6</f>
        <v>0</v>
      </c>
      <c r="J6" s="124">
        <v>0</v>
      </c>
      <c r="K6" s="14">
        <f t="shared" ref="K6:K7" si="1">IFERROR((G6+H6)/J6,0)</f>
        <v>0</v>
      </c>
      <c r="L6" s="124">
        <v>0</v>
      </c>
      <c r="M6" s="10">
        <f t="shared" ref="M6:M12" si="2">L6*Q$3</f>
        <v>0</v>
      </c>
      <c r="N6" s="13">
        <f>I6+M6</f>
        <v>0</v>
      </c>
      <c r="O6" s="11">
        <f>E6+J6+L6</f>
        <v>0</v>
      </c>
      <c r="P6" s="15">
        <f t="shared" ref="P6:P7" si="3">IFERROR(N6/O6,0)</f>
        <v>0</v>
      </c>
      <c r="Q6" s="13">
        <f t="shared" ref="Q6:R12" si="4">C6*W$3</f>
        <v>0</v>
      </c>
      <c r="R6" s="13">
        <f t="shared" si="4"/>
        <v>0</v>
      </c>
      <c r="S6" s="13">
        <f>Q6+R6</f>
        <v>0</v>
      </c>
      <c r="T6" s="13">
        <f>S6</f>
        <v>0</v>
      </c>
      <c r="U6" s="124">
        <v>0</v>
      </c>
      <c r="V6" s="156">
        <v>0</v>
      </c>
      <c r="W6" s="14">
        <f t="shared" ref="W6:W7" si="5">IFERROR(T6/U6,0)</f>
        <v>0</v>
      </c>
      <c r="X6" s="124">
        <v>0</v>
      </c>
      <c r="Y6" s="10">
        <f t="shared" ref="Y6:Y12" si="6">X6*AD$3</f>
        <v>0</v>
      </c>
      <c r="Z6" s="13">
        <f>T6+Y6</f>
        <v>0</v>
      </c>
      <c r="AA6" s="11">
        <f>U6+X6</f>
        <v>0</v>
      </c>
      <c r="AB6" s="160">
        <f t="shared" ref="AB6:AB37" si="7">IFERROR(B6/AA6,0)</f>
        <v>0</v>
      </c>
      <c r="AC6" s="12">
        <f t="shared" ref="AC6:AC7" si="8">IFERROR(Z6/AA6,0)</f>
        <v>0</v>
      </c>
      <c r="AD6" s="63">
        <f t="shared" ref="AD6:AE12" si="9">Z6+N6</f>
        <v>0</v>
      </c>
      <c r="AE6" s="64">
        <f t="shared" si="9"/>
        <v>0</v>
      </c>
      <c r="AF6" s="65">
        <f t="shared" ref="AF6:AF7" si="10">IFERROR(AD6/AE6,0)</f>
        <v>0</v>
      </c>
    </row>
    <row r="7" spans="1:38" x14ac:dyDescent="0.25">
      <c r="A7" s="8" t="s">
        <v>37</v>
      </c>
      <c r="B7" s="143">
        <v>0</v>
      </c>
      <c r="C7" s="122">
        <v>0</v>
      </c>
      <c r="D7" s="122">
        <v>0</v>
      </c>
      <c r="E7" s="125">
        <v>0</v>
      </c>
      <c r="F7" s="18">
        <f>IFERROR(#REF!/E7,0)</f>
        <v>0</v>
      </c>
      <c r="G7" s="19">
        <f t="shared" si="0"/>
        <v>0</v>
      </c>
      <c r="H7" s="19">
        <f t="shared" si="0"/>
        <v>0</v>
      </c>
      <c r="I7" s="19">
        <f t="shared" ref="I7" si="11">G7+H7</f>
        <v>0</v>
      </c>
      <c r="J7" s="125">
        <v>0</v>
      </c>
      <c r="K7" s="20">
        <f t="shared" si="1"/>
        <v>0</v>
      </c>
      <c r="L7" s="125">
        <v>0</v>
      </c>
      <c r="M7" s="10">
        <f t="shared" si="2"/>
        <v>0</v>
      </c>
      <c r="N7" s="13">
        <f t="shared" ref="N7:N36" si="12">I7+M7</f>
        <v>0</v>
      </c>
      <c r="O7" s="17">
        <f t="shared" ref="O7" si="13">E7+J7+L7</f>
        <v>0</v>
      </c>
      <c r="P7" s="21">
        <f t="shared" si="3"/>
        <v>0</v>
      </c>
      <c r="Q7" s="13">
        <f t="shared" si="4"/>
        <v>0</v>
      </c>
      <c r="R7" s="13">
        <f t="shared" si="4"/>
        <v>0</v>
      </c>
      <c r="S7" s="13">
        <f t="shared" ref="S7" si="14">Q7+R7</f>
        <v>0</v>
      </c>
      <c r="T7" s="13">
        <f t="shared" ref="T7:T17" si="15">S7</f>
        <v>0</v>
      </c>
      <c r="U7" s="125">
        <v>0</v>
      </c>
      <c r="V7" s="156">
        <v>0</v>
      </c>
      <c r="W7" s="20">
        <f t="shared" si="5"/>
        <v>0</v>
      </c>
      <c r="X7" s="125">
        <v>0</v>
      </c>
      <c r="Y7" s="10">
        <f t="shared" si="6"/>
        <v>0</v>
      </c>
      <c r="Z7" s="19">
        <f t="shared" ref="Z7" si="16">T7+Y7</f>
        <v>0</v>
      </c>
      <c r="AA7" s="17">
        <f t="shared" ref="AA7" si="17">U7+X7</f>
        <v>0</v>
      </c>
      <c r="AB7" s="160">
        <f t="shared" si="7"/>
        <v>0</v>
      </c>
      <c r="AC7" s="18">
        <f t="shared" si="8"/>
        <v>0</v>
      </c>
      <c r="AD7" s="66">
        <f t="shared" si="9"/>
        <v>0</v>
      </c>
      <c r="AE7" s="67">
        <f t="shared" si="9"/>
        <v>0</v>
      </c>
      <c r="AF7" s="68">
        <f t="shared" si="10"/>
        <v>0</v>
      </c>
    </row>
    <row r="8" spans="1:38" ht="14.4" thickBot="1" x14ac:dyDescent="0.3">
      <c r="A8" s="8" t="s">
        <v>37</v>
      </c>
      <c r="B8" s="143">
        <v>0</v>
      </c>
      <c r="C8" s="122">
        <v>0</v>
      </c>
      <c r="D8" s="122">
        <v>0</v>
      </c>
      <c r="E8" s="125">
        <v>0</v>
      </c>
      <c r="F8" s="18">
        <f>IFERROR(#REF!/E8,0)</f>
        <v>0</v>
      </c>
      <c r="G8" s="19">
        <f t="shared" si="0"/>
        <v>0</v>
      </c>
      <c r="H8" s="19">
        <f t="shared" si="0"/>
        <v>0</v>
      </c>
      <c r="I8" s="19">
        <f t="shared" ref="I8" si="18">G8+H8</f>
        <v>0</v>
      </c>
      <c r="J8" s="125">
        <v>0</v>
      </c>
      <c r="K8" s="20">
        <f t="shared" ref="K8:K9" si="19">IFERROR((G8+H8)/J8,0)</f>
        <v>0</v>
      </c>
      <c r="L8" s="125">
        <v>0</v>
      </c>
      <c r="M8" s="10">
        <f t="shared" si="2"/>
        <v>0</v>
      </c>
      <c r="N8" s="13">
        <f t="shared" si="12"/>
        <v>0</v>
      </c>
      <c r="O8" s="17">
        <f t="shared" ref="O8" si="20">E8+J8+L8</f>
        <v>0</v>
      </c>
      <c r="P8" s="21">
        <f t="shared" ref="P8:P9" si="21">IFERROR(N8/O8,0)</f>
        <v>0</v>
      </c>
      <c r="Q8" s="13">
        <f t="shared" si="4"/>
        <v>0</v>
      </c>
      <c r="R8" s="13">
        <f t="shared" si="4"/>
        <v>0</v>
      </c>
      <c r="S8" s="13">
        <f t="shared" ref="S8" si="22">Q8+R8</f>
        <v>0</v>
      </c>
      <c r="T8" s="13">
        <f t="shared" si="15"/>
        <v>0</v>
      </c>
      <c r="U8" s="125">
        <v>0</v>
      </c>
      <c r="V8" s="156">
        <v>0</v>
      </c>
      <c r="W8" s="20">
        <f t="shared" ref="W8:W9" si="23">IFERROR(T8/U8,0)</f>
        <v>0</v>
      </c>
      <c r="X8" s="125">
        <v>0</v>
      </c>
      <c r="Y8" s="10">
        <f t="shared" si="6"/>
        <v>0</v>
      </c>
      <c r="Z8" s="19">
        <f t="shared" ref="Z8" si="24">T8+Y8</f>
        <v>0</v>
      </c>
      <c r="AA8" s="17">
        <f t="shared" ref="AA8" si="25">U8+X8</f>
        <v>0</v>
      </c>
      <c r="AB8" s="160">
        <f t="shared" si="7"/>
        <v>0</v>
      </c>
      <c r="AC8" s="18">
        <f t="shared" ref="AC8:AC9" si="26">IFERROR(Z8/AA8,0)</f>
        <v>0</v>
      </c>
      <c r="AD8" s="66">
        <f t="shared" si="9"/>
        <v>0</v>
      </c>
      <c r="AE8" s="67">
        <f t="shared" si="9"/>
        <v>0</v>
      </c>
      <c r="AF8" s="68">
        <f t="shared" ref="AF8:AF9" si="27">IFERROR(AD8/AE8,0)</f>
        <v>0</v>
      </c>
    </row>
    <row r="9" spans="1:38" x14ac:dyDescent="0.25">
      <c r="A9" s="8" t="s">
        <v>37</v>
      </c>
      <c r="B9" s="143">
        <v>0</v>
      </c>
      <c r="C9" s="122">
        <v>0</v>
      </c>
      <c r="D9" s="122">
        <v>0</v>
      </c>
      <c r="E9" s="124">
        <v>0</v>
      </c>
      <c r="F9" s="12">
        <f>IFERROR(#REF!/E9,0)</f>
        <v>0</v>
      </c>
      <c r="G9" s="13">
        <f t="shared" si="0"/>
        <v>0</v>
      </c>
      <c r="H9" s="13">
        <f t="shared" si="0"/>
        <v>0</v>
      </c>
      <c r="I9" s="13">
        <f>G9+H9</f>
        <v>0</v>
      </c>
      <c r="J9" s="125">
        <v>0</v>
      </c>
      <c r="K9" s="14">
        <f t="shared" si="19"/>
        <v>0</v>
      </c>
      <c r="L9" s="125">
        <v>0</v>
      </c>
      <c r="M9" s="10">
        <f t="shared" si="2"/>
        <v>0</v>
      </c>
      <c r="N9" s="13">
        <f t="shared" si="12"/>
        <v>0</v>
      </c>
      <c r="O9" s="11">
        <f>E9+J9+L9</f>
        <v>0</v>
      </c>
      <c r="P9" s="15">
        <f t="shared" si="21"/>
        <v>0</v>
      </c>
      <c r="Q9" s="13">
        <f t="shared" si="4"/>
        <v>0</v>
      </c>
      <c r="R9" s="13">
        <f t="shared" si="4"/>
        <v>0</v>
      </c>
      <c r="S9" s="13">
        <f>Q9+R9</f>
        <v>0</v>
      </c>
      <c r="T9" s="13">
        <f t="shared" si="15"/>
        <v>0</v>
      </c>
      <c r="U9" s="125">
        <v>0</v>
      </c>
      <c r="V9" s="156">
        <v>0</v>
      </c>
      <c r="W9" s="14">
        <f t="shared" si="23"/>
        <v>0</v>
      </c>
      <c r="X9" s="125">
        <v>0</v>
      </c>
      <c r="Y9" s="10">
        <f t="shared" si="6"/>
        <v>0</v>
      </c>
      <c r="Z9" s="13">
        <f>T9+Y9</f>
        <v>0</v>
      </c>
      <c r="AA9" s="11">
        <f>U9+X9</f>
        <v>0</v>
      </c>
      <c r="AB9" s="160">
        <f t="shared" si="7"/>
        <v>0</v>
      </c>
      <c r="AC9" s="12">
        <f t="shared" si="26"/>
        <v>0</v>
      </c>
      <c r="AD9" s="63">
        <f t="shared" si="9"/>
        <v>0</v>
      </c>
      <c r="AE9" s="64">
        <f t="shared" si="9"/>
        <v>0</v>
      </c>
      <c r="AF9" s="65">
        <f t="shared" si="27"/>
        <v>0</v>
      </c>
    </row>
    <row r="10" spans="1:38" x14ac:dyDescent="0.25">
      <c r="A10" s="8">
        <v>45231</v>
      </c>
      <c r="B10" s="143">
        <v>41</v>
      </c>
      <c r="C10" s="122">
        <v>0</v>
      </c>
      <c r="D10" s="122">
        <v>785</v>
      </c>
      <c r="E10" s="125">
        <v>0</v>
      </c>
      <c r="F10" s="18">
        <f>IFERROR(#REF!/E10,0)</f>
        <v>0</v>
      </c>
      <c r="G10" s="19">
        <f t="shared" si="0"/>
        <v>0</v>
      </c>
      <c r="H10" s="19">
        <f t="shared" si="0"/>
        <v>501.61500000000001</v>
      </c>
      <c r="I10" s="19">
        <f t="shared" ref="I10:I11" si="28">G10+H10</f>
        <v>501.61500000000001</v>
      </c>
      <c r="J10" s="125">
        <v>4.82</v>
      </c>
      <c r="K10" s="20">
        <f t="shared" ref="K10:K11" si="29">IFERROR((G10+H10)/J10,0)</f>
        <v>104.0695020746888</v>
      </c>
      <c r="L10" s="125">
        <v>0</v>
      </c>
      <c r="M10" s="10">
        <f t="shared" si="2"/>
        <v>0</v>
      </c>
      <c r="N10" s="13">
        <f t="shared" si="12"/>
        <v>501.61500000000001</v>
      </c>
      <c r="O10" s="17">
        <f t="shared" ref="O10:O11" si="30">E10+J10+L10</f>
        <v>4.82</v>
      </c>
      <c r="P10" s="21">
        <f t="shared" ref="P10:P11" si="31">IFERROR(N10/O10,0)</f>
        <v>104.0695020746888</v>
      </c>
      <c r="Q10" s="13">
        <f t="shared" si="4"/>
        <v>0</v>
      </c>
      <c r="R10" s="13">
        <f t="shared" si="4"/>
        <v>55.734999999999992</v>
      </c>
      <c r="S10" s="13">
        <f t="shared" ref="S10:S11" si="32">Q10+R10</f>
        <v>55.734999999999992</v>
      </c>
      <c r="T10" s="13">
        <f t="shared" si="15"/>
        <v>55.734999999999992</v>
      </c>
      <c r="U10" s="125">
        <v>0.5</v>
      </c>
      <c r="V10" s="156">
        <v>0</v>
      </c>
      <c r="W10" s="20">
        <f t="shared" ref="W10:W11" si="33">IFERROR(T10/U10,0)</f>
        <v>111.46999999999998</v>
      </c>
      <c r="X10" s="125">
        <v>0.5</v>
      </c>
      <c r="Y10" s="10">
        <f t="shared" si="6"/>
        <v>18.75</v>
      </c>
      <c r="Z10" s="19">
        <f t="shared" ref="Z10:Z11" si="34">T10+Y10</f>
        <v>74.484999999999985</v>
      </c>
      <c r="AA10" s="17">
        <f t="shared" ref="AA10:AA11" si="35">U10+X10</f>
        <v>1</v>
      </c>
      <c r="AB10" s="160">
        <f t="shared" si="7"/>
        <v>41</v>
      </c>
      <c r="AC10" s="18">
        <f t="shared" ref="AC10:AC11" si="36">IFERROR(Z10/AA10,0)</f>
        <v>74.484999999999985</v>
      </c>
      <c r="AD10" s="66">
        <f t="shared" si="9"/>
        <v>576.1</v>
      </c>
      <c r="AE10" s="67">
        <f t="shared" si="9"/>
        <v>5.82</v>
      </c>
      <c r="AF10" s="68">
        <f t="shared" ref="AF10:AF11" si="37">IFERROR(AD10/AE10,0)</f>
        <v>98.986254295532646</v>
      </c>
    </row>
    <row r="11" spans="1:38" x14ac:dyDescent="0.25">
      <c r="A11" s="8">
        <v>45232</v>
      </c>
      <c r="B11" s="143">
        <v>26</v>
      </c>
      <c r="C11" s="122">
        <v>892</v>
      </c>
      <c r="D11" s="122">
        <f>1494-892</f>
        <v>602</v>
      </c>
      <c r="E11" s="125">
        <v>0</v>
      </c>
      <c r="F11" s="18">
        <f>IFERROR(#REF!/E11,0)</f>
        <v>0</v>
      </c>
      <c r="G11" s="19">
        <f t="shared" si="0"/>
        <v>285.26159999999999</v>
      </c>
      <c r="H11" s="19">
        <f t="shared" si="0"/>
        <v>384.678</v>
      </c>
      <c r="I11" s="19">
        <f t="shared" si="28"/>
        <v>669.93959999999993</v>
      </c>
      <c r="J11" s="125">
        <v>8.35</v>
      </c>
      <c r="K11" s="20">
        <f t="shared" si="29"/>
        <v>80.232287425149693</v>
      </c>
      <c r="L11" s="125">
        <v>0</v>
      </c>
      <c r="M11" s="10">
        <f t="shared" si="2"/>
        <v>0</v>
      </c>
      <c r="N11" s="13">
        <f t="shared" si="12"/>
        <v>669.93959999999993</v>
      </c>
      <c r="O11" s="17">
        <f t="shared" si="30"/>
        <v>8.35</v>
      </c>
      <c r="P11" s="21">
        <f t="shared" si="31"/>
        <v>80.232287425149693</v>
      </c>
      <c r="Q11" s="13">
        <f t="shared" si="4"/>
        <v>80.458399999999983</v>
      </c>
      <c r="R11" s="13">
        <f t="shared" si="4"/>
        <v>42.741999999999997</v>
      </c>
      <c r="S11" s="13">
        <f t="shared" si="32"/>
        <v>123.20039999999997</v>
      </c>
      <c r="T11" s="13">
        <f t="shared" si="15"/>
        <v>123.20039999999997</v>
      </c>
      <c r="U11" s="125">
        <v>0.5</v>
      </c>
      <c r="V11" s="156">
        <v>0</v>
      </c>
      <c r="W11" s="20">
        <f t="shared" si="33"/>
        <v>246.40079999999995</v>
      </c>
      <c r="X11" s="125">
        <v>0.5</v>
      </c>
      <c r="Y11" s="10">
        <f t="shared" si="6"/>
        <v>18.75</v>
      </c>
      <c r="Z11" s="19">
        <f t="shared" si="34"/>
        <v>141.95039999999997</v>
      </c>
      <c r="AA11" s="17">
        <f t="shared" si="35"/>
        <v>1</v>
      </c>
      <c r="AB11" s="160">
        <f t="shared" si="7"/>
        <v>26</v>
      </c>
      <c r="AC11" s="18">
        <f t="shared" si="36"/>
        <v>141.95039999999997</v>
      </c>
      <c r="AD11" s="66">
        <f t="shared" si="9"/>
        <v>811.88999999999987</v>
      </c>
      <c r="AE11" s="67">
        <f t="shared" si="9"/>
        <v>9.35</v>
      </c>
      <c r="AF11" s="68">
        <f t="shared" si="37"/>
        <v>86.833155080213899</v>
      </c>
    </row>
    <row r="12" spans="1:38" x14ac:dyDescent="0.25">
      <c r="A12" s="8">
        <v>45233</v>
      </c>
      <c r="B12" s="144">
        <v>10</v>
      </c>
      <c r="C12" s="123">
        <f>116+100+105</f>
        <v>321</v>
      </c>
      <c r="D12" s="123">
        <f>571-321</f>
        <v>250</v>
      </c>
      <c r="E12" s="125">
        <v>0</v>
      </c>
      <c r="F12" s="18">
        <f>IFERROR(#REF!/E12,0)</f>
        <v>0</v>
      </c>
      <c r="G12" s="19">
        <f t="shared" si="0"/>
        <v>102.65579999999999</v>
      </c>
      <c r="H12" s="19">
        <f t="shared" si="0"/>
        <v>159.75</v>
      </c>
      <c r="I12" s="19">
        <f>G12+H12</f>
        <v>262.4058</v>
      </c>
      <c r="J12" s="125">
        <v>19.700000000000003</v>
      </c>
      <c r="K12" s="20">
        <f t="shared" ref="K12:K13" si="38">IFERROR((G12+H12)/J12,0)</f>
        <v>13.320091370558373</v>
      </c>
      <c r="L12" s="125">
        <v>0</v>
      </c>
      <c r="M12" s="10">
        <f t="shared" si="2"/>
        <v>0</v>
      </c>
      <c r="N12" s="13">
        <f t="shared" si="12"/>
        <v>262.4058</v>
      </c>
      <c r="O12" s="17">
        <f>E12+J12+L12</f>
        <v>19.700000000000003</v>
      </c>
      <c r="P12" s="21">
        <f t="shared" ref="P12:P37" si="39">IFERROR(N12/O12,0)</f>
        <v>13.320091370558373</v>
      </c>
      <c r="Q12" s="13">
        <f t="shared" si="4"/>
        <v>28.954199999999997</v>
      </c>
      <c r="R12" s="13">
        <f t="shared" si="4"/>
        <v>17.75</v>
      </c>
      <c r="S12" s="13">
        <f t="shared" ref="S12" si="40">Q12+R12</f>
        <v>46.7042</v>
      </c>
      <c r="T12" s="13">
        <f t="shared" si="15"/>
        <v>46.7042</v>
      </c>
      <c r="U12" s="125">
        <v>0.5</v>
      </c>
      <c r="V12" s="156">
        <v>0</v>
      </c>
      <c r="W12" s="20">
        <f t="shared" ref="W12:W37" si="41">IFERROR(T12/U12,0)</f>
        <v>93.4084</v>
      </c>
      <c r="X12" s="125">
        <v>0.33</v>
      </c>
      <c r="Y12" s="10">
        <f t="shared" si="6"/>
        <v>12.375</v>
      </c>
      <c r="Z12" s="19">
        <f>T12+Y12</f>
        <v>59.0792</v>
      </c>
      <c r="AA12" s="17">
        <f>U12+X12</f>
        <v>0.83000000000000007</v>
      </c>
      <c r="AB12" s="160">
        <f t="shared" si="7"/>
        <v>12.048192771084336</v>
      </c>
      <c r="AC12" s="18">
        <f t="shared" ref="AC12:AC37" si="42">IFERROR(Z12/AA12,0)</f>
        <v>71.179759036144574</v>
      </c>
      <c r="AD12" s="66">
        <f t="shared" si="9"/>
        <v>321.48500000000001</v>
      </c>
      <c r="AE12" s="67">
        <f t="shared" si="9"/>
        <v>20.53</v>
      </c>
      <c r="AF12" s="68">
        <f t="shared" ref="AF12:AF37" si="43">IFERROR(AD12/AE12,0)</f>
        <v>15.659279103750608</v>
      </c>
    </row>
    <row r="13" spans="1:38" x14ac:dyDescent="0.25">
      <c r="A13" s="95" t="s">
        <v>13</v>
      </c>
      <c r="B13" s="23">
        <f t="shared" ref="B13:E13" si="44">SUM(B8:B12)</f>
        <v>77</v>
      </c>
      <c r="C13" s="23">
        <f t="shared" si="44"/>
        <v>1213</v>
      </c>
      <c r="D13" s="72">
        <f t="shared" si="44"/>
        <v>1637</v>
      </c>
      <c r="E13" s="26">
        <f t="shared" si="44"/>
        <v>0</v>
      </c>
      <c r="F13" s="27">
        <f>IFERROR(#REF!/E13,0)</f>
        <v>0</v>
      </c>
      <c r="G13" s="28">
        <f>SUM(G8:G12)</f>
        <v>387.91739999999999</v>
      </c>
      <c r="H13" s="28">
        <f>SUM(H8:H12)</f>
        <v>1046.0430000000001</v>
      </c>
      <c r="I13" s="25">
        <f>SUM(I8:I12)</f>
        <v>1433.9603999999999</v>
      </c>
      <c r="J13" s="26">
        <f>SUM(J8:J12)</f>
        <v>32.870000000000005</v>
      </c>
      <c r="K13" s="29">
        <f t="shared" si="38"/>
        <v>43.625202312138725</v>
      </c>
      <c r="L13" s="26">
        <f>SUM(L8:L12)</f>
        <v>0</v>
      </c>
      <c r="M13" s="25">
        <f>SUM(M8:M12)</f>
        <v>0</v>
      </c>
      <c r="N13" s="28">
        <f>SUM(N8:N12)</f>
        <v>1433.9603999999999</v>
      </c>
      <c r="O13" s="30">
        <f>SUM(O8:O12)</f>
        <v>32.870000000000005</v>
      </c>
      <c r="P13" s="31">
        <f t="shared" si="39"/>
        <v>43.625202312138718</v>
      </c>
      <c r="Q13" s="28">
        <f t="shared" ref="Q13:V13" si="45">SUM(Q8:Q12)</f>
        <v>109.41259999999998</v>
      </c>
      <c r="R13" s="28">
        <f t="shared" si="45"/>
        <v>116.22699999999999</v>
      </c>
      <c r="S13" s="25">
        <f t="shared" si="45"/>
        <v>225.63959999999997</v>
      </c>
      <c r="T13" s="28">
        <f t="shared" si="45"/>
        <v>225.63959999999997</v>
      </c>
      <c r="U13" s="26">
        <f t="shared" si="45"/>
        <v>1.5</v>
      </c>
      <c r="V13" s="26">
        <f t="shared" si="45"/>
        <v>0</v>
      </c>
      <c r="W13" s="29">
        <f t="shared" si="41"/>
        <v>150.42639999999997</v>
      </c>
      <c r="X13" s="26">
        <f>SUM(X8:X12)</f>
        <v>1.33</v>
      </c>
      <c r="Y13" s="25">
        <f>SUM(Y8:Y12)</f>
        <v>49.875</v>
      </c>
      <c r="Z13" s="28">
        <f>SUM(Z8:Z12)</f>
        <v>275.51459999999997</v>
      </c>
      <c r="AA13" s="30">
        <f>SUM(AA8:AA12)</f>
        <v>2.83</v>
      </c>
      <c r="AB13" s="163">
        <f t="shared" si="7"/>
        <v>27.208480565371023</v>
      </c>
      <c r="AC13" s="27">
        <f t="shared" si="42"/>
        <v>97.354982332155458</v>
      </c>
      <c r="AD13" s="69">
        <f>SUM(AD8:AD12)</f>
        <v>1709.4749999999999</v>
      </c>
      <c r="AE13" s="70">
        <f>SUM(AE8:AE12)</f>
        <v>35.700000000000003</v>
      </c>
      <c r="AF13" s="71">
        <f t="shared" si="43"/>
        <v>47.884453781512597</v>
      </c>
    </row>
    <row r="14" spans="1:38" x14ac:dyDescent="0.25">
      <c r="A14" s="8">
        <v>45236</v>
      </c>
      <c r="B14" s="143">
        <v>10</v>
      </c>
      <c r="C14" s="122">
        <v>0</v>
      </c>
      <c r="D14" s="122">
        <v>317</v>
      </c>
      <c r="E14" s="124">
        <v>0</v>
      </c>
      <c r="F14" s="18">
        <f>IFERROR(#REF!/E14,0)</f>
        <v>0</v>
      </c>
      <c r="G14" s="19">
        <f t="shared" ref="G14:H17" si="46">C14*K$3</f>
        <v>0</v>
      </c>
      <c r="H14" s="19">
        <f t="shared" si="46"/>
        <v>202.56300000000002</v>
      </c>
      <c r="I14" s="19">
        <f>G14+H14</f>
        <v>202.56300000000002</v>
      </c>
      <c r="J14" s="124">
        <v>6.51</v>
      </c>
      <c r="K14" s="20">
        <f>IFERROR((I14)/J14,0)</f>
        <v>31.115668202764979</v>
      </c>
      <c r="L14" s="124">
        <v>0</v>
      </c>
      <c r="M14" s="10">
        <f>L14*Q$3</f>
        <v>0</v>
      </c>
      <c r="N14" s="13">
        <f t="shared" si="12"/>
        <v>202.56300000000002</v>
      </c>
      <c r="O14" s="17">
        <f>E14+J14+L14</f>
        <v>6.51</v>
      </c>
      <c r="P14" s="21">
        <f t="shared" si="39"/>
        <v>31.115668202764979</v>
      </c>
      <c r="Q14" s="13">
        <f t="shared" ref="Q14:R17" si="47">C14*W$3</f>
        <v>0</v>
      </c>
      <c r="R14" s="13">
        <f t="shared" si="47"/>
        <v>22.506999999999998</v>
      </c>
      <c r="S14" s="19">
        <f>Q14+R14</f>
        <v>22.506999999999998</v>
      </c>
      <c r="T14" s="13">
        <f t="shared" si="15"/>
        <v>22.506999999999998</v>
      </c>
      <c r="U14" s="124">
        <v>0.5</v>
      </c>
      <c r="V14" s="156">
        <v>0</v>
      </c>
      <c r="W14" s="20">
        <f t="shared" si="41"/>
        <v>45.013999999999996</v>
      </c>
      <c r="X14" s="124">
        <v>0.42</v>
      </c>
      <c r="Y14" s="10">
        <f>X14*AD$3</f>
        <v>15.75</v>
      </c>
      <c r="Z14" s="19">
        <f>T14+Y14</f>
        <v>38.256999999999998</v>
      </c>
      <c r="AA14" s="17">
        <f>U14+X14</f>
        <v>0.91999999999999993</v>
      </c>
      <c r="AB14" s="160">
        <f t="shared" si="7"/>
        <v>10.869565217391305</v>
      </c>
      <c r="AC14" s="18">
        <f t="shared" si="42"/>
        <v>41.583695652173915</v>
      </c>
      <c r="AD14" s="66">
        <f t="shared" ref="AD14:AE17" si="48">Z14+N14</f>
        <v>240.82000000000002</v>
      </c>
      <c r="AE14" s="67">
        <f t="shared" si="48"/>
        <v>7.43</v>
      </c>
      <c r="AF14" s="68">
        <f t="shared" si="43"/>
        <v>32.411843876177663</v>
      </c>
    </row>
    <row r="15" spans="1:38" x14ac:dyDescent="0.25">
      <c r="A15" s="8">
        <v>45237</v>
      </c>
      <c r="B15" s="144">
        <v>4</v>
      </c>
      <c r="C15" s="123">
        <v>0</v>
      </c>
      <c r="D15" s="123">
        <v>225</v>
      </c>
      <c r="E15" s="125">
        <v>0</v>
      </c>
      <c r="F15" s="18">
        <f>IFERROR(#REF!/E15,0)</f>
        <v>0</v>
      </c>
      <c r="G15" s="19">
        <f t="shared" si="46"/>
        <v>0</v>
      </c>
      <c r="H15" s="19">
        <f t="shared" si="46"/>
        <v>143.77500000000001</v>
      </c>
      <c r="I15" s="19">
        <f>G15+H15</f>
        <v>143.77500000000001</v>
      </c>
      <c r="J15" s="125">
        <v>6.0699999999999994</v>
      </c>
      <c r="K15" s="20">
        <f t="shared" ref="K15:K37" si="49">IFERROR((G15+H15)/J15,0)</f>
        <v>23.686161449752888</v>
      </c>
      <c r="L15" s="125">
        <v>0</v>
      </c>
      <c r="M15" s="10">
        <f>L15*Q$3</f>
        <v>0</v>
      </c>
      <c r="N15" s="13">
        <f t="shared" si="12"/>
        <v>143.77500000000001</v>
      </c>
      <c r="O15" s="17">
        <f>E15+J15+L15</f>
        <v>6.0699999999999994</v>
      </c>
      <c r="P15" s="21">
        <f t="shared" si="39"/>
        <v>23.686161449752888</v>
      </c>
      <c r="Q15" s="13">
        <f t="shared" si="47"/>
        <v>0</v>
      </c>
      <c r="R15" s="13">
        <f t="shared" si="47"/>
        <v>15.974999999999998</v>
      </c>
      <c r="S15" s="19">
        <f>Q15+R15</f>
        <v>15.974999999999998</v>
      </c>
      <c r="T15" s="13">
        <f t="shared" si="15"/>
        <v>15.974999999999998</v>
      </c>
      <c r="U15" s="125">
        <v>0.66999999999999993</v>
      </c>
      <c r="V15" s="156">
        <v>0.25</v>
      </c>
      <c r="W15" s="20">
        <f t="shared" si="41"/>
        <v>23.843283582089551</v>
      </c>
      <c r="X15" s="125">
        <v>0.25</v>
      </c>
      <c r="Y15" s="10">
        <f>X15*AD$3</f>
        <v>9.375</v>
      </c>
      <c r="Z15" s="19">
        <f>T15+Y15</f>
        <v>25.349999999999998</v>
      </c>
      <c r="AA15" s="17">
        <f>U15+X15</f>
        <v>0.91999999999999993</v>
      </c>
      <c r="AB15" s="160">
        <f t="shared" si="7"/>
        <v>4.3478260869565224</v>
      </c>
      <c r="AC15" s="18">
        <f t="shared" si="42"/>
        <v>27.554347826086957</v>
      </c>
      <c r="AD15" s="66">
        <f t="shared" si="48"/>
        <v>169.125</v>
      </c>
      <c r="AE15" s="67">
        <f t="shared" si="48"/>
        <v>6.9899999999999993</v>
      </c>
      <c r="AF15" s="68">
        <f t="shared" si="43"/>
        <v>24.195278969957084</v>
      </c>
    </row>
    <row r="16" spans="1:38" x14ac:dyDescent="0.25">
      <c r="A16" s="8">
        <v>45238</v>
      </c>
      <c r="B16" s="144">
        <v>29</v>
      </c>
      <c r="C16" s="123">
        <v>160</v>
      </c>
      <c r="D16" s="123">
        <f>445-160</f>
        <v>285</v>
      </c>
      <c r="E16" s="125">
        <v>0</v>
      </c>
      <c r="F16" s="18">
        <f>IFERROR(#REF!/E16,0)</f>
        <v>0</v>
      </c>
      <c r="G16" s="33">
        <f t="shared" si="46"/>
        <v>51.167999999999992</v>
      </c>
      <c r="H16" s="33">
        <f t="shared" si="46"/>
        <v>182.11500000000001</v>
      </c>
      <c r="I16" s="33">
        <f>G16+H16</f>
        <v>233.28300000000002</v>
      </c>
      <c r="J16" s="125">
        <v>11.75</v>
      </c>
      <c r="K16" s="20">
        <f>IFERROR((G16+H16)/J16,0)</f>
        <v>19.853872340425532</v>
      </c>
      <c r="L16" s="125">
        <v>0</v>
      </c>
      <c r="M16" s="10">
        <f>L16*Q$3</f>
        <v>0</v>
      </c>
      <c r="N16" s="13">
        <f t="shared" si="12"/>
        <v>233.28300000000002</v>
      </c>
      <c r="O16" s="17">
        <f>E16+J16+L16</f>
        <v>11.75</v>
      </c>
      <c r="P16" s="21">
        <f t="shared" si="39"/>
        <v>19.853872340425532</v>
      </c>
      <c r="Q16" s="13">
        <f t="shared" si="47"/>
        <v>14.431999999999999</v>
      </c>
      <c r="R16" s="13">
        <f t="shared" si="47"/>
        <v>20.234999999999999</v>
      </c>
      <c r="S16" s="33">
        <f>Q16+R16</f>
        <v>34.667000000000002</v>
      </c>
      <c r="T16" s="13">
        <f t="shared" si="15"/>
        <v>34.667000000000002</v>
      </c>
      <c r="U16" s="125">
        <v>0.75</v>
      </c>
      <c r="V16" s="156">
        <v>0</v>
      </c>
      <c r="W16" s="20">
        <f t="shared" si="41"/>
        <v>46.222666666666669</v>
      </c>
      <c r="X16" s="125">
        <v>0.5</v>
      </c>
      <c r="Y16" s="10">
        <f>X16*AD$3</f>
        <v>18.75</v>
      </c>
      <c r="Z16" s="19">
        <f>T16+Y16</f>
        <v>53.417000000000002</v>
      </c>
      <c r="AA16" s="17">
        <f>U16+X16</f>
        <v>1.25</v>
      </c>
      <c r="AB16" s="160">
        <f t="shared" si="7"/>
        <v>23.2</v>
      </c>
      <c r="AC16" s="18">
        <f t="shared" si="42"/>
        <v>42.733600000000003</v>
      </c>
      <c r="AD16" s="66">
        <f t="shared" si="48"/>
        <v>286.70000000000005</v>
      </c>
      <c r="AE16" s="67">
        <f t="shared" si="48"/>
        <v>13</v>
      </c>
      <c r="AF16" s="68">
        <f t="shared" si="43"/>
        <v>22.053846153846159</v>
      </c>
    </row>
    <row r="17" spans="1:32" x14ac:dyDescent="0.25">
      <c r="A17" s="8">
        <v>45239</v>
      </c>
      <c r="B17" s="144">
        <v>12</v>
      </c>
      <c r="C17" s="123">
        <f>196+26</f>
        <v>222</v>
      </c>
      <c r="D17" s="123">
        <v>120</v>
      </c>
      <c r="E17" s="125">
        <v>0</v>
      </c>
      <c r="F17" s="18">
        <f>IFERROR(#REF!/E17,0)</f>
        <v>0</v>
      </c>
      <c r="G17" s="19">
        <f t="shared" si="46"/>
        <v>70.995599999999996</v>
      </c>
      <c r="H17" s="19">
        <f t="shared" si="46"/>
        <v>76.680000000000007</v>
      </c>
      <c r="I17" s="19">
        <f>G17+H17</f>
        <v>147.6756</v>
      </c>
      <c r="J17" s="125">
        <v>9.94</v>
      </c>
      <c r="K17" s="20">
        <f t="shared" si="49"/>
        <v>14.856700201207245</v>
      </c>
      <c r="L17" s="125">
        <v>0</v>
      </c>
      <c r="M17" s="10">
        <f>L17*Q$3</f>
        <v>0</v>
      </c>
      <c r="N17" s="13">
        <f t="shared" si="12"/>
        <v>147.6756</v>
      </c>
      <c r="O17" s="17">
        <f>E17+J17+L17</f>
        <v>9.94</v>
      </c>
      <c r="P17" s="21">
        <f t="shared" si="39"/>
        <v>14.856700201207245</v>
      </c>
      <c r="Q17" s="13">
        <f t="shared" si="47"/>
        <v>20.024399999999996</v>
      </c>
      <c r="R17" s="13">
        <f t="shared" si="47"/>
        <v>8.52</v>
      </c>
      <c r="S17" s="19">
        <f>Q17+R17</f>
        <v>28.544399999999996</v>
      </c>
      <c r="T17" s="13">
        <f t="shared" si="15"/>
        <v>28.544399999999996</v>
      </c>
      <c r="U17" s="125">
        <v>0.5</v>
      </c>
      <c r="V17" s="156">
        <v>0</v>
      </c>
      <c r="W17" s="20">
        <f t="shared" si="41"/>
        <v>57.088799999999992</v>
      </c>
      <c r="X17" s="125">
        <v>0.5</v>
      </c>
      <c r="Y17" s="10">
        <f>X17*AD$3</f>
        <v>18.75</v>
      </c>
      <c r="Z17" s="19">
        <f>T17+Y17</f>
        <v>47.294399999999996</v>
      </c>
      <c r="AA17" s="17">
        <f>U17+X17</f>
        <v>1</v>
      </c>
      <c r="AB17" s="160">
        <f t="shared" si="7"/>
        <v>12</v>
      </c>
      <c r="AC17" s="18">
        <f t="shared" si="42"/>
        <v>47.294399999999996</v>
      </c>
      <c r="AD17" s="66">
        <f t="shared" si="48"/>
        <v>194.97</v>
      </c>
      <c r="AE17" s="67">
        <f t="shared" si="48"/>
        <v>10.94</v>
      </c>
      <c r="AF17" s="68">
        <f t="shared" si="43"/>
        <v>17.821755027422306</v>
      </c>
    </row>
    <row r="18" spans="1:32" s="195" customFormat="1" x14ac:dyDescent="0.25">
      <c r="A18" s="189">
        <v>45240</v>
      </c>
      <c r="B18" s="190"/>
      <c r="C18" s="191"/>
      <c r="D18" s="191"/>
      <c r="E18" s="196"/>
      <c r="F18" s="18">
        <f>IFERROR(#REF!/E18,0)</f>
        <v>0</v>
      </c>
      <c r="G18" s="19">
        <f t="shared" ref="G18" si="50">C18*K$3</f>
        <v>0</v>
      </c>
      <c r="H18" s="19">
        <f t="shared" ref="H18" si="51">D18*L$3</f>
        <v>0</v>
      </c>
      <c r="I18" s="19">
        <f>G18+H18</f>
        <v>0</v>
      </c>
      <c r="J18" s="196"/>
      <c r="K18" s="20">
        <f t="shared" si="49"/>
        <v>0</v>
      </c>
      <c r="L18" s="196"/>
      <c r="M18" s="10">
        <f>L18*Q$3</f>
        <v>0</v>
      </c>
      <c r="N18" s="13">
        <f t="shared" ref="N18" si="52">I18+M18</f>
        <v>0</v>
      </c>
      <c r="O18" s="17">
        <f>E18+J18+L18</f>
        <v>0</v>
      </c>
      <c r="P18" s="21">
        <f t="shared" ref="P18" si="53">IFERROR(N18/O18,0)</f>
        <v>0</v>
      </c>
      <c r="Q18" s="13">
        <f t="shared" ref="Q18" si="54">C18*W$3</f>
        <v>0</v>
      </c>
      <c r="R18" s="13">
        <f t="shared" ref="R18" si="55">D18*X$3</f>
        <v>0</v>
      </c>
      <c r="S18" s="19">
        <f>Q18+R18</f>
        <v>0</v>
      </c>
      <c r="T18" s="13">
        <f t="shared" ref="T18" si="56">S18</f>
        <v>0</v>
      </c>
      <c r="U18" s="196"/>
      <c r="V18" s="194"/>
      <c r="W18" s="20">
        <f t="shared" si="41"/>
        <v>0</v>
      </c>
      <c r="X18" s="196"/>
      <c r="Y18" s="10">
        <f>X18*AD$3</f>
        <v>0</v>
      </c>
      <c r="Z18" s="19">
        <f>T18+Y18</f>
        <v>0</v>
      </c>
      <c r="AA18" s="17">
        <f>U18+X18</f>
        <v>0</v>
      </c>
      <c r="AB18" s="160">
        <f t="shared" ref="AB18" si="57">IFERROR(B18/AA18,0)</f>
        <v>0</v>
      </c>
      <c r="AC18" s="18">
        <f t="shared" ref="AC18" si="58">IFERROR(Z18/AA18,0)</f>
        <v>0</v>
      </c>
      <c r="AD18" s="66">
        <f t="shared" ref="AD18" si="59">Z18+N18</f>
        <v>0</v>
      </c>
      <c r="AE18" s="67">
        <f t="shared" ref="AE18" si="60">AA18+O18</f>
        <v>0</v>
      </c>
      <c r="AF18" s="68">
        <f t="shared" ref="AF18" si="61">IFERROR(AD18/AE18,0)</f>
        <v>0</v>
      </c>
    </row>
    <row r="19" spans="1:32" x14ac:dyDescent="0.25">
      <c r="A19" s="95" t="s">
        <v>13</v>
      </c>
      <c r="B19" s="23">
        <f t="shared" ref="B19:E19" si="62">SUM(B14:B18)</f>
        <v>55</v>
      </c>
      <c r="C19" s="23">
        <f t="shared" si="62"/>
        <v>382</v>
      </c>
      <c r="D19" s="72">
        <f t="shared" si="62"/>
        <v>947</v>
      </c>
      <c r="E19" s="26">
        <f t="shared" si="62"/>
        <v>0</v>
      </c>
      <c r="F19" s="27">
        <f>IFERROR(#REF!/E19,0)</f>
        <v>0</v>
      </c>
      <c r="G19" s="28">
        <f>SUM(G14:G18)</f>
        <v>122.16359999999999</v>
      </c>
      <c r="H19" s="28">
        <f>SUM(H14:H18)</f>
        <v>605.13300000000004</v>
      </c>
      <c r="I19" s="25">
        <f>SUM(I14:I18)</f>
        <v>727.29660000000013</v>
      </c>
      <c r="J19" s="26">
        <f>SUM(J14:J18)</f>
        <v>34.269999999999996</v>
      </c>
      <c r="K19" s="29">
        <f t="shared" si="49"/>
        <v>21.222544499562304</v>
      </c>
      <c r="L19" s="26">
        <f>SUM(L14:L18)</f>
        <v>0</v>
      </c>
      <c r="M19" s="25">
        <f>SUM(M14:M18)</f>
        <v>0</v>
      </c>
      <c r="N19" s="28">
        <f>SUM(N14:N18)</f>
        <v>727.29660000000013</v>
      </c>
      <c r="O19" s="30">
        <f>SUM(O14:O18)</f>
        <v>34.269999999999996</v>
      </c>
      <c r="P19" s="31">
        <f t="shared" si="39"/>
        <v>21.222544499562307</v>
      </c>
      <c r="Q19" s="28">
        <f t="shared" ref="Q19:U19" si="63">SUM(Q14:Q18)</f>
        <v>34.456399999999995</v>
      </c>
      <c r="R19" s="28">
        <f t="shared" si="63"/>
        <v>67.236999999999995</v>
      </c>
      <c r="S19" s="25">
        <f t="shared" si="63"/>
        <v>101.6934</v>
      </c>
      <c r="T19" s="28">
        <f t="shared" si="63"/>
        <v>101.6934</v>
      </c>
      <c r="U19" s="26">
        <f t="shared" si="63"/>
        <v>2.42</v>
      </c>
      <c r="V19" s="26">
        <f>SUM(V14:V18)</f>
        <v>0.25</v>
      </c>
      <c r="W19" s="29">
        <f t="shared" si="41"/>
        <v>42.022066115702479</v>
      </c>
      <c r="X19" s="26">
        <f>SUM(X14:X18)</f>
        <v>1.67</v>
      </c>
      <c r="Y19" s="25">
        <f>SUM(Y14:Y18)</f>
        <v>62.625</v>
      </c>
      <c r="Z19" s="28">
        <f>SUM(Z14:Z18)</f>
        <v>164.3184</v>
      </c>
      <c r="AA19" s="30">
        <f>SUM(AA14:AA18)</f>
        <v>4.09</v>
      </c>
      <c r="AB19" s="163">
        <f t="shared" si="7"/>
        <v>13.447432762836186</v>
      </c>
      <c r="AC19" s="27">
        <f t="shared" si="42"/>
        <v>40.175647921760394</v>
      </c>
      <c r="AD19" s="69">
        <f>SUM(AD14:AD18)</f>
        <v>891.61500000000012</v>
      </c>
      <c r="AE19" s="70">
        <f>SUM(AE14:AE18)</f>
        <v>38.36</v>
      </c>
      <c r="AF19" s="71">
        <f t="shared" si="43"/>
        <v>23.243352450469242</v>
      </c>
    </row>
    <row r="20" spans="1:32" x14ac:dyDescent="0.25">
      <c r="A20" s="8">
        <v>45243</v>
      </c>
      <c r="B20" s="143"/>
      <c r="C20" s="122"/>
      <c r="D20" s="122"/>
      <c r="E20" s="124"/>
      <c r="F20" s="18">
        <f>IFERROR(#REF!/E20,0)</f>
        <v>0</v>
      </c>
      <c r="G20" s="19">
        <f t="shared" ref="G20:H24" si="64">C20*K$3</f>
        <v>0</v>
      </c>
      <c r="H20" s="19">
        <f t="shared" si="64"/>
        <v>0</v>
      </c>
      <c r="I20" s="19">
        <f>G20+H20</f>
        <v>0</v>
      </c>
      <c r="J20" s="124"/>
      <c r="K20" s="20">
        <f t="shared" si="49"/>
        <v>0</v>
      </c>
      <c r="L20" s="124"/>
      <c r="M20" s="10">
        <f>L20*Q$3</f>
        <v>0</v>
      </c>
      <c r="N20" s="13">
        <f t="shared" si="12"/>
        <v>0</v>
      </c>
      <c r="O20" s="17">
        <f>E20+J20+L20</f>
        <v>0</v>
      </c>
      <c r="P20" s="21">
        <f t="shared" si="39"/>
        <v>0</v>
      </c>
      <c r="Q20" s="13">
        <f t="shared" ref="Q20:R24" si="65">C20*W$3</f>
        <v>0</v>
      </c>
      <c r="R20" s="13">
        <f t="shared" si="65"/>
        <v>0</v>
      </c>
      <c r="S20" s="19">
        <f>Q20+R20</f>
        <v>0</v>
      </c>
      <c r="T20" s="13">
        <f t="shared" ref="T20:T36" si="66">S20</f>
        <v>0</v>
      </c>
      <c r="U20" s="124"/>
      <c r="V20" s="156"/>
      <c r="W20" s="20">
        <f t="shared" si="41"/>
        <v>0</v>
      </c>
      <c r="X20" s="124"/>
      <c r="Y20" s="10">
        <f>X20*AD$3</f>
        <v>0</v>
      </c>
      <c r="Z20" s="19">
        <f>T20+Y20</f>
        <v>0</v>
      </c>
      <c r="AA20" s="17">
        <f>U20+X20</f>
        <v>0</v>
      </c>
      <c r="AB20" s="160">
        <f t="shared" si="7"/>
        <v>0</v>
      </c>
      <c r="AC20" s="18">
        <f t="shared" si="42"/>
        <v>0</v>
      </c>
      <c r="AD20" s="66">
        <f t="shared" ref="AD20:AE24" si="67">Z20+N20</f>
        <v>0</v>
      </c>
      <c r="AE20" s="67">
        <f t="shared" si="67"/>
        <v>0</v>
      </c>
      <c r="AF20" s="68">
        <f t="shared" si="43"/>
        <v>0</v>
      </c>
    </row>
    <row r="21" spans="1:32" x14ac:dyDescent="0.25">
      <c r="A21" s="8">
        <v>45244</v>
      </c>
      <c r="B21" s="144"/>
      <c r="C21" s="123"/>
      <c r="D21" s="123"/>
      <c r="E21" s="125"/>
      <c r="F21" s="18">
        <f>IFERROR(#REF!/E21,0)</f>
        <v>0</v>
      </c>
      <c r="G21" s="19">
        <f t="shared" si="64"/>
        <v>0</v>
      </c>
      <c r="H21" s="19">
        <f t="shared" si="64"/>
        <v>0</v>
      </c>
      <c r="I21" s="19">
        <f>G21+H21</f>
        <v>0</v>
      </c>
      <c r="J21" s="125"/>
      <c r="K21" s="20">
        <f t="shared" si="49"/>
        <v>0</v>
      </c>
      <c r="L21" s="125"/>
      <c r="M21" s="10">
        <f>L21*Q$3</f>
        <v>0</v>
      </c>
      <c r="N21" s="13">
        <f t="shared" si="12"/>
        <v>0</v>
      </c>
      <c r="O21" s="17">
        <f>E21+J21+L21</f>
        <v>0</v>
      </c>
      <c r="P21" s="21">
        <f t="shared" si="39"/>
        <v>0</v>
      </c>
      <c r="Q21" s="13">
        <f t="shared" si="65"/>
        <v>0</v>
      </c>
      <c r="R21" s="13">
        <f t="shared" si="65"/>
        <v>0</v>
      </c>
      <c r="S21" s="19">
        <f>Q21+R21</f>
        <v>0</v>
      </c>
      <c r="T21" s="13">
        <f t="shared" si="66"/>
        <v>0</v>
      </c>
      <c r="U21" s="125"/>
      <c r="V21" s="156"/>
      <c r="W21" s="20">
        <f t="shared" si="41"/>
        <v>0</v>
      </c>
      <c r="X21" s="125"/>
      <c r="Y21" s="10">
        <f>X21*AD$3</f>
        <v>0</v>
      </c>
      <c r="Z21" s="19">
        <f>T21+Y21</f>
        <v>0</v>
      </c>
      <c r="AA21" s="17">
        <f>U21+X21</f>
        <v>0</v>
      </c>
      <c r="AB21" s="160">
        <f t="shared" si="7"/>
        <v>0</v>
      </c>
      <c r="AC21" s="18">
        <f t="shared" si="42"/>
        <v>0</v>
      </c>
      <c r="AD21" s="66">
        <f t="shared" si="67"/>
        <v>0</v>
      </c>
      <c r="AE21" s="67">
        <f t="shared" si="67"/>
        <v>0</v>
      </c>
      <c r="AF21" s="68">
        <f t="shared" si="43"/>
        <v>0</v>
      </c>
    </row>
    <row r="22" spans="1:32" x14ac:dyDescent="0.25">
      <c r="A22" s="8">
        <v>45245</v>
      </c>
      <c r="B22" s="144"/>
      <c r="C22" s="123"/>
      <c r="D22" s="123"/>
      <c r="E22" s="125"/>
      <c r="F22" s="18">
        <f>IFERROR(#REF!/E22,0)</f>
        <v>0</v>
      </c>
      <c r="G22" s="19">
        <f t="shared" si="64"/>
        <v>0</v>
      </c>
      <c r="H22" s="19">
        <f t="shared" si="64"/>
        <v>0</v>
      </c>
      <c r="I22" s="19">
        <f>G22+H22</f>
        <v>0</v>
      </c>
      <c r="J22" s="125"/>
      <c r="K22" s="20">
        <f t="shared" si="49"/>
        <v>0</v>
      </c>
      <c r="L22" s="125"/>
      <c r="M22" s="10">
        <f>L22*Q$3</f>
        <v>0</v>
      </c>
      <c r="N22" s="13">
        <f t="shared" si="12"/>
        <v>0</v>
      </c>
      <c r="O22" s="17">
        <f>E22+J22+L22</f>
        <v>0</v>
      </c>
      <c r="P22" s="21">
        <f t="shared" si="39"/>
        <v>0</v>
      </c>
      <c r="Q22" s="13">
        <f t="shared" si="65"/>
        <v>0</v>
      </c>
      <c r="R22" s="13">
        <f t="shared" si="65"/>
        <v>0</v>
      </c>
      <c r="S22" s="19">
        <f>Q22+R22</f>
        <v>0</v>
      </c>
      <c r="T22" s="13">
        <f t="shared" si="66"/>
        <v>0</v>
      </c>
      <c r="U22" s="125"/>
      <c r="V22" s="156"/>
      <c r="W22" s="20">
        <f t="shared" si="41"/>
        <v>0</v>
      </c>
      <c r="X22" s="125"/>
      <c r="Y22" s="10">
        <f>X22*AD$3</f>
        <v>0</v>
      </c>
      <c r="Z22" s="19">
        <f>T22+Y22</f>
        <v>0</v>
      </c>
      <c r="AA22" s="17">
        <f>U22+X22</f>
        <v>0</v>
      </c>
      <c r="AB22" s="160">
        <f t="shared" si="7"/>
        <v>0</v>
      </c>
      <c r="AC22" s="18">
        <f t="shared" si="42"/>
        <v>0</v>
      </c>
      <c r="AD22" s="66">
        <f t="shared" si="67"/>
        <v>0</v>
      </c>
      <c r="AE22" s="67">
        <f t="shared" si="67"/>
        <v>0</v>
      </c>
      <c r="AF22" s="68">
        <f t="shared" si="43"/>
        <v>0</v>
      </c>
    </row>
    <row r="23" spans="1:32" x14ac:dyDescent="0.25">
      <c r="A23" s="8">
        <v>45246</v>
      </c>
      <c r="B23" s="144"/>
      <c r="C23" s="123"/>
      <c r="D23" s="123"/>
      <c r="E23" s="125"/>
      <c r="F23" s="18">
        <f>IFERROR(#REF!/E23,0)</f>
        <v>0</v>
      </c>
      <c r="G23" s="19">
        <f t="shared" si="64"/>
        <v>0</v>
      </c>
      <c r="H23" s="19">
        <f t="shared" si="64"/>
        <v>0</v>
      </c>
      <c r="I23" s="19">
        <f>G23+H23</f>
        <v>0</v>
      </c>
      <c r="J23" s="125"/>
      <c r="K23" s="20">
        <f t="shared" si="49"/>
        <v>0</v>
      </c>
      <c r="L23" s="125"/>
      <c r="M23" s="10">
        <f>L23*Q$3</f>
        <v>0</v>
      </c>
      <c r="N23" s="13">
        <f t="shared" si="12"/>
        <v>0</v>
      </c>
      <c r="O23" s="17">
        <f>E23+J23+L23</f>
        <v>0</v>
      </c>
      <c r="P23" s="21">
        <f t="shared" si="39"/>
        <v>0</v>
      </c>
      <c r="Q23" s="13">
        <f t="shared" si="65"/>
        <v>0</v>
      </c>
      <c r="R23" s="13">
        <f t="shared" si="65"/>
        <v>0</v>
      </c>
      <c r="S23" s="19">
        <f>Q23+R23</f>
        <v>0</v>
      </c>
      <c r="T23" s="13">
        <f t="shared" si="66"/>
        <v>0</v>
      </c>
      <c r="U23" s="125"/>
      <c r="V23" s="156"/>
      <c r="W23" s="20">
        <f>IFERROR(T23/U23,0)</f>
        <v>0</v>
      </c>
      <c r="X23" s="125"/>
      <c r="Y23" s="10">
        <f>X23*AD$3</f>
        <v>0</v>
      </c>
      <c r="Z23" s="19">
        <f>T23+Y23</f>
        <v>0</v>
      </c>
      <c r="AA23" s="17">
        <f>U23+X23</f>
        <v>0</v>
      </c>
      <c r="AB23" s="160">
        <f t="shared" si="7"/>
        <v>0</v>
      </c>
      <c r="AC23" s="18">
        <f t="shared" si="42"/>
        <v>0</v>
      </c>
      <c r="AD23" s="66">
        <f t="shared" si="67"/>
        <v>0</v>
      </c>
      <c r="AE23" s="67">
        <f t="shared" si="67"/>
        <v>0</v>
      </c>
      <c r="AF23" s="68">
        <f t="shared" si="43"/>
        <v>0</v>
      </c>
    </row>
    <row r="24" spans="1:32" x14ac:dyDescent="0.25">
      <c r="A24" s="8">
        <v>45247</v>
      </c>
      <c r="B24" s="144"/>
      <c r="C24" s="123"/>
      <c r="D24" s="123"/>
      <c r="E24" s="125"/>
      <c r="F24" s="18">
        <f>IFERROR(#REF!/E24,0)</f>
        <v>0</v>
      </c>
      <c r="G24" s="19">
        <f t="shared" si="64"/>
        <v>0</v>
      </c>
      <c r="H24" s="19">
        <f t="shared" si="64"/>
        <v>0</v>
      </c>
      <c r="I24" s="19">
        <f>G24+H24</f>
        <v>0</v>
      </c>
      <c r="J24" s="125"/>
      <c r="K24" s="20">
        <f t="shared" si="49"/>
        <v>0</v>
      </c>
      <c r="L24" s="125"/>
      <c r="M24" s="10">
        <f>L24*Q$3</f>
        <v>0</v>
      </c>
      <c r="N24" s="13">
        <f t="shared" si="12"/>
        <v>0</v>
      </c>
      <c r="O24" s="17">
        <f>E24+J24+L24</f>
        <v>0</v>
      </c>
      <c r="P24" s="21">
        <f t="shared" si="39"/>
        <v>0</v>
      </c>
      <c r="Q24" s="13">
        <f t="shared" si="65"/>
        <v>0</v>
      </c>
      <c r="R24" s="13">
        <f t="shared" si="65"/>
        <v>0</v>
      </c>
      <c r="S24" s="19">
        <f>Q24+R24</f>
        <v>0</v>
      </c>
      <c r="T24" s="13">
        <f t="shared" si="66"/>
        <v>0</v>
      </c>
      <c r="U24" s="125"/>
      <c r="V24" s="156"/>
      <c r="W24" s="20">
        <f t="shared" si="41"/>
        <v>0</v>
      </c>
      <c r="X24" s="125"/>
      <c r="Y24" s="10">
        <f>X24*AD$3</f>
        <v>0</v>
      </c>
      <c r="Z24" s="19">
        <f>T24+Y24</f>
        <v>0</v>
      </c>
      <c r="AA24" s="17">
        <f>U24+X24</f>
        <v>0</v>
      </c>
      <c r="AB24" s="160">
        <f t="shared" si="7"/>
        <v>0</v>
      </c>
      <c r="AC24" s="18">
        <f t="shared" si="42"/>
        <v>0</v>
      </c>
      <c r="AD24" s="66">
        <f t="shared" si="67"/>
        <v>0</v>
      </c>
      <c r="AE24" s="67">
        <f t="shared" si="67"/>
        <v>0</v>
      </c>
      <c r="AF24" s="68">
        <f t="shared" si="43"/>
        <v>0</v>
      </c>
    </row>
    <row r="25" spans="1:32" x14ac:dyDescent="0.25">
      <c r="A25" s="95" t="s">
        <v>13</v>
      </c>
      <c r="B25" s="23">
        <f t="shared" ref="B25:E25" si="68">SUM(B20:B24)</f>
        <v>0</v>
      </c>
      <c r="C25" s="23">
        <f t="shared" si="68"/>
        <v>0</v>
      </c>
      <c r="D25" s="72">
        <f t="shared" si="68"/>
        <v>0</v>
      </c>
      <c r="E25" s="26">
        <f t="shared" si="68"/>
        <v>0</v>
      </c>
      <c r="F25" s="27">
        <f>IFERROR(#REF!/E25,0)</f>
        <v>0</v>
      </c>
      <c r="G25" s="28">
        <f>SUM(G20:G24)</f>
        <v>0</v>
      </c>
      <c r="H25" s="28">
        <f>SUM(H20:H24)</f>
        <v>0</v>
      </c>
      <c r="I25" s="25">
        <f>SUM(I20:I24)</f>
        <v>0</v>
      </c>
      <c r="J25" s="26">
        <f>SUM(J20:J24)</f>
        <v>0</v>
      </c>
      <c r="K25" s="29">
        <f t="shared" si="49"/>
        <v>0</v>
      </c>
      <c r="L25" s="26">
        <f>SUM(L20:L24)</f>
        <v>0</v>
      </c>
      <c r="M25" s="25">
        <f>SUM(M20:M24)</f>
        <v>0</v>
      </c>
      <c r="N25" s="28">
        <f>SUM(N20:N24)</f>
        <v>0</v>
      </c>
      <c r="O25" s="30">
        <f>SUM(O20:O24)</f>
        <v>0</v>
      </c>
      <c r="P25" s="31">
        <f t="shared" si="39"/>
        <v>0</v>
      </c>
      <c r="Q25" s="28">
        <f t="shared" ref="Q25:U25" si="69">SUM(Q20:Q24)</f>
        <v>0</v>
      </c>
      <c r="R25" s="28">
        <f t="shared" si="69"/>
        <v>0</v>
      </c>
      <c r="S25" s="25">
        <f t="shared" si="69"/>
        <v>0</v>
      </c>
      <c r="T25" s="28">
        <f t="shared" si="69"/>
        <v>0</v>
      </c>
      <c r="U25" s="26">
        <f t="shared" si="69"/>
        <v>0</v>
      </c>
      <c r="V25" s="26">
        <f>SUM(V20:V24)</f>
        <v>0</v>
      </c>
      <c r="W25" s="29">
        <f t="shared" si="41"/>
        <v>0</v>
      </c>
      <c r="X25" s="26">
        <f>SUM(X20:X24)</f>
        <v>0</v>
      </c>
      <c r="Y25" s="25">
        <f>SUM(Y20:Y24)</f>
        <v>0</v>
      </c>
      <c r="Z25" s="28">
        <f>SUM(Z20:Z24)</f>
        <v>0</v>
      </c>
      <c r="AA25" s="30">
        <f>SUM(AA20:AA24)</f>
        <v>0</v>
      </c>
      <c r="AB25" s="163">
        <f t="shared" si="7"/>
        <v>0</v>
      </c>
      <c r="AC25" s="27">
        <f t="shared" si="42"/>
        <v>0</v>
      </c>
      <c r="AD25" s="69">
        <f>SUM(AD20:AD24)</f>
        <v>0</v>
      </c>
      <c r="AE25" s="70">
        <f>SUM(AE20:AE24)</f>
        <v>0</v>
      </c>
      <c r="AF25" s="71">
        <f t="shared" si="43"/>
        <v>0</v>
      </c>
    </row>
    <row r="26" spans="1:32" x14ac:dyDescent="0.25">
      <c r="A26" s="8">
        <v>45250</v>
      </c>
      <c r="B26" s="143"/>
      <c r="C26" s="122"/>
      <c r="D26" s="122"/>
      <c r="E26" s="124"/>
      <c r="F26" s="18">
        <f>IFERROR(#REF!/E26,0)</f>
        <v>0</v>
      </c>
      <c r="G26" s="19">
        <f t="shared" ref="G26:H30" si="70">C26*K$3</f>
        <v>0</v>
      </c>
      <c r="H26" s="19">
        <f t="shared" si="70"/>
        <v>0</v>
      </c>
      <c r="I26" s="19">
        <f>G26+H26</f>
        <v>0</v>
      </c>
      <c r="J26" s="124"/>
      <c r="K26" s="20">
        <f t="shared" si="49"/>
        <v>0</v>
      </c>
      <c r="L26" s="124"/>
      <c r="M26" s="10">
        <f>L26*Q$3</f>
        <v>0</v>
      </c>
      <c r="N26" s="13">
        <f t="shared" si="12"/>
        <v>0</v>
      </c>
      <c r="O26" s="17">
        <f>E26+J26+L26</f>
        <v>0</v>
      </c>
      <c r="P26" s="21">
        <f t="shared" si="39"/>
        <v>0</v>
      </c>
      <c r="Q26" s="13">
        <f t="shared" ref="Q26:R30" si="71">C26*W$3</f>
        <v>0</v>
      </c>
      <c r="R26" s="13">
        <f t="shared" si="71"/>
        <v>0</v>
      </c>
      <c r="S26" s="19">
        <f>Q26+R26</f>
        <v>0</v>
      </c>
      <c r="T26" s="13">
        <f t="shared" si="66"/>
        <v>0</v>
      </c>
      <c r="U26" s="124"/>
      <c r="V26" s="156"/>
      <c r="W26" s="20">
        <f t="shared" si="41"/>
        <v>0</v>
      </c>
      <c r="X26" s="124"/>
      <c r="Y26" s="10">
        <f>X26*AD$3</f>
        <v>0</v>
      </c>
      <c r="Z26" s="19">
        <f>T26+Y26</f>
        <v>0</v>
      </c>
      <c r="AA26" s="17">
        <f>U26+X26</f>
        <v>0</v>
      </c>
      <c r="AB26" s="160">
        <f t="shared" si="7"/>
        <v>0</v>
      </c>
      <c r="AC26" s="18">
        <f t="shared" si="42"/>
        <v>0</v>
      </c>
      <c r="AD26" s="66">
        <f t="shared" ref="AD26:AE30" si="72">Z26+N26</f>
        <v>0</v>
      </c>
      <c r="AE26" s="67">
        <f t="shared" si="72"/>
        <v>0</v>
      </c>
      <c r="AF26" s="68">
        <f t="shared" si="43"/>
        <v>0</v>
      </c>
    </row>
    <row r="27" spans="1:32" x14ac:dyDescent="0.25">
      <c r="A27" s="8">
        <v>45251</v>
      </c>
      <c r="B27" s="144"/>
      <c r="C27" s="123"/>
      <c r="D27" s="123"/>
      <c r="E27" s="125"/>
      <c r="F27" s="18">
        <f>IFERROR(#REF!/E27,0)</f>
        <v>0</v>
      </c>
      <c r="G27" s="19">
        <f t="shared" si="70"/>
        <v>0</v>
      </c>
      <c r="H27" s="19">
        <f t="shared" si="70"/>
        <v>0</v>
      </c>
      <c r="I27" s="19">
        <f>G27+H27</f>
        <v>0</v>
      </c>
      <c r="J27" s="125"/>
      <c r="K27" s="20">
        <f t="shared" si="49"/>
        <v>0</v>
      </c>
      <c r="L27" s="125"/>
      <c r="M27" s="10">
        <f>L27*Q$3</f>
        <v>0</v>
      </c>
      <c r="N27" s="13">
        <f t="shared" si="12"/>
        <v>0</v>
      </c>
      <c r="O27" s="17">
        <f>E27+J27+L27</f>
        <v>0</v>
      </c>
      <c r="P27" s="21">
        <f t="shared" si="39"/>
        <v>0</v>
      </c>
      <c r="Q27" s="13">
        <f t="shared" si="71"/>
        <v>0</v>
      </c>
      <c r="R27" s="13">
        <f t="shared" si="71"/>
        <v>0</v>
      </c>
      <c r="S27" s="19">
        <f>Q27+R27</f>
        <v>0</v>
      </c>
      <c r="T27" s="13">
        <f t="shared" si="66"/>
        <v>0</v>
      </c>
      <c r="U27" s="125"/>
      <c r="V27" s="156"/>
      <c r="W27" s="20">
        <f t="shared" si="41"/>
        <v>0</v>
      </c>
      <c r="X27" s="125"/>
      <c r="Y27" s="10">
        <f>X27*AD$3</f>
        <v>0</v>
      </c>
      <c r="Z27" s="19">
        <f>T27+Y27</f>
        <v>0</v>
      </c>
      <c r="AA27" s="17">
        <f>U27+X27</f>
        <v>0</v>
      </c>
      <c r="AB27" s="160">
        <f t="shared" si="7"/>
        <v>0</v>
      </c>
      <c r="AC27" s="18">
        <f t="shared" si="42"/>
        <v>0</v>
      </c>
      <c r="AD27" s="66">
        <f t="shared" si="72"/>
        <v>0</v>
      </c>
      <c r="AE27" s="67">
        <f t="shared" si="72"/>
        <v>0</v>
      </c>
      <c r="AF27" s="68">
        <f t="shared" si="43"/>
        <v>0</v>
      </c>
    </row>
    <row r="28" spans="1:32" x14ac:dyDescent="0.25">
      <c r="A28" s="8">
        <v>45252</v>
      </c>
      <c r="B28" s="144"/>
      <c r="C28" s="123"/>
      <c r="D28" s="123"/>
      <c r="E28" s="125"/>
      <c r="F28" s="18">
        <f>IFERROR(#REF!/E28,0)</f>
        <v>0</v>
      </c>
      <c r="G28" s="19">
        <f t="shared" si="70"/>
        <v>0</v>
      </c>
      <c r="H28" s="19">
        <f t="shared" si="70"/>
        <v>0</v>
      </c>
      <c r="I28" s="19">
        <f>G28+H28</f>
        <v>0</v>
      </c>
      <c r="J28" s="125"/>
      <c r="K28" s="20">
        <f t="shared" si="49"/>
        <v>0</v>
      </c>
      <c r="L28" s="125"/>
      <c r="M28" s="10">
        <f>L28*Q$3</f>
        <v>0</v>
      </c>
      <c r="N28" s="13">
        <f t="shared" si="12"/>
        <v>0</v>
      </c>
      <c r="O28" s="17">
        <f>E28+J28+L28</f>
        <v>0</v>
      </c>
      <c r="P28" s="21">
        <f t="shared" si="39"/>
        <v>0</v>
      </c>
      <c r="Q28" s="13">
        <f t="shared" si="71"/>
        <v>0</v>
      </c>
      <c r="R28" s="13">
        <f t="shared" si="71"/>
        <v>0</v>
      </c>
      <c r="S28" s="19">
        <f>Q28+R28</f>
        <v>0</v>
      </c>
      <c r="T28" s="13">
        <f t="shared" si="66"/>
        <v>0</v>
      </c>
      <c r="U28" s="125"/>
      <c r="V28" s="156"/>
      <c r="W28" s="20">
        <f t="shared" si="41"/>
        <v>0</v>
      </c>
      <c r="X28" s="125"/>
      <c r="Y28" s="10">
        <f>X28*AD$3</f>
        <v>0</v>
      </c>
      <c r="Z28" s="19">
        <f>T28+Y28</f>
        <v>0</v>
      </c>
      <c r="AA28" s="17">
        <f>U28+X28</f>
        <v>0</v>
      </c>
      <c r="AB28" s="160">
        <f t="shared" si="7"/>
        <v>0</v>
      </c>
      <c r="AC28" s="18">
        <f t="shared" si="42"/>
        <v>0</v>
      </c>
      <c r="AD28" s="66">
        <f t="shared" si="72"/>
        <v>0</v>
      </c>
      <c r="AE28" s="67">
        <f t="shared" si="72"/>
        <v>0</v>
      </c>
      <c r="AF28" s="68">
        <f t="shared" si="43"/>
        <v>0</v>
      </c>
    </row>
    <row r="29" spans="1:32" x14ac:dyDescent="0.25">
      <c r="A29" s="8">
        <v>45253</v>
      </c>
      <c r="B29" s="144"/>
      <c r="C29" s="123"/>
      <c r="D29" s="123"/>
      <c r="E29" s="125"/>
      <c r="F29" s="18">
        <f>IFERROR(#REF!/E29,0)</f>
        <v>0</v>
      </c>
      <c r="G29" s="19">
        <f t="shared" si="70"/>
        <v>0</v>
      </c>
      <c r="H29" s="19">
        <f t="shared" si="70"/>
        <v>0</v>
      </c>
      <c r="I29" s="19">
        <f>G29+H29</f>
        <v>0</v>
      </c>
      <c r="J29" s="125"/>
      <c r="K29" s="20">
        <f t="shared" si="49"/>
        <v>0</v>
      </c>
      <c r="L29" s="125"/>
      <c r="M29" s="10">
        <f>L29*Q$3</f>
        <v>0</v>
      </c>
      <c r="N29" s="13">
        <f t="shared" si="12"/>
        <v>0</v>
      </c>
      <c r="O29" s="17">
        <f>E29+J29+L29</f>
        <v>0</v>
      </c>
      <c r="P29" s="21">
        <f t="shared" si="39"/>
        <v>0</v>
      </c>
      <c r="Q29" s="13">
        <f t="shared" si="71"/>
        <v>0</v>
      </c>
      <c r="R29" s="13">
        <f t="shared" si="71"/>
        <v>0</v>
      </c>
      <c r="S29" s="19">
        <f>Q29+R29</f>
        <v>0</v>
      </c>
      <c r="T29" s="13">
        <f t="shared" si="66"/>
        <v>0</v>
      </c>
      <c r="U29" s="125"/>
      <c r="V29" s="156"/>
      <c r="W29" s="20">
        <f t="shared" si="41"/>
        <v>0</v>
      </c>
      <c r="X29" s="125"/>
      <c r="Y29" s="10">
        <f>X29*AD$3</f>
        <v>0</v>
      </c>
      <c r="Z29" s="19">
        <f>T29+Y29</f>
        <v>0</v>
      </c>
      <c r="AA29" s="17">
        <f>U29+X29</f>
        <v>0</v>
      </c>
      <c r="AB29" s="160">
        <f t="shared" si="7"/>
        <v>0</v>
      </c>
      <c r="AC29" s="18">
        <f t="shared" si="42"/>
        <v>0</v>
      </c>
      <c r="AD29" s="66">
        <f t="shared" si="72"/>
        <v>0</v>
      </c>
      <c r="AE29" s="67">
        <f t="shared" si="72"/>
        <v>0</v>
      </c>
      <c r="AF29" s="68">
        <f t="shared" si="43"/>
        <v>0</v>
      </c>
    </row>
    <row r="30" spans="1:32" x14ac:dyDescent="0.25">
      <c r="A30" s="8">
        <v>45254</v>
      </c>
      <c r="B30" s="144"/>
      <c r="C30" s="123"/>
      <c r="D30" s="123"/>
      <c r="E30" s="125"/>
      <c r="F30" s="18">
        <f>IFERROR(#REF!/E30,0)</f>
        <v>0</v>
      </c>
      <c r="G30" s="19">
        <f t="shared" si="70"/>
        <v>0</v>
      </c>
      <c r="H30" s="19">
        <f t="shared" si="70"/>
        <v>0</v>
      </c>
      <c r="I30" s="19">
        <f>G30+H30</f>
        <v>0</v>
      </c>
      <c r="J30" s="125"/>
      <c r="K30" s="20">
        <f t="shared" si="49"/>
        <v>0</v>
      </c>
      <c r="L30" s="125"/>
      <c r="M30" s="10">
        <f>L30*Q$3</f>
        <v>0</v>
      </c>
      <c r="N30" s="13">
        <f t="shared" si="12"/>
        <v>0</v>
      </c>
      <c r="O30" s="17">
        <f>E30+J30+L30</f>
        <v>0</v>
      </c>
      <c r="P30" s="21">
        <f t="shared" si="39"/>
        <v>0</v>
      </c>
      <c r="Q30" s="13">
        <f t="shared" si="71"/>
        <v>0</v>
      </c>
      <c r="R30" s="13">
        <f t="shared" si="71"/>
        <v>0</v>
      </c>
      <c r="S30" s="19">
        <f>Q30+R30</f>
        <v>0</v>
      </c>
      <c r="T30" s="13">
        <f t="shared" si="66"/>
        <v>0</v>
      </c>
      <c r="U30" s="125"/>
      <c r="V30" s="156"/>
      <c r="W30" s="20">
        <f t="shared" si="41"/>
        <v>0</v>
      </c>
      <c r="X30" s="125"/>
      <c r="Y30" s="10">
        <f>X30*AD$3</f>
        <v>0</v>
      </c>
      <c r="Z30" s="19">
        <f>T30+Y30</f>
        <v>0</v>
      </c>
      <c r="AA30" s="17">
        <f>U30+X30</f>
        <v>0</v>
      </c>
      <c r="AB30" s="160">
        <f t="shared" si="7"/>
        <v>0</v>
      </c>
      <c r="AC30" s="18">
        <f t="shared" si="42"/>
        <v>0</v>
      </c>
      <c r="AD30" s="66">
        <f t="shared" si="72"/>
        <v>0</v>
      </c>
      <c r="AE30" s="67">
        <f t="shared" si="72"/>
        <v>0</v>
      </c>
      <c r="AF30" s="68">
        <f t="shared" si="43"/>
        <v>0</v>
      </c>
    </row>
    <row r="31" spans="1:32" x14ac:dyDescent="0.25">
      <c r="A31" s="95" t="s">
        <v>13</v>
      </c>
      <c r="B31" s="23">
        <f t="shared" ref="B31:E31" si="73">SUM(B26:B30)</f>
        <v>0</v>
      </c>
      <c r="C31" s="23">
        <f t="shared" si="73"/>
        <v>0</v>
      </c>
      <c r="D31" s="72">
        <f t="shared" si="73"/>
        <v>0</v>
      </c>
      <c r="E31" s="26">
        <f t="shared" si="73"/>
        <v>0</v>
      </c>
      <c r="F31" s="27">
        <f>IFERROR(#REF!/E31,0)</f>
        <v>0</v>
      </c>
      <c r="G31" s="28">
        <f>SUM(G26:G30)</f>
        <v>0</v>
      </c>
      <c r="H31" s="28">
        <f>SUM(H26:H30)</f>
        <v>0</v>
      </c>
      <c r="I31" s="25">
        <f>SUM(I26:I30)</f>
        <v>0</v>
      </c>
      <c r="J31" s="26">
        <f>SUM(J26:J30)</f>
        <v>0</v>
      </c>
      <c r="K31" s="29">
        <f t="shared" si="49"/>
        <v>0</v>
      </c>
      <c r="L31" s="26">
        <f>SUM(L26:L30)</f>
        <v>0</v>
      </c>
      <c r="M31" s="25">
        <f>SUM(M26:M30)</f>
        <v>0</v>
      </c>
      <c r="N31" s="28">
        <f>SUM(N26:N30)</f>
        <v>0</v>
      </c>
      <c r="O31" s="30">
        <f>SUM(O26:O30)</f>
        <v>0</v>
      </c>
      <c r="P31" s="31">
        <f t="shared" si="39"/>
        <v>0</v>
      </c>
      <c r="Q31" s="28">
        <f t="shared" ref="Q31:U31" si="74">SUM(Q26:Q30)</f>
        <v>0</v>
      </c>
      <c r="R31" s="28">
        <f t="shared" si="74"/>
        <v>0</v>
      </c>
      <c r="S31" s="25">
        <f t="shared" si="74"/>
        <v>0</v>
      </c>
      <c r="T31" s="28">
        <f t="shared" si="74"/>
        <v>0</v>
      </c>
      <c r="U31" s="26">
        <f t="shared" si="74"/>
        <v>0</v>
      </c>
      <c r="V31" s="26">
        <f>SUM(V26:V30)</f>
        <v>0</v>
      </c>
      <c r="W31" s="29">
        <f t="shared" si="41"/>
        <v>0</v>
      </c>
      <c r="X31" s="26">
        <f>SUM(X26:X30)</f>
        <v>0</v>
      </c>
      <c r="Y31" s="25">
        <f>SUM(Y26:Y30)</f>
        <v>0</v>
      </c>
      <c r="Z31" s="28">
        <f>SUM(Z26:Z30)</f>
        <v>0</v>
      </c>
      <c r="AA31" s="30">
        <f>SUM(AA26:AA30)</f>
        <v>0</v>
      </c>
      <c r="AB31" s="163">
        <f t="shared" si="7"/>
        <v>0</v>
      </c>
      <c r="AC31" s="27">
        <f t="shared" si="42"/>
        <v>0</v>
      </c>
      <c r="AD31" s="69">
        <f>SUM(AD26:AD30)</f>
        <v>0</v>
      </c>
      <c r="AE31" s="70">
        <f>SUM(AE26:AE30)</f>
        <v>0</v>
      </c>
      <c r="AF31" s="71">
        <f t="shared" si="43"/>
        <v>0</v>
      </c>
    </row>
    <row r="32" spans="1:32" x14ac:dyDescent="0.25">
      <c r="A32" s="8">
        <v>45257</v>
      </c>
      <c r="B32" s="143"/>
      <c r="C32" s="122"/>
      <c r="D32" s="122"/>
      <c r="E32" s="124"/>
      <c r="F32" s="18">
        <f>IFERROR(#REF!/E32,0)</f>
        <v>0</v>
      </c>
      <c r="G32" s="19">
        <f t="shared" ref="G32:H36" si="75">C32*K$3</f>
        <v>0</v>
      </c>
      <c r="H32" s="19">
        <f t="shared" si="75"/>
        <v>0</v>
      </c>
      <c r="I32" s="19">
        <f>G32+H32</f>
        <v>0</v>
      </c>
      <c r="J32" s="124"/>
      <c r="K32" s="20">
        <f t="shared" si="49"/>
        <v>0</v>
      </c>
      <c r="L32" s="124"/>
      <c r="M32" s="10">
        <f>L32*Q$3</f>
        <v>0</v>
      </c>
      <c r="N32" s="13">
        <f t="shared" si="12"/>
        <v>0</v>
      </c>
      <c r="O32" s="17">
        <f>E32+J32+L32</f>
        <v>0</v>
      </c>
      <c r="P32" s="21">
        <f t="shared" si="39"/>
        <v>0</v>
      </c>
      <c r="Q32" s="13">
        <f t="shared" ref="Q32:R36" si="76">C32*W$3</f>
        <v>0</v>
      </c>
      <c r="R32" s="13">
        <f t="shared" si="76"/>
        <v>0</v>
      </c>
      <c r="S32" s="19">
        <f>Q32+R32</f>
        <v>0</v>
      </c>
      <c r="T32" s="13">
        <f t="shared" si="66"/>
        <v>0</v>
      </c>
      <c r="U32" s="124"/>
      <c r="V32" s="156"/>
      <c r="W32" s="20">
        <f t="shared" si="41"/>
        <v>0</v>
      </c>
      <c r="X32" s="124"/>
      <c r="Y32" s="10">
        <f>X32*AD$3</f>
        <v>0</v>
      </c>
      <c r="Z32" s="19">
        <f>T32+Y32</f>
        <v>0</v>
      </c>
      <c r="AA32" s="17">
        <f>U32+X32</f>
        <v>0</v>
      </c>
      <c r="AB32" s="160">
        <f t="shared" si="7"/>
        <v>0</v>
      </c>
      <c r="AC32" s="18">
        <f t="shared" si="42"/>
        <v>0</v>
      </c>
      <c r="AD32" s="66">
        <f t="shared" ref="AD32:AE36" si="77">Z32+N32</f>
        <v>0</v>
      </c>
      <c r="AE32" s="67">
        <f t="shared" si="77"/>
        <v>0</v>
      </c>
      <c r="AF32" s="68">
        <f t="shared" si="43"/>
        <v>0</v>
      </c>
    </row>
    <row r="33" spans="1:32" x14ac:dyDescent="0.25">
      <c r="A33" s="8">
        <v>45258</v>
      </c>
      <c r="B33" s="144"/>
      <c r="C33" s="123"/>
      <c r="D33" s="123"/>
      <c r="E33" s="125"/>
      <c r="F33" s="18">
        <f>IFERROR(#REF!/E33,0)</f>
        <v>0</v>
      </c>
      <c r="G33" s="19">
        <f t="shared" si="75"/>
        <v>0</v>
      </c>
      <c r="H33" s="19">
        <f t="shared" si="75"/>
        <v>0</v>
      </c>
      <c r="I33" s="19">
        <f>G33+H33</f>
        <v>0</v>
      </c>
      <c r="J33" s="125"/>
      <c r="K33" s="20">
        <f t="shared" si="49"/>
        <v>0</v>
      </c>
      <c r="L33" s="125"/>
      <c r="M33" s="10">
        <f>L33*Q$3</f>
        <v>0</v>
      </c>
      <c r="N33" s="13">
        <f t="shared" si="12"/>
        <v>0</v>
      </c>
      <c r="O33" s="17">
        <f>E33+J33+L33</f>
        <v>0</v>
      </c>
      <c r="P33" s="21">
        <f t="shared" si="39"/>
        <v>0</v>
      </c>
      <c r="Q33" s="13">
        <f t="shared" si="76"/>
        <v>0</v>
      </c>
      <c r="R33" s="13">
        <f t="shared" si="76"/>
        <v>0</v>
      </c>
      <c r="S33" s="19">
        <f>Q33+R33</f>
        <v>0</v>
      </c>
      <c r="T33" s="13">
        <f t="shared" si="66"/>
        <v>0</v>
      </c>
      <c r="U33" s="125"/>
      <c r="V33" s="156"/>
      <c r="W33" s="20">
        <f t="shared" si="41"/>
        <v>0</v>
      </c>
      <c r="X33" s="125"/>
      <c r="Y33" s="10">
        <f>X33*AD$3</f>
        <v>0</v>
      </c>
      <c r="Z33" s="19">
        <f>T33+Y33</f>
        <v>0</v>
      </c>
      <c r="AA33" s="17">
        <f>U33+X33</f>
        <v>0</v>
      </c>
      <c r="AB33" s="160">
        <f t="shared" si="7"/>
        <v>0</v>
      </c>
      <c r="AC33" s="18">
        <f t="shared" si="42"/>
        <v>0</v>
      </c>
      <c r="AD33" s="66">
        <f t="shared" si="77"/>
        <v>0</v>
      </c>
      <c r="AE33" s="67">
        <f t="shared" si="77"/>
        <v>0</v>
      </c>
      <c r="AF33" s="68">
        <f t="shared" si="43"/>
        <v>0</v>
      </c>
    </row>
    <row r="34" spans="1:32" x14ac:dyDescent="0.25">
      <c r="A34" s="8">
        <v>45259</v>
      </c>
      <c r="B34" s="144"/>
      <c r="C34" s="123"/>
      <c r="D34" s="123"/>
      <c r="E34" s="125"/>
      <c r="F34" s="18">
        <f>IFERROR(#REF!/E34,0)</f>
        <v>0</v>
      </c>
      <c r="G34" s="19">
        <f t="shared" si="75"/>
        <v>0</v>
      </c>
      <c r="H34" s="19">
        <f t="shared" si="75"/>
        <v>0</v>
      </c>
      <c r="I34" s="19">
        <f>G34+H34</f>
        <v>0</v>
      </c>
      <c r="J34" s="125"/>
      <c r="K34" s="20">
        <f t="shared" si="49"/>
        <v>0</v>
      </c>
      <c r="L34" s="125"/>
      <c r="M34" s="10">
        <f>L34*Q$3</f>
        <v>0</v>
      </c>
      <c r="N34" s="13">
        <f t="shared" si="12"/>
        <v>0</v>
      </c>
      <c r="O34" s="17">
        <f>E34+J34+L34</f>
        <v>0</v>
      </c>
      <c r="P34" s="21">
        <f t="shared" si="39"/>
        <v>0</v>
      </c>
      <c r="Q34" s="13">
        <f t="shared" si="76"/>
        <v>0</v>
      </c>
      <c r="R34" s="13">
        <f t="shared" si="76"/>
        <v>0</v>
      </c>
      <c r="S34" s="19">
        <f>Q34+R34</f>
        <v>0</v>
      </c>
      <c r="T34" s="13">
        <f t="shared" si="66"/>
        <v>0</v>
      </c>
      <c r="U34" s="125"/>
      <c r="V34" s="156"/>
      <c r="W34" s="20">
        <f t="shared" si="41"/>
        <v>0</v>
      </c>
      <c r="X34" s="125"/>
      <c r="Y34" s="10">
        <f>X34*AD$3</f>
        <v>0</v>
      </c>
      <c r="Z34" s="19">
        <f>T34+Y34</f>
        <v>0</v>
      </c>
      <c r="AA34" s="17">
        <f>U34+X34</f>
        <v>0</v>
      </c>
      <c r="AB34" s="160">
        <f t="shared" si="7"/>
        <v>0</v>
      </c>
      <c r="AC34" s="18">
        <f t="shared" si="42"/>
        <v>0</v>
      </c>
      <c r="AD34" s="66">
        <f t="shared" si="77"/>
        <v>0</v>
      </c>
      <c r="AE34" s="67">
        <f t="shared" si="77"/>
        <v>0</v>
      </c>
      <c r="AF34" s="68">
        <f t="shared" si="43"/>
        <v>0</v>
      </c>
    </row>
    <row r="35" spans="1:32" x14ac:dyDescent="0.25">
      <c r="A35" s="8">
        <v>45260</v>
      </c>
      <c r="B35" s="144"/>
      <c r="C35" s="123"/>
      <c r="D35" s="123"/>
      <c r="E35" s="125"/>
      <c r="F35" s="18">
        <f>IFERROR(#REF!/E35,0)</f>
        <v>0</v>
      </c>
      <c r="G35" s="19">
        <f t="shared" si="75"/>
        <v>0</v>
      </c>
      <c r="H35" s="19">
        <f t="shared" si="75"/>
        <v>0</v>
      </c>
      <c r="I35" s="19">
        <f>G35+H35</f>
        <v>0</v>
      </c>
      <c r="J35" s="125"/>
      <c r="K35" s="20">
        <f t="shared" si="49"/>
        <v>0</v>
      </c>
      <c r="L35" s="125"/>
      <c r="M35" s="10">
        <f>L35*Q$3</f>
        <v>0</v>
      </c>
      <c r="N35" s="13">
        <f t="shared" si="12"/>
        <v>0</v>
      </c>
      <c r="O35" s="17">
        <f>E35+J35+L35</f>
        <v>0</v>
      </c>
      <c r="P35" s="21">
        <f t="shared" si="39"/>
        <v>0</v>
      </c>
      <c r="Q35" s="13">
        <f t="shared" si="76"/>
        <v>0</v>
      </c>
      <c r="R35" s="13">
        <f t="shared" si="76"/>
        <v>0</v>
      </c>
      <c r="S35" s="19">
        <f>Q35+R35</f>
        <v>0</v>
      </c>
      <c r="T35" s="13">
        <f t="shared" si="66"/>
        <v>0</v>
      </c>
      <c r="U35" s="125"/>
      <c r="V35" s="156"/>
      <c r="W35" s="20">
        <f t="shared" si="41"/>
        <v>0</v>
      </c>
      <c r="X35" s="125"/>
      <c r="Y35" s="10">
        <f>X35*AD$3</f>
        <v>0</v>
      </c>
      <c r="Z35" s="19">
        <f>T35+Y35</f>
        <v>0</v>
      </c>
      <c r="AA35" s="17">
        <f>U35+X35</f>
        <v>0</v>
      </c>
      <c r="AB35" s="160">
        <f t="shared" si="7"/>
        <v>0</v>
      </c>
      <c r="AC35" s="18">
        <f t="shared" si="42"/>
        <v>0</v>
      </c>
      <c r="AD35" s="66">
        <f t="shared" si="77"/>
        <v>0</v>
      </c>
      <c r="AE35" s="67">
        <f t="shared" si="77"/>
        <v>0</v>
      </c>
      <c r="AF35" s="68">
        <f t="shared" si="43"/>
        <v>0</v>
      </c>
    </row>
    <row r="36" spans="1:32" x14ac:dyDescent="0.25">
      <c r="A36" s="8"/>
      <c r="B36" s="144"/>
      <c r="C36" s="123"/>
      <c r="D36" s="123"/>
      <c r="E36" s="125"/>
      <c r="F36" s="18">
        <f>IFERROR(#REF!/E36,0)</f>
        <v>0</v>
      </c>
      <c r="G36" s="19">
        <f t="shared" si="75"/>
        <v>0</v>
      </c>
      <c r="H36" s="19">
        <f t="shared" si="75"/>
        <v>0</v>
      </c>
      <c r="I36" s="19">
        <f>G36+H36</f>
        <v>0</v>
      </c>
      <c r="J36" s="125"/>
      <c r="K36" s="20">
        <f t="shared" si="49"/>
        <v>0</v>
      </c>
      <c r="L36" s="125"/>
      <c r="M36" s="10">
        <f>L36*Q$3</f>
        <v>0</v>
      </c>
      <c r="N36" s="13">
        <f t="shared" si="12"/>
        <v>0</v>
      </c>
      <c r="O36" s="17">
        <f>E36+J36+L36</f>
        <v>0</v>
      </c>
      <c r="P36" s="21">
        <f t="shared" si="39"/>
        <v>0</v>
      </c>
      <c r="Q36" s="13">
        <f t="shared" si="76"/>
        <v>0</v>
      </c>
      <c r="R36" s="13">
        <f t="shared" si="76"/>
        <v>0</v>
      </c>
      <c r="S36" s="19">
        <f>Q36+R36</f>
        <v>0</v>
      </c>
      <c r="T36" s="13">
        <f t="shared" si="66"/>
        <v>0</v>
      </c>
      <c r="U36" s="125"/>
      <c r="V36" s="156"/>
      <c r="W36" s="20">
        <f t="shared" si="41"/>
        <v>0</v>
      </c>
      <c r="X36" s="125"/>
      <c r="Y36" s="10">
        <f>X36*AD$3</f>
        <v>0</v>
      </c>
      <c r="Z36" s="19">
        <f>T36+Y36</f>
        <v>0</v>
      </c>
      <c r="AA36" s="17">
        <f>U36+X36</f>
        <v>0</v>
      </c>
      <c r="AB36" s="160">
        <f t="shared" si="7"/>
        <v>0</v>
      </c>
      <c r="AC36" s="18">
        <f t="shared" si="42"/>
        <v>0</v>
      </c>
      <c r="AD36" s="66">
        <f t="shared" si="77"/>
        <v>0</v>
      </c>
      <c r="AE36" s="67">
        <f t="shared" si="77"/>
        <v>0</v>
      </c>
      <c r="AF36" s="68">
        <f t="shared" si="43"/>
        <v>0</v>
      </c>
    </row>
    <row r="37" spans="1:32" ht="14.4" thickBot="1" x14ac:dyDescent="0.3">
      <c r="A37" s="96" t="s">
        <v>14</v>
      </c>
      <c r="B37" s="103">
        <f t="shared" ref="B37:E37" si="78">SUM(B32:B36)</f>
        <v>0</v>
      </c>
      <c r="C37" s="103">
        <f t="shared" si="78"/>
        <v>0</v>
      </c>
      <c r="D37" s="73">
        <f t="shared" si="78"/>
        <v>0</v>
      </c>
      <c r="E37" s="36">
        <f t="shared" si="78"/>
        <v>0</v>
      </c>
      <c r="F37" s="37">
        <f>IFERROR(#REF!/E37,0)</f>
        <v>0</v>
      </c>
      <c r="G37" s="38">
        <f>SUM(G32:G36)</f>
        <v>0</v>
      </c>
      <c r="H37" s="38">
        <f>SUM(H32:H36)</f>
        <v>0</v>
      </c>
      <c r="I37" s="38">
        <f>SUM(I32:I36)</f>
        <v>0</v>
      </c>
      <c r="J37" s="36">
        <f>SUM(J32:J36)</f>
        <v>0</v>
      </c>
      <c r="K37" s="102">
        <f t="shared" si="49"/>
        <v>0</v>
      </c>
      <c r="L37" s="39">
        <f>SUM(L32:L36)</f>
        <v>0</v>
      </c>
      <c r="M37" s="35">
        <f>SUM(M32:M36)</f>
        <v>0</v>
      </c>
      <c r="N37" s="38">
        <f>SUM(N32:N36)</f>
        <v>0</v>
      </c>
      <c r="O37" s="36">
        <f>SUM(O32:O36)</f>
        <v>0</v>
      </c>
      <c r="P37" s="40">
        <f t="shared" si="39"/>
        <v>0</v>
      </c>
      <c r="Q37" s="38">
        <f t="shared" ref="Q37:U37" si="79">SUM(Q32:Q36)</f>
        <v>0</v>
      </c>
      <c r="R37" s="38">
        <f t="shared" si="79"/>
        <v>0</v>
      </c>
      <c r="S37" s="38">
        <f t="shared" si="79"/>
        <v>0</v>
      </c>
      <c r="T37" s="38">
        <f t="shared" si="79"/>
        <v>0</v>
      </c>
      <c r="U37" s="36">
        <f t="shared" si="79"/>
        <v>0</v>
      </c>
      <c r="V37" s="39">
        <f>SUM(V32:V36)</f>
        <v>0</v>
      </c>
      <c r="W37" s="102">
        <f t="shared" si="41"/>
        <v>0</v>
      </c>
      <c r="X37" s="39">
        <f>SUM(X32:X36)</f>
        <v>0</v>
      </c>
      <c r="Y37" s="35">
        <f>SUM(Y32:Y36)</f>
        <v>0</v>
      </c>
      <c r="Z37" s="38">
        <f>SUM(Z32:Z36)</f>
        <v>0</v>
      </c>
      <c r="AA37" s="36">
        <f>SUM(AA32:AA36)</f>
        <v>0</v>
      </c>
      <c r="AB37" s="163">
        <f t="shared" si="7"/>
        <v>0</v>
      </c>
      <c r="AC37" s="37">
        <f t="shared" si="42"/>
        <v>0</v>
      </c>
      <c r="AD37" s="101">
        <f>SUM(AD32:AD36)</f>
        <v>0</v>
      </c>
      <c r="AE37" s="74">
        <f>SUM(AE32:AE36)</f>
        <v>0</v>
      </c>
      <c r="AF37" s="75">
        <f t="shared" si="43"/>
        <v>0</v>
      </c>
    </row>
    <row r="38" spans="1:32" ht="14.4" thickBot="1" x14ac:dyDescent="0.3">
      <c r="A38" s="41"/>
      <c r="B38" s="42"/>
      <c r="C38" s="42"/>
      <c r="D38" s="42"/>
      <c r="E38" s="44"/>
      <c r="F38" s="43"/>
      <c r="G38" s="43"/>
      <c r="H38" s="43"/>
      <c r="I38" s="43"/>
      <c r="J38" s="44"/>
      <c r="K38" s="43"/>
      <c r="L38" s="44"/>
      <c r="M38" s="43"/>
      <c r="N38" s="43"/>
      <c r="O38" s="44"/>
      <c r="P38" s="43"/>
      <c r="Q38" s="43"/>
      <c r="R38" s="43"/>
      <c r="S38" s="43"/>
      <c r="T38" s="43"/>
      <c r="U38" s="43"/>
      <c r="V38" s="44"/>
      <c r="W38" s="43"/>
      <c r="X38" s="44"/>
      <c r="Y38" s="43"/>
      <c r="Z38" s="43"/>
      <c r="AA38" s="44"/>
      <c r="AB38" s="44"/>
      <c r="AC38" s="43"/>
    </row>
    <row r="39" spans="1:32" ht="14.4" thickBot="1" x14ac:dyDescent="0.3">
      <c r="A39" s="45" t="s">
        <v>15</v>
      </c>
      <c r="B39" s="46">
        <f t="shared" ref="B39:E39" si="80">B13+B19+B25+B31+B37</f>
        <v>132</v>
      </c>
      <c r="C39" s="46">
        <f t="shared" si="80"/>
        <v>1595</v>
      </c>
      <c r="D39" s="76">
        <f t="shared" si="80"/>
        <v>2584</v>
      </c>
      <c r="E39" s="49">
        <f t="shared" si="80"/>
        <v>0</v>
      </c>
      <c r="F39" s="50">
        <f>IFERROR(#REF!/E39,0)</f>
        <v>0</v>
      </c>
      <c r="G39" s="51">
        <f>G13+G19+G25+G31+G37</f>
        <v>510.08099999999996</v>
      </c>
      <c r="H39" s="51">
        <f>H13+H19+H25+H31+H37</f>
        <v>1651.1760000000002</v>
      </c>
      <c r="I39" s="51">
        <f>I13+I19+I25+I31+I37</f>
        <v>2161.2570000000001</v>
      </c>
      <c r="J39" s="49">
        <f>J13+J19+J25+J31+J37</f>
        <v>67.14</v>
      </c>
      <c r="K39" s="52">
        <f>IFERROR((G39+H39)/J39,0)</f>
        <v>32.190303842716709</v>
      </c>
      <c r="L39" s="53">
        <f>L13+L19+L25+L31+L37</f>
        <v>0</v>
      </c>
      <c r="M39" s="48">
        <f>M13+M19+M25+M31+M37</f>
        <v>0</v>
      </c>
      <c r="N39" s="51">
        <f>N13+N19+N25+N31+N37</f>
        <v>2161.2570000000001</v>
      </c>
      <c r="O39" s="49">
        <f>O13+O19+O25+O31+O37</f>
        <v>67.14</v>
      </c>
      <c r="P39" s="54">
        <f>IFERROR(N39/O39,0)</f>
        <v>32.190303842716709</v>
      </c>
      <c r="Q39" s="51">
        <f t="shared" ref="Q39:U39" si="81">Q13+Q19+Q25+Q31+Q37</f>
        <v>143.86899999999997</v>
      </c>
      <c r="R39" s="51">
        <f t="shared" si="81"/>
        <v>183.464</v>
      </c>
      <c r="S39" s="51">
        <f t="shared" si="81"/>
        <v>327.33299999999997</v>
      </c>
      <c r="T39" s="51">
        <f t="shared" si="81"/>
        <v>327.33299999999997</v>
      </c>
      <c r="U39" s="49">
        <f t="shared" si="81"/>
        <v>3.92</v>
      </c>
      <c r="V39" s="53">
        <f>V13+V19+V25+V31+V37</f>
        <v>0.25</v>
      </c>
      <c r="W39" s="52">
        <f>IFERROR(T39/U39,0)</f>
        <v>83.503316326530609</v>
      </c>
      <c r="X39" s="53">
        <f>X13+X19+X25+X31+X37</f>
        <v>3</v>
      </c>
      <c r="Y39" s="48">
        <f>Y13+Y19+Y25+Y31+Y37</f>
        <v>112.5</v>
      </c>
      <c r="Z39" s="51">
        <f>Z13+Z19+Z25+Z31+Z37</f>
        <v>439.83299999999997</v>
      </c>
      <c r="AA39" s="49">
        <f>AA13+AA19+AA25+AA31+AA37</f>
        <v>6.92</v>
      </c>
      <c r="AB39" s="161">
        <f>IFERROR(B39/AA39,0)</f>
        <v>19.075144508670519</v>
      </c>
      <c r="AC39" s="54">
        <f>IFERROR(Z39/AA39,0)</f>
        <v>63.559682080924851</v>
      </c>
      <c r="AD39" s="48">
        <f>AD13+AD19+AD25+AD31+AD37</f>
        <v>2601.09</v>
      </c>
      <c r="AE39" s="49">
        <f>AE13+AE19+AE25+AE31+AE37</f>
        <v>74.06</v>
      </c>
      <c r="AF39" s="54">
        <f>IFERROR(AD39/AE39,0)</f>
        <v>35.121388063732113</v>
      </c>
    </row>
  </sheetData>
  <mergeCells count="6">
    <mergeCell ref="H1:J1"/>
    <mergeCell ref="B4:C4"/>
    <mergeCell ref="D4:F4"/>
    <mergeCell ref="G4:T4"/>
    <mergeCell ref="AJ4:AL4"/>
    <mergeCell ref="U4:AI4"/>
  </mergeCells>
  <dataValidations count="1">
    <dataValidation allowBlank="1" sqref="E23 A6:A36" xr:uid="{EC60F909-3E49-477E-BC1A-D96B7EC3D828}"/>
  </dataValidations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FA8E2-D875-404E-9F69-E4DF1F878138}">
  <sheetPr codeName="Sheet3">
    <tabColor rgb="FF92D050"/>
    <pageSetUpPr fitToPage="1"/>
  </sheetPr>
  <dimension ref="A1:AG39"/>
  <sheetViews>
    <sheetView zoomScale="90" zoomScaleNormal="90" workbookViewId="0">
      <pane xSplit="1" ySplit="5" topLeftCell="B6" activePane="bottomRight" state="frozen"/>
      <selection activeCell="A6" sqref="A6:A34"/>
      <selection pane="topRight" activeCell="A6" sqref="A6:A34"/>
      <selection pane="bottomLeft" activeCell="A6" sqref="A6:A34"/>
      <selection pane="bottomRight" activeCell="T18" sqref="T18"/>
    </sheetView>
  </sheetViews>
  <sheetFormatPr defaultColWidth="9.109375" defaultRowHeight="13.8" x14ac:dyDescent="0.25"/>
  <cols>
    <col min="1" max="1" width="9.109375" style="59"/>
    <col min="2" max="5" width="9.33203125" style="59" bestFit="1" customWidth="1"/>
    <col min="6" max="9" width="11" style="59" bestFit="1" customWidth="1"/>
    <col min="10" max="10" width="9.88671875" style="59" bestFit="1" customWidth="1"/>
    <col min="11" max="11" width="11" style="59" bestFit="1" customWidth="1"/>
    <col min="12" max="12" width="9.5546875" style="59" customWidth="1"/>
    <col min="13" max="13" width="10.6640625" style="59" customWidth="1"/>
    <col min="14" max="14" width="9.33203125" style="59" bestFit="1" customWidth="1"/>
    <col min="15" max="15" width="9.88671875" style="59" customWidth="1"/>
    <col min="16" max="16" width="11" style="59" bestFit="1" customWidth="1"/>
    <col min="17" max="17" width="9.33203125" style="59" bestFit="1" customWidth="1"/>
    <col min="18" max="18" width="11.33203125" style="59" customWidth="1"/>
    <col min="19" max="19" width="9.88671875" style="59" bestFit="1" customWidth="1"/>
    <col min="20" max="21" width="11" style="59" bestFit="1" customWidth="1"/>
    <col min="22" max="22" width="9.33203125" style="59" customWidth="1"/>
    <col min="23" max="23" width="11" style="59" bestFit="1" customWidth="1"/>
    <col min="24" max="24" width="9.33203125" style="59" bestFit="1" customWidth="1"/>
    <col min="25" max="25" width="10.109375" style="59" bestFit="1" customWidth="1"/>
    <col min="26" max="26" width="9.88671875" style="59" bestFit="1" customWidth="1"/>
    <col min="27" max="27" width="9.33203125" style="59" bestFit="1" customWidth="1"/>
    <col min="28" max="29" width="11" style="59" bestFit="1" customWidth="1"/>
    <col min="30" max="30" width="9.88671875" style="59" bestFit="1" customWidth="1"/>
    <col min="31" max="31" width="12" style="59" bestFit="1" customWidth="1"/>
    <col min="32" max="33" width="9.33203125" style="59" bestFit="1" customWidth="1"/>
    <col min="34" max="16384" width="9.109375" style="59"/>
  </cols>
  <sheetData>
    <row r="1" spans="1:33" ht="23.25" customHeight="1" x14ac:dyDescent="0.4">
      <c r="A1" s="98"/>
      <c r="B1" s="118" t="s">
        <v>7199</v>
      </c>
      <c r="C1" s="118"/>
      <c r="D1" s="118"/>
      <c r="E1" s="98" t="s">
        <v>21</v>
      </c>
      <c r="F1" s="97">
        <v>4450</v>
      </c>
      <c r="G1" s="98" t="s">
        <v>22</v>
      </c>
      <c r="H1" s="203"/>
      <c r="I1" s="203"/>
      <c r="J1" s="203"/>
    </row>
    <row r="2" spans="1:33" s="56" customFormat="1" ht="16.5" customHeight="1" x14ac:dyDescent="0.2">
      <c r="A2" s="135"/>
      <c r="B2" s="136"/>
      <c r="C2" s="136"/>
      <c r="D2" s="136"/>
      <c r="E2" s="137"/>
      <c r="F2" s="136"/>
      <c r="G2" s="136"/>
      <c r="H2" s="138"/>
      <c r="I2" s="139"/>
      <c r="J2" s="139"/>
      <c r="K2" s="140"/>
      <c r="L2" s="140"/>
      <c r="Q2" s="140"/>
      <c r="T2" s="140"/>
    </row>
    <row r="3" spans="1:33" s="111" customFormat="1" thickBot="1" x14ac:dyDescent="0.3">
      <c r="A3" s="134"/>
      <c r="B3" s="112"/>
      <c r="C3" s="112">
        <v>3.87</v>
      </c>
      <c r="D3" s="112">
        <v>3.18</v>
      </c>
      <c r="E3" s="112">
        <v>2.69</v>
      </c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>
        <v>34.549999999999997</v>
      </c>
      <c r="R3" s="112"/>
      <c r="S3" s="112"/>
      <c r="T3" s="112"/>
      <c r="U3" s="112"/>
      <c r="V3" s="112"/>
      <c r="W3" s="112"/>
      <c r="X3" s="112"/>
      <c r="Y3" s="112"/>
      <c r="Z3" s="112">
        <f>Q3</f>
        <v>34.549999999999997</v>
      </c>
      <c r="AA3" s="112"/>
      <c r="AB3" s="112"/>
      <c r="AC3" s="112"/>
      <c r="AD3" s="112"/>
      <c r="AE3" s="112"/>
      <c r="AF3" s="112"/>
      <c r="AG3" s="112"/>
    </row>
    <row r="4" spans="1:33" ht="15" customHeight="1" thickBot="1" x14ac:dyDescent="0.3">
      <c r="B4" s="204" t="s">
        <v>23</v>
      </c>
      <c r="C4" s="206"/>
      <c r="D4" s="207" t="s">
        <v>27</v>
      </c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9"/>
      <c r="Q4" s="207" t="s">
        <v>26</v>
      </c>
      <c r="R4" s="208"/>
      <c r="S4" s="208"/>
      <c r="T4" s="208"/>
      <c r="U4" s="208"/>
      <c r="V4" s="208"/>
      <c r="W4" s="208"/>
      <c r="X4" s="208"/>
      <c r="Y4" s="208"/>
      <c r="Z4" s="208"/>
      <c r="AA4" s="209"/>
      <c r="AB4" s="207" t="s">
        <v>1</v>
      </c>
      <c r="AC4" s="208"/>
      <c r="AD4" s="209"/>
    </row>
    <row r="5" spans="1:33" ht="40.200000000000003" thickBot="1" x14ac:dyDescent="0.3">
      <c r="A5" s="1" t="s">
        <v>2</v>
      </c>
      <c r="B5" s="110" t="s">
        <v>7158</v>
      </c>
      <c r="C5" s="110" t="s">
        <v>7160</v>
      </c>
      <c r="D5" s="106" t="s">
        <v>7197</v>
      </c>
      <c r="E5" s="5" t="s">
        <v>3</v>
      </c>
      <c r="F5" s="60" t="s">
        <v>31</v>
      </c>
      <c r="G5" s="6" t="s">
        <v>4</v>
      </c>
      <c r="H5" s="106" t="s">
        <v>7194</v>
      </c>
      <c r="I5" s="6" t="s">
        <v>5</v>
      </c>
      <c r="J5" s="105" t="s">
        <v>7195</v>
      </c>
      <c r="K5" s="3" t="s">
        <v>6</v>
      </c>
      <c r="L5" s="6" t="s">
        <v>7</v>
      </c>
      <c r="M5" s="4" t="s">
        <v>8</v>
      </c>
      <c r="N5" s="7" t="s">
        <v>9</v>
      </c>
      <c r="O5" s="2" t="s">
        <v>32</v>
      </c>
      <c r="P5" s="6" t="s">
        <v>10</v>
      </c>
      <c r="Q5" s="106" t="s">
        <v>7196</v>
      </c>
      <c r="R5" s="105" t="s">
        <v>35</v>
      </c>
      <c r="S5" s="6" t="s">
        <v>11</v>
      </c>
      <c r="T5" s="105" t="s">
        <v>38</v>
      </c>
      <c r="U5" s="3" t="s">
        <v>6</v>
      </c>
      <c r="V5" s="6" t="s">
        <v>7</v>
      </c>
      <c r="W5" s="4" t="s">
        <v>8</v>
      </c>
      <c r="X5" s="159" t="s">
        <v>36</v>
      </c>
      <c r="Y5" s="5" t="s">
        <v>12</v>
      </c>
      <c r="Z5" s="2" t="s">
        <v>7</v>
      </c>
      <c r="AA5" s="4" t="s">
        <v>8</v>
      </c>
      <c r="AB5" s="7" t="s">
        <v>9</v>
      </c>
    </row>
    <row r="6" spans="1:33" x14ac:dyDescent="0.25">
      <c r="A6" s="8" t="s">
        <v>37</v>
      </c>
      <c r="B6" s="143">
        <v>0</v>
      </c>
      <c r="C6" s="122">
        <v>0</v>
      </c>
      <c r="D6" s="124">
        <v>0</v>
      </c>
      <c r="E6" s="12">
        <f>IFERROR(#REF!/D6,0)</f>
        <v>0</v>
      </c>
      <c r="F6" s="13">
        <f t="shared" ref="F6:F12" si="0">C6*E$3</f>
        <v>0</v>
      </c>
      <c r="G6" s="13">
        <f>F6</f>
        <v>0</v>
      </c>
      <c r="H6" s="124">
        <v>0</v>
      </c>
      <c r="I6" s="14">
        <f t="shared" ref="I6:I7" si="1">IFERROR((G6)/H6,0)</f>
        <v>0</v>
      </c>
      <c r="J6" s="124">
        <v>0</v>
      </c>
      <c r="K6" s="10">
        <f t="shared" ref="K6:K12" si="2">J6*Q$3</f>
        <v>0</v>
      </c>
      <c r="L6" s="13">
        <f>G6+K6</f>
        <v>0</v>
      </c>
      <c r="M6" s="11">
        <f>D6+H6+J6</f>
        <v>0</v>
      </c>
      <c r="N6" s="15">
        <f>IFERROR(L6/M6,0)</f>
        <v>0</v>
      </c>
      <c r="O6" s="9">
        <f t="shared" ref="O6:O12" si="3">B6*D$3</f>
        <v>0</v>
      </c>
      <c r="P6" s="13">
        <f>O6</f>
        <v>0</v>
      </c>
      <c r="Q6" s="124">
        <v>0</v>
      </c>
      <c r="R6" s="156">
        <v>0</v>
      </c>
      <c r="S6" s="14">
        <f t="shared" ref="S6:S7" si="4">IFERROR(P6/Q6,0)</f>
        <v>0</v>
      </c>
      <c r="T6" s="124">
        <v>0</v>
      </c>
      <c r="U6" s="10">
        <f t="shared" ref="U6:U12" si="5">T6*Z$3</f>
        <v>0</v>
      </c>
      <c r="V6" s="13">
        <f>P6+U6</f>
        <v>0</v>
      </c>
      <c r="W6" s="11">
        <f>Q6+T6</f>
        <v>0</v>
      </c>
      <c r="X6" s="160">
        <f t="shared" ref="X6:X37" si="6">IFERROR(B6/W6,0)</f>
        <v>0</v>
      </c>
      <c r="Y6" s="12">
        <f t="shared" ref="Y6:Y7" si="7">IFERROR(V6/W6,0)</f>
        <v>0</v>
      </c>
      <c r="Z6" s="63">
        <f t="shared" ref="Z6:Z7" si="8">V6+L6</f>
        <v>0</v>
      </c>
      <c r="AA6" s="133">
        <f t="shared" ref="AA6:AA7" si="9">W6+M6</f>
        <v>0</v>
      </c>
      <c r="AB6" s="65">
        <f>IFERROR(Z6/AA6,0)</f>
        <v>0</v>
      </c>
    </row>
    <row r="7" spans="1:33" x14ac:dyDescent="0.25">
      <c r="A7" s="8" t="s">
        <v>37</v>
      </c>
      <c r="B7" s="143">
        <v>0</v>
      </c>
      <c r="C7" s="122">
        <v>0</v>
      </c>
      <c r="D7" s="125">
        <v>0</v>
      </c>
      <c r="E7" s="18">
        <f>IFERROR(#REF!/D7,0)</f>
        <v>0</v>
      </c>
      <c r="F7" s="13">
        <f t="shared" si="0"/>
        <v>0</v>
      </c>
      <c r="G7" s="13">
        <f t="shared" ref="G7" si="10">F7</f>
        <v>0</v>
      </c>
      <c r="H7" s="125">
        <v>0</v>
      </c>
      <c r="I7" s="14">
        <f t="shared" si="1"/>
        <v>0</v>
      </c>
      <c r="J7" s="125">
        <v>0</v>
      </c>
      <c r="K7" s="10">
        <f t="shared" si="2"/>
        <v>0</v>
      </c>
      <c r="L7" s="13">
        <f t="shared" ref="L7:L36" si="11">G7+K7</f>
        <v>0</v>
      </c>
      <c r="M7" s="11">
        <f t="shared" ref="M7" si="12">D7+H7+J7</f>
        <v>0</v>
      </c>
      <c r="N7" s="21">
        <f t="shared" ref="N7" si="13">IFERROR(L7/M7,0)</f>
        <v>0</v>
      </c>
      <c r="O7" s="9">
        <f t="shared" si="3"/>
        <v>0</v>
      </c>
      <c r="P7" s="13">
        <f t="shared" ref="P7" si="14">O7</f>
        <v>0</v>
      </c>
      <c r="Q7" s="125">
        <v>0</v>
      </c>
      <c r="R7" s="156">
        <v>0</v>
      </c>
      <c r="S7" s="14">
        <f t="shared" si="4"/>
        <v>0</v>
      </c>
      <c r="T7" s="125">
        <v>0</v>
      </c>
      <c r="U7" s="10">
        <f t="shared" si="5"/>
        <v>0</v>
      </c>
      <c r="V7" s="13">
        <f t="shared" ref="V7" si="15">P7+U7</f>
        <v>0</v>
      </c>
      <c r="W7" s="11">
        <f t="shared" ref="W7" si="16">Q7+T7</f>
        <v>0</v>
      </c>
      <c r="X7" s="160">
        <f t="shared" si="6"/>
        <v>0</v>
      </c>
      <c r="Y7" s="12">
        <f t="shared" si="7"/>
        <v>0</v>
      </c>
      <c r="Z7" s="66">
        <f t="shared" si="8"/>
        <v>0</v>
      </c>
      <c r="AA7" s="67">
        <f t="shared" si="9"/>
        <v>0</v>
      </c>
      <c r="AB7" s="68">
        <f t="shared" ref="AB7" si="17">IFERROR(Z7/AA7,0)</f>
        <v>0</v>
      </c>
    </row>
    <row r="8" spans="1:33" ht="14.4" thickBot="1" x14ac:dyDescent="0.3">
      <c r="A8" s="8" t="s">
        <v>37</v>
      </c>
      <c r="B8" s="143">
        <v>0</v>
      </c>
      <c r="C8" s="122">
        <v>0</v>
      </c>
      <c r="D8" s="125">
        <v>0</v>
      </c>
      <c r="E8" s="18">
        <f>IFERROR(#REF!/D8,0)</f>
        <v>0</v>
      </c>
      <c r="F8" s="13">
        <f t="shared" si="0"/>
        <v>0</v>
      </c>
      <c r="G8" s="13">
        <f t="shared" ref="G8" si="18">F8</f>
        <v>0</v>
      </c>
      <c r="H8" s="125">
        <v>0</v>
      </c>
      <c r="I8" s="14">
        <f t="shared" ref="I8:I9" si="19">IFERROR((G8)/H8,0)</f>
        <v>0</v>
      </c>
      <c r="J8" s="125">
        <v>0</v>
      </c>
      <c r="K8" s="10">
        <f t="shared" si="2"/>
        <v>0</v>
      </c>
      <c r="L8" s="13">
        <f t="shared" si="11"/>
        <v>0</v>
      </c>
      <c r="M8" s="11">
        <f t="shared" ref="M8" si="20">D8+H8+J8</f>
        <v>0</v>
      </c>
      <c r="N8" s="21">
        <f t="shared" ref="N8" si="21">IFERROR(L8/M8,0)</f>
        <v>0</v>
      </c>
      <c r="O8" s="9">
        <f t="shared" si="3"/>
        <v>0</v>
      </c>
      <c r="P8" s="13">
        <f t="shared" ref="P8" si="22">O8</f>
        <v>0</v>
      </c>
      <c r="Q8" s="125">
        <v>0</v>
      </c>
      <c r="R8" s="156">
        <v>0</v>
      </c>
      <c r="S8" s="14">
        <f t="shared" ref="S8:S9" si="23">IFERROR(P8/Q8,0)</f>
        <v>0</v>
      </c>
      <c r="T8" s="125">
        <v>0</v>
      </c>
      <c r="U8" s="10">
        <f t="shared" si="5"/>
        <v>0</v>
      </c>
      <c r="V8" s="13">
        <f t="shared" ref="V8" si="24">P8+U8</f>
        <v>0</v>
      </c>
      <c r="W8" s="11">
        <f t="shared" ref="W8" si="25">Q8+T8</f>
        <v>0</v>
      </c>
      <c r="X8" s="160">
        <f t="shared" si="6"/>
        <v>0</v>
      </c>
      <c r="Y8" s="12">
        <f t="shared" ref="Y8:Y9" si="26">IFERROR(V8/W8,0)</f>
        <v>0</v>
      </c>
      <c r="Z8" s="66">
        <f t="shared" ref="Z8:Z9" si="27">V8+L8</f>
        <v>0</v>
      </c>
      <c r="AA8" s="67">
        <f t="shared" ref="AA8:AA9" si="28">W8+M8</f>
        <v>0</v>
      </c>
      <c r="AB8" s="68">
        <f t="shared" ref="AB8" si="29">IFERROR(Z8/AA8,0)</f>
        <v>0</v>
      </c>
    </row>
    <row r="9" spans="1:33" x14ac:dyDescent="0.25">
      <c r="A9" s="8" t="s">
        <v>37</v>
      </c>
      <c r="B9" s="143">
        <v>0</v>
      </c>
      <c r="C9" s="122">
        <v>0</v>
      </c>
      <c r="D9" s="124">
        <v>0</v>
      </c>
      <c r="E9" s="12">
        <f>IFERROR(#REF!/D9,0)</f>
        <v>0</v>
      </c>
      <c r="F9" s="13">
        <f t="shared" si="0"/>
        <v>0</v>
      </c>
      <c r="G9" s="13">
        <f>F9</f>
        <v>0</v>
      </c>
      <c r="H9" s="124">
        <v>0</v>
      </c>
      <c r="I9" s="14">
        <f t="shared" si="19"/>
        <v>0</v>
      </c>
      <c r="J9" s="124">
        <v>0</v>
      </c>
      <c r="K9" s="10">
        <f t="shared" si="2"/>
        <v>0</v>
      </c>
      <c r="L9" s="13">
        <f t="shared" si="11"/>
        <v>0</v>
      </c>
      <c r="M9" s="11">
        <f>D9+H9+J9</f>
        <v>0</v>
      </c>
      <c r="N9" s="15">
        <f>IFERROR(L9/M9,0)</f>
        <v>0</v>
      </c>
      <c r="O9" s="9">
        <f t="shared" si="3"/>
        <v>0</v>
      </c>
      <c r="P9" s="13">
        <f>O9</f>
        <v>0</v>
      </c>
      <c r="Q9" s="124">
        <v>0</v>
      </c>
      <c r="R9" s="156">
        <v>0</v>
      </c>
      <c r="S9" s="14">
        <f t="shared" si="23"/>
        <v>0</v>
      </c>
      <c r="T9" s="124">
        <v>0</v>
      </c>
      <c r="U9" s="10">
        <f t="shared" si="5"/>
        <v>0</v>
      </c>
      <c r="V9" s="13">
        <f>P9+U9</f>
        <v>0</v>
      </c>
      <c r="W9" s="11">
        <f>Q9+T9</f>
        <v>0</v>
      </c>
      <c r="X9" s="160">
        <f t="shared" si="6"/>
        <v>0</v>
      </c>
      <c r="Y9" s="12">
        <f t="shared" si="26"/>
        <v>0</v>
      </c>
      <c r="Z9" s="63">
        <f t="shared" si="27"/>
        <v>0</v>
      </c>
      <c r="AA9" s="133">
        <f t="shared" si="28"/>
        <v>0</v>
      </c>
      <c r="AB9" s="65">
        <f>IFERROR(Z9/AA9,0)</f>
        <v>0</v>
      </c>
    </row>
    <row r="10" spans="1:33" x14ac:dyDescent="0.25">
      <c r="A10" s="8">
        <v>45231</v>
      </c>
      <c r="B10" s="143">
        <v>48</v>
      </c>
      <c r="C10" s="122">
        <v>234</v>
      </c>
      <c r="D10" s="125">
        <v>0</v>
      </c>
      <c r="E10" s="18">
        <f>IFERROR(#REF!/D10,0)</f>
        <v>0</v>
      </c>
      <c r="F10" s="13">
        <f t="shared" si="0"/>
        <v>629.46</v>
      </c>
      <c r="G10" s="13">
        <f t="shared" ref="G10:G11" si="30">F10</f>
        <v>629.46</v>
      </c>
      <c r="H10" s="125">
        <v>22.15</v>
      </c>
      <c r="I10" s="14">
        <f t="shared" ref="I10:I11" si="31">IFERROR((G10)/H10,0)</f>
        <v>28.418058690744925</v>
      </c>
      <c r="J10" s="125">
        <v>0.88</v>
      </c>
      <c r="K10" s="10">
        <f t="shared" si="2"/>
        <v>30.403999999999996</v>
      </c>
      <c r="L10" s="13">
        <f t="shared" si="11"/>
        <v>659.86400000000003</v>
      </c>
      <c r="M10" s="11">
        <f t="shared" ref="M10:M11" si="32">D10+H10+J10</f>
        <v>23.029999999999998</v>
      </c>
      <c r="N10" s="21">
        <f t="shared" ref="N10:N11" si="33">IFERROR(L10/M10,0)</f>
        <v>28.652366478506302</v>
      </c>
      <c r="O10" s="9">
        <f t="shared" si="3"/>
        <v>152.64000000000001</v>
      </c>
      <c r="P10" s="13">
        <f t="shared" ref="P10:P11" si="34">O10</f>
        <v>152.64000000000001</v>
      </c>
      <c r="Q10" s="125">
        <v>1.68</v>
      </c>
      <c r="R10" s="156">
        <v>0</v>
      </c>
      <c r="S10" s="14">
        <f t="shared" ref="S10:S11" si="35">IFERROR(P10/Q10,0)</f>
        <v>90.857142857142875</v>
      </c>
      <c r="T10" s="125">
        <v>0</v>
      </c>
      <c r="U10" s="10">
        <f t="shared" si="5"/>
        <v>0</v>
      </c>
      <c r="V10" s="13">
        <f t="shared" ref="V10:V11" si="36">P10+U10</f>
        <v>152.64000000000001</v>
      </c>
      <c r="W10" s="11">
        <f t="shared" ref="W10:W11" si="37">Q10+T10</f>
        <v>1.68</v>
      </c>
      <c r="X10" s="160">
        <f t="shared" si="6"/>
        <v>28.571428571428573</v>
      </c>
      <c r="Y10" s="12">
        <f t="shared" ref="Y10:Y11" si="38">IFERROR(V10/W10,0)</f>
        <v>90.857142857142875</v>
      </c>
      <c r="Z10" s="66">
        <f t="shared" ref="Z10:Z11" si="39">V10+L10</f>
        <v>812.50400000000002</v>
      </c>
      <c r="AA10" s="67">
        <f t="shared" ref="AA10:AA11" si="40">W10+M10</f>
        <v>24.709999999999997</v>
      </c>
      <c r="AB10" s="68">
        <f t="shared" ref="AB10:AB11" si="41">IFERROR(Z10/AA10,0)</f>
        <v>32.881586402266294</v>
      </c>
    </row>
    <row r="11" spans="1:33" x14ac:dyDescent="0.25">
      <c r="A11" s="8">
        <v>45232</v>
      </c>
      <c r="B11" s="143">
        <v>35</v>
      </c>
      <c r="C11" s="122">
        <v>125</v>
      </c>
      <c r="D11" s="125">
        <v>4.1500000000000004</v>
      </c>
      <c r="E11" s="18">
        <f>IFERROR(#REF!/D11,0)</f>
        <v>0</v>
      </c>
      <c r="F11" s="13">
        <f t="shared" si="0"/>
        <v>336.25</v>
      </c>
      <c r="G11" s="13">
        <f t="shared" si="30"/>
        <v>336.25</v>
      </c>
      <c r="H11" s="125">
        <v>17.07</v>
      </c>
      <c r="I11" s="14">
        <f t="shared" si="31"/>
        <v>19.698301113063856</v>
      </c>
      <c r="J11" s="125">
        <v>0.53</v>
      </c>
      <c r="K11" s="10">
        <f t="shared" si="2"/>
        <v>18.311499999999999</v>
      </c>
      <c r="L11" s="13">
        <f t="shared" si="11"/>
        <v>354.56150000000002</v>
      </c>
      <c r="M11" s="11">
        <f t="shared" si="32"/>
        <v>21.75</v>
      </c>
      <c r="N11" s="21">
        <f t="shared" si="33"/>
        <v>16.30167816091954</v>
      </c>
      <c r="O11" s="9">
        <f t="shared" si="3"/>
        <v>111.30000000000001</v>
      </c>
      <c r="P11" s="13">
        <f t="shared" si="34"/>
        <v>111.30000000000001</v>
      </c>
      <c r="Q11" s="125">
        <v>2.0699999999999998</v>
      </c>
      <c r="R11" s="156">
        <v>0</v>
      </c>
      <c r="S11" s="14">
        <f t="shared" si="35"/>
        <v>53.768115942028999</v>
      </c>
      <c r="T11" s="125">
        <v>0.17</v>
      </c>
      <c r="U11" s="10">
        <f t="shared" si="5"/>
        <v>5.8734999999999999</v>
      </c>
      <c r="V11" s="13">
        <f t="shared" si="36"/>
        <v>117.17350000000002</v>
      </c>
      <c r="W11" s="11">
        <f t="shared" si="37"/>
        <v>2.2399999999999998</v>
      </c>
      <c r="X11" s="160">
        <f t="shared" si="6"/>
        <v>15.625000000000002</v>
      </c>
      <c r="Y11" s="12">
        <f t="shared" si="38"/>
        <v>52.309598214285728</v>
      </c>
      <c r="Z11" s="66">
        <f t="shared" si="39"/>
        <v>471.73500000000001</v>
      </c>
      <c r="AA11" s="67">
        <f t="shared" si="40"/>
        <v>23.99</v>
      </c>
      <c r="AB11" s="68">
        <f t="shared" si="41"/>
        <v>19.663818257607339</v>
      </c>
    </row>
    <row r="12" spans="1:33" x14ac:dyDescent="0.25">
      <c r="A12" s="8">
        <v>45233</v>
      </c>
      <c r="B12" s="144">
        <v>31</v>
      </c>
      <c r="C12" s="123">
        <v>84</v>
      </c>
      <c r="D12" s="125">
        <v>6.83</v>
      </c>
      <c r="E12" s="18">
        <f>IFERROR(#REF!/D12,0)</f>
        <v>0</v>
      </c>
      <c r="F12" s="13">
        <f t="shared" si="0"/>
        <v>225.96</v>
      </c>
      <c r="G12" s="13">
        <f>F12</f>
        <v>225.96</v>
      </c>
      <c r="H12" s="125">
        <v>11.4</v>
      </c>
      <c r="I12" s="14">
        <f t="shared" ref="I12:I37" si="42">IFERROR((G12)/H12,0)</f>
        <v>19.821052631578947</v>
      </c>
      <c r="J12" s="125">
        <v>0</v>
      </c>
      <c r="K12" s="10">
        <f t="shared" si="2"/>
        <v>0</v>
      </c>
      <c r="L12" s="13">
        <f t="shared" si="11"/>
        <v>225.96</v>
      </c>
      <c r="M12" s="11">
        <f>D12+H12+J12</f>
        <v>18.23</v>
      </c>
      <c r="N12" s="21">
        <f t="shared" ref="N12:N37" si="43">IFERROR(L12/M12,0)</f>
        <v>12.394953373560066</v>
      </c>
      <c r="O12" s="9">
        <f t="shared" si="3"/>
        <v>98.58</v>
      </c>
      <c r="P12" s="13">
        <f>O12</f>
        <v>98.58</v>
      </c>
      <c r="Q12" s="125">
        <v>1.25</v>
      </c>
      <c r="R12" s="156">
        <v>0</v>
      </c>
      <c r="S12" s="14">
        <f t="shared" ref="S12:S37" si="44">IFERROR(P12/Q12,0)</f>
        <v>78.864000000000004</v>
      </c>
      <c r="T12" s="125">
        <v>0</v>
      </c>
      <c r="U12" s="10">
        <f t="shared" si="5"/>
        <v>0</v>
      </c>
      <c r="V12" s="13">
        <f>P12+U12</f>
        <v>98.58</v>
      </c>
      <c r="W12" s="11">
        <f>Q12+T12</f>
        <v>1.25</v>
      </c>
      <c r="X12" s="160">
        <f t="shared" si="6"/>
        <v>24.8</v>
      </c>
      <c r="Y12" s="12">
        <f t="shared" ref="Y12:Y13" si="45">IFERROR(V12/W12,0)</f>
        <v>78.864000000000004</v>
      </c>
      <c r="Z12" s="66">
        <f t="shared" ref="Z12:AA12" si="46">V12+L12</f>
        <v>324.54000000000002</v>
      </c>
      <c r="AA12" s="67">
        <f t="shared" si="46"/>
        <v>19.48</v>
      </c>
      <c r="AB12" s="68">
        <f t="shared" ref="AB12:AB37" si="47">IFERROR(Z12/AA12,0)</f>
        <v>16.660164271047229</v>
      </c>
    </row>
    <row r="13" spans="1:33" x14ac:dyDescent="0.25">
      <c r="A13" s="95" t="s">
        <v>13</v>
      </c>
      <c r="B13" s="23">
        <f t="shared" ref="B13:D13" si="48">SUM(B8:B12)</f>
        <v>114</v>
      </c>
      <c r="C13" s="23">
        <f t="shared" si="48"/>
        <v>443</v>
      </c>
      <c r="D13" s="26">
        <f t="shared" si="48"/>
        <v>10.98</v>
      </c>
      <c r="E13" s="27">
        <f>IFERROR(#REF!/D13,0)</f>
        <v>0</v>
      </c>
      <c r="F13" s="28">
        <f>SUM(F8:F12)</f>
        <v>1191.67</v>
      </c>
      <c r="G13" s="25">
        <f>SUM(G8:G12)</f>
        <v>1191.67</v>
      </c>
      <c r="H13" s="26">
        <f>SUM(H8:H12)</f>
        <v>50.62</v>
      </c>
      <c r="I13" s="29">
        <f t="shared" si="42"/>
        <v>23.541485578822602</v>
      </c>
      <c r="J13" s="26">
        <f>SUM(J8:J12)</f>
        <v>1.4100000000000001</v>
      </c>
      <c r="K13" s="25">
        <f>SUM(K8:K12)</f>
        <v>48.715499999999992</v>
      </c>
      <c r="L13" s="28">
        <f>SUM(L8:L12)</f>
        <v>1240.3855000000001</v>
      </c>
      <c r="M13" s="30">
        <f>SUM(M8:M12)</f>
        <v>63.010000000000005</v>
      </c>
      <c r="N13" s="31">
        <f>IFERROR(L13/M13,0)</f>
        <v>19.685534042215522</v>
      </c>
      <c r="O13" s="24">
        <f>SUM(O8:O12)</f>
        <v>362.52000000000004</v>
      </c>
      <c r="P13" s="28">
        <f>SUM(P8:P12)</f>
        <v>362.52000000000004</v>
      </c>
      <c r="Q13" s="26">
        <f>SUM(Q8:Q12)</f>
        <v>5</v>
      </c>
      <c r="R13" s="26">
        <f>SUM(R8:R12)</f>
        <v>0</v>
      </c>
      <c r="S13" s="29">
        <f t="shared" si="44"/>
        <v>72.504000000000005</v>
      </c>
      <c r="T13" s="26">
        <f>SUM(T8:T12)</f>
        <v>0.17</v>
      </c>
      <c r="U13" s="25">
        <f>SUM(U8:U12)</f>
        <v>5.8734999999999999</v>
      </c>
      <c r="V13" s="28">
        <f>SUM(V8:V12)</f>
        <v>368.39350000000002</v>
      </c>
      <c r="W13" s="30">
        <f>SUM(W8:W12)</f>
        <v>5.17</v>
      </c>
      <c r="X13" s="163">
        <f t="shared" si="6"/>
        <v>22.050290135396519</v>
      </c>
      <c r="Y13" s="27">
        <f t="shared" si="45"/>
        <v>71.25599613152805</v>
      </c>
      <c r="Z13" s="142">
        <f>SUM(Z8:Z12)</f>
        <v>1608.779</v>
      </c>
      <c r="AA13" s="70">
        <f>SUM(AA8:AA12)</f>
        <v>68.179999999999993</v>
      </c>
      <c r="AB13" s="71">
        <f t="shared" si="47"/>
        <v>23.596054561454974</v>
      </c>
    </row>
    <row r="14" spans="1:33" x14ac:dyDescent="0.25">
      <c r="A14" s="8">
        <v>45236</v>
      </c>
      <c r="B14" s="143">
        <v>33</v>
      </c>
      <c r="C14" s="122">
        <v>159</v>
      </c>
      <c r="D14" s="124">
        <v>0</v>
      </c>
      <c r="E14" s="18">
        <f>IFERROR(#REF!/D14,0)</f>
        <v>0</v>
      </c>
      <c r="F14" s="13">
        <f>C14*E$3</f>
        <v>427.71</v>
      </c>
      <c r="G14" s="13">
        <f>F14</f>
        <v>427.71</v>
      </c>
      <c r="H14" s="124">
        <v>10.719999999999999</v>
      </c>
      <c r="I14" s="14">
        <f t="shared" si="42"/>
        <v>39.898320895522389</v>
      </c>
      <c r="J14" s="124">
        <v>0.6</v>
      </c>
      <c r="K14" s="10">
        <f>J14*Q$3</f>
        <v>20.729999999999997</v>
      </c>
      <c r="L14" s="13">
        <f t="shared" si="11"/>
        <v>448.44</v>
      </c>
      <c r="M14" s="11">
        <f>D14+H14+J14</f>
        <v>11.319999999999999</v>
      </c>
      <c r="N14" s="21">
        <f t="shared" si="43"/>
        <v>39.614840989399298</v>
      </c>
      <c r="O14" s="9">
        <f>B14*D$3</f>
        <v>104.94000000000001</v>
      </c>
      <c r="P14" s="13">
        <f>O14</f>
        <v>104.94000000000001</v>
      </c>
      <c r="Q14" s="124">
        <v>1.25</v>
      </c>
      <c r="R14" s="156">
        <v>0</v>
      </c>
      <c r="S14" s="14">
        <f t="shared" si="44"/>
        <v>83.952000000000012</v>
      </c>
      <c r="T14" s="124">
        <v>0</v>
      </c>
      <c r="U14" s="10">
        <f>T14*Z$3</f>
        <v>0</v>
      </c>
      <c r="V14" s="13">
        <f>P14+U14</f>
        <v>104.94000000000001</v>
      </c>
      <c r="W14" s="11">
        <f>Q14+T14</f>
        <v>1.25</v>
      </c>
      <c r="X14" s="160">
        <f t="shared" si="6"/>
        <v>26.4</v>
      </c>
      <c r="Y14" s="18">
        <f t="shared" ref="Y14:Y37" si="49">IFERROR(V14/W14,0)</f>
        <v>83.952000000000012</v>
      </c>
      <c r="Z14" s="141">
        <f t="shared" ref="Z14:AA17" si="50">V14+L14</f>
        <v>553.38</v>
      </c>
      <c r="AA14" s="67">
        <f t="shared" si="50"/>
        <v>12.569999999999999</v>
      </c>
      <c r="AB14" s="68">
        <f t="shared" si="47"/>
        <v>44.023866348448692</v>
      </c>
    </row>
    <row r="15" spans="1:33" x14ac:dyDescent="0.25">
      <c r="A15" s="8">
        <v>45237</v>
      </c>
      <c r="B15" s="144">
        <v>37</v>
      </c>
      <c r="C15" s="123">
        <v>123</v>
      </c>
      <c r="D15" s="125">
        <v>0</v>
      </c>
      <c r="E15" s="18">
        <f>IFERROR(#REF!/D15,0)</f>
        <v>0</v>
      </c>
      <c r="F15" s="13">
        <f>C15*E$3</f>
        <v>330.87</v>
      </c>
      <c r="G15" s="13">
        <f>F15</f>
        <v>330.87</v>
      </c>
      <c r="H15" s="125">
        <v>15.75</v>
      </c>
      <c r="I15" s="14">
        <f t="shared" si="42"/>
        <v>21.007619047619048</v>
      </c>
      <c r="J15" s="125">
        <v>0</v>
      </c>
      <c r="K15" s="10">
        <f>J15*Q$3</f>
        <v>0</v>
      </c>
      <c r="L15" s="13">
        <f t="shared" si="11"/>
        <v>330.87</v>
      </c>
      <c r="M15" s="11">
        <f>D15+H15+J15</f>
        <v>15.75</v>
      </c>
      <c r="N15" s="21">
        <f t="shared" si="43"/>
        <v>21.007619047619048</v>
      </c>
      <c r="O15" s="9">
        <f>B15*D$3</f>
        <v>117.66000000000001</v>
      </c>
      <c r="P15" s="13">
        <f>O15</f>
        <v>117.66000000000001</v>
      </c>
      <c r="Q15" s="125">
        <v>2.2599999999999998</v>
      </c>
      <c r="R15" s="156">
        <v>0.33</v>
      </c>
      <c r="S15" s="14">
        <f t="shared" si="44"/>
        <v>52.061946902654874</v>
      </c>
      <c r="T15" s="125">
        <v>0.37</v>
      </c>
      <c r="U15" s="10">
        <f>T15*Z$3</f>
        <v>12.783499999999998</v>
      </c>
      <c r="V15" s="13">
        <f>P15+U15</f>
        <v>130.4435</v>
      </c>
      <c r="W15" s="11">
        <f>Q15+T15</f>
        <v>2.63</v>
      </c>
      <c r="X15" s="160">
        <f t="shared" si="6"/>
        <v>14.068441064638783</v>
      </c>
      <c r="Y15" s="18">
        <f>IFERROR(V15/W15,0)</f>
        <v>49.59828897338403</v>
      </c>
      <c r="Z15" s="141">
        <f t="shared" si="50"/>
        <v>461.31349999999998</v>
      </c>
      <c r="AA15" s="67">
        <f t="shared" si="50"/>
        <v>18.38</v>
      </c>
      <c r="AB15" s="68">
        <f t="shared" si="47"/>
        <v>25.098667029379762</v>
      </c>
    </row>
    <row r="16" spans="1:33" x14ac:dyDescent="0.25">
      <c r="A16" s="8">
        <v>45238</v>
      </c>
      <c r="B16" s="144">
        <v>40</v>
      </c>
      <c r="C16" s="123">
        <v>199</v>
      </c>
      <c r="D16" s="125">
        <v>0</v>
      </c>
      <c r="E16" s="18">
        <f>IFERROR(#REF!/D16,0)</f>
        <v>0</v>
      </c>
      <c r="F16" s="13">
        <f>C16*E$3</f>
        <v>535.30999999999995</v>
      </c>
      <c r="G16" s="13">
        <f>F16</f>
        <v>535.30999999999995</v>
      </c>
      <c r="H16" s="125">
        <v>10.66</v>
      </c>
      <c r="I16" s="14">
        <f t="shared" si="42"/>
        <v>50.216697936210124</v>
      </c>
      <c r="J16" s="125">
        <v>0.82</v>
      </c>
      <c r="K16" s="10">
        <f>J16*Q$3</f>
        <v>28.330999999999996</v>
      </c>
      <c r="L16" s="13">
        <f t="shared" si="11"/>
        <v>563.64099999999996</v>
      </c>
      <c r="M16" s="11">
        <f>D16+H16+J16</f>
        <v>11.48</v>
      </c>
      <c r="N16" s="21">
        <f t="shared" si="43"/>
        <v>49.097648083623689</v>
      </c>
      <c r="O16" s="9">
        <f>B16*D$3</f>
        <v>127.2</v>
      </c>
      <c r="P16" s="13">
        <f>O16</f>
        <v>127.2</v>
      </c>
      <c r="Q16" s="125">
        <v>1.73</v>
      </c>
      <c r="R16" s="156">
        <v>0</v>
      </c>
      <c r="S16" s="14">
        <f>IFERROR(P16/Q16,0)</f>
        <v>73.526011560693647</v>
      </c>
      <c r="T16" s="125">
        <v>0.25</v>
      </c>
      <c r="U16" s="10">
        <f>T16*Z$3</f>
        <v>8.6374999999999993</v>
      </c>
      <c r="V16" s="13">
        <f>P16+U16</f>
        <v>135.83750000000001</v>
      </c>
      <c r="W16" s="11">
        <f>Q16+T16</f>
        <v>1.98</v>
      </c>
      <c r="X16" s="160">
        <f t="shared" si="6"/>
        <v>20.202020202020201</v>
      </c>
      <c r="Y16" s="18">
        <f>IFERROR(V16/W16,0)</f>
        <v>68.604797979797979</v>
      </c>
      <c r="Z16" s="141">
        <f t="shared" si="50"/>
        <v>699.47849999999994</v>
      </c>
      <c r="AA16" s="67">
        <f t="shared" si="50"/>
        <v>13.46</v>
      </c>
      <c r="AB16" s="68">
        <f>IFERROR(Z16/AA16,0)</f>
        <v>51.967199108469529</v>
      </c>
    </row>
    <row r="17" spans="1:28" x14ac:dyDescent="0.25">
      <c r="A17" s="8">
        <v>45239</v>
      </c>
      <c r="B17" s="144">
        <v>30</v>
      </c>
      <c r="C17" s="123">
        <v>113</v>
      </c>
      <c r="D17" s="125">
        <v>0</v>
      </c>
      <c r="E17" s="18">
        <f>IFERROR(#REF!/D17,0)</f>
        <v>0</v>
      </c>
      <c r="F17" s="13">
        <f>C17*E$3</f>
        <v>303.96999999999997</v>
      </c>
      <c r="G17" s="13">
        <f>F17</f>
        <v>303.96999999999997</v>
      </c>
      <c r="H17" s="125">
        <v>14.92</v>
      </c>
      <c r="I17" s="14">
        <f t="shared" si="42"/>
        <v>20.373324396782841</v>
      </c>
      <c r="J17" s="125">
        <v>2.25</v>
      </c>
      <c r="K17" s="10">
        <f>J17*Q$3</f>
        <v>77.737499999999997</v>
      </c>
      <c r="L17" s="13">
        <f t="shared" si="11"/>
        <v>381.70749999999998</v>
      </c>
      <c r="M17" s="11">
        <f>D17+H17+J17</f>
        <v>17.170000000000002</v>
      </c>
      <c r="N17" s="21">
        <f>IFERROR(L17/M17,0)</f>
        <v>22.231071636575418</v>
      </c>
      <c r="O17" s="9">
        <f>B17*D$3</f>
        <v>95.4</v>
      </c>
      <c r="P17" s="13">
        <f>O17</f>
        <v>95.4</v>
      </c>
      <c r="Q17" s="125">
        <v>1.92</v>
      </c>
      <c r="R17" s="156">
        <v>0</v>
      </c>
      <c r="S17" s="14">
        <f t="shared" si="44"/>
        <v>49.687500000000007</v>
      </c>
      <c r="T17" s="125">
        <v>0.25</v>
      </c>
      <c r="U17" s="10">
        <f>T17*Z$3</f>
        <v>8.6374999999999993</v>
      </c>
      <c r="V17" s="13">
        <f>P17+U17</f>
        <v>104.03750000000001</v>
      </c>
      <c r="W17" s="11">
        <f>Q17+T17</f>
        <v>2.17</v>
      </c>
      <c r="X17" s="160">
        <f t="shared" si="6"/>
        <v>13.824884792626728</v>
      </c>
      <c r="Y17" s="18">
        <f t="shared" si="49"/>
        <v>47.943548387096783</v>
      </c>
      <c r="Z17" s="141">
        <f t="shared" si="50"/>
        <v>485.745</v>
      </c>
      <c r="AA17" s="67">
        <f t="shared" si="50"/>
        <v>19.340000000000003</v>
      </c>
      <c r="AB17" s="68">
        <f t="shared" si="47"/>
        <v>25.116080661840741</v>
      </c>
    </row>
    <row r="18" spans="1:28" s="195" customFormat="1" x14ac:dyDescent="0.25">
      <c r="A18" s="189">
        <v>45240</v>
      </c>
      <c r="B18" s="190"/>
      <c r="C18" s="191"/>
      <c r="D18" s="196"/>
      <c r="E18" s="18">
        <f>IFERROR(#REF!/D18,0)</f>
        <v>0</v>
      </c>
      <c r="F18" s="13">
        <f>C18*E$3</f>
        <v>0</v>
      </c>
      <c r="G18" s="13">
        <f>F18</f>
        <v>0</v>
      </c>
      <c r="H18" s="196"/>
      <c r="I18" s="14">
        <f t="shared" si="42"/>
        <v>0</v>
      </c>
      <c r="J18" s="196"/>
      <c r="K18" s="10">
        <f>J18*Q$3</f>
        <v>0</v>
      </c>
      <c r="L18" s="13">
        <f t="shared" ref="L18" si="51">G18+K18</f>
        <v>0</v>
      </c>
      <c r="M18" s="11">
        <f>D18+H18+J18</f>
        <v>0</v>
      </c>
      <c r="N18" s="21">
        <f>IFERROR(L18/M18,0)</f>
        <v>0</v>
      </c>
      <c r="O18" s="9">
        <f>B18*D$3</f>
        <v>0</v>
      </c>
      <c r="P18" s="13">
        <f>O18</f>
        <v>0</v>
      </c>
      <c r="Q18" s="196"/>
      <c r="R18" s="194"/>
      <c r="S18" s="14">
        <f t="shared" si="44"/>
        <v>0</v>
      </c>
      <c r="T18" s="196"/>
      <c r="U18" s="10">
        <f>T18*Z$3</f>
        <v>0</v>
      </c>
      <c r="V18" s="13">
        <f>P18+U18</f>
        <v>0</v>
      </c>
      <c r="W18" s="11">
        <f>Q18+T18</f>
        <v>0</v>
      </c>
      <c r="X18" s="160">
        <f t="shared" ref="X18" si="52">IFERROR(B18/W18,0)</f>
        <v>0</v>
      </c>
      <c r="Y18" s="18">
        <f t="shared" ref="Y18" si="53">IFERROR(V18/W18,0)</f>
        <v>0</v>
      </c>
      <c r="Z18" s="141">
        <f t="shared" ref="Z18" si="54">V18+L18</f>
        <v>0</v>
      </c>
      <c r="AA18" s="67">
        <f t="shared" ref="AA18" si="55">W18+M18</f>
        <v>0</v>
      </c>
      <c r="AB18" s="68">
        <f t="shared" ref="AB18" si="56">IFERROR(Z18/AA18,0)</f>
        <v>0</v>
      </c>
    </row>
    <row r="19" spans="1:28" x14ac:dyDescent="0.25">
      <c r="A19" s="95" t="s">
        <v>13</v>
      </c>
      <c r="B19" s="23">
        <f t="shared" ref="B19:D19" si="57">SUM(B14:B18)</f>
        <v>140</v>
      </c>
      <c r="C19" s="23">
        <f t="shared" si="57"/>
        <v>594</v>
      </c>
      <c r="D19" s="26">
        <f t="shared" si="57"/>
        <v>0</v>
      </c>
      <c r="E19" s="27">
        <f>IFERROR(#REF!/D19,0)</f>
        <v>0</v>
      </c>
      <c r="F19" s="28">
        <f>SUM(F14:F18)</f>
        <v>1597.86</v>
      </c>
      <c r="G19" s="25">
        <f>SUM(G14:G18)</f>
        <v>1597.86</v>
      </c>
      <c r="H19" s="26">
        <f>SUM(H14:H18)</f>
        <v>52.05</v>
      </c>
      <c r="I19" s="29">
        <f t="shared" si="42"/>
        <v>30.698559077809797</v>
      </c>
      <c r="J19" s="26">
        <f>SUM(J14:J18)</f>
        <v>3.67</v>
      </c>
      <c r="K19" s="25">
        <f>SUM(K14:K18)</f>
        <v>126.79849999999999</v>
      </c>
      <c r="L19" s="28">
        <f>SUM(L14:L18)</f>
        <v>1724.6585</v>
      </c>
      <c r="M19" s="30">
        <f>SUM(M14:M18)</f>
        <v>55.72</v>
      </c>
      <c r="N19" s="31">
        <f t="shared" si="43"/>
        <v>30.952234386216798</v>
      </c>
      <c r="O19" s="24">
        <f>SUM(O14:O18)</f>
        <v>445.20000000000005</v>
      </c>
      <c r="P19" s="28">
        <f>SUM(P14:P18)</f>
        <v>445.20000000000005</v>
      </c>
      <c r="Q19" s="26">
        <f>SUM(Q14:Q18)</f>
        <v>7.16</v>
      </c>
      <c r="R19" s="26">
        <f>SUM(R14:R18)</f>
        <v>0.33</v>
      </c>
      <c r="S19" s="29">
        <f t="shared" si="44"/>
        <v>62.178770949720672</v>
      </c>
      <c r="T19" s="26">
        <f>SUM(T14:T18)</f>
        <v>0.87</v>
      </c>
      <c r="U19" s="25">
        <f>SUM(U14:U18)</f>
        <v>30.058499999999999</v>
      </c>
      <c r="V19" s="28">
        <f>SUM(V14:V18)</f>
        <v>475.25850000000003</v>
      </c>
      <c r="W19" s="30">
        <f>SUM(W14:W18)</f>
        <v>8.0299999999999994</v>
      </c>
      <c r="X19" s="163">
        <f t="shared" si="6"/>
        <v>17.434620174346204</v>
      </c>
      <c r="Y19" s="27">
        <f>IFERROR(V19/W19,0)</f>
        <v>59.185367372353682</v>
      </c>
      <c r="Z19" s="69">
        <f>SUM(Z14:Z18)</f>
        <v>2199.9169999999999</v>
      </c>
      <c r="AA19" s="70">
        <f>SUM(AA14:AA18)</f>
        <v>63.75</v>
      </c>
      <c r="AB19" s="71">
        <f t="shared" si="47"/>
        <v>34.508501960784315</v>
      </c>
    </row>
    <row r="20" spans="1:28" x14ac:dyDescent="0.25">
      <c r="A20" s="8">
        <v>45243</v>
      </c>
      <c r="B20" s="143"/>
      <c r="C20" s="122"/>
      <c r="D20" s="124"/>
      <c r="E20" s="18">
        <f>IFERROR(#REF!/D20,0)</f>
        <v>0</v>
      </c>
      <c r="F20" s="13">
        <f>C20*E$3</f>
        <v>0</v>
      </c>
      <c r="G20" s="13">
        <f>F20</f>
        <v>0</v>
      </c>
      <c r="H20" s="124"/>
      <c r="I20" s="14">
        <f t="shared" si="42"/>
        <v>0</v>
      </c>
      <c r="J20" s="124"/>
      <c r="K20" s="10">
        <f>J20*Q$3</f>
        <v>0</v>
      </c>
      <c r="L20" s="13">
        <f t="shared" si="11"/>
        <v>0</v>
      </c>
      <c r="M20" s="11">
        <f>D20+H20+J20</f>
        <v>0</v>
      </c>
      <c r="N20" s="21">
        <f t="shared" si="43"/>
        <v>0</v>
      </c>
      <c r="O20" s="9">
        <f>B20*D$3</f>
        <v>0</v>
      </c>
      <c r="P20" s="13">
        <f>O20</f>
        <v>0</v>
      </c>
      <c r="Q20" s="124"/>
      <c r="R20" s="156"/>
      <c r="S20" s="14">
        <f t="shared" si="44"/>
        <v>0</v>
      </c>
      <c r="T20" s="124"/>
      <c r="U20" s="10">
        <f>T20*Z$3</f>
        <v>0</v>
      </c>
      <c r="V20" s="13">
        <f>P20+U20</f>
        <v>0</v>
      </c>
      <c r="W20" s="11">
        <f>Q20+T20</f>
        <v>0</v>
      </c>
      <c r="X20" s="160">
        <f t="shared" si="6"/>
        <v>0</v>
      </c>
      <c r="Y20" s="18">
        <f t="shared" si="49"/>
        <v>0</v>
      </c>
      <c r="Z20" s="141">
        <f t="shared" ref="Z20:AA24" si="58">V20+L20</f>
        <v>0</v>
      </c>
      <c r="AA20" s="67">
        <f t="shared" si="58"/>
        <v>0</v>
      </c>
      <c r="AB20" s="68">
        <f t="shared" si="47"/>
        <v>0</v>
      </c>
    </row>
    <row r="21" spans="1:28" x14ac:dyDescent="0.25">
      <c r="A21" s="8">
        <v>45244</v>
      </c>
      <c r="B21" s="144"/>
      <c r="C21" s="123"/>
      <c r="D21" s="125"/>
      <c r="E21" s="18">
        <f>IFERROR(#REF!/D21,0)</f>
        <v>0</v>
      </c>
      <c r="F21" s="13">
        <f>C21*E$3</f>
        <v>0</v>
      </c>
      <c r="G21" s="13">
        <f>F21</f>
        <v>0</v>
      </c>
      <c r="H21" s="125"/>
      <c r="I21" s="14">
        <f>IFERROR((G21)/H21,0)</f>
        <v>0</v>
      </c>
      <c r="J21" s="125"/>
      <c r="K21" s="10">
        <f>J21*Q$3</f>
        <v>0</v>
      </c>
      <c r="L21" s="13">
        <f t="shared" si="11"/>
        <v>0</v>
      </c>
      <c r="M21" s="11">
        <f>D21+H21+J21</f>
        <v>0</v>
      </c>
      <c r="N21" s="21">
        <f>IFERROR(L21/M21,0)</f>
        <v>0</v>
      </c>
      <c r="O21" s="9">
        <f>B21*D$3</f>
        <v>0</v>
      </c>
      <c r="P21" s="13">
        <f>O21</f>
        <v>0</v>
      </c>
      <c r="Q21" s="125"/>
      <c r="R21" s="156"/>
      <c r="S21" s="14">
        <f t="shared" si="44"/>
        <v>0</v>
      </c>
      <c r="T21" s="125"/>
      <c r="U21" s="10">
        <f>T21*Z$3</f>
        <v>0</v>
      </c>
      <c r="V21" s="13">
        <f>P21+U21</f>
        <v>0</v>
      </c>
      <c r="W21" s="11">
        <f>Q21+T21</f>
        <v>0</v>
      </c>
      <c r="X21" s="160">
        <f t="shared" si="6"/>
        <v>0</v>
      </c>
      <c r="Y21" s="18">
        <f t="shared" si="49"/>
        <v>0</v>
      </c>
      <c r="Z21" s="141">
        <f t="shared" si="58"/>
        <v>0</v>
      </c>
      <c r="AA21" s="67">
        <f t="shared" si="58"/>
        <v>0</v>
      </c>
      <c r="AB21" s="68">
        <f t="shared" si="47"/>
        <v>0</v>
      </c>
    </row>
    <row r="22" spans="1:28" x14ac:dyDescent="0.25">
      <c r="A22" s="8">
        <v>45245</v>
      </c>
      <c r="B22" s="144"/>
      <c r="C22" s="123"/>
      <c r="D22" s="125"/>
      <c r="E22" s="18">
        <f>IFERROR(#REF!/D22,0)</f>
        <v>0</v>
      </c>
      <c r="F22" s="13">
        <f>C22*E$3</f>
        <v>0</v>
      </c>
      <c r="G22" s="13">
        <f>F22</f>
        <v>0</v>
      </c>
      <c r="H22" s="125"/>
      <c r="I22" s="14">
        <f t="shared" si="42"/>
        <v>0</v>
      </c>
      <c r="J22" s="125"/>
      <c r="K22" s="10">
        <f>J22*Q$3</f>
        <v>0</v>
      </c>
      <c r="L22" s="13">
        <f t="shared" si="11"/>
        <v>0</v>
      </c>
      <c r="M22" s="11">
        <f>D22+H22+J22</f>
        <v>0</v>
      </c>
      <c r="N22" s="21">
        <f>IFERROR(L22/M22,0)</f>
        <v>0</v>
      </c>
      <c r="O22" s="9">
        <f>B22*D$3</f>
        <v>0</v>
      </c>
      <c r="P22" s="13">
        <f>O22</f>
        <v>0</v>
      </c>
      <c r="Q22" s="125"/>
      <c r="R22" s="156"/>
      <c r="S22" s="14">
        <f t="shared" si="44"/>
        <v>0</v>
      </c>
      <c r="T22" s="125"/>
      <c r="U22" s="10">
        <f>T22*Z$3</f>
        <v>0</v>
      </c>
      <c r="V22" s="13">
        <f>P22+U22</f>
        <v>0</v>
      </c>
      <c r="W22" s="11">
        <f>Q22+T22</f>
        <v>0</v>
      </c>
      <c r="X22" s="160">
        <f t="shared" si="6"/>
        <v>0</v>
      </c>
      <c r="Y22" s="18">
        <f t="shared" si="49"/>
        <v>0</v>
      </c>
      <c r="Z22" s="141">
        <f t="shared" si="58"/>
        <v>0</v>
      </c>
      <c r="AA22" s="67">
        <f t="shared" si="58"/>
        <v>0</v>
      </c>
      <c r="AB22" s="68">
        <f>IFERROR(Z22/AA22,0)</f>
        <v>0</v>
      </c>
    </row>
    <row r="23" spans="1:28" x14ac:dyDescent="0.25">
      <c r="A23" s="8">
        <v>45246</v>
      </c>
      <c r="B23" s="144"/>
      <c r="C23" s="123"/>
      <c r="D23" s="125"/>
      <c r="E23" s="18">
        <f>IFERROR(#REF!/D23,0)</f>
        <v>0</v>
      </c>
      <c r="F23" s="13">
        <f>C23*E$3</f>
        <v>0</v>
      </c>
      <c r="G23" s="13">
        <f>F23</f>
        <v>0</v>
      </c>
      <c r="H23" s="125"/>
      <c r="I23" s="14">
        <f t="shared" si="42"/>
        <v>0</v>
      </c>
      <c r="J23" s="125"/>
      <c r="K23" s="10">
        <f>J23*Q$3</f>
        <v>0</v>
      </c>
      <c r="L23" s="13">
        <f t="shared" si="11"/>
        <v>0</v>
      </c>
      <c r="M23" s="11">
        <f>D23+H23+J23</f>
        <v>0</v>
      </c>
      <c r="N23" s="21">
        <f t="shared" si="43"/>
        <v>0</v>
      </c>
      <c r="O23" s="9">
        <f>B23*D$3</f>
        <v>0</v>
      </c>
      <c r="P23" s="13">
        <f>O23</f>
        <v>0</v>
      </c>
      <c r="Q23" s="125"/>
      <c r="R23" s="156"/>
      <c r="S23" s="14">
        <f t="shared" si="44"/>
        <v>0</v>
      </c>
      <c r="T23" s="125"/>
      <c r="U23" s="10">
        <f>T23*Z$3</f>
        <v>0</v>
      </c>
      <c r="V23" s="13">
        <f>P23+U23</f>
        <v>0</v>
      </c>
      <c r="W23" s="11">
        <f>Q23+T23</f>
        <v>0</v>
      </c>
      <c r="X23" s="160">
        <f t="shared" si="6"/>
        <v>0</v>
      </c>
      <c r="Y23" s="18">
        <f t="shared" si="49"/>
        <v>0</v>
      </c>
      <c r="Z23" s="141">
        <f t="shared" si="58"/>
        <v>0</v>
      </c>
      <c r="AA23" s="67">
        <f t="shared" si="58"/>
        <v>0</v>
      </c>
      <c r="AB23" s="68">
        <f t="shared" si="47"/>
        <v>0</v>
      </c>
    </row>
    <row r="24" spans="1:28" x14ac:dyDescent="0.25">
      <c r="A24" s="8">
        <v>45247</v>
      </c>
      <c r="B24" s="144"/>
      <c r="C24" s="123"/>
      <c r="D24" s="125"/>
      <c r="E24" s="18">
        <f>IFERROR(#REF!/D24,0)</f>
        <v>0</v>
      </c>
      <c r="F24" s="13">
        <f>C24*E$3</f>
        <v>0</v>
      </c>
      <c r="G24" s="13">
        <f>F24</f>
        <v>0</v>
      </c>
      <c r="H24" s="125"/>
      <c r="I24" s="14">
        <f t="shared" si="42"/>
        <v>0</v>
      </c>
      <c r="J24" s="125"/>
      <c r="K24" s="10">
        <f>J24*Q$3</f>
        <v>0</v>
      </c>
      <c r="L24" s="13">
        <f t="shared" si="11"/>
        <v>0</v>
      </c>
      <c r="M24" s="11">
        <f>D24+H24+J24</f>
        <v>0</v>
      </c>
      <c r="N24" s="21">
        <f t="shared" si="43"/>
        <v>0</v>
      </c>
      <c r="O24" s="9">
        <f>B24*D$3</f>
        <v>0</v>
      </c>
      <c r="P24" s="13">
        <f>O24</f>
        <v>0</v>
      </c>
      <c r="Q24" s="125"/>
      <c r="R24" s="156"/>
      <c r="S24" s="14">
        <v>0</v>
      </c>
      <c r="T24" s="125"/>
      <c r="U24" s="10">
        <f>T24*Z$3</f>
        <v>0</v>
      </c>
      <c r="V24" s="13">
        <f>P24+U24</f>
        <v>0</v>
      </c>
      <c r="W24" s="11">
        <f>Q24+T24</f>
        <v>0</v>
      </c>
      <c r="X24" s="160">
        <f t="shared" si="6"/>
        <v>0</v>
      </c>
      <c r="Y24" s="18">
        <f t="shared" si="49"/>
        <v>0</v>
      </c>
      <c r="Z24" s="141">
        <f t="shared" si="58"/>
        <v>0</v>
      </c>
      <c r="AA24" s="67">
        <f t="shared" si="58"/>
        <v>0</v>
      </c>
      <c r="AB24" s="68">
        <f t="shared" si="47"/>
        <v>0</v>
      </c>
    </row>
    <row r="25" spans="1:28" x14ac:dyDescent="0.25">
      <c r="A25" s="95" t="s">
        <v>13</v>
      </c>
      <c r="B25" s="23">
        <f t="shared" ref="B25:D25" si="59">SUM(B20:B24)</f>
        <v>0</v>
      </c>
      <c r="C25" s="23">
        <f t="shared" si="59"/>
        <v>0</v>
      </c>
      <c r="D25" s="26">
        <f t="shared" si="59"/>
        <v>0</v>
      </c>
      <c r="E25" s="27">
        <f>IFERROR(#REF!/D25,0)</f>
        <v>0</v>
      </c>
      <c r="F25" s="28">
        <f>SUM(F20:F24)</f>
        <v>0</v>
      </c>
      <c r="G25" s="25">
        <f>SUM(G20:G24)</f>
        <v>0</v>
      </c>
      <c r="H25" s="26">
        <f>SUM(H20:H24)</f>
        <v>0</v>
      </c>
      <c r="I25" s="29">
        <f t="shared" si="42"/>
        <v>0</v>
      </c>
      <c r="J25" s="26">
        <f>SUM(J20:J24)</f>
        <v>0</v>
      </c>
      <c r="K25" s="25">
        <f>SUM(K20:K24)</f>
        <v>0</v>
      </c>
      <c r="L25" s="28">
        <f>SUM(L20:L24)</f>
        <v>0</v>
      </c>
      <c r="M25" s="30">
        <f>SUM(M20:M24)</f>
        <v>0</v>
      </c>
      <c r="N25" s="31">
        <f t="shared" si="43"/>
        <v>0</v>
      </c>
      <c r="O25" s="24">
        <f>SUM(O20:O24)</f>
        <v>0</v>
      </c>
      <c r="P25" s="28">
        <f>SUM(P20:P24)</f>
        <v>0</v>
      </c>
      <c r="Q25" s="26">
        <f>SUM(Q20:Q24)</f>
        <v>0</v>
      </c>
      <c r="R25" s="26">
        <f>SUM(R20:R24)</f>
        <v>0</v>
      </c>
      <c r="S25" s="29">
        <f t="shared" si="44"/>
        <v>0</v>
      </c>
      <c r="T25" s="26">
        <f>SUM(T20:T24)</f>
        <v>0</v>
      </c>
      <c r="U25" s="25">
        <f>SUM(U20:U24)</f>
        <v>0</v>
      </c>
      <c r="V25" s="28">
        <f>SUM(V20:V24)</f>
        <v>0</v>
      </c>
      <c r="W25" s="30">
        <f>SUM(W20:W24)</f>
        <v>0</v>
      </c>
      <c r="X25" s="163">
        <f t="shared" si="6"/>
        <v>0</v>
      </c>
      <c r="Y25" s="27">
        <f>IFERROR(V25/W25,0)</f>
        <v>0</v>
      </c>
      <c r="Z25" s="69">
        <f>SUM(Z20:Z24)</f>
        <v>0</v>
      </c>
      <c r="AA25" s="70">
        <f>SUM(AA20:AA24)</f>
        <v>0</v>
      </c>
      <c r="AB25" s="71">
        <f t="shared" si="47"/>
        <v>0</v>
      </c>
    </row>
    <row r="26" spans="1:28" x14ac:dyDescent="0.25">
      <c r="A26" s="8">
        <v>45250</v>
      </c>
      <c r="B26" s="143"/>
      <c r="C26" s="122"/>
      <c r="D26" s="124"/>
      <c r="E26" s="18">
        <f>IFERROR(#REF!/D26,0)</f>
        <v>0</v>
      </c>
      <c r="F26" s="13">
        <f>C26*E$3</f>
        <v>0</v>
      </c>
      <c r="G26" s="13">
        <f>F26</f>
        <v>0</v>
      </c>
      <c r="H26" s="124"/>
      <c r="I26" s="14">
        <f t="shared" si="42"/>
        <v>0</v>
      </c>
      <c r="J26" s="124"/>
      <c r="K26" s="10">
        <f>J26*Q$3</f>
        <v>0</v>
      </c>
      <c r="L26" s="13">
        <f t="shared" si="11"/>
        <v>0</v>
      </c>
      <c r="M26" s="11">
        <f>D26+H26+J26</f>
        <v>0</v>
      </c>
      <c r="N26" s="21">
        <f t="shared" si="43"/>
        <v>0</v>
      </c>
      <c r="O26" s="9">
        <f>B26*D$3</f>
        <v>0</v>
      </c>
      <c r="P26" s="13">
        <f>O26</f>
        <v>0</v>
      </c>
      <c r="Q26" s="124"/>
      <c r="R26" s="156"/>
      <c r="S26" s="14">
        <f t="shared" si="44"/>
        <v>0</v>
      </c>
      <c r="T26" s="124"/>
      <c r="U26" s="10">
        <f>T26*Z$3</f>
        <v>0</v>
      </c>
      <c r="V26" s="13">
        <f>P26+U26</f>
        <v>0</v>
      </c>
      <c r="W26" s="11">
        <f>Q26+T26</f>
        <v>0</v>
      </c>
      <c r="X26" s="160">
        <f t="shared" si="6"/>
        <v>0</v>
      </c>
      <c r="Y26" s="18">
        <f t="shared" si="49"/>
        <v>0</v>
      </c>
      <c r="Z26" s="141">
        <f t="shared" ref="Z26:AA30" si="60">V26+L26</f>
        <v>0</v>
      </c>
      <c r="AA26" s="67">
        <f t="shared" si="60"/>
        <v>0</v>
      </c>
      <c r="AB26" s="68">
        <f t="shared" si="47"/>
        <v>0</v>
      </c>
    </row>
    <row r="27" spans="1:28" x14ac:dyDescent="0.25">
      <c r="A27" s="8">
        <v>45251</v>
      </c>
      <c r="B27" s="144"/>
      <c r="C27" s="123"/>
      <c r="D27" s="125"/>
      <c r="E27" s="18">
        <f>IFERROR(#REF!/D27,0)</f>
        <v>0</v>
      </c>
      <c r="F27" s="13">
        <f>C27*E$3</f>
        <v>0</v>
      </c>
      <c r="G27" s="13">
        <f>F27</f>
        <v>0</v>
      </c>
      <c r="H27" s="125"/>
      <c r="I27" s="14">
        <f t="shared" si="42"/>
        <v>0</v>
      </c>
      <c r="J27" s="125"/>
      <c r="K27" s="10">
        <f>J27*Q$3</f>
        <v>0</v>
      </c>
      <c r="L27" s="13">
        <f t="shared" si="11"/>
        <v>0</v>
      </c>
      <c r="M27" s="11">
        <f>D27+H27+J27</f>
        <v>0</v>
      </c>
      <c r="N27" s="21">
        <f t="shared" si="43"/>
        <v>0</v>
      </c>
      <c r="O27" s="9">
        <f>B27*D$3</f>
        <v>0</v>
      </c>
      <c r="P27" s="13">
        <f>O27</f>
        <v>0</v>
      </c>
      <c r="Q27" s="125"/>
      <c r="R27" s="156"/>
      <c r="S27" s="14">
        <f t="shared" si="44"/>
        <v>0</v>
      </c>
      <c r="T27" s="125"/>
      <c r="U27" s="10">
        <f>T27*Z$3</f>
        <v>0</v>
      </c>
      <c r="V27" s="13">
        <f>P27+U27</f>
        <v>0</v>
      </c>
      <c r="W27" s="11">
        <f>Q27+T27</f>
        <v>0</v>
      </c>
      <c r="X27" s="160">
        <f t="shared" si="6"/>
        <v>0</v>
      </c>
      <c r="Y27" s="18">
        <f t="shared" si="49"/>
        <v>0</v>
      </c>
      <c r="Z27" s="141">
        <f t="shared" si="60"/>
        <v>0</v>
      </c>
      <c r="AA27" s="67">
        <f t="shared" si="60"/>
        <v>0</v>
      </c>
      <c r="AB27" s="68">
        <f t="shared" si="47"/>
        <v>0</v>
      </c>
    </row>
    <row r="28" spans="1:28" x14ac:dyDescent="0.25">
      <c r="A28" s="8">
        <v>45252</v>
      </c>
      <c r="B28" s="144"/>
      <c r="C28" s="123"/>
      <c r="D28" s="125"/>
      <c r="E28" s="18">
        <f>IFERROR(#REF!/D28,0)</f>
        <v>0</v>
      </c>
      <c r="F28" s="13">
        <f>C28*E$3</f>
        <v>0</v>
      </c>
      <c r="G28" s="13">
        <f>F28</f>
        <v>0</v>
      </c>
      <c r="H28" s="125"/>
      <c r="I28" s="14">
        <f t="shared" si="42"/>
        <v>0</v>
      </c>
      <c r="J28" s="125"/>
      <c r="K28" s="10">
        <f>J28*Q$3</f>
        <v>0</v>
      </c>
      <c r="L28" s="13">
        <f t="shared" si="11"/>
        <v>0</v>
      </c>
      <c r="M28" s="11">
        <f>D28+H28+J28</f>
        <v>0</v>
      </c>
      <c r="N28" s="21">
        <f>IFERROR(L28/M28,0)</f>
        <v>0</v>
      </c>
      <c r="O28" s="9">
        <f>B28*D$3</f>
        <v>0</v>
      </c>
      <c r="P28" s="13">
        <f>O28</f>
        <v>0</v>
      </c>
      <c r="Q28" s="125"/>
      <c r="R28" s="156"/>
      <c r="S28" s="14">
        <f t="shared" si="44"/>
        <v>0</v>
      </c>
      <c r="T28" s="125"/>
      <c r="U28" s="10">
        <f>T28*Z$3</f>
        <v>0</v>
      </c>
      <c r="V28" s="13">
        <f>P28+U28</f>
        <v>0</v>
      </c>
      <c r="W28" s="11">
        <f>Q28+T28</f>
        <v>0</v>
      </c>
      <c r="X28" s="160">
        <f t="shared" si="6"/>
        <v>0</v>
      </c>
      <c r="Y28" s="18">
        <f t="shared" si="49"/>
        <v>0</v>
      </c>
      <c r="Z28" s="141">
        <f t="shared" si="60"/>
        <v>0</v>
      </c>
      <c r="AA28" s="67">
        <f t="shared" si="60"/>
        <v>0</v>
      </c>
      <c r="AB28" s="68">
        <f t="shared" si="47"/>
        <v>0</v>
      </c>
    </row>
    <row r="29" spans="1:28" x14ac:dyDescent="0.25">
      <c r="A29" s="8">
        <v>45253</v>
      </c>
      <c r="B29" s="144"/>
      <c r="C29" s="123"/>
      <c r="D29" s="125"/>
      <c r="E29" s="18">
        <f>IFERROR(#REF!/D29,0)</f>
        <v>0</v>
      </c>
      <c r="F29" s="13">
        <f>C29*E$3</f>
        <v>0</v>
      </c>
      <c r="G29" s="13">
        <f>F29</f>
        <v>0</v>
      </c>
      <c r="H29" s="125"/>
      <c r="I29" s="14">
        <f t="shared" si="42"/>
        <v>0</v>
      </c>
      <c r="J29" s="125"/>
      <c r="K29" s="10">
        <f>J29*Q$3</f>
        <v>0</v>
      </c>
      <c r="L29" s="13">
        <f t="shared" si="11"/>
        <v>0</v>
      </c>
      <c r="M29" s="11">
        <f>D29+H29+J29</f>
        <v>0</v>
      </c>
      <c r="N29" s="21">
        <f t="shared" si="43"/>
        <v>0</v>
      </c>
      <c r="O29" s="9">
        <f>B29*D$3</f>
        <v>0</v>
      </c>
      <c r="P29" s="13">
        <f>O29</f>
        <v>0</v>
      </c>
      <c r="Q29" s="125"/>
      <c r="R29" s="156"/>
      <c r="S29" s="14">
        <f t="shared" si="44"/>
        <v>0</v>
      </c>
      <c r="T29" s="125"/>
      <c r="U29" s="10">
        <f>T29*Z$3</f>
        <v>0</v>
      </c>
      <c r="V29" s="13">
        <f>P29+U29</f>
        <v>0</v>
      </c>
      <c r="W29" s="11">
        <f>Q29+T29</f>
        <v>0</v>
      </c>
      <c r="X29" s="160">
        <f t="shared" si="6"/>
        <v>0</v>
      </c>
      <c r="Y29" s="18">
        <f t="shared" si="49"/>
        <v>0</v>
      </c>
      <c r="Z29" s="141">
        <f t="shared" si="60"/>
        <v>0</v>
      </c>
      <c r="AA29" s="67">
        <f t="shared" si="60"/>
        <v>0</v>
      </c>
      <c r="AB29" s="68">
        <f t="shared" si="47"/>
        <v>0</v>
      </c>
    </row>
    <row r="30" spans="1:28" x14ac:dyDescent="0.25">
      <c r="A30" s="8">
        <v>45254</v>
      </c>
      <c r="B30" s="144"/>
      <c r="C30" s="123"/>
      <c r="D30" s="125"/>
      <c r="E30" s="18">
        <f>IFERROR(#REF!/D30,0)</f>
        <v>0</v>
      </c>
      <c r="F30" s="13">
        <f>C30*E$3</f>
        <v>0</v>
      </c>
      <c r="G30" s="13">
        <f>F30</f>
        <v>0</v>
      </c>
      <c r="H30" s="125"/>
      <c r="I30" s="14">
        <f t="shared" si="42"/>
        <v>0</v>
      </c>
      <c r="J30" s="125"/>
      <c r="K30" s="10">
        <f>J30*Q$3</f>
        <v>0</v>
      </c>
      <c r="L30" s="13">
        <f t="shared" si="11"/>
        <v>0</v>
      </c>
      <c r="M30" s="11">
        <f>D30+H30+J30</f>
        <v>0</v>
      </c>
      <c r="N30" s="21">
        <f t="shared" si="43"/>
        <v>0</v>
      </c>
      <c r="O30" s="9">
        <f>B30*D$3</f>
        <v>0</v>
      </c>
      <c r="P30" s="13">
        <f>O30</f>
        <v>0</v>
      </c>
      <c r="Q30" s="125"/>
      <c r="R30" s="156"/>
      <c r="S30" s="14">
        <f t="shared" si="44"/>
        <v>0</v>
      </c>
      <c r="T30" s="125"/>
      <c r="U30" s="10">
        <f>T30*Z$3</f>
        <v>0</v>
      </c>
      <c r="V30" s="13">
        <f>P30+U30</f>
        <v>0</v>
      </c>
      <c r="W30" s="11">
        <f>Q30+T30</f>
        <v>0</v>
      </c>
      <c r="X30" s="160">
        <f t="shared" si="6"/>
        <v>0</v>
      </c>
      <c r="Y30" s="18">
        <f t="shared" si="49"/>
        <v>0</v>
      </c>
      <c r="Z30" s="141">
        <f t="shared" si="60"/>
        <v>0</v>
      </c>
      <c r="AA30" s="67">
        <f t="shared" si="60"/>
        <v>0</v>
      </c>
      <c r="AB30" s="68">
        <f t="shared" si="47"/>
        <v>0</v>
      </c>
    </row>
    <row r="31" spans="1:28" x14ac:dyDescent="0.25">
      <c r="A31" s="95" t="s">
        <v>13</v>
      </c>
      <c r="B31" s="23">
        <f t="shared" ref="B31:D31" si="61">SUM(B26:B30)</f>
        <v>0</v>
      </c>
      <c r="C31" s="23">
        <f t="shared" si="61"/>
        <v>0</v>
      </c>
      <c r="D31" s="26">
        <f t="shared" si="61"/>
        <v>0</v>
      </c>
      <c r="E31" s="27">
        <f>IFERROR(#REF!/D31,0)</f>
        <v>0</v>
      </c>
      <c r="F31" s="28">
        <f>SUM(F26:F30)</f>
        <v>0</v>
      </c>
      <c r="G31" s="25">
        <f>SUM(G26:G30)</f>
        <v>0</v>
      </c>
      <c r="H31" s="26">
        <f>SUM(H26:H30)</f>
        <v>0</v>
      </c>
      <c r="I31" s="29">
        <f t="shared" si="42"/>
        <v>0</v>
      </c>
      <c r="J31" s="26">
        <f>SUM(J26:J30)</f>
        <v>0</v>
      </c>
      <c r="K31" s="25">
        <f>SUM(K26:K30)</f>
        <v>0</v>
      </c>
      <c r="L31" s="28">
        <f>SUM(L26:L30)</f>
        <v>0</v>
      </c>
      <c r="M31" s="30">
        <f>SUM(M26:M30)</f>
        <v>0</v>
      </c>
      <c r="N31" s="31">
        <f t="shared" si="43"/>
        <v>0</v>
      </c>
      <c r="O31" s="24">
        <f>SUM(O26:O30)</f>
        <v>0</v>
      </c>
      <c r="P31" s="28">
        <f>SUM(P26:P30)</f>
        <v>0</v>
      </c>
      <c r="Q31" s="26">
        <f>SUM(Q26:Q30)</f>
        <v>0</v>
      </c>
      <c r="R31" s="26">
        <f>SUM(R26:R30)</f>
        <v>0</v>
      </c>
      <c r="S31" s="29">
        <f t="shared" si="44"/>
        <v>0</v>
      </c>
      <c r="T31" s="26">
        <f>SUM(T26:T30)</f>
        <v>0</v>
      </c>
      <c r="U31" s="25">
        <f>SUM(U26:U30)</f>
        <v>0</v>
      </c>
      <c r="V31" s="28">
        <f>SUM(V26:V30)</f>
        <v>0</v>
      </c>
      <c r="W31" s="30">
        <f>SUM(W26:W30)</f>
        <v>0</v>
      </c>
      <c r="X31" s="163">
        <f t="shared" si="6"/>
        <v>0</v>
      </c>
      <c r="Y31" s="27">
        <f>IFERROR(V31/W31,0)</f>
        <v>0</v>
      </c>
      <c r="Z31" s="69">
        <f>SUM(Z26:Z30)</f>
        <v>0</v>
      </c>
      <c r="AA31" s="70">
        <f>SUM(AA26:AA30)</f>
        <v>0</v>
      </c>
      <c r="AB31" s="71">
        <f t="shared" si="47"/>
        <v>0</v>
      </c>
    </row>
    <row r="32" spans="1:28" x14ac:dyDescent="0.25">
      <c r="A32" s="8">
        <v>45257</v>
      </c>
      <c r="B32" s="143"/>
      <c r="C32" s="122"/>
      <c r="D32" s="124"/>
      <c r="E32" s="18">
        <f>IFERROR(#REF!/D32,0)</f>
        <v>0</v>
      </c>
      <c r="F32" s="13">
        <f>C32*E$3</f>
        <v>0</v>
      </c>
      <c r="G32" s="13">
        <f>F32</f>
        <v>0</v>
      </c>
      <c r="H32" s="124"/>
      <c r="I32" s="14">
        <f t="shared" si="42"/>
        <v>0</v>
      </c>
      <c r="J32" s="124"/>
      <c r="K32" s="10">
        <f>J32*Q$3</f>
        <v>0</v>
      </c>
      <c r="L32" s="13">
        <f t="shared" si="11"/>
        <v>0</v>
      </c>
      <c r="M32" s="11">
        <f>D32+H32+J32</f>
        <v>0</v>
      </c>
      <c r="N32" s="21">
        <f t="shared" si="43"/>
        <v>0</v>
      </c>
      <c r="O32" s="9">
        <f>B32*D$3</f>
        <v>0</v>
      </c>
      <c r="P32" s="13">
        <f>O32</f>
        <v>0</v>
      </c>
      <c r="Q32" s="124"/>
      <c r="R32" s="156"/>
      <c r="S32" s="14">
        <v>0</v>
      </c>
      <c r="T32" s="124"/>
      <c r="U32" s="10">
        <f>T32*Z$3</f>
        <v>0</v>
      </c>
      <c r="V32" s="13">
        <f>P32+U32</f>
        <v>0</v>
      </c>
      <c r="W32" s="11">
        <f>Q32+T32</f>
        <v>0</v>
      </c>
      <c r="X32" s="160">
        <f t="shared" si="6"/>
        <v>0</v>
      </c>
      <c r="Y32" s="18">
        <f t="shared" si="49"/>
        <v>0</v>
      </c>
      <c r="Z32" s="141">
        <f t="shared" ref="Z32:AA36" si="62">V32+L32</f>
        <v>0</v>
      </c>
      <c r="AA32" s="67">
        <f t="shared" si="62"/>
        <v>0</v>
      </c>
      <c r="AB32" s="68">
        <f t="shared" si="47"/>
        <v>0</v>
      </c>
    </row>
    <row r="33" spans="1:28" x14ac:dyDescent="0.25">
      <c r="A33" s="8">
        <v>45258</v>
      </c>
      <c r="B33" s="144"/>
      <c r="C33" s="123"/>
      <c r="D33" s="125"/>
      <c r="E33" s="18">
        <f>IFERROR(#REF!/D33,0)</f>
        <v>0</v>
      </c>
      <c r="F33" s="13">
        <f>C33*E$3</f>
        <v>0</v>
      </c>
      <c r="G33" s="13">
        <f>F33</f>
        <v>0</v>
      </c>
      <c r="H33" s="125"/>
      <c r="I33" s="14">
        <f>IFERROR((G33)/H33,0)</f>
        <v>0</v>
      </c>
      <c r="J33" s="125"/>
      <c r="K33" s="10">
        <f>J33*Q$3</f>
        <v>0</v>
      </c>
      <c r="L33" s="13">
        <f t="shared" si="11"/>
        <v>0</v>
      </c>
      <c r="M33" s="11">
        <f>D33+H33+J33</f>
        <v>0</v>
      </c>
      <c r="N33" s="21">
        <f t="shared" si="43"/>
        <v>0</v>
      </c>
      <c r="O33" s="9">
        <f>B33*D$3</f>
        <v>0</v>
      </c>
      <c r="P33" s="13">
        <f>O33</f>
        <v>0</v>
      </c>
      <c r="Q33" s="125"/>
      <c r="R33" s="156"/>
      <c r="S33" s="14">
        <f t="shared" si="44"/>
        <v>0</v>
      </c>
      <c r="T33" s="125"/>
      <c r="U33" s="10">
        <f>T33*Z$3</f>
        <v>0</v>
      </c>
      <c r="V33" s="13">
        <f>P33+U33</f>
        <v>0</v>
      </c>
      <c r="W33" s="11">
        <f>Q33+T33</f>
        <v>0</v>
      </c>
      <c r="X33" s="160">
        <f t="shared" si="6"/>
        <v>0</v>
      </c>
      <c r="Y33" s="18">
        <f t="shared" si="49"/>
        <v>0</v>
      </c>
      <c r="Z33" s="141">
        <f t="shared" si="62"/>
        <v>0</v>
      </c>
      <c r="AA33" s="67">
        <f t="shared" si="62"/>
        <v>0</v>
      </c>
      <c r="AB33" s="68">
        <f t="shared" si="47"/>
        <v>0</v>
      </c>
    </row>
    <row r="34" spans="1:28" x14ac:dyDescent="0.25">
      <c r="A34" s="8">
        <v>45259</v>
      </c>
      <c r="B34" s="144"/>
      <c r="C34" s="123"/>
      <c r="D34" s="125"/>
      <c r="E34" s="18">
        <f>IFERROR(#REF!/D34,0)</f>
        <v>0</v>
      </c>
      <c r="F34" s="13">
        <f>C34*E$3</f>
        <v>0</v>
      </c>
      <c r="G34" s="13">
        <f>F34</f>
        <v>0</v>
      </c>
      <c r="H34" s="125"/>
      <c r="I34" s="14">
        <f t="shared" si="42"/>
        <v>0</v>
      </c>
      <c r="J34" s="125"/>
      <c r="K34" s="10">
        <f>J34*Q$3</f>
        <v>0</v>
      </c>
      <c r="L34" s="13">
        <f t="shared" si="11"/>
        <v>0</v>
      </c>
      <c r="M34" s="11">
        <f>D34+H34+J34</f>
        <v>0</v>
      </c>
      <c r="N34" s="21">
        <f t="shared" si="43"/>
        <v>0</v>
      </c>
      <c r="O34" s="9">
        <f>B34*D$3</f>
        <v>0</v>
      </c>
      <c r="P34" s="13">
        <f>O34</f>
        <v>0</v>
      </c>
      <c r="Q34" s="125"/>
      <c r="R34" s="156"/>
      <c r="S34" s="14">
        <f t="shared" si="44"/>
        <v>0</v>
      </c>
      <c r="T34" s="125"/>
      <c r="U34" s="10">
        <f>T34*Z$3</f>
        <v>0</v>
      </c>
      <c r="V34" s="13">
        <f>P34+U34</f>
        <v>0</v>
      </c>
      <c r="W34" s="11">
        <f>Q34+T34</f>
        <v>0</v>
      </c>
      <c r="X34" s="160">
        <f t="shared" si="6"/>
        <v>0</v>
      </c>
      <c r="Y34" s="18">
        <f t="shared" si="49"/>
        <v>0</v>
      </c>
      <c r="Z34" s="141">
        <f t="shared" si="62"/>
        <v>0</v>
      </c>
      <c r="AA34" s="67">
        <f t="shared" si="62"/>
        <v>0</v>
      </c>
      <c r="AB34" s="68">
        <f t="shared" si="47"/>
        <v>0</v>
      </c>
    </row>
    <row r="35" spans="1:28" x14ac:dyDescent="0.25">
      <c r="A35" s="8">
        <v>45260</v>
      </c>
      <c r="B35" s="144"/>
      <c r="C35" s="123"/>
      <c r="D35" s="125"/>
      <c r="E35" s="18">
        <f>IFERROR(#REF!/D35,0)</f>
        <v>0</v>
      </c>
      <c r="F35" s="13">
        <f>C35*E$3</f>
        <v>0</v>
      </c>
      <c r="G35" s="13">
        <f>F35</f>
        <v>0</v>
      </c>
      <c r="H35" s="125"/>
      <c r="I35" s="14">
        <f t="shared" si="42"/>
        <v>0</v>
      </c>
      <c r="J35" s="125"/>
      <c r="K35" s="10">
        <f>J35*Q$3</f>
        <v>0</v>
      </c>
      <c r="L35" s="13">
        <f t="shared" si="11"/>
        <v>0</v>
      </c>
      <c r="M35" s="11">
        <f>D35+H35+J35</f>
        <v>0</v>
      </c>
      <c r="N35" s="21">
        <f t="shared" si="43"/>
        <v>0</v>
      </c>
      <c r="O35" s="9">
        <f>B35*D$3</f>
        <v>0</v>
      </c>
      <c r="P35" s="13">
        <f>O35</f>
        <v>0</v>
      </c>
      <c r="Q35" s="125"/>
      <c r="R35" s="156"/>
      <c r="S35" s="14">
        <f t="shared" si="44"/>
        <v>0</v>
      </c>
      <c r="T35" s="125"/>
      <c r="U35" s="10">
        <f>T35*Z$3</f>
        <v>0</v>
      </c>
      <c r="V35" s="13">
        <f>P35+U35</f>
        <v>0</v>
      </c>
      <c r="W35" s="11">
        <f>Q35+T35</f>
        <v>0</v>
      </c>
      <c r="X35" s="160">
        <f t="shared" si="6"/>
        <v>0</v>
      </c>
      <c r="Y35" s="18">
        <f t="shared" si="49"/>
        <v>0</v>
      </c>
      <c r="Z35" s="141">
        <f t="shared" si="62"/>
        <v>0</v>
      </c>
      <c r="AA35" s="67">
        <f t="shared" si="62"/>
        <v>0</v>
      </c>
      <c r="AB35" s="68">
        <f t="shared" si="47"/>
        <v>0</v>
      </c>
    </row>
    <row r="36" spans="1:28" x14ac:dyDescent="0.25">
      <c r="A36" s="8"/>
      <c r="B36" s="144"/>
      <c r="C36" s="123"/>
      <c r="D36" s="125"/>
      <c r="E36" s="18">
        <f>IFERROR(#REF!/D36,0)</f>
        <v>0</v>
      </c>
      <c r="F36" s="13">
        <f>C36*E$3</f>
        <v>0</v>
      </c>
      <c r="G36" s="13">
        <f>F36</f>
        <v>0</v>
      </c>
      <c r="H36" s="125"/>
      <c r="I36" s="14">
        <f t="shared" si="42"/>
        <v>0</v>
      </c>
      <c r="J36" s="125"/>
      <c r="K36" s="10">
        <f>J36*Q$3</f>
        <v>0</v>
      </c>
      <c r="L36" s="13">
        <f t="shared" si="11"/>
        <v>0</v>
      </c>
      <c r="M36" s="11">
        <f>D36+H36+J36</f>
        <v>0</v>
      </c>
      <c r="N36" s="21">
        <f t="shared" si="43"/>
        <v>0</v>
      </c>
      <c r="O36" s="9">
        <f>B36*D$3</f>
        <v>0</v>
      </c>
      <c r="P36" s="13">
        <f>O36</f>
        <v>0</v>
      </c>
      <c r="Q36" s="125"/>
      <c r="R36" s="156"/>
      <c r="S36" s="14">
        <f t="shared" si="44"/>
        <v>0</v>
      </c>
      <c r="T36" s="125"/>
      <c r="U36" s="10">
        <f>T36*Z$3</f>
        <v>0</v>
      </c>
      <c r="V36" s="13">
        <f>P36+U36</f>
        <v>0</v>
      </c>
      <c r="W36" s="11">
        <f>Q36+T36</f>
        <v>0</v>
      </c>
      <c r="X36" s="160">
        <f t="shared" si="6"/>
        <v>0</v>
      </c>
      <c r="Y36" s="18">
        <f t="shared" si="49"/>
        <v>0</v>
      </c>
      <c r="Z36" s="141">
        <f t="shared" si="62"/>
        <v>0</v>
      </c>
      <c r="AA36" s="67">
        <f t="shared" si="62"/>
        <v>0</v>
      </c>
      <c r="AB36" s="68">
        <f t="shared" si="47"/>
        <v>0</v>
      </c>
    </row>
    <row r="37" spans="1:28" ht="14.4" thickBot="1" x14ac:dyDescent="0.3">
      <c r="A37" s="96" t="s">
        <v>14</v>
      </c>
      <c r="B37" s="103">
        <f t="shared" ref="B37:D37" si="63">SUM(B32:B36)</f>
        <v>0</v>
      </c>
      <c r="C37" s="103">
        <f t="shared" si="63"/>
        <v>0</v>
      </c>
      <c r="D37" s="36">
        <f t="shared" si="63"/>
        <v>0</v>
      </c>
      <c r="E37" s="37">
        <f>IFERROR(#REF!/D37,0)</f>
        <v>0</v>
      </c>
      <c r="F37" s="38">
        <f>SUM(F32:F36)</f>
        <v>0</v>
      </c>
      <c r="G37" s="38">
        <f>SUM(G32:G36)</f>
        <v>0</v>
      </c>
      <c r="H37" s="36">
        <f>SUM(H32:H36)</f>
        <v>0</v>
      </c>
      <c r="I37" s="29">
        <f t="shared" si="42"/>
        <v>0</v>
      </c>
      <c r="J37" s="39">
        <f>SUM(J32:J36)</f>
        <v>0</v>
      </c>
      <c r="K37" s="35">
        <f>SUM(K32:K36)</f>
        <v>0</v>
      </c>
      <c r="L37" s="38">
        <f>SUM(L32:L36)</f>
        <v>0</v>
      </c>
      <c r="M37" s="36">
        <f>SUM(M32:M36)</f>
        <v>0</v>
      </c>
      <c r="N37" s="40">
        <f t="shared" si="43"/>
        <v>0</v>
      </c>
      <c r="O37" s="34">
        <f>SUM(O32:O36)</f>
        <v>0</v>
      </c>
      <c r="P37" s="38">
        <f>SUM(P32:P36)</f>
        <v>0</v>
      </c>
      <c r="Q37" s="36">
        <f>SUM(Q32:Q36)</f>
        <v>0</v>
      </c>
      <c r="R37" s="39">
        <f>SUM(R32:R36)</f>
        <v>0</v>
      </c>
      <c r="S37" s="102">
        <f t="shared" si="44"/>
        <v>0</v>
      </c>
      <c r="T37" s="39">
        <f>SUM(T32:T36)</f>
        <v>0</v>
      </c>
      <c r="U37" s="35">
        <f>SUM(U32:U36)</f>
        <v>0</v>
      </c>
      <c r="V37" s="38">
        <f>SUM(V32:V36)</f>
        <v>0</v>
      </c>
      <c r="W37" s="36">
        <f>SUM(W32:W36)</f>
        <v>0</v>
      </c>
      <c r="X37" s="163">
        <f t="shared" si="6"/>
        <v>0</v>
      </c>
      <c r="Y37" s="37">
        <f t="shared" si="49"/>
        <v>0</v>
      </c>
      <c r="Z37" s="101">
        <f>SUM(Z32:Z36)</f>
        <v>0</v>
      </c>
      <c r="AA37" s="74">
        <f>SUM(AA32:AA36)</f>
        <v>0</v>
      </c>
      <c r="AB37" s="75">
        <f t="shared" si="47"/>
        <v>0</v>
      </c>
    </row>
    <row r="38" spans="1:28" ht="14.4" thickBot="1" x14ac:dyDescent="0.3">
      <c r="A38" s="41"/>
      <c r="B38" s="42"/>
      <c r="C38" s="42"/>
      <c r="D38" s="44"/>
      <c r="E38" s="43"/>
      <c r="F38" s="43"/>
      <c r="G38" s="43"/>
      <c r="H38" s="44"/>
      <c r="I38" s="43"/>
      <c r="J38" s="44"/>
      <c r="K38" s="43"/>
      <c r="L38" s="43"/>
      <c r="M38" s="44"/>
      <c r="N38" s="43"/>
      <c r="O38" s="43"/>
      <c r="P38" s="43"/>
      <c r="Q38" s="43"/>
      <c r="R38" s="44"/>
      <c r="S38" s="43"/>
      <c r="T38" s="44"/>
      <c r="U38" s="43"/>
      <c r="V38" s="43"/>
      <c r="W38" s="44"/>
      <c r="X38" s="44"/>
      <c r="Y38" s="43"/>
    </row>
    <row r="39" spans="1:28" ht="14.4" thickBot="1" x14ac:dyDescent="0.3">
      <c r="A39" s="45" t="s">
        <v>15</v>
      </c>
      <c r="B39" s="46">
        <f t="shared" ref="B39:C39" si="64">B13+B19+B25+B31+B37</f>
        <v>254</v>
      </c>
      <c r="C39" s="46">
        <f t="shared" si="64"/>
        <v>1037</v>
      </c>
      <c r="D39" s="49">
        <f>D13+D19+D25+D31+D37</f>
        <v>10.98</v>
      </c>
      <c r="E39" s="50">
        <f>IFERROR(#REF!/D39,0)</f>
        <v>0</v>
      </c>
      <c r="F39" s="51">
        <f>F13+F19+F25+F31+F37</f>
        <v>2789.5299999999997</v>
      </c>
      <c r="G39" s="51">
        <f>G13+G19+G25+G31+G37</f>
        <v>2789.5299999999997</v>
      </c>
      <c r="H39" s="49">
        <f>H13+H19+H25+H31+H37</f>
        <v>102.66999999999999</v>
      </c>
      <c r="I39" s="52">
        <f>IFERROR((G39)/H39,0)</f>
        <v>27.169864614785237</v>
      </c>
      <c r="J39" s="53">
        <f>J13+J19+J25+J31+J37</f>
        <v>5.08</v>
      </c>
      <c r="K39" s="48">
        <f>K13+K19+K25+K31+K37</f>
        <v>175.51399999999998</v>
      </c>
      <c r="L39" s="51">
        <f>L13+L19+L25+L31+L37</f>
        <v>2965.0439999999999</v>
      </c>
      <c r="M39" s="49">
        <f>M13+M19+M25+M31+M37</f>
        <v>118.73</v>
      </c>
      <c r="N39" s="54">
        <f>IFERROR(L39/M39,0)</f>
        <v>24.972997557483364</v>
      </c>
      <c r="O39" s="47">
        <f>O13+O19+O25+O31+O37</f>
        <v>807.72</v>
      </c>
      <c r="P39" s="51">
        <f>P13+P19+P25+P31+P37</f>
        <v>807.72</v>
      </c>
      <c r="Q39" s="49">
        <f>Q13+Q19+Q25+Q31+Q37</f>
        <v>12.16</v>
      </c>
      <c r="R39" s="53">
        <f>R13+R19+R25+R31+R37</f>
        <v>0.33</v>
      </c>
      <c r="S39" s="52">
        <f>IFERROR(P39/Q39,0)</f>
        <v>66.424342105263165</v>
      </c>
      <c r="T39" s="53">
        <f>T13+T19+T25+T31+T37</f>
        <v>1.04</v>
      </c>
      <c r="U39" s="48">
        <f>U13+U19+U25+U31+U37</f>
        <v>35.932000000000002</v>
      </c>
      <c r="V39" s="51">
        <f>V13+V19+V25+V31+V37</f>
        <v>843.65200000000004</v>
      </c>
      <c r="W39" s="49">
        <f>W13+W19+W25+W31+W37</f>
        <v>13.2</v>
      </c>
      <c r="X39" s="161">
        <f>IFERROR(B39/W39,0)</f>
        <v>19.242424242424242</v>
      </c>
      <c r="Y39" s="54">
        <f>IFERROR(V39/W39,0)</f>
        <v>63.913030303030311</v>
      </c>
      <c r="Z39" s="48">
        <f>Z13+Z19+Z25+Z31+Z37</f>
        <v>3808.6959999999999</v>
      </c>
      <c r="AA39" s="49">
        <f>AA13+AA19+AA25+AA31+AA37</f>
        <v>131.93</v>
      </c>
      <c r="AB39" s="54">
        <f>IFERROR(Z39/AA39,0)</f>
        <v>28.869066929432272</v>
      </c>
    </row>
  </sheetData>
  <mergeCells count="5">
    <mergeCell ref="AB4:AD4"/>
    <mergeCell ref="Q4:AA4"/>
    <mergeCell ref="H1:J1"/>
    <mergeCell ref="D4:P4"/>
    <mergeCell ref="B4:C4"/>
  </mergeCells>
  <dataValidations count="1">
    <dataValidation allowBlank="1" sqref="S21 A6:A36" xr:uid="{5023F7C9-C991-4700-8596-B70ABC14B7A8}"/>
  </dataValidations>
  <pageMargins left="0" right="0" top="0" bottom="0" header="0.3" footer="0.3"/>
  <pageSetup scale="99" fitToWidth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EBF1C-D896-4B01-A26D-8519793BBC1B}">
  <sheetPr codeName="Sheet4">
    <tabColor rgb="FF92D050"/>
    <pageSetUpPr fitToPage="1"/>
  </sheetPr>
  <dimension ref="A1:AG39"/>
  <sheetViews>
    <sheetView zoomScale="90" zoomScaleNormal="90" workbookViewId="0">
      <pane xSplit="1" ySplit="5" topLeftCell="B6" activePane="bottomRight" state="frozen"/>
      <selection activeCell="A6" sqref="A6:A34"/>
      <selection pane="topRight" activeCell="A6" sqref="A6:A34"/>
      <selection pane="bottomLeft" activeCell="A6" sqref="A6:A34"/>
      <selection pane="bottomRight" activeCell="T18" sqref="T18"/>
    </sheetView>
  </sheetViews>
  <sheetFormatPr defaultColWidth="9.109375" defaultRowHeight="13.8" x14ac:dyDescent="0.25"/>
  <cols>
    <col min="1" max="1" width="9.109375" style="59"/>
    <col min="2" max="5" width="9.33203125" style="59" bestFit="1" customWidth="1"/>
    <col min="6" max="7" width="9.88671875" style="59" bestFit="1" customWidth="1"/>
    <col min="8" max="11" width="11" style="59" bestFit="1" customWidth="1"/>
    <col min="12" max="12" width="9.5546875" style="59" customWidth="1"/>
    <col min="13" max="13" width="10.6640625" style="59" customWidth="1"/>
    <col min="14" max="14" width="9.33203125" style="59" bestFit="1" customWidth="1"/>
    <col min="15" max="15" width="9.88671875" style="59" customWidth="1"/>
    <col min="16" max="16" width="11" style="59" bestFit="1" customWidth="1"/>
    <col min="17" max="17" width="9.33203125" style="59" bestFit="1" customWidth="1"/>
    <col min="18" max="18" width="11.33203125" style="59" customWidth="1"/>
    <col min="19" max="19" width="9.88671875" style="59" bestFit="1" customWidth="1"/>
    <col min="20" max="21" width="11" style="59" bestFit="1" customWidth="1"/>
    <col min="22" max="22" width="9.33203125" style="59" customWidth="1"/>
    <col min="23" max="23" width="11" style="59" bestFit="1" customWidth="1"/>
    <col min="24" max="24" width="9.33203125" style="59" bestFit="1" customWidth="1"/>
    <col min="25" max="25" width="10.109375" style="59" bestFit="1" customWidth="1"/>
    <col min="26" max="26" width="9.88671875" style="59" bestFit="1" customWidth="1"/>
    <col min="27" max="27" width="9.33203125" style="59" bestFit="1" customWidth="1"/>
    <col min="28" max="28" width="11" style="59" bestFit="1" customWidth="1"/>
    <col min="29" max="29" width="10.109375" style="59" bestFit="1" customWidth="1"/>
    <col min="30" max="30" width="9.88671875" style="59" bestFit="1" customWidth="1"/>
    <col min="31" max="31" width="12" style="59" bestFit="1" customWidth="1"/>
    <col min="32" max="33" width="9.33203125" style="59" bestFit="1" customWidth="1"/>
    <col min="34" max="16384" width="9.109375" style="59"/>
  </cols>
  <sheetData>
    <row r="1" spans="1:33" ht="23.25" customHeight="1" x14ac:dyDescent="0.4">
      <c r="A1" s="98"/>
      <c r="B1" s="212" t="s">
        <v>33</v>
      </c>
      <c r="C1" s="212"/>
      <c r="D1" s="212"/>
      <c r="E1" s="212"/>
      <c r="F1" s="98" t="s">
        <v>21</v>
      </c>
      <c r="G1" s="97">
        <v>7484</v>
      </c>
      <c r="H1" s="98" t="s">
        <v>22</v>
      </c>
      <c r="I1" s="213"/>
      <c r="J1" s="214"/>
      <c r="K1" s="215"/>
    </row>
    <row r="2" spans="1:33" s="56" customFormat="1" ht="16.5" customHeight="1" x14ac:dyDescent="0.2">
      <c r="A2" s="135"/>
      <c r="B2" s="136"/>
      <c r="C2" s="136"/>
      <c r="D2" s="136"/>
      <c r="E2" s="137"/>
      <c r="F2" s="136"/>
      <c r="G2" s="136"/>
      <c r="H2" s="138"/>
      <c r="I2" s="139"/>
      <c r="J2" s="139"/>
      <c r="K2" s="140"/>
      <c r="L2" s="140"/>
      <c r="Q2" s="140"/>
      <c r="T2" s="140"/>
    </row>
    <row r="3" spans="1:33" s="111" customFormat="1" thickBot="1" x14ac:dyDescent="0.3">
      <c r="A3" s="134"/>
      <c r="B3" s="112"/>
      <c r="C3" s="112">
        <v>0.52400000000000002</v>
      </c>
      <c r="D3" s="112">
        <v>6.89</v>
      </c>
      <c r="E3" s="112">
        <v>1.07</v>
      </c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>
        <v>32.5</v>
      </c>
      <c r="R3" s="112"/>
      <c r="S3" s="112"/>
      <c r="T3" s="112"/>
      <c r="U3" s="112"/>
      <c r="V3" s="112"/>
      <c r="W3" s="112"/>
      <c r="X3" s="112"/>
      <c r="Y3" s="112"/>
      <c r="Z3" s="112">
        <f>Q3</f>
        <v>32.5</v>
      </c>
      <c r="AA3" s="112"/>
      <c r="AB3" s="112"/>
      <c r="AC3" s="112"/>
      <c r="AD3" s="112"/>
      <c r="AE3" s="112"/>
      <c r="AF3" s="112"/>
      <c r="AG3" s="112"/>
    </row>
    <row r="4" spans="1:33" ht="15" customHeight="1" thickBot="1" x14ac:dyDescent="0.3">
      <c r="B4" s="204" t="s">
        <v>23</v>
      </c>
      <c r="C4" s="206"/>
      <c r="D4" s="207" t="s">
        <v>27</v>
      </c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9"/>
      <c r="Q4" s="207" t="s">
        <v>26</v>
      </c>
      <c r="R4" s="208"/>
      <c r="S4" s="208"/>
      <c r="T4" s="208"/>
      <c r="U4" s="208"/>
      <c r="V4" s="208"/>
      <c r="W4" s="208"/>
      <c r="X4" s="208"/>
      <c r="Y4" s="208"/>
      <c r="Z4" s="208"/>
      <c r="AA4" s="209"/>
      <c r="AB4" s="207" t="s">
        <v>1</v>
      </c>
      <c r="AC4" s="208"/>
      <c r="AD4" s="209"/>
    </row>
    <row r="5" spans="1:33" ht="40.200000000000003" thickBot="1" x14ac:dyDescent="0.3">
      <c r="A5" s="1" t="s">
        <v>2</v>
      </c>
      <c r="B5" s="110" t="s">
        <v>7158</v>
      </c>
      <c r="C5" s="110" t="s">
        <v>7161</v>
      </c>
      <c r="D5" s="106" t="s">
        <v>7197</v>
      </c>
      <c r="E5" s="5" t="s">
        <v>3</v>
      </c>
      <c r="F5" s="60" t="s">
        <v>31</v>
      </c>
      <c r="G5" s="6" t="s">
        <v>4</v>
      </c>
      <c r="H5" s="106" t="s">
        <v>7194</v>
      </c>
      <c r="I5" s="6" t="s">
        <v>5</v>
      </c>
      <c r="J5" s="105" t="s">
        <v>7195</v>
      </c>
      <c r="K5" s="3" t="s">
        <v>6</v>
      </c>
      <c r="L5" s="6" t="s">
        <v>7</v>
      </c>
      <c r="M5" s="4" t="s">
        <v>8</v>
      </c>
      <c r="N5" s="7" t="s">
        <v>9</v>
      </c>
      <c r="O5" s="2" t="s">
        <v>32</v>
      </c>
      <c r="P5" s="6" t="s">
        <v>10</v>
      </c>
      <c r="Q5" s="106" t="s">
        <v>7196</v>
      </c>
      <c r="R5" s="105" t="s">
        <v>35</v>
      </c>
      <c r="S5" s="6" t="s">
        <v>11</v>
      </c>
      <c r="T5" s="105" t="s">
        <v>38</v>
      </c>
      <c r="U5" s="3" t="s">
        <v>6</v>
      </c>
      <c r="V5" s="6" t="s">
        <v>7</v>
      </c>
      <c r="W5" s="4" t="s">
        <v>8</v>
      </c>
      <c r="X5" s="159" t="s">
        <v>36</v>
      </c>
      <c r="Y5" s="5" t="s">
        <v>12</v>
      </c>
      <c r="Z5" s="2" t="s">
        <v>7</v>
      </c>
      <c r="AA5" s="4" t="s">
        <v>8</v>
      </c>
      <c r="AB5" s="7" t="s">
        <v>9</v>
      </c>
    </row>
    <row r="6" spans="1:33" x14ac:dyDescent="0.25">
      <c r="A6" s="8" t="s">
        <v>37</v>
      </c>
      <c r="B6" s="143">
        <v>0</v>
      </c>
      <c r="C6" s="122">
        <v>0</v>
      </c>
      <c r="D6" s="124">
        <v>0</v>
      </c>
      <c r="E6" s="12">
        <f>IFERROR(#REF!/D6,0)</f>
        <v>0</v>
      </c>
      <c r="F6" s="13">
        <f t="shared" ref="F6:F12" si="0">C6*E$3</f>
        <v>0</v>
      </c>
      <c r="G6" s="13">
        <f>F6</f>
        <v>0</v>
      </c>
      <c r="H6" s="124">
        <v>536</v>
      </c>
      <c r="I6" s="14">
        <f t="shared" ref="I6:I7" si="1">IFERROR((G6)/H6,0)</f>
        <v>0</v>
      </c>
      <c r="J6" s="124">
        <v>0</v>
      </c>
      <c r="K6" s="10">
        <f t="shared" ref="K6:K12" si="2">J6*Q$3</f>
        <v>0</v>
      </c>
      <c r="L6" s="13">
        <f>G6+K6</f>
        <v>0</v>
      </c>
      <c r="M6" s="11">
        <f>D6+H6+J6</f>
        <v>536</v>
      </c>
      <c r="N6" s="15">
        <f>IFERROR(L6/M6,0)</f>
        <v>0</v>
      </c>
      <c r="O6" s="9">
        <f t="shared" ref="O6:O12" si="3">B6*D$3</f>
        <v>0</v>
      </c>
      <c r="P6" s="13">
        <f>O6</f>
        <v>0</v>
      </c>
      <c r="Q6" s="124">
        <v>0</v>
      </c>
      <c r="R6" s="156">
        <v>0</v>
      </c>
      <c r="S6" s="14">
        <f t="shared" ref="S6:S7" si="4">IFERROR(P6/Q6,0)</f>
        <v>0</v>
      </c>
      <c r="T6" s="124">
        <v>0</v>
      </c>
      <c r="U6" s="10">
        <f t="shared" ref="U6:U12" si="5">T6*Z$3</f>
        <v>0</v>
      </c>
      <c r="V6" s="13">
        <f>P6+U6</f>
        <v>0</v>
      </c>
      <c r="W6" s="11">
        <f>Q6+T6</f>
        <v>0</v>
      </c>
      <c r="X6" s="160">
        <f t="shared" ref="X6:X37" si="6">IFERROR(B6/W6,0)</f>
        <v>0</v>
      </c>
      <c r="Y6" s="12">
        <f t="shared" ref="Y6:Y7" si="7">IFERROR(V6/W6,0)</f>
        <v>0</v>
      </c>
      <c r="Z6" s="63">
        <f t="shared" ref="Z6:Z7" si="8">V6+L6</f>
        <v>0</v>
      </c>
      <c r="AA6" s="133">
        <f t="shared" ref="AA6:AA7" si="9">W6+M6</f>
        <v>536</v>
      </c>
      <c r="AB6" s="65">
        <f>IFERROR(Z6/AA6,0)</f>
        <v>0</v>
      </c>
    </row>
    <row r="7" spans="1:33" x14ac:dyDescent="0.25">
      <c r="A7" s="8" t="s">
        <v>37</v>
      </c>
      <c r="B7" s="143">
        <v>0</v>
      </c>
      <c r="C7" s="122">
        <v>0</v>
      </c>
      <c r="D7" s="125">
        <v>0</v>
      </c>
      <c r="E7" s="18">
        <f>IFERROR(#REF!/D7,0)</f>
        <v>0</v>
      </c>
      <c r="F7" s="13">
        <f t="shared" si="0"/>
        <v>0</v>
      </c>
      <c r="G7" s="13">
        <f t="shared" ref="G7" si="10">F7</f>
        <v>0</v>
      </c>
      <c r="H7" s="125">
        <v>0</v>
      </c>
      <c r="I7" s="14">
        <f t="shared" si="1"/>
        <v>0</v>
      </c>
      <c r="J7" s="125">
        <v>0</v>
      </c>
      <c r="K7" s="10">
        <f t="shared" si="2"/>
        <v>0</v>
      </c>
      <c r="L7" s="13">
        <f t="shared" ref="L7:L36" si="11">G7+K7</f>
        <v>0</v>
      </c>
      <c r="M7" s="11">
        <f t="shared" ref="M7" si="12">D7+H7+J7</f>
        <v>0</v>
      </c>
      <c r="N7" s="21">
        <f t="shared" ref="N7" si="13">IFERROR(L7/M7,0)</f>
        <v>0</v>
      </c>
      <c r="O7" s="9">
        <f t="shared" si="3"/>
        <v>0</v>
      </c>
      <c r="P7" s="13">
        <f t="shared" ref="P7" si="14">O7</f>
        <v>0</v>
      </c>
      <c r="Q7" s="125">
        <v>0</v>
      </c>
      <c r="R7" s="156">
        <v>0</v>
      </c>
      <c r="S7" s="14">
        <f t="shared" si="4"/>
        <v>0</v>
      </c>
      <c r="T7" s="125">
        <v>0</v>
      </c>
      <c r="U7" s="10">
        <f t="shared" si="5"/>
        <v>0</v>
      </c>
      <c r="V7" s="13">
        <f t="shared" ref="V7" si="15">P7+U7</f>
        <v>0</v>
      </c>
      <c r="W7" s="11">
        <f t="shared" ref="W7" si="16">Q7+T7</f>
        <v>0</v>
      </c>
      <c r="X7" s="160">
        <f t="shared" si="6"/>
        <v>0</v>
      </c>
      <c r="Y7" s="12">
        <f t="shared" si="7"/>
        <v>0</v>
      </c>
      <c r="Z7" s="66">
        <f t="shared" si="8"/>
        <v>0</v>
      </c>
      <c r="AA7" s="67">
        <f t="shared" si="9"/>
        <v>0</v>
      </c>
      <c r="AB7" s="68">
        <f t="shared" ref="AB7" si="17">IFERROR(Z7/AA7,0)</f>
        <v>0</v>
      </c>
    </row>
    <row r="8" spans="1:33" ht="14.4" thickBot="1" x14ac:dyDescent="0.3">
      <c r="A8" s="8" t="s">
        <v>37</v>
      </c>
      <c r="B8" s="143">
        <v>0</v>
      </c>
      <c r="C8" s="122">
        <v>0</v>
      </c>
      <c r="D8" s="125">
        <v>0</v>
      </c>
      <c r="E8" s="18">
        <f>IFERROR(#REF!/D8,0)</f>
        <v>0</v>
      </c>
      <c r="F8" s="13">
        <f t="shared" si="0"/>
        <v>0</v>
      </c>
      <c r="G8" s="13">
        <f t="shared" ref="G8" si="18">F8</f>
        <v>0</v>
      </c>
      <c r="H8" s="125">
        <v>0</v>
      </c>
      <c r="I8" s="14">
        <f t="shared" ref="I8:I9" si="19">IFERROR((G8)/H8,0)</f>
        <v>0</v>
      </c>
      <c r="J8" s="125">
        <v>0</v>
      </c>
      <c r="K8" s="10">
        <f t="shared" si="2"/>
        <v>0</v>
      </c>
      <c r="L8" s="13">
        <f t="shared" si="11"/>
        <v>0</v>
      </c>
      <c r="M8" s="11">
        <f t="shared" ref="M8" si="20">D8+H8+J8</f>
        <v>0</v>
      </c>
      <c r="N8" s="21">
        <f t="shared" ref="N8" si="21">IFERROR(L8/M8,0)</f>
        <v>0</v>
      </c>
      <c r="O8" s="9">
        <f t="shared" si="3"/>
        <v>0</v>
      </c>
      <c r="P8" s="13">
        <f t="shared" ref="P8" si="22">O8</f>
        <v>0</v>
      </c>
      <c r="Q8" s="125">
        <v>0</v>
      </c>
      <c r="R8" s="156">
        <v>0</v>
      </c>
      <c r="S8" s="14">
        <f t="shared" ref="S8:S9" si="23">IFERROR(P8/Q8,0)</f>
        <v>0</v>
      </c>
      <c r="T8" s="125">
        <v>0</v>
      </c>
      <c r="U8" s="10">
        <f t="shared" si="5"/>
        <v>0</v>
      </c>
      <c r="V8" s="13">
        <f t="shared" ref="V8" si="24">P8+U8</f>
        <v>0</v>
      </c>
      <c r="W8" s="11">
        <f t="shared" ref="W8" si="25">Q8+T8</f>
        <v>0</v>
      </c>
      <c r="X8" s="160">
        <f t="shared" si="6"/>
        <v>0</v>
      </c>
      <c r="Y8" s="12">
        <f t="shared" ref="Y8:Y9" si="26">IFERROR(V8/W8,0)</f>
        <v>0</v>
      </c>
      <c r="Z8" s="66">
        <f t="shared" ref="Z8:Z9" si="27">V8+L8</f>
        <v>0</v>
      </c>
      <c r="AA8" s="67">
        <f t="shared" ref="AA8:AA9" si="28">W8+M8</f>
        <v>0</v>
      </c>
      <c r="AB8" s="68">
        <f t="shared" ref="AB8" si="29">IFERROR(Z8/AA8,0)</f>
        <v>0</v>
      </c>
    </row>
    <row r="9" spans="1:33" x14ac:dyDescent="0.25">
      <c r="A9" s="8" t="s">
        <v>37</v>
      </c>
      <c r="B9" s="143">
        <v>0</v>
      </c>
      <c r="C9" s="122">
        <v>0</v>
      </c>
      <c r="D9" s="125">
        <v>0</v>
      </c>
      <c r="E9" s="12">
        <f>IFERROR(#REF!/D9,0)</f>
        <v>0</v>
      </c>
      <c r="F9" s="13">
        <f t="shared" si="0"/>
        <v>0</v>
      </c>
      <c r="G9" s="13">
        <f>F9</f>
        <v>0</v>
      </c>
      <c r="H9" s="124">
        <v>0</v>
      </c>
      <c r="I9" s="14">
        <f t="shared" si="19"/>
        <v>0</v>
      </c>
      <c r="J9" s="124">
        <v>0</v>
      </c>
      <c r="K9" s="10">
        <f t="shared" si="2"/>
        <v>0</v>
      </c>
      <c r="L9" s="13">
        <f t="shared" si="11"/>
        <v>0</v>
      </c>
      <c r="M9" s="11">
        <f>D9+H9+J9</f>
        <v>0</v>
      </c>
      <c r="N9" s="15">
        <f>IFERROR(L9/M9,0)</f>
        <v>0</v>
      </c>
      <c r="O9" s="9">
        <f t="shared" si="3"/>
        <v>0</v>
      </c>
      <c r="P9" s="13">
        <f>O9</f>
        <v>0</v>
      </c>
      <c r="Q9" s="124">
        <v>0</v>
      </c>
      <c r="R9" s="156">
        <v>0</v>
      </c>
      <c r="S9" s="14">
        <f t="shared" si="23"/>
        <v>0</v>
      </c>
      <c r="T9" s="124">
        <v>0</v>
      </c>
      <c r="U9" s="10">
        <f t="shared" si="5"/>
        <v>0</v>
      </c>
      <c r="V9" s="13">
        <f>P9+U9</f>
        <v>0</v>
      </c>
      <c r="W9" s="11">
        <f>Q9+T9</f>
        <v>0</v>
      </c>
      <c r="X9" s="160">
        <f t="shared" si="6"/>
        <v>0</v>
      </c>
      <c r="Y9" s="12">
        <f t="shared" si="26"/>
        <v>0</v>
      </c>
      <c r="Z9" s="63">
        <f t="shared" si="27"/>
        <v>0</v>
      </c>
      <c r="AA9" s="133">
        <f t="shared" si="28"/>
        <v>0</v>
      </c>
      <c r="AB9" s="65">
        <f>IFERROR(Z9/AA9,0)</f>
        <v>0</v>
      </c>
    </row>
    <row r="10" spans="1:33" x14ac:dyDescent="0.25">
      <c r="A10" s="8">
        <v>45231</v>
      </c>
      <c r="B10" s="143">
        <v>37</v>
      </c>
      <c r="C10" s="122">
        <v>469</v>
      </c>
      <c r="D10" s="125">
        <v>0</v>
      </c>
      <c r="E10" s="18">
        <f>IFERROR(#REF!/D10,0)</f>
        <v>0</v>
      </c>
      <c r="F10" s="13">
        <f t="shared" si="0"/>
        <v>501.83000000000004</v>
      </c>
      <c r="G10" s="13">
        <f t="shared" ref="G10:G11" si="30">F10</f>
        <v>501.83000000000004</v>
      </c>
      <c r="H10" s="125">
        <v>30.33</v>
      </c>
      <c r="I10" s="14">
        <f t="shared" ref="I10:I11" si="31">IFERROR((G10)/H10,0)</f>
        <v>16.545664358720742</v>
      </c>
      <c r="J10" s="125">
        <v>0</v>
      </c>
      <c r="K10" s="10">
        <f t="shared" si="2"/>
        <v>0</v>
      </c>
      <c r="L10" s="13">
        <f t="shared" si="11"/>
        <v>501.83000000000004</v>
      </c>
      <c r="M10" s="11">
        <f t="shared" ref="M10:M11" si="32">D10+H10+J10</f>
        <v>30.33</v>
      </c>
      <c r="N10" s="21">
        <f t="shared" ref="N10:N11" si="33">IFERROR(L10/M10,0)</f>
        <v>16.545664358720742</v>
      </c>
      <c r="O10" s="9">
        <f t="shared" si="3"/>
        <v>254.92999999999998</v>
      </c>
      <c r="P10" s="13">
        <f t="shared" ref="P10:P11" si="34">O10</f>
        <v>254.92999999999998</v>
      </c>
      <c r="Q10" s="125">
        <v>1.57</v>
      </c>
      <c r="R10" s="156">
        <v>0</v>
      </c>
      <c r="S10" s="14">
        <f t="shared" ref="S10:S11" si="35">IFERROR(P10/Q10,0)</f>
        <v>162.37579617834393</v>
      </c>
      <c r="T10" s="125">
        <v>1.65</v>
      </c>
      <c r="U10" s="10">
        <f t="shared" si="5"/>
        <v>53.625</v>
      </c>
      <c r="V10" s="13">
        <f t="shared" ref="V10:V11" si="36">P10+U10</f>
        <v>308.55499999999995</v>
      </c>
      <c r="W10" s="11">
        <f t="shared" ref="W10:W11" si="37">Q10+T10</f>
        <v>3.2199999999999998</v>
      </c>
      <c r="X10" s="160">
        <f t="shared" si="6"/>
        <v>11.490683229813666</v>
      </c>
      <c r="Y10" s="12">
        <f t="shared" ref="Y10:Y11" si="38">IFERROR(V10/W10,0)</f>
        <v>95.824534161490675</v>
      </c>
      <c r="Z10" s="66">
        <f t="shared" ref="Z10:Z11" si="39">V10+L10</f>
        <v>810.38499999999999</v>
      </c>
      <c r="AA10" s="67">
        <f t="shared" ref="AA10:AA11" si="40">W10+M10</f>
        <v>33.549999999999997</v>
      </c>
      <c r="AB10" s="68">
        <f t="shared" ref="AB10:AB11" si="41">IFERROR(Z10/AA10,0)</f>
        <v>24.154545454545456</v>
      </c>
    </row>
    <row r="11" spans="1:33" x14ac:dyDescent="0.25">
      <c r="A11" s="8">
        <v>45232</v>
      </c>
      <c r="B11" s="143">
        <v>14</v>
      </c>
      <c r="C11" s="122">
        <v>136</v>
      </c>
      <c r="D11" s="125">
        <v>0</v>
      </c>
      <c r="E11" s="18">
        <f>IFERROR(#REF!/D11,0)</f>
        <v>0</v>
      </c>
      <c r="F11" s="13">
        <f t="shared" si="0"/>
        <v>145.52000000000001</v>
      </c>
      <c r="G11" s="13">
        <f t="shared" si="30"/>
        <v>145.52000000000001</v>
      </c>
      <c r="H11" s="125">
        <v>8.1999999999999993</v>
      </c>
      <c r="I11" s="14">
        <f t="shared" si="31"/>
        <v>17.746341463414637</v>
      </c>
      <c r="J11" s="125">
        <v>0</v>
      </c>
      <c r="K11" s="10">
        <f t="shared" si="2"/>
        <v>0</v>
      </c>
      <c r="L11" s="13">
        <f t="shared" si="11"/>
        <v>145.52000000000001</v>
      </c>
      <c r="M11" s="11">
        <f t="shared" si="32"/>
        <v>8.1999999999999993</v>
      </c>
      <c r="N11" s="21">
        <f t="shared" si="33"/>
        <v>17.746341463414637</v>
      </c>
      <c r="O11" s="9">
        <f t="shared" si="3"/>
        <v>96.46</v>
      </c>
      <c r="P11" s="13">
        <f t="shared" si="34"/>
        <v>96.46</v>
      </c>
      <c r="Q11" s="125">
        <v>1.9</v>
      </c>
      <c r="R11" s="156">
        <v>0</v>
      </c>
      <c r="S11" s="14">
        <f t="shared" si="35"/>
        <v>50.768421052631581</v>
      </c>
      <c r="T11" s="125">
        <v>0.17</v>
      </c>
      <c r="U11" s="10">
        <f t="shared" si="5"/>
        <v>5.5250000000000004</v>
      </c>
      <c r="V11" s="13">
        <f t="shared" si="36"/>
        <v>101.985</v>
      </c>
      <c r="W11" s="11">
        <f t="shared" si="37"/>
        <v>2.0699999999999998</v>
      </c>
      <c r="X11" s="160">
        <f t="shared" si="6"/>
        <v>6.7632850241545901</v>
      </c>
      <c r="Y11" s="12">
        <f t="shared" si="38"/>
        <v>49.268115942028992</v>
      </c>
      <c r="Z11" s="66">
        <f t="shared" si="39"/>
        <v>247.505</v>
      </c>
      <c r="AA11" s="67">
        <f t="shared" si="40"/>
        <v>10.27</v>
      </c>
      <c r="AB11" s="68">
        <f t="shared" si="41"/>
        <v>24.099805258033108</v>
      </c>
    </row>
    <row r="12" spans="1:33" x14ac:dyDescent="0.25">
      <c r="A12" s="8">
        <v>45233</v>
      </c>
      <c r="B12" s="144">
        <v>9</v>
      </c>
      <c r="C12" s="123">
        <v>112</v>
      </c>
      <c r="D12" s="125">
        <v>0</v>
      </c>
      <c r="E12" s="18">
        <f>IFERROR(#REF!/D12,0)</f>
        <v>0</v>
      </c>
      <c r="F12" s="13">
        <f t="shared" si="0"/>
        <v>119.84</v>
      </c>
      <c r="G12" s="13">
        <f>F12</f>
        <v>119.84</v>
      </c>
      <c r="H12" s="125">
        <v>6.27</v>
      </c>
      <c r="I12" s="14">
        <f t="shared" ref="I12:I37" si="42">IFERROR((G12)/H12,0)</f>
        <v>19.113237639553432</v>
      </c>
      <c r="J12" s="125">
        <v>0</v>
      </c>
      <c r="K12" s="10">
        <f t="shared" si="2"/>
        <v>0</v>
      </c>
      <c r="L12" s="13">
        <f t="shared" si="11"/>
        <v>119.84</v>
      </c>
      <c r="M12" s="11">
        <f>D12+H12+J12</f>
        <v>6.27</v>
      </c>
      <c r="N12" s="21">
        <f t="shared" ref="N12:N37" si="43">IFERROR(L12/M12,0)</f>
        <v>19.113237639553432</v>
      </c>
      <c r="O12" s="9">
        <f t="shared" si="3"/>
        <v>62.01</v>
      </c>
      <c r="P12" s="13">
        <f>O12</f>
        <v>62.01</v>
      </c>
      <c r="Q12" s="125">
        <v>0.9</v>
      </c>
      <c r="R12" s="156">
        <v>0</v>
      </c>
      <c r="S12" s="14">
        <f t="shared" ref="S12:S37" si="44">IFERROR(P12/Q12,0)</f>
        <v>68.899999999999991</v>
      </c>
      <c r="T12" s="125">
        <v>0</v>
      </c>
      <c r="U12" s="10">
        <f t="shared" si="5"/>
        <v>0</v>
      </c>
      <c r="V12" s="13">
        <f>P12+U12</f>
        <v>62.01</v>
      </c>
      <c r="W12" s="11">
        <f>Q12+T12</f>
        <v>0.9</v>
      </c>
      <c r="X12" s="160">
        <f t="shared" si="6"/>
        <v>10</v>
      </c>
      <c r="Y12" s="12">
        <f t="shared" ref="Y12:Y13" si="45">IFERROR(V12/W12,0)</f>
        <v>68.899999999999991</v>
      </c>
      <c r="Z12" s="66">
        <f t="shared" ref="Z12:AA12" si="46">V12+L12</f>
        <v>181.85</v>
      </c>
      <c r="AA12" s="67">
        <f t="shared" si="46"/>
        <v>7.17</v>
      </c>
      <c r="AB12" s="68">
        <f t="shared" ref="AB12:AB37" si="47">IFERROR(Z12/AA12,0)</f>
        <v>25.362622036262202</v>
      </c>
    </row>
    <row r="13" spans="1:33" x14ac:dyDescent="0.25">
      <c r="A13" s="95" t="s">
        <v>13</v>
      </c>
      <c r="B13" s="23">
        <f t="shared" ref="B13:D13" si="48">SUM(B8:B12)</f>
        <v>60</v>
      </c>
      <c r="C13" s="23">
        <f t="shared" si="48"/>
        <v>717</v>
      </c>
      <c r="D13" s="26">
        <f t="shared" si="48"/>
        <v>0</v>
      </c>
      <c r="E13" s="27">
        <f>IFERROR(#REF!/D13,0)</f>
        <v>0</v>
      </c>
      <c r="F13" s="28">
        <f>SUM(F8:F12)</f>
        <v>767.19</v>
      </c>
      <c r="G13" s="25">
        <f>SUM(G8:G12)</f>
        <v>767.19</v>
      </c>
      <c r="H13" s="26">
        <f>SUM(H8:H12)</f>
        <v>44.8</v>
      </c>
      <c r="I13" s="29">
        <f t="shared" si="42"/>
        <v>17.124776785714289</v>
      </c>
      <c r="J13" s="26">
        <f>SUM(J8:J12)</f>
        <v>0</v>
      </c>
      <c r="K13" s="25">
        <f>SUM(K8:K12)</f>
        <v>0</v>
      </c>
      <c r="L13" s="28">
        <f>SUM(L8:L12)</f>
        <v>767.19</v>
      </c>
      <c r="M13" s="30">
        <f>SUM(M8:M12)</f>
        <v>44.8</v>
      </c>
      <c r="N13" s="31">
        <f>IFERROR(L13/M13,0)</f>
        <v>17.124776785714289</v>
      </c>
      <c r="O13" s="24">
        <f>SUM(O8:O12)</f>
        <v>413.4</v>
      </c>
      <c r="P13" s="28">
        <f>SUM(P8:P12)</f>
        <v>413.4</v>
      </c>
      <c r="Q13" s="26">
        <f>SUM(Q8:Q12)</f>
        <v>4.37</v>
      </c>
      <c r="R13" s="26">
        <f>SUM(R8:R12)</f>
        <v>0</v>
      </c>
      <c r="S13" s="29">
        <f>IFERROR(P13/Q13,0)</f>
        <v>94.5995423340961</v>
      </c>
      <c r="T13" s="26">
        <f>SUM(T8:T12)</f>
        <v>1.8199999999999998</v>
      </c>
      <c r="U13" s="25">
        <f>SUM(U8:U12)</f>
        <v>59.15</v>
      </c>
      <c r="V13" s="28">
        <f>SUM(V8:V12)</f>
        <v>472.54999999999995</v>
      </c>
      <c r="W13" s="30">
        <f>SUM(W8:W12)</f>
        <v>6.1899999999999995</v>
      </c>
      <c r="X13" s="163">
        <f t="shared" si="6"/>
        <v>9.6930533117932161</v>
      </c>
      <c r="Y13" s="27">
        <f t="shared" si="45"/>
        <v>76.340872374798053</v>
      </c>
      <c r="Z13" s="142">
        <f>SUM(Z8:Z12)</f>
        <v>1239.7399999999998</v>
      </c>
      <c r="AA13" s="70">
        <f>SUM(AA8:AA12)</f>
        <v>50.989999999999995</v>
      </c>
      <c r="AB13" s="71">
        <f t="shared" si="47"/>
        <v>24.313394783290839</v>
      </c>
    </row>
    <row r="14" spans="1:33" x14ac:dyDescent="0.25">
      <c r="A14" s="8">
        <v>45236</v>
      </c>
      <c r="B14" s="143">
        <v>6</v>
      </c>
      <c r="C14" s="122">
        <v>26</v>
      </c>
      <c r="D14" s="124">
        <v>9.3800000000000008</v>
      </c>
      <c r="E14" s="18">
        <f>IFERROR(#REF!/D14,0)</f>
        <v>0</v>
      </c>
      <c r="F14" s="13">
        <f>C14*E$3</f>
        <v>27.82</v>
      </c>
      <c r="G14" s="13">
        <f>F14</f>
        <v>27.82</v>
      </c>
      <c r="H14" s="124">
        <v>2.94</v>
      </c>
      <c r="I14" s="14">
        <f t="shared" si="42"/>
        <v>9.4625850340136051</v>
      </c>
      <c r="J14" s="124">
        <v>0.13</v>
      </c>
      <c r="K14" s="10">
        <f>J14*Q$3</f>
        <v>4.2250000000000005</v>
      </c>
      <c r="L14" s="13">
        <f t="shared" si="11"/>
        <v>32.045000000000002</v>
      </c>
      <c r="M14" s="11">
        <f>D14+H14+J14</f>
        <v>12.450000000000001</v>
      </c>
      <c r="N14" s="21">
        <f t="shared" si="43"/>
        <v>2.573895582329317</v>
      </c>
      <c r="O14" s="9">
        <f>B14*D$3</f>
        <v>41.339999999999996</v>
      </c>
      <c r="P14" s="13">
        <f>O14</f>
        <v>41.339999999999996</v>
      </c>
      <c r="Q14" s="124">
        <v>2.58</v>
      </c>
      <c r="R14" s="156">
        <v>0</v>
      </c>
      <c r="S14" s="14">
        <f t="shared" si="44"/>
        <v>16.023255813953487</v>
      </c>
      <c r="T14" s="124">
        <v>0.25</v>
      </c>
      <c r="U14" s="10">
        <f>T14*Z$3</f>
        <v>8.125</v>
      </c>
      <c r="V14" s="13">
        <f>P14+U14</f>
        <v>49.464999999999996</v>
      </c>
      <c r="W14" s="11">
        <f>Q14+T14</f>
        <v>2.83</v>
      </c>
      <c r="X14" s="160">
        <f t="shared" si="6"/>
        <v>2.1201413427561837</v>
      </c>
      <c r="Y14" s="18">
        <f t="shared" ref="Y14:Y37" si="49">IFERROR(V14/W14,0)</f>
        <v>17.478798586572438</v>
      </c>
      <c r="Z14" s="141">
        <f t="shared" ref="Z14:AA17" si="50">V14+L14</f>
        <v>81.509999999999991</v>
      </c>
      <c r="AA14" s="67">
        <f t="shared" si="50"/>
        <v>15.280000000000001</v>
      </c>
      <c r="AB14" s="68">
        <f t="shared" si="47"/>
        <v>5.3344240837696324</v>
      </c>
    </row>
    <row r="15" spans="1:33" x14ac:dyDescent="0.25">
      <c r="A15" s="8">
        <v>45237</v>
      </c>
      <c r="B15" s="144">
        <v>0</v>
      </c>
      <c r="C15" s="123">
        <v>0</v>
      </c>
      <c r="D15" s="125">
        <v>0</v>
      </c>
      <c r="E15" s="18">
        <f>IFERROR(#REF!/D15,0)</f>
        <v>0</v>
      </c>
      <c r="F15" s="13">
        <f>C15*E$3</f>
        <v>0</v>
      </c>
      <c r="G15" s="13">
        <f>F15</f>
        <v>0</v>
      </c>
      <c r="H15" s="125">
        <v>0</v>
      </c>
      <c r="I15" s="14">
        <f t="shared" si="42"/>
        <v>0</v>
      </c>
      <c r="J15" s="125">
        <v>0</v>
      </c>
      <c r="K15" s="10">
        <f>J15*Q$3</f>
        <v>0</v>
      </c>
      <c r="L15" s="13">
        <f t="shared" si="11"/>
        <v>0</v>
      </c>
      <c r="M15" s="11">
        <f>D15+H15+J15</f>
        <v>0</v>
      </c>
      <c r="N15" s="21">
        <f t="shared" si="43"/>
        <v>0</v>
      </c>
      <c r="O15" s="9">
        <f>B15*D$3</f>
        <v>0</v>
      </c>
      <c r="P15" s="13">
        <f>O15</f>
        <v>0</v>
      </c>
      <c r="Q15" s="125">
        <v>0.68</v>
      </c>
      <c r="R15" s="156">
        <v>0</v>
      </c>
      <c r="S15" s="14">
        <f t="shared" si="44"/>
        <v>0</v>
      </c>
      <c r="T15" s="125">
        <v>0</v>
      </c>
      <c r="U15" s="10">
        <f>T15*Z$3</f>
        <v>0</v>
      </c>
      <c r="V15" s="13">
        <f>P15+U15</f>
        <v>0</v>
      </c>
      <c r="W15" s="11">
        <f>Q15+T15</f>
        <v>0.68</v>
      </c>
      <c r="X15" s="160">
        <f t="shared" si="6"/>
        <v>0</v>
      </c>
      <c r="Y15" s="18">
        <f>IFERROR(V15/W15,0)</f>
        <v>0</v>
      </c>
      <c r="Z15" s="141">
        <f t="shared" si="50"/>
        <v>0</v>
      </c>
      <c r="AA15" s="67">
        <f t="shared" si="50"/>
        <v>0.68</v>
      </c>
      <c r="AB15" s="68">
        <f t="shared" si="47"/>
        <v>0</v>
      </c>
    </row>
    <row r="16" spans="1:33" x14ac:dyDescent="0.25">
      <c r="A16" s="8">
        <v>45238</v>
      </c>
      <c r="B16" s="144">
        <v>53</v>
      </c>
      <c r="C16" s="123">
        <v>493</v>
      </c>
      <c r="D16" s="125">
        <v>3.25</v>
      </c>
      <c r="E16" s="18">
        <f>IFERROR(#REF!/D16,0)</f>
        <v>0</v>
      </c>
      <c r="F16" s="13">
        <f>C16*E$3</f>
        <v>527.51</v>
      </c>
      <c r="G16" s="13">
        <f>F16</f>
        <v>527.51</v>
      </c>
      <c r="H16" s="125">
        <v>22.830000000000002</v>
      </c>
      <c r="I16" s="14">
        <f>IFERROR((G16)/H16,0)</f>
        <v>23.106000876040294</v>
      </c>
      <c r="J16" s="125">
        <v>0</v>
      </c>
      <c r="K16" s="10">
        <f>J16*Q$3</f>
        <v>0</v>
      </c>
      <c r="L16" s="13">
        <f t="shared" si="11"/>
        <v>527.51</v>
      </c>
      <c r="M16" s="11">
        <f>D16+H16+J16</f>
        <v>26.080000000000002</v>
      </c>
      <c r="N16" s="21">
        <f t="shared" si="43"/>
        <v>20.226610429447852</v>
      </c>
      <c r="O16" s="9">
        <f>B16*D$3</f>
        <v>365.16999999999996</v>
      </c>
      <c r="P16" s="13">
        <f>O16</f>
        <v>365.16999999999996</v>
      </c>
      <c r="Q16" s="125">
        <v>2.4300000000000002</v>
      </c>
      <c r="R16" s="156">
        <v>0.57999999999999996</v>
      </c>
      <c r="S16" s="14">
        <f t="shared" si="44"/>
        <v>150.27572016460903</v>
      </c>
      <c r="T16" s="125">
        <v>1.33</v>
      </c>
      <c r="U16" s="10">
        <f>T16*Z$3</f>
        <v>43.225000000000001</v>
      </c>
      <c r="V16" s="13">
        <f>P16+U16</f>
        <v>408.39499999999998</v>
      </c>
      <c r="W16" s="11">
        <f>Q16+T16</f>
        <v>3.7600000000000002</v>
      </c>
      <c r="X16" s="160">
        <f t="shared" si="6"/>
        <v>14.095744680851062</v>
      </c>
      <c r="Y16" s="18">
        <f>IFERROR(V16/W16,0)</f>
        <v>108.61569148936169</v>
      </c>
      <c r="Z16" s="141">
        <f t="shared" si="50"/>
        <v>935.90499999999997</v>
      </c>
      <c r="AA16" s="67">
        <f t="shared" si="50"/>
        <v>29.840000000000003</v>
      </c>
      <c r="AB16" s="68">
        <f>IFERROR(Z16/AA16,0)</f>
        <v>31.364108579088466</v>
      </c>
    </row>
    <row r="17" spans="1:28" x14ac:dyDescent="0.25">
      <c r="A17" s="8">
        <v>45239</v>
      </c>
      <c r="B17" s="144">
        <v>13</v>
      </c>
      <c r="C17" s="123">
        <v>149</v>
      </c>
      <c r="D17" s="125">
        <v>0</v>
      </c>
      <c r="E17" s="18">
        <f>IFERROR(#REF!/D17,0)</f>
        <v>0</v>
      </c>
      <c r="F17" s="13">
        <f>C17*E$3</f>
        <v>159.43</v>
      </c>
      <c r="G17" s="13">
        <f>F17</f>
        <v>159.43</v>
      </c>
      <c r="H17" s="125">
        <v>5.36</v>
      </c>
      <c r="I17" s="14">
        <f t="shared" si="42"/>
        <v>29.744402985074625</v>
      </c>
      <c r="J17" s="125">
        <v>0</v>
      </c>
      <c r="K17" s="10">
        <f>J17*Q$3</f>
        <v>0</v>
      </c>
      <c r="L17" s="13">
        <f t="shared" si="11"/>
        <v>159.43</v>
      </c>
      <c r="M17" s="11">
        <f>D17+H17+J17</f>
        <v>5.36</v>
      </c>
      <c r="N17" s="21">
        <f t="shared" si="43"/>
        <v>29.744402985074625</v>
      </c>
      <c r="O17" s="9">
        <f>B17*D$3</f>
        <v>89.57</v>
      </c>
      <c r="P17" s="13">
        <f>O17</f>
        <v>89.57</v>
      </c>
      <c r="Q17" s="125">
        <v>1.47</v>
      </c>
      <c r="R17" s="156">
        <v>0</v>
      </c>
      <c r="S17" s="14">
        <f t="shared" si="44"/>
        <v>60.93197278911564</v>
      </c>
      <c r="T17" s="125">
        <v>0.65</v>
      </c>
      <c r="U17" s="10">
        <f>T17*Z$3</f>
        <v>21.125</v>
      </c>
      <c r="V17" s="13">
        <f>P17+U17</f>
        <v>110.69499999999999</v>
      </c>
      <c r="W17" s="11">
        <f>Q17+T17</f>
        <v>2.12</v>
      </c>
      <c r="X17" s="160">
        <f t="shared" si="6"/>
        <v>6.132075471698113</v>
      </c>
      <c r="Y17" s="18">
        <f t="shared" si="49"/>
        <v>52.214622641509429</v>
      </c>
      <c r="Z17" s="141">
        <f t="shared" si="50"/>
        <v>270.125</v>
      </c>
      <c r="AA17" s="67">
        <f t="shared" si="50"/>
        <v>7.48</v>
      </c>
      <c r="AB17" s="68">
        <f t="shared" si="47"/>
        <v>36.112967914438499</v>
      </c>
    </row>
    <row r="18" spans="1:28" s="195" customFormat="1" x14ac:dyDescent="0.25">
      <c r="A18" s="189">
        <v>45240</v>
      </c>
      <c r="B18" s="190"/>
      <c r="C18" s="191"/>
      <c r="D18" s="196"/>
      <c r="E18" s="18">
        <f>IFERROR(#REF!/D18,0)</f>
        <v>0</v>
      </c>
      <c r="F18" s="13">
        <f>C18*E$3</f>
        <v>0</v>
      </c>
      <c r="G18" s="13">
        <f>F18</f>
        <v>0</v>
      </c>
      <c r="H18" s="196"/>
      <c r="I18" s="14">
        <f t="shared" si="42"/>
        <v>0</v>
      </c>
      <c r="J18" s="196"/>
      <c r="K18" s="10">
        <f>J18*Q$3</f>
        <v>0</v>
      </c>
      <c r="L18" s="13">
        <f t="shared" ref="L18" si="51">G18+K18</f>
        <v>0</v>
      </c>
      <c r="M18" s="11">
        <f>D18+H18+J18</f>
        <v>0</v>
      </c>
      <c r="N18" s="21">
        <f t="shared" ref="N18" si="52">IFERROR(L18/M18,0)</f>
        <v>0</v>
      </c>
      <c r="O18" s="9">
        <f>B18*D$3</f>
        <v>0</v>
      </c>
      <c r="P18" s="13">
        <f>O18</f>
        <v>0</v>
      </c>
      <c r="Q18" s="196"/>
      <c r="R18" s="194"/>
      <c r="S18" s="14">
        <f t="shared" si="44"/>
        <v>0</v>
      </c>
      <c r="T18" s="196"/>
      <c r="U18" s="10">
        <f>T18*Z$3</f>
        <v>0</v>
      </c>
      <c r="V18" s="13">
        <f>P18+U18</f>
        <v>0</v>
      </c>
      <c r="W18" s="11">
        <f>Q18+T18</f>
        <v>0</v>
      </c>
      <c r="X18" s="160">
        <f t="shared" ref="X18" si="53">IFERROR(B18/W18,0)</f>
        <v>0</v>
      </c>
      <c r="Y18" s="18">
        <f t="shared" ref="Y18" si="54">IFERROR(V18/W18,0)</f>
        <v>0</v>
      </c>
      <c r="Z18" s="141">
        <f t="shared" ref="Z18" si="55">V18+L18</f>
        <v>0</v>
      </c>
      <c r="AA18" s="67">
        <f t="shared" ref="AA18" si="56">W18+M18</f>
        <v>0</v>
      </c>
      <c r="AB18" s="68">
        <f t="shared" ref="AB18" si="57">IFERROR(Z18/AA18,0)</f>
        <v>0</v>
      </c>
    </row>
    <row r="19" spans="1:28" x14ac:dyDescent="0.25">
      <c r="A19" s="95" t="s">
        <v>13</v>
      </c>
      <c r="B19" s="23">
        <f t="shared" ref="B19:D19" si="58">SUM(B14:B18)</f>
        <v>72</v>
      </c>
      <c r="C19" s="23">
        <f t="shared" si="58"/>
        <v>668</v>
      </c>
      <c r="D19" s="26">
        <f t="shared" si="58"/>
        <v>12.63</v>
      </c>
      <c r="E19" s="27">
        <f>IFERROR(#REF!/D19,0)</f>
        <v>0</v>
      </c>
      <c r="F19" s="28">
        <f>SUM(F14:F18)</f>
        <v>714.76</v>
      </c>
      <c r="G19" s="25">
        <f>SUM(G14:G18)</f>
        <v>714.76</v>
      </c>
      <c r="H19" s="26">
        <f>SUM(H14:H18)</f>
        <v>31.130000000000003</v>
      </c>
      <c r="I19" s="29">
        <f t="shared" si="42"/>
        <v>22.960488274975905</v>
      </c>
      <c r="J19" s="26">
        <f>SUM(J14:J18)</f>
        <v>0.13</v>
      </c>
      <c r="K19" s="25">
        <f>SUM(K14:K18)</f>
        <v>4.2250000000000005</v>
      </c>
      <c r="L19" s="28">
        <f>SUM(L14:L18)</f>
        <v>718.9849999999999</v>
      </c>
      <c r="M19" s="30">
        <f>SUM(M14:M18)</f>
        <v>43.89</v>
      </c>
      <c r="N19" s="31">
        <f t="shared" si="43"/>
        <v>16.381521986785142</v>
      </c>
      <c r="O19" s="24">
        <f>SUM(O14:O18)</f>
        <v>496.07999999999993</v>
      </c>
      <c r="P19" s="28">
        <f>SUM(P14:P18)</f>
        <v>496.07999999999993</v>
      </c>
      <c r="Q19" s="26">
        <f>SUM(Q14:Q18)</f>
        <v>7.16</v>
      </c>
      <c r="R19" s="26">
        <f>SUM(R14:R18)</f>
        <v>0.57999999999999996</v>
      </c>
      <c r="S19" s="29">
        <f t="shared" si="44"/>
        <v>69.284916201117312</v>
      </c>
      <c r="T19" s="26">
        <f>SUM(T14:T18)</f>
        <v>2.23</v>
      </c>
      <c r="U19" s="25">
        <f>SUM(U14:U18)</f>
        <v>72.474999999999994</v>
      </c>
      <c r="V19" s="28">
        <f>SUM(V14:V18)</f>
        <v>568.55499999999995</v>
      </c>
      <c r="W19" s="30">
        <f>SUM(W14:W18)</f>
        <v>9.39</v>
      </c>
      <c r="X19" s="163">
        <f t="shared" si="6"/>
        <v>7.6677316293929705</v>
      </c>
      <c r="Y19" s="27">
        <f>IFERROR(V19/W19,0)</f>
        <v>60.548988285410005</v>
      </c>
      <c r="Z19" s="69">
        <f>SUM(Z14:Z18)</f>
        <v>1287.54</v>
      </c>
      <c r="AA19" s="70">
        <f>SUM(AA14:AA18)</f>
        <v>53.28</v>
      </c>
      <c r="AB19" s="71">
        <f t="shared" si="47"/>
        <v>24.16554054054054</v>
      </c>
    </row>
    <row r="20" spans="1:28" x14ac:dyDescent="0.25">
      <c r="A20" s="8">
        <v>45243</v>
      </c>
      <c r="B20" s="143"/>
      <c r="C20" s="122"/>
      <c r="D20" s="124"/>
      <c r="E20" s="18">
        <f>IFERROR(#REF!/D20,0)</f>
        <v>0</v>
      </c>
      <c r="F20" s="13">
        <f>C20*E$3</f>
        <v>0</v>
      </c>
      <c r="G20" s="13">
        <f>F20</f>
        <v>0</v>
      </c>
      <c r="H20" s="124"/>
      <c r="I20" s="14">
        <f t="shared" si="42"/>
        <v>0</v>
      </c>
      <c r="J20" s="124"/>
      <c r="K20" s="10">
        <f>J20*Q$3</f>
        <v>0</v>
      </c>
      <c r="L20" s="13">
        <f t="shared" si="11"/>
        <v>0</v>
      </c>
      <c r="M20" s="11">
        <f>D20+H20+J20</f>
        <v>0</v>
      </c>
      <c r="N20" s="21">
        <f t="shared" si="43"/>
        <v>0</v>
      </c>
      <c r="O20" s="9">
        <f>B20*D$3</f>
        <v>0</v>
      </c>
      <c r="P20" s="13">
        <f>O20</f>
        <v>0</v>
      </c>
      <c r="Q20" s="124"/>
      <c r="R20" s="156"/>
      <c r="S20" s="14">
        <f t="shared" si="44"/>
        <v>0</v>
      </c>
      <c r="T20" s="124"/>
      <c r="U20" s="10">
        <f>T20*Z$3</f>
        <v>0</v>
      </c>
      <c r="V20" s="13">
        <f>P20+U20</f>
        <v>0</v>
      </c>
      <c r="W20" s="11">
        <f>Q20+T20</f>
        <v>0</v>
      </c>
      <c r="X20" s="160">
        <f t="shared" si="6"/>
        <v>0</v>
      </c>
      <c r="Y20" s="18">
        <f t="shared" si="49"/>
        <v>0</v>
      </c>
      <c r="Z20" s="141">
        <f t="shared" ref="Z20:AA24" si="59">V20+L20</f>
        <v>0</v>
      </c>
      <c r="AA20" s="67">
        <f t="shared" si="59"/>
        <v>0</v>
      </c>
      <c r="AB20" s="68">
        <f t="shared" si="47"/>
        <v>0</v>
      </c>
    </row>
    <row r="21" spans="1:28" x14ac:dyDescent="0.25">
      <c r="A21" s="8">
        <v>45244</v>
      </c>
      <c r="B21" s="144"/>
      <c r="C21" s="123"/>
      <c r="D21" s="125"/>
      <c r="E21" s="18">
        <f>IFERROR(#REF!/D21,0)</f>
        <v>0</v>
      </c>
      <c r="F21" s="13">
        <f>C21*E$3</f>
        <v>0</v>
      </c>
      <c r="G21" s="13">
        <f>F21</f>
        <v>0</v>
      </c>
      <c r="H21" s="125"/>
      <c r="I21" s="14">
        <f t="shared" si="42"/>
        <v>0</v>
      </c>
      <c r="J21" s="125"/>
      <c r="K21" s="10">
        <f>J21*Q$3</f>
        <v>0</v>
      </c>
      <c r="L21" s="13">
        <f t="shared" si="11"/>
        <v>0</v>
      </c>
      <c r="M21" s="11">
        <f>D21+H21+J21</f>
        <v>0</v>
      </c>
      <c r="N21" s="21">
        <f t="shared" si="43"/>
        <v>0</v>
      </c>
      <c r="O21" s="9">
        <f>B21*D$3</f>
        <v>0</v>
      </c>
      <c r="P21" s="13">
        <f>O21</f>
        <v>0</v>
      </c>
      <c r="Q21" s="125"/>
      <c r="R21" s="156"/>
      <c r="S21" s="14">
        <f t="shared" si="44"/>
        <v>0</v>
      </c>
      <c r="T21" s="125"/>
      <c r="U21" s="10">
        <f>T21*Z$3</f>
        <v>0</v>
      </c>
      <c r="V21" s="13">
        <f>P21+U21</f>
        <v>0</v>
      </c>
      <c r="W21" s="11">
        <f>Q21+T21</f>
        <v>0</v>
      </c>
      <c r="X21" s="160">
        <f t="shared" si="6"/>
        <v>0</v>
      </c>
      <c r="Y21" s="18">
        <f t="shared" si="49"/>
        <v>0</v>
      </c>
      <c r="Z21" s="141">
        <f t="shared" si="59"/>
        <v>0</v>
      </c>
      <c r="AA21" s="67">
        <f t="shared" si="59"/>
        <v>0</v>
      </c>
      <c r="AB21" s="68">
        <f t="shared" si="47"/>
        <v>0</v>
      </c>
    </row>
    <row r="22" spans="1:28" x14ac:dyDescent="0.25">
      <c r="A22" s="8">
        <v>45245</v>
      </c>
      <c r="B22" s="144"/>
      <c r="C22" s="123"/>
      <c r="D22" s="125"/>
      <c r="E22" s="18">
        <f>IFERROR(#REF!/D22,0)</f>
        <v>0</v>
      </c>
      <c r="F22" s="13">
        <f>C22*E$3</f>
        <v>0</v>
      </c>
      <c r="G22" s="13">
        <f>F22</f>
        <v>0</v>
      </c>
      <c r="H22" s="125"/>
      <c r="I22" s="14">
        <f>IFERROR((G22)/H22,0)</f>
        <v>0</v>
      </c>
      <c r="J22" s="125"/>
      <c r="K22" s="10">
        <f>J22*Q$3</f>
        <v>0</v>
      </c>
      <c r="L22" s="13">
        <f t="shared" si="11"/>
        <v>0</v>
      </c>
      <c r="M22" s="11">
        <f>D22+H22+J22</f>
        <v>0</v>
      </c>
      <c r="N22" s="21">
        <f>IFERROR(L22/M22,0)</f>
        <v>0</v>
      </c>
      <c r="O22" s="9">
        <f>B22*D$3</f>
        <v>0</v>
      </c>
      <c r="P22" s="13">
        <f>O22</f>
        <v>0</v>
      </c>
      <c r="Q22" s="125"/>
      <c r="R22" s="156"/>
      <c r="S22" s="14">
        <f>IFERROR(P22/Q22,0)</f>
        <v>0</v>
      </c>
      <c r="T22" s="125"/>
      <c r="U22" s="10">
        <f>T22*Z$3</f>
        <v>0</v>
      </c>
      <c r="V22" s="13">
        <f>P22+U22</f>
        <v>0</v>
      </c>
      <c r="W22" s="11">
        <f>Q22+T22</f>
        <v>0</v>
      </c>
      <c r="X22" s="160">
        <f t="shared" si="6"/>
        <v>0</v>
      </c>
      <c r="Y22" s="18">
        <f>IFERROR(V22/W22,0)</f>
        <v>0</v>
      </c>
      <c r="Z22" s="141">
        <f t="shared" si="59"/>
        <v>0</v>
      </c>
      <c r="AA22" s="67">
        <f t="shared" si="59"/>
        <v>0</v>
      </c>
      <c r="AB22" s="68">
        <f>IFERROR(Z22/AA22,0)</f>
        <v>0</v>
      </c>
    </row>
    <row r="23" spans="1:28" x14ac:dyDescent="0.25">
      <c r="A23" s="8">
        <v>45246</v>
      </c>
      <c r="B23" s="144"/>
      <c r="C23" s="123"/>
      <c r="D23" s="125"/>
      <c r="E23" s="18">
        <f>IFERROR(#REF!/D23,0)</f>
        <v>0</v>
      </c>
      <c r="F23" s="13">
        <f>C23*E$3</f>
        <v>0</v>
      </c>
      <c r="G23" s="13">
        <f>F23</f>
        <v>0</v>
      </c>
      <c r="H23" s="125"/>
      <c r="I23" s="14">
        <f t="shared" si="42"/>
        <v>0</v>
      </c>
      <c r="J23" s="125"/>
      <c r="K23" s="10">
        <f>J23*Q$3</f>
        <v>0</v>
      </c>
      <c r="L23" s="13">
        <f t="shared" si="11"/>
        <v>0</v>
      </c>
      <c r="M23" s="11">
        <f>D23+H23+J23</f>
        <v>0</v>
      </c>
      <c r="N23" s="21">
        <f t="shared" si="43"/>
        <v>0</v>
      </c>
      <c r="O23" s="9">
        <f>B23*D$3</f>
        <v>0</v>
      </c>
      <c r="P23" s="13">
        <f>O23</f>
        <v>0</v>
      </c>
      <c r="Q23" s="125"/>
      <c r="R23" s="156"/>
      <c r="S23" s="14">
        <f t="shared" si="44"/>
        <v>0</v>
      </c>
      <c r="T23" s="125"/>
      <c r="U23" s="10">
        <f>T23*Z$3</f>
        <v>0</v>
      </c>
      <c r="V23" s="13">
        <f>P23+U23</f>
        <v>0</v>
      </c>
      <c r="W23" s="11">
        <f>Q23+T23</f>
        <v>0</v>
      </c>
      <c r="X23" s="160">
        <f t="shared" si="6"/>
        <v>0</v>
      </c>
      <c r="Y23" s="18">
        <f t="shared" si="49"/>
        <v>0</v>
      </c>
      <c r="Z23" s="141">
        <f t="shared" si="59"/>
        <v>0</v>
      </c>
      <c r="AA23" s="67">
        <f t="shared" si="59"/>
        <v>0</v>
      </c>
      <c r="AB23" s="68">
        <f>IFERROR(Z23/AA23,0)</f>
        <v>0</v>
      </c>
    </row>
    <row r="24" spans="1:28" x14ac:dyDescent="0.25">
      <c r="A24" s="8">
        <v>45247</v>
      </c>
      <c r="B24" s="144"/>
      <c r="C24" s="123"/>
      <c r="D24" s="125"/>
      <c r="E24" s="18">
        <f>IFERROR(#REF!/D24,0)</f>
        <v>0</v>
      </c>
      <c r="F24" s="13">
        <f>C24*E$3</f>
        <v>0</v>
      </c>
      <c r="G24" s="13">
        <f>F24</f>
        <v>0</v>
      </c>
      <c r="H24" s="125"/>
      <c r="I24" s="14">
        <f t="shared" si="42"/>
        <v>0</v>
      </c>
      <c r="J24" s="125"/>
      <c r="K24" s="10">
        <f>J24*Q$3</f>
        <v>0</v>
      </c>
      <c r="L24" s="13">
        <f t="shared" si="11"/>
        <v>0</v>
      </c>
      <c r="M24" s="11">
        <f>D24+H24+J24</f>
        <v>0</v>
      </c>
      <c r="N24" s="21">
        <f t="shared" si="43"/>
        <v>0</v>
      </c>
      <c r="O24" s="9">
        <f>B24*D$3</f>
        <v>0</v>
      </c>
      <c r="P24" s="13">
        <f>O24</f>
        <v>0</v>
      </c>
      <c r="Q24" s="125"/>
      <c r="R24" s="156"/>
      <c r="S24" s="14">
        <f t="shared" si="44"/>
        <v>0</v>
      </c>
      <c r="T24" s="125"/>
      <c r="U24" s="10">
        <f>T24*Z$3</f>
        <v>0</v>
      </c>
      <c r="V24" s="13">
        <f>P24+U24</f>
        <v>0</v>
      </c>
      <c r="W24" s="11">
        <f>Q24+T24</f>
        <v>0</v>
      </c>
      <c r="X24" s="160">
        <f t="shared" si="6"/>
        <v>0</v>
      </c>
      <c r="Y24" s="18">
        <f t="shared" si="49"/>
        <v>0</v>
      </c>
      <c r="Z24" s="141">
        <f t="shared" si="59"/>
        <v>0</v>
      </c>
      <c r="AA24" s="67">
        <f t="shared" si="59"/>
        <v>0</v>
      </c>
      <c r="AB24" s="68">
        <f t="shared" si="47"/>
        <v>0</v>
      </c>
    </row>
    <row r="25" spans="1:28" x14ac:dyDescent="0.25">
      <c r="A25" s="95" t="s">
        <v>13</v>
      </c>
      <c r="B25" s="23">
        <f t="shared" ref="B25:D25" si="60">SUM(B20:B24)</f>
        <v>0</v>
      </c>
      <c r="C25" s="23">
        <f t="shared" si="60"/>
        <v>0</v>
      </c>
      <c r="D25" s="26">
        <f t="shared" si="60"/>
        <v>0</v>
      </c>
      <c r="E25" s="27">
        <f>IFERROR(#REF!/D25,0)</f>
        <v>0</v>
      </c>
      <c r="F25" s="28">
        <f>SUM(F20:F24)</f>
        <v>0</v>
      </c>
      <c r="G25" s="25">
        <f>SUM(G20:G24)</f>
        <v>0</v>
      </c>
      <c r="H25" s="26">
        <f>SUM(H20:H24)</f>
        <v>0</v>
      </c>
      <c r="I25" s="29">
        <f t="shared" si="42"/>
        <v>0</v>
      </c>
      <c r="J25" s="26">
        <f>SUM(J20:J24)</f>
        <v>0</v>
      </c>
      <c r="K25" s="25">
        <f>SUM(K20:K24)</f>
        <v>0</v>
      </c>
      <c r="L25" s="28">
        <f>SUM(L20:L24)</f>
        <v>0</v>
      </c>
      <c r="M25" s="30">
        <f>SUM(M20:M24)</f>
        <v>0</v>
      </c>
      <c r="N25" s="31">
        <f t="shared" si="43"/>
        <v>0</v>
      </c>
      <c r="O25" s="24">
        <f>SUM(O20:O24)</f>
        <v>0</v>
      </c>
      <c r="P25" s="28">
        <f>SUM(P20:P24)</f>
        <v>0</v>
      </c>
      <c r="Q25" s="26">
        <f>SUM(Q20:Q24)</f>
        <v>0</v>
      </c>
      <c r="R25" s="26">
        <f>SUM(R20:R24)</f>
        <v>0</v>
      </c>
      <c r="S25" s="29">
        <f t="shared" si="44"/>
        <v>0</v>
      </c>
      <c r="T25" s="26">
        <f>SUM(T20:T24)</f>
        <v>0</v>
      </c>
      <c r="U25" s="25">
        <f>SUM(U20:U24)</f>
        <v>0</v>
      </c>
      <c r="V25" s="28">
        <f>SUM(V20:V24)</f>
        <v>0</v>
      </c>
      <c r="W25" s="30">
        <f>SUM(W20:W24)</f>
        <v>0</v>
      </c>
      <c r="X25" s="163">
        <f t="shared" si="6"/>
        <v>0</v>
      </c>
      <c r="Y25" s="27">
        <f>IFERROR(V25/W25,0)</f>
        <v>0</v>
      </c>
      <c r="Z25" s="69">
        <f>SUM(Z20:Z24)</f>
        <v>0</v>
      </c>
      <c r="AA25" s="70">
        <f>SUM(AA20:AA24)</f>
        <v>0</v>
      </c>
      <c r="AB25" s="71">
        <f t="shared" si="47"/>
        <v>0</v>
      </c>
    </row>
    <row r="26" spans="1:28" x14ac:dyDescent="0.25">
      <c r="A26" s="8">
        <v>45250</v>
      </c>
      <c r="B26" s="143"/>
      <c r="C26" s="122"/>
      <c r="D26" s="124"/>
      <c r="E26" s="18">
        <f>IFERROR(#REF!/D26,0)</f>
        <v>0</v>
      </c>
      <c r="F26" s="13">
        <f>C26*E$3</f>
        <v>0</v>
      </c>
      <c r="G26" s="13">
        <f>F26</f>
        <v>0</v>
      </c>
      <c r="H26" s="124"/>
      <c r="I26" s="14">
        <f t="shared" si="42"/>
        <v>0</v>
      </c>
      <c r="J26" s="124"/>
      <c r="K26" s="10">
        <f>J26*Q$3</f>
        <v>0</v>
      </c>
      <c r="L26" s="13">
        <f t="shared" si="11"/>
        <v>0</v>
      </c>
      <c r="M26" s="11">
        <f>D26+H26+J26</f>
        <v>0</v>
      </c>
      <c r="N26" s="21">
        <f t="shared" si="43"/>
        <v>0</v>
      </c>
      <c r="O26" s="9">
        <f>B26*D$3</f>
        <v>0</v>
      </c>
      <c r="P26" s="13">
        <f>O26</f>
        <v>0</v>
      </c>
      <c r="Q26" s="124"/>
      <c r="R26" s="156"/>
      <c r="S26" s="14">
        <f t="shared" si="44"/>
        <v>0</v>
      </c>
      <c r="T26" s="124"/>
      <c r="U26" s="10">
        <f>T26*Z$3</f>
        <v>0</v>
      </c>
      <c r="V26" s="13">
        <f>P26+U26</f>
        <v>0</v>
      </c>
      <c r="W26" s="11">
        <f>Q26+T26</f>
        <v>0</v>
      </c>
      <c r="X26" s="160">
        <f t="shared" si="6"/>
        <v>0</v>
      </c>
      <c r="Y26" s="18">
        <f t="shared" si="49"/>
        <v>0</v>
      </c>
      <c r="Z26" s="141">
        <f t="shared" ref="Z26:AA30" si="61">V26+L26</f>
        <v>0</v>
      </c>
      <c r="AA26" s="67">
        <f t="shared" si="61"/>
        <v>0</v>
      </c>
      <c r="AB26" s="68">
        <f t="shared" si="47"/>
        <v>0</v>
      </c>
    </row>
    <row r="27" spans="1:28" x14ac:dyDescent="0.25">
      <c r="A27" s="8">
        <v>45251</v>
      </c>
      <c r="B27" s="144"/>
      <c r="C27" s="123"/>
      <c r="D27" s="125"/>
      <c r="E27" s="18">
        <f>IFERROR(#REF!/D27,0)</f>
        <v>0</v>
      </c>
      <c r="F27" s="13">
        <f>C27*E$3</f>
        <v>0</v>
      </c>
      <c r="G27" s="13">
        <f>F27</f>
        <v>0</v>
      </c>
      <c r="H27" s="125"/>
      <c r="I27" s="14">
        <f t="shared" si="42"/>
        <v>0</v>
      </c>
      <c r="J27" s="125"/>
      <c r="K27" s="10">
        <f>J27*Q$3</f>
        <v>0</v>
      </c>
      <c r="L27" s="13">
        <f t="shared" si="11"/>
        <v>0</v>
      </c>
      <c r="M27" s="11">
        <f>D27+H27+J27</f>
        <v>0</v>
      </c>
      <c r="N27" s="21">
        <f t="shared" si="43"/>
        <v>0</v>
      </c>
      <c r="O27" s="9">
        <f>B27*D$3</f>
        <v>0</v>
      </c>
      <c r="P27" s="13">
        <f>O27</f>
        <v>0</v>
      </c>
      <c r="Q27" s="125"/>
      <c r="R27" s="156"/>
      <c r="S27" s="14">
        <f t="shared" si="44"/>
        <v>0</v>
      </c>
      <c r="T27" s="125"/>
      <c r="U27" s="10">
        <f>T27*Z$3</f>
        <v>0</v>
      </c>
      <c r="V27" s="13">
        <f>P27+U27</f>
        <v>0</v>
      </c>
      <c r="W27" s="11">
        <f>Q27+T27</f>
        <v>0</v>
      </c>
      <c r="X27" s="160">
        <f t="shared" si="6"/>
        <v>0</v>
      </c>
      <c r="Y27" s="18">
        <f t="shared" si="49"/>
        <v>0</v>
      </c>
      <c r="Z27" s="141">
        <f t="shared" si="61"/>
        <v>0</v>
      </c>
      <c r="AA27" s="67">
        <f t="shared" si="61"/>
        <v>0</v>
      </c>
      <c r="AB27" s="68">
        <f t="shared" si="47"/>
        <v>0</v>
      </c>
    </row>
    <row r="28" spans="1:28" x14ac:dyDescent="0.25">
      <c r="A28" s="8">
        <v>45252</v>
      </c>
      <c r="B28" s="144"/>
      <c r="C28" s="123"/>
      <c r="D28" s="125"/>
      <c r="E28" s="18">
        <f>IFERROR(#REF!/D28,0)</f>
        <v>0</v>
      </c>
      <c r="F28" s="13">
        <f>C28*E$3</f>
        <v>0</v>
      </c>
      <c r="G28" s="13">
        <f>F28</f>
        <v>0</v>
      </c>
      <c r="H28" s="125"/>
      <c r="I28" s="14">
        <f>IFERROR((G28)/H28,0)</f>
        <v>0</v>
      </c>
      <c r="J28" s="125"/>
      <c r="K28" s="10">
        <f>J28*Q$3</f>
        <v>0</v>
      </c>
      <c r="L28" s="13">
        <f t="shared" si="11"/>
        <v>0</v>
      </c>
      <c r="M28" s="11">
        <f>D28+H28+J28</f>
        <v>0</v>
      </c>
      <c r="N28" s="21">
        <f>IFERROR(L28/M28,0)</f>
        <v>0</v>
      </c>
      <c r="O28" s="9">
        <f>B28*D$3</f>
        <v>0</v>
      </c>
      <c r="P28" s="13">
        <f>O28</f>
        <v>0</v>
      </c>
      <c r="Q28" s="125"/>
      <c r="R28" s="156"/>
      <c r="S28" s="14">
        <f t="shared" si="44"/>
        <v>0</v>
      </c>
      <c r="T28" s="125"/>
      <c r="U28" s="10">
        <f>T28*Z$3</f>
        <v>0</v>
      </c>
      <c r="V28" s="13">
        <f>P28+U28</f>
        <v>0</v>
      </c>
      <c r="W28" s="11">
        <f>Q28+T28</f>
        <v>0</v>
      </c>
      <c r="X28" s="160">
        <f t="shared" si="6"/>
        <v>0</v>
      </c>
      <c r="Y28" s="18">
        <f t="shared" si="49"/>
        <v>0</v>
      </c>
      <c r="Z28" s="141">
        <f t="shared" si="61"/>
        <v>0</v>
      </c>
      <c r="AA28" s="67">
        <f t="shared" si="61"/>
        <v>0</v>
      </c>
      <c r="AB28" s="68">
        <f t="shared" si="47"/>
        <v>0</v>
      </c>
    </row>
    <row r="29" spans="1:28" x14ac:dyDescent="0.25">
      <c r="A29" s="8">
        <v>45253</v>
      </c>
      <c r="B29" s="144"/>
      <c r="C29" s="123"/>
      <c r="D29" s="125"/>
      <c r="E29" s="18">
        <f>IFERROR(#REF!/D29,0)</f>
        <v>0</v>
      </c>
      <c r="F29" s="13">
        <f>C29*E$3</f>
        <v>0</v>
      </c>
      <c r="G29" s="13">
        <f>F29</f>
        <v>0</v>
      </c>
      <c r="H29" s="125"/>
      <c r="I29" s="14">
        <f t="shared" si="42"/>
        <v>0</v>
      </c>
      <c r="J29" s="125"/>
      <c r="K29" s="10">
        <f>J29*Q$3</f>
        <v>0</v>
      </c>
      <c r="L29" s="13">
        <f t="shared" si="11"/>
        <v>0</v>
      </c>
      <c r="M29" s="11">
        <f>D29+H29+J29</f>
        <v>0</v>
      </c>
      <c r="N29" s="21">
        <f t="shared" si="43"/>
        <v>0</v>
      </c>
      <c r="O29" s="9">
        <f>B29*D$3</f>
        <v>0</v>
      </c>
      <c r="P29" s="13">
        <f>O29</f>
        <v>0</v>
      </c>
      <c r="Q29" s="125"/>
      <c r="R29" s="156"/>
      <c r="S29" s="14">
        <f t="shared" si="44"/>
        <v>0</v>
      </c>
      <c r="T29" s="125"/>
      <c r="U29" s="10">
        <f>T29*Z$3</f>
        <v>0</v>
      </c>
      <c r="V29" s="13">
        <f>P29+U29</f>
        <v>0</v>
      </c>
      <c r="W29" s="11">
        <f>Q29+T29</f>
        <v>0</v>
      </c>
      <c r="X29" s="160">
        <f t="shared" si="6"/>
        <v>0</v>
      </c>
      <c r="Y29" s="18">
        <f t="shared" si="49"/>
        <v>0</v>
      </c>
      <c r="Z29" s="141">
        <f t="shared" si="61"/>
        <v>0</v>
      </c>
      <c r="AA29" s="67">
        <f t="shared" si="61"/>
        <v>0</v>
      </c>
      <c r="AB29" s="68">
        <f t="shared" si="47"/>
        <v>0</v>
      </c>
    </row>
    <row r="30" spans="1:28" x14ac:dyDescent="0.25">
      <c r="A30" s="8">
        <v>45254</v>
      </c>
      <c r="B30" s="144"/>
      <c r="C30" s="123"/>
      <c r="D30" s="125"/>
      <c r="E30" s="18">
        <f>IFERROR(#REF!/D30,0)</f>
        <v>0</v>
      </c>
      <c r="F30" s="13">
        <f>C30*E$3</f>
        <v>0</v>
      </c>
      <c r="G30" s="13">
        <f>F30</f>
        <v>0</v>
      </c>
      <c r="H30" s="125"/>
      <c r="I30" s="14">
        <f t="shared" si="42"/>
        <v>0</v>
      </c>
      <c r="J30" s="125"/>
      <c r="K30" s="10">
        <f>J30*Q$3</f>
        <v>0</v>
      </c>
      <c r="L30" s="13">
        <f t="shared" si="11"/>
        <v>0</v>
      </c>
      <c r="M30" s="11">
        <f>D30+H30+J30</f>
        <v>0</v>
      </c>
      <c r="N30" s="21">
        <f t="shared" si="43"/>
        <v>0</v>
      </c>
      <c r="O30" s="9">
        <f>B30*D$3</f>
        <v>0</v>
      </c>
      <c r="P30" s="13">
        <f>O30</f>
        <v>0</v>
      </c>
      <c r="Q30" s="125"/>
      <c r="R30" s="156"/>
      <c r="S30" s="14">
        <f t="shared" si="44"/>
        <v>0</v>
      </c>
      <c r="T30" s="125"/>
      <c r="U30" s="10">
        <f>T30*Z$3</f>
        <v>0</v>
      </c>
      <c r="V30" s="13">
        <f>P30+U30</f>
        <v>0</v>
      </c>
      <c r="W30" s="11">
        <f>Q30+T30</f>
        <v>0</v>
      </c>
      <c r="X30" s="160">
        <f t="shared" si="6"/>
        <v>0</v>
      </c>
      <c r="Y30" s="18">
        <f t="shared" si="49"/>
        <v>0</v>
      </c>
      <c r="Z30" s="141">
        <f t="shared" si="61"/>
        <v>0</v>
      </c>
      <c r="AA30" s="67">
        <f t="shared" si="61"/>
        <v>0</v>
      </c>
      <c r="AB30" s="68">
        <f t="shared" si="47"/>
        <v>0</v>
      </c>
    </row>
    <row r="31" spans="1:28" x14ac:dyDescent="0.25">
      <c r="A31" s="95" t="s">
        <v>13</v>
      </c>
      <c r="B31" s="23">
        <f t="shared" ref="B31:D31" si="62">SUM(B26:B30)</f>
        <v>0</v>
      </c>
      <c r="C31" s="23">
        <f t="shared" si="62"/>
        <v>0</v>
      </c>
      <c r="D31" s="26">
        <f t="shared" si="62"/>
        <v>0</v>
      </c>
      <c r="E31" s="27">
        <f>IFERROR(#REF!/D31,0)</f>
        <v>0</v>
      </c>
      <c r="F31" s="28">
        <f>SUM(F26:F30)</f>
        <v>0</v>
      </c>
      <c r="G31" s="25">
        <f>SUM(G26:G30)</f>
        <v>0</v>
      </c>
      <c r="H31" s="26">
        <f>SUM(H26:H30)</f>
        <v>0</v>
      </c>
      <c r="I31" s="29">
        <f t="shared" si="42"/>
        <v>0</v>
      </c>
      <c r="J31" s="26">
        <f>SUM(J26:J30)</f>
        <v>0</v>
      </c>
      <c r="K31" s="25">
        <f>SUM(K26:K30)</f>
        <v>0</v>
      </c>
      <c r="L31" s="28">
        <f>SUM(L26:L30)</f>
        <v>0</v>
      </c>
      <c r="M31" s="30">
        <f>SUM(M26:M30)</f>
        <v>0</v>
      </c>
      <c r="N31" s="31">
        <f t="shared" si="43"/>
        <v>0</v>
      </c>
      <c r="O31" s="24">
        <f>SUM(O26:O30)</f>
        <v>0</v>
      </c>
      <c r="P31" s="28">
        <f>SUM(P26:P30)</f>
        <v>0</v>
      </c>
      <c r="Q31" s="26">
        <f>SUM(Q26:Q30)</f>
        <v>0</v>
      </c>
      <c r="R31" s="26">
        <f>SUM(R26:R30)</f>
        <v>0</v>
      </c>
      <c r="S31" s="29">
        <f t="shared" si="44"/>
        <v>0</v>
      </c>
      <c r="T31" s="26">
        <f>SUM(T26:T30)</f>
        <v>0</v>
      </c>
      <c r="U31" s="25">
        <f>SUM(U26:U30)</f>
        <v>0</v>
      </c>
      <c r="V31" s="28">
        <f>SUM(V26:V30)</f>
        <v>0</v>
      </c>
      <c r="W31" s="30">
        <f>SUM(W26:W30)</f>
        <v>0</v>
      </c>
      <c r="X31" s="163">
        <f t="shared" si="6"/>
        <v>0</v>
      </c>
      <c r="Y31" s="27">
        <f>IFERROR(V31/W31,0)</f>
        <v>0</v>
      </c>
      <c r="Z31" s="69">
        <f>SUM(Z26:Z30)</f>
        <v>0</v>
      </c>
      <c r="AA31" s="70">
        <f>SUM(AA26:AA30)</f>
        <v>0</v>
      </c>
      <c r="AB31" s="71">
        <f t="shared" si="47"/>
        <v>0</v>
      </c>
    </row>
    <row r="32" spans="1:28" x14ac:dyDescent="0.25">
      <c r="A32" s="8">
        <v>45257</v>
      </c>
      <c r="B32" s="143"/>
      <c r="C32" s="122"/>
      <c r="D32" s="124"/>
      <c r="E32" s="18">
        <f>IFERROR(#REF!/D32,0)</f>
        <v>0</v>
      </c>
      <c r="F32" s="13">
        <f>C32*E$3</f>
        <v>0</v>
      </c>
      <c r="G32" s="13">
        <f>F32</f>
        <v>0</v>
      </c>
      <c r="H32" s="124"/>
      <c r="I32" s="14">
        <f t="shared" si="42"/>
        <v>0</v>
      </c>
      <c r="J32" s="124"/>
      <c r="K32" s="10">
        <f>J32*Q$3</f>
        <v>0</v>
      </c>
      <c r="L32" s="13">
        <f t="shared" si="11"/>
        <v>0</v>
      </c>
      <c r="M32" s="11">
        <f>D32+H32+J32</f>
        <v>0</v>
      </c>
      <c r="N32" s="21">
        <f t="shared" si="43"/>
        <v>0</v>
      </c>
      <c r="O32" s="9">
        <f>B32*D$3</f>
        <v>0</v>
      </c>
      <c r="P32" s="13">
        <f>O32</f>
        <v>0</v>
      </c>
      <c r="Q32" s="124"/>
      <c r="R32" s="156"/>
      <c r="S32" s="14">
        <f t="shared" si="44"/>
        <v>0</v>
      </c>
      <c r="T32" s="124"/>
      <c r="U32" s="10">
        <f>T32*Z$3</f>
        <v>0</v>
      </c>
      <c r="V32" s="13">
        <f>P32+U32</f>
        <v>0</v>
      </c>
      <c r="W32" s="11">
        <f>Q32+T32</f>
        <v>0</v>
      </c>
      <c r="X32" s="160">
        <f t="shared" si="6"/>
        <v>0</v>
      </c>
      <c r="Y32" s="18">
        <f t="shared" si="49"/>
        <v>0</v>
      </c>
      <c r="Z32" s="141">
        <f t="shared" ref="Z32:AA36" si="63">V32+L32</f>
        <v>0</v>
      </c>
      <c r="AA32" s="67">
        <f t="shared" si="63"/>
        <v>0</v>
      </c>
      <c r="AB32" s="68">
        <f t="shared" si="47"/>
        <v>0</v>
      </c>
    </row>
    <row r="33" spans="1:28" x14ac:dyDescent="0.25">
      <c r="A33" s="8">
        <v>45258</v>
      </c>
      <c r="B33" s="144"/>
      <c r="C33" s="123"/>
      <c r="D33" s="125"/>
      <c r="E33" s="18">
        <f>IFERROR(#REF!/D33,0)</f>
        <v>0</v>
      </c>
      <c r="F33" s="13">
        <f>C33*E$3</f>
        <v>0</v>
      </c>
      <c r="G33" s="13">
        <f>F33</f>
        <v>0</v>
      </c>
      <c r="H33" s="125"/>
      <c r="I33" s="14">
        <f t="shared" si="42"/>
        <v>0</v>
      </c>
      <c r="J33" s="125"/>
      <c r="K33" s="10">
        <f>J33*Q$3</f>
        <v>0</v>
      </c>
      <c r="L33" s="13">
        <f t="shared" si="11"/>
        <v>0</v>
      </c>
      <c r="M33" s="11">
        <f>D33+H33+J33</f>
        <v>0</v>
      </c>
      <c r="N33" s="21">
        <f t="shared" si="43"/>
        <v>0</v>
      </c>
      <c r="O33" s="9">
        <f>B33*D$3</f>
        <v>0</v>
      </c>
      <c r="P33" s="13">
        <f>O33</f>
        <v>0</v>
      </c>
      <c r="Q33" s="125"/>
      <c r="R33" s="156"/>
      <c r="S33" s="14">
        <f t="shared" si="44"/>
        <v>0</v>
      </c>
      <c r="T33" s="125"/>
      <c r="U33" s="10">
        <f>T33*Z$3</f>
        <v>0</v>
      </c>
      <c r="V33" s="13">
        <f>P33+U33</f>
        <v>0</v>
      </c>
      <c r="W33" s="11">
        <f>Q33+T33</f>
        <v>0</v>
      </c>
      <c r="X33" s="160">
        <f t="shared" si="6"/>
        <v>0</v>
      </c>
      <c r="Y33" s="18">
        <f t="shared" si="49"/>
        <v>0</v>
      </c>
      <c r="Z33" s="141">
        <f t="shared" si="63"/>
        <v>0</v>
      </c>
      <c r="AA33" s="67">
        <f t="shared" si="63"/>
        <v>0</v>
      </c>
      <c r="AB33" s="68">
        <f t="shared" si="47"/>
        <v>0</v>
      </c>
    </row>
    <row r="34" spans="1:28" x14ac:dyDescent="0.25">
      <c r="A34" s="8">
        <v>45259</v>
      </c>
      <c r="B34" s="144"/>
      <c r="C34" s="123"/>
      <c r="D34" s="125"/>
      <c r="E34" s="18">
        <f>IFERROR(#REF!/D34,0)</f>
        <v>0</v>
      </c>
      <c r="F34" s="13">
        <f>C34*E$3</f>
        <v>0</v>
      </c>
      <c r="G34" s="13">
        <f>F34</f>
        <v>0</v>
      </c>
      <c r="H34" s="125"/>
      <c r="I34" s="14">
        <f>IFERROR((G34)/H34,0)</f>
        <v>0</v>
      </c>
      <c r="J34" s="125"/>
      <c r="K34" s="10">
        <f>J34*Q$3</f>
        <v>0</v>
      </c>
      <c r="L34" s="13">
        <f t="shared" si="11"/>
        <v>0</v>
      </c>
      <c r="M34" s="11">
        <f>D34+H34+J34</f>
        <v>0</v>
      </c>
      <c r="N34" s="21">
        <f t="shared" si="43"/>
        <v>0</v>
      </c>
      <c r="O34" s="9">
        <f>B34*D$3</f>
        <v>0</v>
      </c>
      <c r="P34" s="13">
        <f>O34</f>
        <v>0</v>
      </c>
      <c r="Q34" s="125"/>
      <c r="R34" s="156"/>
      <c r="S34" s="14">
        <f t="shared" si="44"/>
        <v>0</v>
      </c>
      <c r="T34" s="125"/>
      <c r="U34" s="10">
        <f>T34*Z$3</f>
        <v>0</v>
      </c>
      <c r="V34" s="13">
        <f>P34+U34</f>
        <v>0</v>
      </c>
      <c r="W34" s="11">
        <f>Q34+T34</f>
        <v>0</v>
      </c>
      <c r="X34" s="160">
        <f t="shared" si="6"/>
        <v>0</v>
      </c>
      <c r="Y34" s="18">
        <f t="shared" si="49"/>
        <v>0</v>
      </c>
      <c r="Z34" s="141">
        <f t="shared" si="63"/>
        <v>0</v>
      </c>
      <c r="AA34" s="67">
        <f t="shared" si="63"/>
        <v>0</v>
      </c>
      <c r="AB34" s="68">
        <f t="shared" si="47"/>
        <v>0</v>
      </c>
    </row>
    <row r="35" spans="1:28" x14ac:dyDescent="0.25">
      <c r="A35" s="8">
        <v>45260</v>
      </c>
      <c r="B35" s="144"/>
      <c r="C35" s="123"/>
      <c r="D35" s="125"/>
      <c r="E35" s="18">
        <f>IFERROR(#REF!/D35,0)</f>
        <v>0</v>
      </c>
      <c r="F35" s="13">
        <f>C35*E$3</f>
        <v>0</v>
      </c>
      <c r="G35" s="13">
        <f>F35</f>
        <v>0</v>
      </c>
      <c r="H35" s="125"/>
      <c r="I35" s="14">
        <f t="shared" si="42"/>
        <v>0</v>
      </c>
      <c r="J35" s="125"/>
      <c r="K35" s="10">
        <f>J35*Q$3</f>
        <v>0</v>
      </c>
      <c r="L35" s="13">
        <f t="shared" si="11"/>
        <v>0</v>
      </c>
      <c r="M35" s="11">
        <f>D35+H35+J35</f>
        <v>0</v>
      </c>
      <c r="N35" s="21">
        <f t="shared" si="43"/>
        <v>0</v>
      </c>
      <c r="O35" s="9">
        <f>B35*D$3</f>
        <v>0</v>
      </c>
      <c r="P35" s="13">
        <f>O35</f>
        <v>0</v>
      </c>
      <c r="Q35" s="125"/>
      <c r="R35" s="156"/>
      <c r="S35" s="14">
        <f t="shared" si="44"/>
        <v>0</v>
      </c>
      <c r="T35" s="125"/>
      <c r="U35" s="10">
        <f>T35*Z$3</f>
        <v>0</v>
      </c>
      <c r="V35" s="13">
        <f>P35+U35</f>
        <v>0</v>
      </c>
      <c r="W35" s="11">
        <f>Q35+T35</f>
        <v>0</v>
      </c>
      <c r="X35" s="160">
        <f t="shared" si="6"/>
        <v>0</v>
      </c>
      <c r="Y35" s="18">
        <f t="shared" si="49"/>
        <v>0</v>
      </c>
      <c r="Z35" s="141">
        <f t="shared" si="63"/>
        <v>0</v>
      </c>
      <c r="AA35" s="67">
        <f t="shared" si="63"/>
        <v>0</v>
      </c>
      <c r="AB35" s="68">
        <f t="shared" si="47"/>
        <v>0</v>
      </c>
    </row>
    <row r="36" spans="1:28" x14ac:dyDescent="0.25">
      <c r="A36" s="8"/>
      <c r="B36" s="144"/>
      <c r="C36" s="123"/>
      <c r="D36" s="125"/>
      <c r="E36" s="18">
        <f>IFERROR(#REF!/D36,0)</f>
        <v>0</v>
      </c>
      <c r="F36" s="13">
        <f>C36*E$3</f>
        <v>0</v>
      </c>
      <c r="G36" s="13">
        <f>F36</f>
        <v>0</v>
      </c>
      <c r="H36" s="125"/>
      <c r="I36" s="14">
        <f t="shared" si="42"/>
        <v>0</v>
      </c>
      <c r="J36" s="125"/>
      <c r="K36" s="10">
        <f>J36*Q$3</f>
        <v>0</v>
      </c>
      <c r="L36" s="13">
        <f t="shared" si="11"/>
        <v>0</v>
      </c>
      <c r="M36" s="11">
        <f>D36+H36+J36</f>
        <v>0</v>
      </c>
      <c r="N36" s="21">
        <f t="shared" si="43"/>
        <v>0</v>
      </c>
      <c r="O36" s="9">
        <f>B36*D$3</f>
        <v>0</v>
      </c>
      <c r="P36" s="13">
        <f>O36</f>
        <v>0</v>
      </c>
      <c r="Q36" s="125"/>
      <c r="R36" s="156"/>
      <c r="S36" s="14">
        <f t="shared" si="44"/>
        <v>0</v>
      </c>
      <c r="T36" s="125"/>
      <c r="U36" s="10">
        <f>T36*Z$3</f>
        <v>0</v>
      </c>
      <c r="V36" s="13">
        <f>P36+U36</f>
        <v>0</v>
      </c>
      <c r="W36" s="11">
        <f>Q36+T36</f>
        <v>0</v>
      </c>
      <c r="X36" s="160">
        <f t="shared" si="6"/>
        <v>0</v>
      </c>
      <c r="Y36" s="18">
        <f t="shared" si="49"/>
        <v>0</v>
      </c>
      <c r="Z36" s="141">
        <f t="shared" si="63"/>
        <v>0</v>
      </c>
      <c r="AA36" s="67">
        <f t="shared" si="63"/>
        <v>0</v>
      </c>
      <c r="AB36" s="68">
        <f t="shared" si="47"/>
        <v>0</v>
      </c>
    </row>
    <row r="37" spans="1:28" ht="14.4" thickBot="1" x14ac:dyDescent="0.3">
      <c r="A37" s="96" t="s">
        <v>14</v>
      </c>
      <c r="B37" s="103">
        <f t="shared" ref="B37:D37" si="64">SUM(B32:B36)</f>
        <v>0</v>
      </c>
      <c r="C37" s="103">
        <f t="shared" si="64"/>
        <v>0</v>
      </c>
      <c r="D37" s="36">
        <f t="shared" si="64"/>
        <v>0</v>
      </c>
      <c r="E37" s="37">
        <f>IFERROR(#REF!/D37,0)</f>
        <v>0</v>
      </c>
      <c r="F37" s="38">
        <f>SUM(F32:F36)</f>
        <v>0</v>
      </c>
      <c r="G37" s="38">
        <f>SUM(G32:G36)</f>
        <v>0</v>
      </c>
      <c r="H37" s="36">
        <f>SUM(H32:H36)</f>
        <v>0</v>
      </c>
      <c r="I37" s="29">
        <f t="shared" si="42"/>
        <v>0</v>
      </c>
      <c r="J37" s="39">
        <f>SUM(J32:J36)</f>
        <v>0</v>
      </c>
      <c r="K37" s="35">
        <f>SUM(K32:K36)</f>
        <v>0</v>
      </c>
      <c r="L37" s="38">
        <f>SUM(L32:L36)</f>
        <v>0</v>
      </c>
      <c r="M37" s="36">
        <f>SUM(M32:M36)</f>
        <v>0</v>
      </c>
      <c r="N37" s="40">
        <f t="shared" si="43"/>
        <v>0</v>
      </c>
      <c r="O37" s="34">
        <f>SUM(O32:O36)</f>
        <v>0</v>
      </c>
      <c r="P37" s="38">
        <f>SUM(P32:P36)</f>
        <v>0</v>
      </c>
      <c r="Q37" s="36">
        <f>SUM(Q32:Q36)</f>
        <v>0</v>
      </c>
      <c r="R37" s="39">
        <f>SUM(R32:R36)</f>
        <v>0</v>
      </c>
      <c r="S37" s="102">
        <f t="shared" si="44"/>
        <v>0</v>
      </c>
      <c r="T37" s="39">
        <f>SUM(T32:T36)</f>
        <v>0</v>
      </c>
      <c r="U37" s="35">
        <f>SUM(U32:U36)</f>
        <v>0</v>
      </c>
      <c r="V37" s="38">
        <f>SUM(V32:V36)</f>
        <v>0</v>
      </c>
      <c r="W37" s="36">
        <f>SUM(W32:W36)</f>
        <v>0</v>
      </c>
      <c r="X37" s="163">
        <f t="shared" si="6"/>
        <v>0</v>
      </c>
      <c r="Y37" s="37">
        <f t="shared" si="49"/>
        <v>0</v>
      </c>
      <c r="Z37" s="101">
        <f>SUM(Z32:Z36)</f>
        <v>0</v>
      </c>
      <c r="AA37" s="74">
        <f>SUM(AA32:AA36)</f>
        <v>0</v>
      </c>
      <c r="AB37" s="75">
        <f t="shared" si="47"/>
        <v>0</v>
      </c>
    </row>
    <row r="38" spans="1:28" ht="14.4" thickBot="1" x14ac:dyDescent="0.3">
      <c r="A38" s="41"/>
      <c r="B38" s="42"/>
      <c r="C38" s="42"/>
      <c r="D38" s="44"/>
      <c r="E38" s="43"/>
      <c r="F38" s="43"/>
      <c r="G38" s="43"/>
      <c r="H38" s="44"/>
      <c r="I38" s="43"/>
      <c r="J38" s="44"/>
      <c r="K38" s="43"/>
      <c r="L38" s="43"/>
      <c r="M38" s="44"/>
      <c r="N38" s="43"/>
      <c r="O38" s="43"/>
      <c r="P38" s="43"/>
      <c r="Q38" s="43"/>
      <c r="R38" s="44"/>
      <c r="S38" s="43"/>
      <c r="T38" s="44"/>
      <c r="U38" s="43"/>
      <c r="V38" s="43"/>
      <c r="W38" s="44"/>
      <c r="X38" s="44"/>
      <c r="Y38" s="43"/>
    </row>
    <row r="39" spans="1:28" ht="14.4" thickBot="1" x14ac:dyDescent="0.3">
      <c r="A39" s="45" t="s">
        <v>15</v>
      </c>
      <c r="B39" s="46">
        <f t="shared" ref="B39:C39" si="65">B13+B19+B25+B31+B37</f>
        <v>132</v>
      </c>
      <c r="C39" s="46">
        <f t="shared" si="65"/>
        <v>1385</v>
      </c>
      <c r="D39" s="49">
        <f>D13+D19+D25+D31+D37</f>
        <v>12.63</v>
      </c>
      <c r="E39" s="50">
        <f>IFERROR(#REF!/D39,0)</f>
        <v>0</v>
      </c>
      <c r="F39" s="51">
        <f>F13+F19+F25+F31+F37</f>
        <v>1481.95</v>
      </c>
      <c r="G39" s="51">
        <f>G13+G19+G25+G31+G37</f>
        <v>1481.95</v>
      </c>
      <c r="H39" s="49">
        <f>H13+H19+H25+H31+H37</f>
        <v>75.930000000000007</v>
      </c>
      <c r="I39" s="52">
        <f>IFERROR((G39)/H39,0)</f>
        <v>19.517318582905308</v>
      </c>
      <c r="J39" s="53">
        <f>J13+J19+J25+J31+J37</f>
        <v>0.13</v>
      </c>
      <c r="K39" s="48">
        <f>K13+K19+K25+K31+K37</f>
        <v>4.2250000000000005</v>
      </c>
      <c r="L39" s="51">
        <f>L13+L19+L25+L31+L37</f>
        <v>1486.175</v>
      </c>
      <c r="M39" s="49">
        <f>M13+M19+M25+M31+M37</f>
        <v>88.69</v>
      </c>
      <c r="N39" s="54">
        <f>IFERROR(L39/M39,0)</f>
        <v>16.756962453489685</v>
      </c>
      <c r="O39" s="47">
        <f>O13+O19+O25+O31+O37</f>
        <v>909.4799999999999</v>
      </c>
      <c r="P39" s="51">
        <f>P13+P19+P25+P31+P37</f>
        <v>909.4799999999999</v>
      </c>
      <c r="Q39" s="49">
        <f>Q13+Q19+Q25+Q31+Q37</f>
        <v>11.530000000000001</v>
      </c>
      <c r="R39" s="53">
        <f>R13+R19+R25+R31+R37</f>
        <v>0.57999999999999996</v>
      </c>
      <c r="S39" s="52">
        <f>IFERROR(P39/Q39,0)</f>
        <v>78.879444926279248</v>
      </c>
      <c r="T39" s="53">
        <f>T13+T19+T25+T31+T37</f>
        <v>4.05</v>
      </c>
      <c r="U39" s="48">
        <f>U13+U19+U25+U31+U37</f>
        <v>131.625</v>
      </c>
      <c r="V39" s="51">
        <f>V13+V19+V25+V31+V37</f>
        <v>1041.105</v>
      </c>
      <c r="W39" s="49">
        <f>W13+W19+W25+W31+W37</f>
        <v>15.58</v>
      </c>
      <c r="X39" s="161">
        <f>IFERROR(B39/W39,0)</f>
        <v>8.472400513478819</v>
      </c>
      <c r="Y39" s="54">
        <f>IFERROR(V39/W39,0)</f>
        <v>66.823170731707322</v>
      </c>
      <c r="Z39" s="48">
        <f>Z13+Z19+Z25+Z31+Z37</f>
        <v>2527.2799999999997</v>
      </c>
      <c r="AA39" s="49">
        <f>AA13+AA19+AA25+AA31+AA37</f>
        <v>104.27</v>
      </c>
      <c r="AB39" s="54">
        <f>IFERROR(Z39/AA39,0)</f>
        <v>24.237844058693774</v>
      </c>
    </row>
  </sheetData>
  <mergeCells count="6">
    <mergeCell ref="AB4:AD4"/>
    <mergeCell ref="Q4:AA4"/>
    <mergeCell ref="B1:E1"/>
    <mergeCell ref="I1:K1"/>
    <mergeCell ref="B4:C4"/>
    <mergeCell ref="D4:P4"/>
  </mergeCells>
  <dataValidations count="1">
    <dataValidation allowBlank="1" sqref="S13:S14 A6:A36" xr:uid="{8B2AF837-8D29-46FF-B427-9ABBC7C9C24F}"/>
  </dataValidations>
  <pageMargins left="0" right="0" top="0" bottom="0" header="0.3" footer="0.3"/>
  <pageSetup scale="44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ED8EB-02D0-4836-9442-B731EA51D505}">
  <sheetPr codeName="Sheet5">
    <tabColor rgb="FF92D050"/>
  </sheetPr>
  <dimension ref="A1:AF39"/>
  <sheetViews>
    <sheetView zoomScaleNormal="100" workbookViewId="0">
      <pane xSplit="1" ySplit="5" topLeftCell="B6" activePane="bottomRight" state="frozen"/>
      <selection activeCell="D6" sqref="D6"/>
      <selection pane="topRight" activeCell="D6" sqref="D6"/>
      <selection pane="bottomLeft" activeCell="D6" sqref="D6"/>
      <selection pane="bottomRight" activeCell="U18" sqref="U18"/>
    </sheetView>
  </sheetViews>
  <sheetFormatPr defaultColWidth="9.109375" defaultRowHeight="13.8" x14ac:dyDescent="0.25"/>
  <cols>
    <col min="1" max="1" width="9.109375" style="59"/>
    <col min="2" max="4" width="9.33203125" style="59" bestFit="1" customWidth="1"/>
    <col min="5" max="5" width="9.33203125" style="59" customWidth="1"/>
    <col min="6" max="6" width="9.33203125" style="59" bestFit="1" customWidth="1"/>
    <col min="7" max="7" width="11.44140625" style="59" bestFit="1" customWidth="1"/>
    <col min="8" max="8" width="10.109375" style="59" bestFit="1" customWidth="1"/>
    <col min="9" max="10" width="9.33203125" style="59" bestFit="1" customWidth="1"/>
    <col min="11" max="13" width="10.109375" style="59" bestFit="1" customWidth="1"/>
    <col min="14" max="16" width="9.33203125" style="59" bestFit="1" customWidth="1"/>
    <col min="17" max="17" width="10.109375" style="59" bestFit="1" customWidth="1"/>
    <col min="18" max="22" width="9.33203125" style="59" bestFit="1" customWidth="1"/>
    <col min="23" max="23" width="9.33203125" style="59" customWidth="1"/>
    <col min="24" max="24" width="10.109375" style="59" bestFit="1" customWidth="1"/>
    <col min="25" max="26" width="9.33203125" style="59" bestFit="1" customWidth="1"/>
    <col min="27" max="27" width="11.33203125" style="59" bestFit="1" customWidth="1"/>
    <col min="28" max="29" width="9.33203125" style="59" bestFit="1" customWidth="1"/>
    <col min="30" max="30" width="11.33203125" style="59" bestFit="1" customWidth="1"/>
    <col min="31" max="31" width="11" style="59" bestFit="1" customWidth="1"/>
    <col min="32" max="32" width="9.33203125" style="59" bestFit="1" customWidth="1"/>
    <col min="33" max="16384" width="9.109375" style="59"/>
  </cols>
  <sheetData>
    <row r="1" spans="1:32" ht="22.8" x14ac:dyDescent="0.4">
      <c r="A1" s="98"/>
      <c r="B1" s="99" t="s">
        <v>17</v>
      </c>
      <c r="C1" s="100"/>
      <c r="D1" s="98" t="s">
        <v>21</v>
      </c>
      <c r="E1" s="97">
        <v>7979</v>
      </c>
      <c r="F1" s="98" t="s">
        <v>22</v>
      </c>
      <c r="G1" s="203"/>
      <c r="H1" s="203"/>
      <c r="I1" s="203"/>
    </row>
    <row r="2" spans="1:32" s="56" customFormat="1" ht="10.199999999999999" x14ac:dyDescent="0.2">
      <c r="G2" s="61">
        <v>1</v>
      </c>
      <c r="K2" s="62">
        <v>0.82399999999999995</v>
      </c>
      <c r="T2" s="62">
        <f>1-K2</f>
        <v>0.17600000000000005</v>
      </c>
    </row>
    <row r="3" spans="1:32" s="57" customFormat="1" thickBot="1" x14ac:dyDescent="0.3">
      <c r="A3" s="58"/>
      <c r="B3" s="58"/>
      <c r="C3" s="58">
        <v>0.73899999999999999</v>
      </c>
      <c r="D3" s="58"/>
      <c r="E3" s="58"/>
      <c r="F3" s="58">
        <v>3.37</v>
      </c>
      <c r="G3" s="58"/>
      <c r="H3" s="58"/>
      <c r="I3" s="58"/>
      <c r="J3" s="58"/>
      <c r="K3" s="58">
        <f>$F$3*K2</f>
        <v>2.7768799999999998</v>
      </c>
      <c r="L3" s="58"/>
      <c r="M3" s="58"/>
      <c r="N3" s="58"/>
      <c r="O3" s="58"/>
      <c r="P3" s="58">
        <v>36.58</v>
      </c>
      <c r="Q3" s="58"/>
      <c r="R3" s="58"/>
      <c r="S3" s="58"/>
      <c r="T3" s="58">
        <f>$F$3*T2</f>
        <v>0.5931200000000002</v>
      </c>
      <c r="U3" s="58"/>
      <c r="V3" s="58"/>
      <c r="W3" s="58"/>
      <c r="X3" s="58"/>
      <c r="Y3" s="58">
        <f>P3</f>
        <v>36.58</v>
      </c>
      <c r="Z3" s="58"/>
      <c r="AA3" s="58"/>
      <c r="AB3" s="58"/>
      <c r="AC3" s="58"/>
      <c r="AD3" s="58"/>
      <c r="AE3" s="58"/>
      <c r="AF3" s="58"/>
    </row>
    <row r="4" spans="1:32" ht="15" customHeight="1" thickBot="1" x14ac:dyDescent="0.3">
      <c r="B4" s="204" t="s">
        <v>23</v>
      </c>
      <c r="C4" s="205"/>
      <c r="D4" s="206"/>
      <c r="E4" s="207" t="s">
        <v>18</v>
      </c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9"/>
      <c r="R4" s="216" t="s">
        <v>16</v>
      </c>
      <c r="S4" s="217"/>
      <c r="T4" s="217"/>
      <c r="U4" s="217"/>
      <c r="V4" s="217"/>
      <c r="W4" s="217"/>
      <c r="X4" s="217"/>
      <c r="Y4" s="217"/>
      <c r="Z4" s="217"/>
      <c r="AA4" s="217"/>
      <c r="AB4" s="218"/>
      <c r="AC4" s="207" t="s">
        <v>1</v>
      </c>
      <c r="AD4" s="208"/>
      <c r="AE4" s="209"/>
    </row>
    <row r="5" spans="1:32" ht="53.4" thickBot="1" x14ac:dyDescent="0.3">
      <c r="A5" s="1" t="s">
        <v>2</v>
      </c>
      <c r="B5" s="78" t="s">
        <v>7158</v>
      </c>
      <c r="C5" s="79" t="s">
        <v>7162</v>
      </c>
      <c r="D5" s="80" t="s">
        <v>7163</v>
      </c>
      <c r="E5" s="81" t="s">
        <v>7193</v>
      </c>
      <c r="F5" s="5" t="s">
        <v>3</v>
      </c>
      <c r="G5" s="6" t="s">
        <v>19</v>
      </c>
      <c r="H5" s="6" t="s">
        <v>4</v>
      </c>
      <c r="I5" s="81" t="s">
        <v>7194</v>
      </c>
      <c r="J5" s="6" t="s">
        <v>5</v>
      </c>
      <c r="K5" s="77" t="s">
        <v>7195</v>
      </c>
      <c r="L5" s="3" t="s">
        <v>6</v>
      </c>
      <c r="M5" s="6" t="s">
        <v>7</v>
      </c>
      <c r="N5" s="4" t="s">
        <v>8</v>
      </c>
      <c r="O5" s="7" t="s">
        <v>9</v>
      </c>
      <c r="P5" s="166" t="s">
        <v>19</v>
      </c>
      <c r="Q5" s="166" t="s">
        <v>10</v>
      </c>
      <c r="R5" s="167" t="s">
        <v>7196</v>
      </c>
      <c r="S5" s="168" t="s">
        <v>35</v>
      </c>
      <c r="T5" s="166" t="s">
        <v>11</v>
      </c>
      <c r="U5" s="168" t="s">
        <v>38</v>
      </c>
      <c r="V5" s="169" t="s">
        <v>6</v>
      </c>
      <c r="W5" s="166" t="s">
        <v>7</v>
      </c>
      <c r="X5" s="170" t="s">
        <v>8</v>
      </c>
      <c r="Y5" s="171" t="s">
        <v>36</v>
      </c>
      <c r="Z5" s="172" t="s">
        <v>12</v>
      </c>
      <c r="AA5" s="2" t="s">
        <v>7</v>
      </c>
      <c r="AB5" s="4" t="s">
        <v>8</v>
      </c>
      <c r="AC5" s="7" t="s">
        <v>9</v>
      </c>
    </row>
    <row r="6" spans="1:32" x14ac:dyDescent="0.25">
      <c r="A6" s="8" t="s">
        <v>37</v>
      </c>
      <c r="B6" s="175">
        <v>0</v>
      </c>
      <c r="C6" s="122">
        <v>0</v>
      </c>
      <c r="D6" s="146">
        <v>0</v>
      </c>
      <c r="E6" s="125">
        <v>0</v>
      </c>
      <c r="F6" s="18">
        <f>IFERROR(#REF!/E6,0)</f>
        <v>0</v>
      </c>
      <c r="G6" s="13">
        <f t="shared" ref="G6:G12" si="0">B6*K$3</f>
        <v>0</v>
      </c>
      <c r="H6" s="19">
        <f t="shared" ref="H6:H7" si="1">G6</f>
        <v>0</v>
      </c>
      <c r="I6" s="128">
        <v>0</v>
      </c>
      <c r="J6" s="90">
        <f t="shared" ref="J6:J7" si="2">IFERROR((H6)/I6,0)</f>
        <v>0</v>
      </c>
      <c r="K6" s="128">
        <v>0</v>
      </c>
      <c r="L6" s="10">
        <f t="shared" ref="L6:L12" si="3">K6*P$3</f>
        <v>0</v>
      </c>
      <c r="M6" s="13">
        <f>H6+L6</f>
        <v>0</v>
      </c>
      <c r="N6" s="11">
        <f>E6+I6+K6</f>
        <v>0</v>
      </c>
      <c r="O6" s="12">
        <f>IFERROR(M6/N6,0)</f>
        <v>0</v>
      </c>
      <c r="P6" s="16">
        <f t="shared" ref="P6:P12" si="4">B6*T$3</f>
        <v>0</v>
      </c>
      <c r="Q6" s="19">
        <f t="shared" ref="Q6:Q7" si="5">P6</f>
        <v>0</v>
      </c>
      <c r="R6" s="127">
        <v>0</v>
      </c>
      <c r="S6" s="124">
        <v>0</v>
      </c>
      <c r="T6" s="21">
        <f t="shared" ref="T6:T7" si="6">IFERROR((Q6)/R6,0)</f>
        <v>0</v>
      </c>
      <c r="U6" s="132">
        <v>0</v>
      </c>
      <c r="V6" s="10">
        <f t="shared" ref="V6:V12" si="7">U6*Y$3</f>
        <v>0</v>
      </c>
      <c r="W6" s="19">
        <f t="shared" ref="W6:W7" si="8">Q6+V6</f>
        <v>0</v>
      </c>
      <c r="X6" s="17">
        <f t="shared" ref="X6:X7" si="9">R6+U6</f>
        <v>0</v>
      </c>
      <c r="Y6" s="164">
        <f t="shared" ref="Y6:Y37" si="10">IFERROR(B6/X6,0)</f>
        <v>0</v>
      </c>
      <c r="Z6" s="21">
        <f t="shared" ref="Z6:Z7" si="11">IFERROR(W6/X6,0)</f>
        <v>0</v>
      </c>
      <c r="AA6" s="83">
        <f t="shared" ref="AA6:AA7" si="12">W6+M6</f>
        <v>0</v>
      </c>
      <c r="AB6" s="67">
        <f t="shared" ref="AB6:AB7" si="13">X6+N6</f>
        <v>0</v>
      </c>
      <c r="AC6" s="68">
        <f t="shared" ref="AC6:AC7" si="14">IFERROR(AA6/AB6,0)</f>
        <v>0</v>
      </c>
    </row>
    <row r="7" spans="1:32" x14ac:dyDescent="0.25">
      <c r="A7" s="8" t="s">
        <v>37</v>
      </c>
      <c r="B7" s="175">
        <v>0</v>
      </c>
      <c r="C7" s="122">
        <v>0</v>
      </c>
      <c r="D7" s="146">
        <v>0</v>
      </c>
      <c r="E7" s="125">
        <v>0</v>
      </c>
      <c r="F7" s="18">
        <f>IFERROR(#REF!/E7,0)</f>
        <v>0</v>
      </c>
      <c r="G7" s="13">
        <f t="shared" si="0"/>
        <v>0</v>
      </c>
      <c r="H7" s="19">
        <f t="shared" si="1"/>
        <v>0</v>
      </c>
      <c r="I7" s="128">
        <v>0</v>
      </c>
      <c r="J7" s="90">
        <f t="shared" si="2"/>
        <v>0</v>
      </c>
      <c r="K7" s="129">
        <v>0</v>
      </c>
      <c r="L7" s="10">
        <f t="shared" si="3"/>
        <v>0</v>
      </c>
      <c r="M7" s="13">
        <f t="shared" ref="M7:M36" si="15">H7+L7</f>
        <v>0</v>
      </c>
      <c r="N7" s="17">
        <f t="shared" ref="N7" si="16">E7+I7+K7</f>
        <v>0</v>
      </c>
      <c r="O7" s="18">
        <f t="shared" ref="O7" si="17">IFERROR(M7/N7,0)</f>
        <v>0</v>
      </c>
      <c r="P7" s="16">
        <f t="shared" si="4"/>
        <v>0</v>
      </c>
      <c r="Q7" s="19">
        <f t="shared" si="5"/>
        <v>0</v>
      </c>
      <c r="R7" s="127">
        <v>0</v>
      </c>
      <c r="S7" s="124">
        <v>0</v>
      </c>
      <c r="T7" s="21">
        <f t="shared" si="6"/>
        <v>0</v>
      </c>
      <c r="U7" s="132">
        <v>0</v>
      </c>
      <c r="V7" s="10">
        <f t="shared" si="7"/>
        <v>0</v>
      </c>
      <c r="W7" s="19">
        <f t="shared" si="8"/>
        <v>0</v>
      </c>
      <c r="X7" s="17">
        <f t="shared" si="9"/>
        <v>0</v>
      </c>
      <c r="Y7" s="164">
        <f t="shared" si="10"/>
        <v>0</v>
      </c>
      <c r="Z7" s="21">
        <f t="shared" si="11"/>
        <v>0</v>
      </c>
      <c r="AA7" s="83">
        <f t="shared" si="12"/>
        <v>0</v>
      </c>
      <c r="AB7" s="67">
        <f t="shared" si="13"/>
        <v>0</v>
      </c>
      <c r="AC7" s="68">
        <f t="shared" si="14"/>
        <v>0</v>
      </c>
    </row>
    <row r="8" spans="1:32" x14ac:dyDescent="0.25">
      <c r="A8" s="8" t="s">
        <v>37</v>
      </c>
      <c r="B8" s="175">
        <v>0</v>
      </c>
      <c r="C8" s="122">
        <v>0</v>
      </c>
      <c r="D8" s="146">
        <v>0</v>
      </c>
      <c r="E8" s="125">
        <v>0</v>
      </c>
      <c r="F8" s="18">
        <f>IFERROR(#REF!/E8,0)</f>
        <v>0</v>
      </c>
      <c r="G8" s="13">
        <f t="shared" si="0"/>
        <v>0</v>
      </c>
      <c r="H8" s="19">
        <f t="shared" ref="H8:H9" si="18">G8</f>
        <v>0</v>
      </c>
      <c r="I8" s="128">
        <v>0</v>
      </c>
      <c r="J8" s="90">
        <f t="shared" ref="J8" si="19">IFERROR((H8)/I8,0)</f>
        <v>0</v>
      </c>
      <c r="K8" s="129">
        <v>0</v>
      </c>
      <c r="L8" s="10">
        <f t="shared" si="3"/>
        <v>0</v>
      </c>
      <c r="M8" s="13">
        <f t="shared" si="15"/>
        <v>0</v>
      </c>
      <c r="N8" s="17">
        <f t="shared" ref="N8" si="20">E8+I8+K8</f>
        <v>0</v>
      </c>
      <c r="O8" s="18">
        <f t="shared" ref="O8" si="21">IFERROR(M8/N8,0)</f>
        <v>0</v>
      </c>
      <c r="P8" s="16">
        <f t="shared" si="4"/>
        <v>0</v>
      </c>
      <c r="Q8" s="19">
        <f t="shared" ref="Q8:Q9" si="22">P8</f>
        <v>0</v>
      </c>
      <c r="R8" s="127">
        <v>0</v>
      </c>
      <c r="S8" s="124">
        <v>0</v>
      </c>
      <c r="T8" s="21">
        <f t="shared" ref="T8:T9" si="23">IFERROR((Q8)/R8,0)</f>
        <v>0</v>
      </c>
      <c r="U8" s="132">
        <v>0</v>
      </c>
      <c r="V8" s="10">
        <f t="shared" si="7"/>
        <v>0</v>
      </c>
      <c r="W8" s="19">
        <f t="shared" ref="W8:W9" si="24">Q8+V8</f>
        <v>0</v>
      </c>
      <c r="X8" s="17">
        <f t="shared" ref="X8:X9" si="25">R8+U8</f>
        <v>0</v>
      </c>
      <c r="Y8" s="164">
        <f t="shared" si="10"/>
        <v>0</v>
      </c>
      <c r="Z8" s="21">
        <f t="shared" ref="Z8:Z9" si="26">IFERROR(W8/X8,0)</f>
        <v>0</v>
      </c>
      <c r="AA8" s="83">
        <f t="shared" ref="AA8:AA9" si="27">W8+M8</f>
        <v>0</v>
      </c>
      <c r="AB8" s="67">
        <f t="shared" ref="AB8:AB9" si="28">X8+N8</f>
        <v>0</v>
      </c>
      <c r="AC8" s="68">
        <f t="shared" ref="AC8:AC9" si="29">IFERROR(AA8/AB8,0)</f>
        <v>0</v>
      </c>
    </row>
    <row r="9" spans="1:32" x14ac:dyDescent="0.25">
      <c r="A9" s="8" t="s">
        <v>37</v>
      </c>
      <c r="B9" s="175">
        <v>0</v>
      </c>
      <c r="C9" s="122">
        <v>0</v>
      </c>
      <c r="D9" s="146">
        <v>0</v>
      </c>
      <c r="E9" s="125">
        <v>0</v>
      </c>
      <c r="F9" s="18">
        <f>IFERROR(#REF!/E9,0)</f>
        <v>0</v>
      </c>
      <c r="G9" s="13">
        <f t="shared" si="0"/>
        <v>0</v>
      </c>
      <c r="H9" s="19">
        <f t="shared" si="18"/>
        <v>0</v>
      </c>
      <c r="I9" s="128">
        <v>0</v>
      </c>
      <c r="J9" s="90">
        <f t="shared" ref="J9:J11" si="30">IFERROR((H9)/I9,0)</f>
        <v>0</v>
      </c>
      <c r="K9" s="128">
        <v>0</v>
      </c>
      <c r="L9" s="10">
        <f t="shared" si="3"/>
        <v>0</v>
      </c>
      <c r="M9" s="13">
        <f t="shared" si="15"/>
        <v>0</v>
      </c>
      <c r="N9" s="11">
        <f>E9+I9+K9</f>
        <v>0</v>
      </c>
      <c r="O9" s="12">
        <f>IFERROR(M9/N9,0)</f>
        <v>0</v>
      </c>
      <c r="P9" s="16">
        <f t="shared" si="4"/>
        <v>0</v>
      </c>
      <c r="Q9" s="19">
        <f t="shared" si="22"/>
        <v>0</v>
      </c>
      <c r="R9" s="127">
        <v>0</v>
      </c>
      <c r="S9" s="124">
        <v>0</v>
      </c>
      <c r="T9" s="21">
        <f t="shared" si="23"/>
        <v>0</v>
      </c>
      <c r="U9" s="132">
        <v>0</v>
      </c>
      <c r="V9" s="10">
        <f t="shared" si="7"/>
        <v>0</v>
      </c>
      <c r="W9" s="19">
        <f t="shared" si="24"/>
        <v>0</v>
      </c>
      <c r="X9" s="17">
        <f t="shared" si="25"/>
        <v>0</v>
      </c>
      <c r="Y9" s="164">
        <f t="shared" si="10"/>
        <v>0</v>
      </c>
      <c r="Z9" s="21">
        <f t="shared" si="26"/>
        <v>0</v>
      </c>
      <c r="AA9" s="83">
        <f t="shared" si="27"/>
        <v>0</v>
      </c>
      <c r="AB9" s="67">
        <f t="shared" si="28"/>
        <v>0</v>
      </c>
      <c r="AC9" s="68">
        <f t="shared" si="29"/>
        <v>0</v>
      </c>
    </row>
    <row r="10" spans="1:32" x14ac:dyDescent="0.25">
      <c r="A10" s="8">
        <v>45231</v>
      </c>
      <c r="B10" s="175">
        <v>647</v>
      </c>
      <c r="C10" s="122">
        <v>873</v>
      </c>
      <c r="D10" s="146">
        <v>1105</v>
      </c>
      <c r="E10" s="125">
        <v>20.65</v>
      </c>
      <c r="F10" s="18">
        <f>IFERROR(#REF!/E10,0)</f>
        <v>0</v>
      </c>
      <c r="G10" s="13">
        <f t="shared" si="0"/>
        <v>1796.6413599999998</v>
      </c>
      <c r="H10" s="19">
        <f t="shared" ref="H10:H11" si="31">G10</f>
        <v>1796.6413599999998</v>
      </c>
      <c r="I10" s="128">
        <v>38.730000000000004</v>
      </c>
      <c r="J10" s="90">
        <f t="shared" si="30"/>
        <v>46.388880970823642</v>
      </c>
      <c r="K10" s="129">
        <v>15.4</v>
      </c>
      <c r="L10" s="10">
        <f t="shared" si="3"/>
        <v>563.33199999999999</v>
      </c>
      <c r="M10" s="13">
        <f t="shared" si="15"/>
        <v>2359.97336</v>
      </c>
      <c r="N10" s="17">
        <f t="shared" ref="N10:N11" si="32">E10+I10+K10</f>
        <v>74.78</v>
      </c>
      <c r="O10" s="18">
        <f t="shared" ref="O10:O11" si="33">IFERROR(M10/N10,0)</f>
        <v>31.558884193634661</v>
      </c>
      <c r="P10" s="16">
        <f t="shared" si="4"/>
        <v>383.74864000000014</v>
      </c>
      <c r="Q10" s="19">
        <f t="shared" ref="Q10:Q11" si="34">P10</f>
        <v>383.74864000000014</v>
      </c>
      <c r="R10" s="127">
        <v>5.62</v>
      </c>
      <c r="S10" s="124">
        <v>0</v>
      </c>
      <c r="T10" s="21">
        <f t="shared" ref="T10:T11" si="35">IFERROR((Q10)/R10,0)</f>
        <v>68.282676156583648</v>
      </c>
      <c r="U10" s="132">
        <v>2.25</v>
      </c>
      <c r="V10" s="10">
        <f t="shared" si="7"/>
        <v>82.304999999999993</v>
      </c>
      <c r="W10" s="19">
        <f t="shared" ref="W10:W11" si="36">Q10+V10</f>
        <v>466.05364000000014</v>
      </c>
      <c r="X10" s="17">
        <f t="shared" ref="X10:X11" si="37">R10+U10</f>
        <v>7.87</v>
      </c>
      <c r="Y10" s="164">
        <f t="shared" si="10"/>
        <v>82.210927573062264</v>
      </c>
      <c r="Z10" s="21">
        <f t="shared" ref="Z10:Z11" si="38">IFERROR(W10/X10,0)</f>
        <v>59.219013977128355</v>
      </c>
      <c r="AA10" s="83">
        <f t="shared" ref="AA10:AA11" si="39">W10+M10</f>
        <v>2826.027</v>
      </c>
      <c r="AB10" s="67">
        <f t="shared" ref="AB10:AB11" si="40">X10+N10</f>
        <v>82.65</v>
      </c>
      <c r="AC10" s="68">
        <f t="shared" ref="AC10:AC11" si="41">IFERROR(AA10/AB10,0)</f>
        <v>34.192704174228673</v>
      </c>
    </row>
    <row r="11" spans="1:32" x14ac:dyDescent="0.25">
      <c r="A11" s="8">
        <v>45232</v>
      </c>
      <c r="B11" s="175">
        <v>547</v>
      </c>
      <c r="C11" s="122">
        <v>833</v>
      </c>
      <c r="D11" s="146">
        <v>1082</v>
      </c>
      <c r="E11" s="125">
        <v>18.759999999999998</v>
      </c>
      <c r="F11" s="18">
        <f>IFERROR(#REF!/E11,0)</f>
        <v>0</v>
      </c>
      <c r="G11" s="13">
        <f t="shared" si="0"/>
        <v>1518.95336</v>
      </c>
      <c r="H11" s="19">
        <f t="shared" si="31"/>
        <v>1518.95336</v>
      </c>
      <c r="I11" s="128">
        <v>44.36</v>
      </c>
      <c r="J11" s="90">
        <f t="shared" si="30"/>
        <v>34.241509467989182</v>
      </c>
      <c r="K11" s="129">
        <v>10.97</v>
      </c>
      <c r="L11" s="10">
        <f t="shared" si="3"/>
        <v>401.2826</v>
      </c>
      <c r="M11" s="13">
        <f t="shared" si="15"/>
        <v>1920.23596</v>
      </c>
      <c r="N11" s="17">
        <f t="shared" si="32"/>
        <v>74.09</v>
      </c>
      <c r="O11" s="18">
        <f t="shared" si="33"/>
        <v>25.917613173167766</v>
      </c>
      <c r="P11" s="16">
        <f t="shared" si="4"/>
        <v>324.43664000000012</v>
      </c>
      <c r="Q11" s="19">
        <f t="shared" si="34"/>
        <v>324.43664000000012</v>
      </c>
      <c r="R11" s="127">
        <v>4.6500000000000004</v>
      </c>
      <c r="S11" s="124">
        <v>0.08</v>
      </c>
      <c r="T11" s="21">
        <f t="shared" si="35"/>
        <v>69.771320430107551</v>
      </c>
      <c r="U11" s="132">
        <v>3.58</v>
      </c>
      <c r="V11" s="10">
        <f t="shared" si="7"/>
        <v>130.9564</v>
      </c>
      <c r="W11" s="19">
        <f t="shared" si="36"/>
        <v>455.39304000000016</v>
      </c>
      <c r="X11" s="17">
        <f t="shared" si="37"/>
        <v>8.23</v>
      </c>
      <c r="Y11" s="164">
        <f t="shared" si="10"/>
        <v>66.464155528554073</v>
      </c>
      <c r="Z11" s="21">
        <f t="shared" si="38"/>
        <v>55.333297691373041</v>
      </c>
      <c r="AA11" s="83">
        <f t="shared" si="39"/>
        <v>2375.6289999999999</v>
      </c>
      <c r="AB11" s="67">
        <f t="shared" si="40"/>
        <v>82.320000000000007</v>
      </c>
      <c r="AC11" s="68">
        <f t="shared" si="41"/>
        <v>28.858466958211853</v>
      </c>
    </row>
    <row r="12" spans="1:32" x14ac:dyDescent="0.25">
      <c r="A12" s="8">
        <v>45233</v>
      </c>
      <c r="B12" s="150">
        <v>941</v>
      </c>
      <c r="C12" s="123">
        <v>1224</v>
      </c>
      <c r="D12" s="145">
        <v>1590</v>
      </c>
      <c r="E12" s="125">
        <v>13.819999999999999</v>
      </c>
      <c r="F12" s="18">
        <f>IFERROR(#REF!/E12,0)</f>
        <v>0</v>
      </c>
      <c r="G12" s="13">
        <f t="shared" si="0"/>
        <v>2613.0440799999997</v>
      </c>
      <c r="H12" s="19">
        <f>G12</f>
        <v>2613.0440799999997</v>
      </c>
      <c r="I12" s="128">
        <v>54.81</v>
      </c>
      <c r="J12" s="90">
        <f t="shared" ref="J12:J37" si="42">IFERROR((H12)/I12,0)</f>
        <v>47.674586389345002</v>
      </c>
      <c r="K12" s="129">
        <v>16.72</v>
      </c>
      <c r="L12" s="10">
        <f t="shared" si="3"/>
        <v>611.61759999999992</v>
      </c>
      <c r="M12" s="13">
        <f t="shared" si="15"/>
        <v>3224.6616799999997</v>
      </c>
      <c r="N12" s="17">
        <f>E12+I12+K12</f>
        <v>85.35</v>
      </c>
      <c r="O12" s="18">
        <f t="shared" ref="O12:O37" si="43">IFERROR(M12/N12,0)</f>
        <v>37.781624838898651</v>
      </c>
      <c r="P12" s="16">
        <f t="shared" si="4"/>
        <v>558.12592000000018</v>
      </c>
      <c r="Q12" s="19">
        <f>P12</f>
        <v>558.12592000000018</v>
      </c>
      <c r="R12" s="127">
        <v>6.63</v>
      </c>
      <c r="S12" s="124">
        <v>0</v>
      </c>
      <c r="T12" s="21">
        <f t="shared" ref="T12:T37" si="44">IFERROR((Q12)/R12,0)</f>
        <v>84.181888386123703</v>
      </c>
      <c r="U12" s="132">
        <v>3.58</v>
      </c>
      <c r="V12" s="10">
        <f t="shared" si="7"/>
        <v>130.9564</v>
      </c>
      <c r="W12" s="19">
        <f t="shared" ref="W12:W36" si="45">Q12+V12</f>
        <v>689.08232000000021</v>
      </c>
      <c r="X12" s="17">
        <f>R12+U12</f>
        <v>10.210000000000001</v>
      </c>
      <c r="Y12" s="164">
        <f t="shared" si="10"/>
        <v>92.164544564152777</v>
      </c>
      <c r="Z12" s="21">
        <f t="shared" ref="Z12:Z37" si="46">IFERROR(W12/X12,0)</f>
        <v>67.490922624877584</v>
      </c>
      <c r="AA12" s="83">
        <f t="shared" ref="AA12:AB12" si="47">W12+M12</f>
        <v>3913.7439999999997</v>
      </c>
      <c r="AB12" s="67">
        <f t="shared" si="47"/>
        <v>95.56</v>
      </c>
      <c r="AC12" s="68">
        <f t="shared" ref="AC12:AC37" si="48">IFERROR(AA12/AB12,0)</f>
        <v>40.955881121808282</v>
      </c>
    </row>
    <row r="13" spans="1:32" x14ac:dyDescent="0.25">
      <c r="A13" s="95" t="s">
        <v>13</v>
      </c>
      <c r="B13" s="151">
        <f t="shared" ref="B13:E13" si="49">SUM(B8:B12)</f>
        <v>2135</v>
      </c>
      <c r="C13" s="148">
        <f t="shared" si="49"/>
        <v>2930</v>
      </c>
      <c r="D13" s="22">
        <f t="shared" si="49"/>
        <v>3777</v>
      </c>
      <c r="E13" s="153">
        <f t="shared" si="49"/>
        <v>53.23</v>
      </c>
      <c r="F13" s="27">
        <f>IFERROR(#REF!/E13,0)</f>
        <v>0</v>
      </c>
      <c r="G13" s="28">
        <f>SUM(G8:G12)</f>
        <v>5928.6387999999997</v>
      </c>
      <c r="H13" s="28">
        <f>SUM(H8:H12)</f>
        <v>5928.6387999999997</v>
      </c>
      <c r="I13" s="87">
        <f>SUM(I8:I12)</f>
        <v>137.9</v>
      </c>
      <c r="J13" s="91">
        <f t="shared" si="42"/>
        <v>42.992304568527913</v>
      </c>
      <c r="K13" s="26">
        <f>SUM(K8:K12)</f>
        <v>43.09</v>
      </c>
      <c r="L13" s="25">
        <f>SUM(L8:L12)</f>
        <v>1576.2321999999999</v>
      </c>
      <c r="M13" s="28">
        <f>SUM(M8:M12)</f>
        <v>7504.8709999999992</v>
      </c>
      <c r="N13" s="30">
        <f>SUM(N8:N12)</f>
        <v>234.22</v>
      </c>
      <c r="O13" s="27">
        <f t="shared" si="43"/>
        <v>32.041973358381007</v>
      </c>
      <c r="P13" s="24">
        <f>SUM(P8:P12)</f>
        <v>1266.3112000000006</v>
      </c>
      <c r="Q13" s="82">
        <f>SUM(Q8:Q12)</f>
        <v>1266.3112000000006</v>
      </c>
      <c r="R13" s="86">
        <f>SUM(R8:R12)</f>
        <v>16.899999999999999</v>
      </c>
      <c r="S13" s="26">
        <f>SUM(S8:S12)</f>
        <v>0.08</v>
      </c>
      <c r="T13" s="31">
        <f t="shared" si="44"/>
        <v>74.929656804733767</v>
      </c>
      <c r="U13" s="86">
        <f>SUM(U8:U12)</f>
        <v>9.41</v>
      </c>
      <c r="V13" s="25">
        <f>SUM(V8:V12)</f>
        <v>344.21780000000001</v>
      </c>
      <c r="W13" s="28">
        <f t="shared" si="45"/>
        <v>1610.5290000000005</v>
      </c>
      <c r="X13" s="30">
        <f>SUM(X8:X12)</f>
        <v>26.310000000000002</v>
      </c>
      <c r="Y13" s="165">
        <f t="shared" si="10"/>
        <v>81.147852527556054</v>
      </c>
      <c r="Z13" s="31">
        <f t="shared" si="46"/>
        <v>61.213568985176749</v>
      </c>
      <c r="AA13" s="84">
        <f>SUM(AA8:AA12)</f>
        <v>9115.4</v>
      </c>
      <c r="AB13" s="70">
        <f>SUM(AB8:AB12)</f>
        <v>260.53000000000003</v>
      </c>
      <c r="AC13" s="71">
        <f t="shared" si="48"/>
        <v>34.987909261889222</v>
      </c>
    </row>
    <row r="14" spans="1:32" x14ac:dyDescent="0.25">
      <c r="A14" s="8">
        <v>45236</v>
      </c>
      <c r="B14" s="150">
        <v>1291</v>
      </c>
      <c r="C14" s="123">
        <v>2184</v>
      </c>
      <c r="D14" s="145">
        <v>2726</v>
      </c>
      <c r="E14" s="125">
        <v>13.530000000000001</v>
      </c>
      <c r="F14" s="18">
        <f>IFERROR(#REF!/E14,0)</f>
        <v>0</v>
      </c>
      <c r="G14" s="19">
        <f>B14*K$3</f>
        <v>3584.9520799999996</v>
      </c>
      <c r="H14" s="19">
        <f>G14</f>
        <v>3584.9520799999996</v>
      </c>
      <c r="I14" s="128">
        <v>98.08</v>
      </c>
      <c r="J14" s="90">
        <f t="shared" si="42"/>
        <v>36.551305872756927</v>
      </c>
      <c r="K14" s="129">
        <v>9.7200000000000006</v>
      </c>
      <c r="L14" s="10">
        <f>K14*P$3</f>
        <v>355.55759999999998</v>
      </c>
      <c r="M14" s="13">
        <f t="shared" si="15"/>
        <v>3940.5096799999997</v>
      </c>
      <c r="N14" s="17">
        <f>E14+I14+K14</f>
        <v>121.33</v>
      </c>
      <c r="O14" s="18">
        <f t="shared" si="43"/>
        <v>32.477620374186102</v>
      </c>
      <c r="P14" s="16">
        <f>B14*T$3</f>
        <v>765.71792000000028</v>
      </c>
      <c r="Q14" s="157">
        <f>P14</f>
        <v>765.71792000000028</v>
      </c>
      <c r="R14" s="126">
        <v>7.08</v>
      </c>
      <c r="S14" s="156">
        <v>0.08</v>
      </c>
      <c r="T14" s="21">
        <f t="shared" si="44"/>
        <v>108.15224858757065</v>
      </c>
      <c r="U14" s="132">
        <v>1.75</v>
      </c>
      <c r="V14" s="10">
        <f>U14*Y$3</f>
        <v>64.015000000000001</v>
      </c>
      <c r="W14" s="19">
        <f t="shared" si="45"/>
        <v>829.73292000000026</v>
      </c>
      <c r="X14" s="17">
        <f>R14+U14</f>
        <v>8.83</v>
      </c>
      <c r="Y14" s="164">
        <f t="shared" si="10"/>
        <v>146.20611551528879</v>
      </c>
      <c r="Z14" s="21">
        <f t="shared" si="46"/>
        <v>93.967488108720303</v>
      </c>
      <c r="AA14" s="83">
        <f t="shared" ref="AA14:AB17" si="50">W14+M14</f>
        <v>4770.2425999999996</v>
      </c>
      <c r="AB14" s="67">
        <f t="shared" si="50"/>
        <v>130.16</v>
      </c>
      <c r="AC14" s="68">
        <f t="shared" si="48"/>
        <v>36.649067301782416</v>
      </c>
    </row>
    <row r="15" spans="1:32" x14ac:dyDescent="0.25">
      <c r="A15" s="8">
        <v>45237</v>
      </c>
      <c r="B15" s="150">
        <v>495</v>
      </c>
      <c r="C15" s="123">
        <v>697</v>
      </c>
      <c r="D15" s="145">
        <v>959</v>
      </c>
      <c r="E15" s="125">
        <v>25.02</v>
      </c>
      <c r="F15" s="18">
        <f>IFERROR(#REF!/E15,0)</f>
        <v>0</v>
      </c>
      <c r="G15" s="19">
        <f>B15*K$3</f>
        <v>1374.5555999999999</v>
      </c>
      <c r="H15" s="19">
        <f>G15</f>
        <v>1374.5555999999999</v>
      </c>
      <c r="I15" s="128">
        <v>48.27</v>
      </c>
      <c r="J15" s="90">
        <f t="shared" si="42"/>
        <v>28.476395276569296</v>
      </c>
      <c r="K15" s="129">
        <v>13.65</v>
      </c>
      <c r="L15" s="10">
        <f>K15*P$3</f>
        <v>499.31700000000001</v>
      </c>
      <c r="M15" s="13">
        <f t="shared" si="15"/>
        <v>1873.8725999999999</v>
      </c>
      <c r="N15" s="17">
        <f>E15+I15+K15</f>
        <v>86.940000000000012</v>
      </c>
      <c r="O15" s="18">
        <f t="shared" si="43"/>
        <v>21.553630089717043</v>
      </c>
      <c r="P15" s="16">
        <f>B15*T$3</f>
        <v>293.59440000000012</v>
      </c>
      <c r="Q15" s="157">
        <f>P15</f>
        <v>293.59440000000012</v>
      </c>
      <c r="R15" s="126">
        <v>4.6500000000000004</v>
      </c>
      <c r="S15" s="156">
        <v>0</v>
      </c>
      <c r="T15" s="21">
        <f t="shared" si="44"/>
        <v>63.138580645161312</v>
      </c>
      <c r="U15" s="132">
        <v>2.33</v>
      </c>
      <c r="V15" s="10">
        <f>U15*Y$3</f>
        <v>85.231399999999994</v>
      </c>
      <c r="W15" s="19">
        <f t="shared" si="45"/>
        <v>378.82580000000013</v>
      </c>
      <c r="X15" s="17">
        <f>R15+U15</f>
        <v>6.98</v>
      </c>
      <c r="Y15" s="164">
        <f t="shared" si="10"/>
        <v>70.916905444126073</v>
      </c>
      <c r="Z15" s="21">
        <f t="shared" si="46"/>
        <v>54.273037249283682</v>
      </c>
      <c r="AA15" s="83">
        <f t="shared" si="50"/>
        <v>2252.6984000000002</v>
      </c>
      <c r="AB15" s="67">
        <f t="shared" si="50"/>
        <v>93.920000000000016</v>
      </c>
      <c r="AC15" s="68">
        <f t="shared" si="48"/>
        <v>23.985289608177169</v>
      </c>
    </row>
    <row r="16" spans="1:32" x14ac:dyDescent="0.25">
      <c r="A16" s="8">
        <v>45238</v>
      </c>
      <c r="B16" s="150">
        <v>644</v>
      </c>
      <c r="C16" s="123">
        <v>809</v>
      </c>
      <c r="D16" s="145">
        <v>1013</v>
      </c>
      <c r="E16" s="125">
        <v>30.2</v>
      </c>
      <c r="F16" s="18">
        <f>IFERROR(#REF!/E16,0)</f>
        <v>0</v>
      </c>
      <c r="G16" s="33">
        <f>B16*K$3</f>
        <v>1788.3107199999999</v>
      </c>
      <c r="H16" s="33">
        <f>G16</f>
        <v>1788.3107199999999</v>
      </c>
      <c r="I16" s="128">
        <v>43.72</v>
      </c>
      <c r="J16" s="90">
        <f t="shared" si="42"/>
        <v>40.903721866422693</v>
      </c>
      <c r="K16" s="129">
        <v>2.82</v>
      </c>
      <c r="L16" s="10">
        <f>K16*P$3</f>
        <v>103.15559999999999</v>
      </c>
      <c r="M16" s="13">
        <f t="shared" si="15"/>
        <v>1891.46632</v>
      </c>
      <c r="N16" s="17">
        <f>E16+I16+K16</f>
        <v>76.739999999999995</v>
      </c>
      <c r="O16" s="18">
        <f t="shared" si="43"/>
        <v>24.647723742507168</v>
      </c>
      <c r="P16" s="32">
        <f>B16*T$3</f>
        <v>381.96928000000014</v>
      </c>
      <c r="Q16" s="158">
        <f>P16</f>
        <v>381.96928000000014</v>
      </c>
      <c r="R16" s="126">
        <v>5.6</v>
      </c>
      <c r="S16" s="156">
        <v>0.5</v>
      </c>
      <c r="T16" s="21">
        <f t="shared" si="44"/>
        <v>68.208800000000025</v>
      </c>
      <c r="U16" s="132">
        <v>1.5</v>
      </c>
      <c r="V16" s="10">
        <f>U16*Y$3</f>
        <v>54.87</v>
      </c>
      <c r="W16" s="19">
        <f t="shared" si="45"/>
        <v>436.83928000000014</v>
      </c>
      <c r="X16" s="17">
        <f>R16+U16</f>
        <v>7.1</v>
      </c>
      <c r="Y16" s="164">
        <f t="shared" si="10"/>
        <v>90.704225352112687</v>
      </c>
      <c r="Z16" s="21">
        <f t="shared" si="46"/>
        <v>61.526659154929604</v>
      </c>
      <c r="AA16" s="83">
        <f t="shared" si="50"/>
        <v>2328.3056000000001</v>
      </c>
      <c r="AB16" s="67">
        <f t="shared" si="50"/>
        <v>83.839999999999989</v>
      </c>
      <c r="AC16" s="68">
        <f t="shared" si="48"/>
        <v>27.770820610687029</v>
      </c>
    </row>
    <row r="17" spans="1:29" x14ac:dyDescent="0.25">
      <c r="A17" s="8">
        <v>45239</v>
      </c>
      <c r="B17" s="150">
        <v>637</v>
      </c>
      <c r="C17" s="123">
        <v>813</v>
      </c>
      <c r="D17" s="145">
        <v>1077</v>
      </c>
      <c r="E17" s="125">
        <v>17.86</v>
      </c>
      <c r="F17" s="18">
        <f>IFERROR(#REF!/E17,0)</f>
        <v>0</v>
      </c>
      <c r="G17" s="19">
        <f>B17*K$3</f>
        <v>1768.8725599999998</v>
      </c>
      <c r="H17" s="19">
        <f>G17</f>
        <v>1768.8725599999998</v>
      </c>
      <c r="I17" s="128">
        <v>36.85</v>
      </c>
      <c r="J17" s="90">
        <f t="shared" si="42"/>
        <v>48.001969063772044</v>
      </c>
      <c r="K17" s="129">
        <v>12.55</v>
      </c>
      <c r="L17" s="10">
        <f>K17*P$3</f>
        <v>459.07900000000001</v>
      </c>
      <c r="M17" s="13">
        <f t="shared" si="15"/>
        <v>2227.95156</v>
      </c>
      <c r="N17" s="17">
        <f>E17+I17+K17</f>
        <v>67.260000000000005</v>
      </c>
      <c r="O17" s="18">
        <f t="shared" si="43"/>
        <v>33.124465655664579</v>
      </c>
      <c r="P17" s="16">
        <f>B17*T$3</f>
        <v>377.81744000000015</v>
      </c>
      <c r="Q17" s="157">
        <f>P17</f>
        <v>377.81744000000015</v>
      </c>
      <c r="R17" s="126">
        <v>5.08</v>
      </c>
      <c r="S17" s="156">
        <v>1</v>
      </c>
      <c r="T17" s="21">
        <f t="shared" si="44"/>
        <v>74.373511811023647</v>
      </c>
      <c r="U17" s="132">
        <v>2.08</v>
      </c>
      <c r="V17" s="10">
        <f>U17*Y$3</f>
        <v>76.086399999999998</v>
      </c>
      <c r="W17" s="19">
        <f t="shared" si="45"/>
        <v>453.90384000000017</v>
      </c>
      <c r="X17" s="17">
        <f>R17+U17</f>
        <v>7.16</v>
      </c>
      <c r="Y17" s="164">
        <f t="shared" si="10"/>
        <v>88.966480446927378</v>
      </c>
      <c r="Z17" s="21">
        <f t="shared" si="46"/>
        <v>63.394391061452538</v>
      </c>
      <c r="AA17" s="83">
        <f t="shared" si="50"/>
        <v>2681.8554000000004</v>
      </c>
      <c r="AB17" s="67">
        <f t="shared" si="50"/>
        <v>74.42</v>
      </c>
      <c r="AC17" s="68">
        <f t="shared" si="48"/>
        <v>36.036756248320351</v>
      </c>
    </row>
    <row r="18" spans="1:29" s="195" customFormat="1" x14ac:dyDescent="0.25">
      <c r="A18" s="189">
        <v>45240</v>
      </c>
      <c r="B18" s="197"/>
      <c r="C18" s="191"/>
      <c r="D18" s="198"/>
      <c r="E18" s="193"/>
      <c r="F18" s="18">
        <f>IFERROR(#REF!/E18,0)</f>
        <v>0</v>
      </c>
      <c r="G18" s="19">
        <f>B18*K$3</f>
        <v>0</v>
      </c>
      <c r="H18" s="19">
        <f>G18</f>
        <v>0</v>
      </c>
      <c r="I18" s="199"/>
      <c r="J18" s="90">
        <f t="shared" si="42"/>
        <v>0</v>
      </c>
      <c r="K18" s="200"/>
      <c r="L18" s="10">
        <f>K18*P$3</f>
        <v>0</v>
      </c>
      <c r="M18" s="13">
        <f t="shared" ref="M18" si="51">H18+L18</f>
        <v>0</v>
      </c>
      <c r="N18" s="17">
        <f>E18+I18+K18</f>
        <v>0</v>
      </c>
      <c r="O18" s="18">
        <f t="shared" ref="O18" si="52">IFERROR(M18/N18,0)</f>
        <v>0</v>
      </c>
      <c r="P18" s="16">
        <f>B18*T$3</f>
        <v>0</v>
      </c>
      <c r="Q18" s="157">
        <f>P18</f>
        <v>0</v>
      </c>
      <c r="R18" s="201"/>
      <c r="S18" s="202"/>
      <c r="T18" s="21">
        <f t="shared" si="44"/>
        <v>0</v>
      </c>
      <c r="U18" s="201"/>
      <c r="V18" s="10">
        <f>U18*Y$3</f>
        <v>0</v>
      </c>
      <c r="W18" s="19">
        <f t="shared" ref="W18" si="53">Q18+V18</f>
        <v>0</v>
      </c>
      <c r="X18" s="17">
        <f>R18+U18</f>
        <v>0</v>
      </c>
      <c r="Y18" s="164">
        <f t="shared" ref="Y18" si="54">IFERROR(B18/X18,0)</f>
        <v>0</v>
      </c>
      <c r="Z18" s="21">
        <f t="shared" ref="Z18" si="55">IFERROR(W18/X18,0)</f>
        <v>0</v>
      </c>
      <c r="AA18" s="83">
        <f t="shared" ref="AA18" si="56">W18+M18</f>
        <v>0</v>
      </c>
      <c r="AB18" s="67">
        <f t="shared" ref="AB18" si="57">X18+N18</f>
        <v>0</v>
      </c>
      <c r="AC18" s="68">
        <f t="shared" ref="AC18" si="58">IFERROR(AA18/AB18,0)</f>
        <v>0</v>
      </c>
    </row>
    <row r="19" spans="1:29" x14ac:dyDescent="0.25">
      <c r="A19" s="95" t="s">
        <v>13</v>
      </c>
      <c r="B19" s="151">
        <f t="shared" ref="B19:E19" si="59">SUM(B14:B18)</f>
        <v>3067</v>
      </c>
      <c r="C19" s="148">
        <f t="shared" si="59"/>
        <v>4503</v>
      </c>
      <c r="D19" s="22">
        <f t="shared" si="59"/>
        <v>5775</v>
      </c>
      <c r="E19" s="153">
        <f t="shared" si="59"/>
        <v>86.61</v>
      </c>
      <c r="F19" s="27">
        <f>IFERROR(#REF!/E19,0)</f>
        <v>0</v>
      </c>
      <c r="G19" s="28">
        <f>SUM(G14:G18)</f>
        <v>8516.6909599999999</v>
      </c>
      <c r="H19" s="28">
        <f>SUM(H14:H18)</f>
        <v>8516.6909599999999</v>
      </c>
      <c r="I19" s="87">
        <f>SUM(I14:I18)</f>
        <v>226.92</v>
      </c>
      <c r="J19" s="91">
        <f t="shared" si="42"/>
        <v>37.531689405958048</v>
      </c>
      <c r="K19" s="26">
        <f>SUM(K14:K18)</f>
        <v>38.74</v>
      </c>
      <c r="L19" s="25">
        <f>SUM(L14:L18)</f>
        <v>1417.1091999999999</v>
      </c>
      <c r="M19" s="28">
        <f>SUM(M14:M18)</f>
        <v>9933.8001599999989</v>
      </c>
      <c r="N19" s="30">
        <f>SUM(N14:N18)</f>
        <v>352.27</v>
      </c>
      <c r="O19" s="27">
        <f t="shared" si="43"/>
        <v>28.199392965622959</v>
      </c>
      <c r="P19" s="24">
        <f>SUM(P14:P18)</f>
        <v>1819.099040000001</v>
      </c>
      <c r="Q19" s="82">
        <f>SUM(Q14:Q18)</f>
        <v>1819.099040000001</v>
      </c>
      <c r="R19" s="86">
        <f>SUM(R14:R18)</f>
        <v>22.409999999999997</v>
      </c>
      <c r="S19" s="26">
        <f>SUM(S14:S18)</f>
        <v>1.58</v>
      </c>
      <c r="T19" s="31">
        <f t="shared" si="44"/>
        <v>81.173540383757313</v>
      </c>
      <c r="U19" s="86">
        <f>SUM(U14:U18)</f>
        <v>7.66</v>
      </c>
      <c r="V19" s="25">
        <f>SUM(V14:V18)</f>
        <v>280.20280000000002</v>
      </c>
      <c r="W19" s="28">
        <f t="shared" si="45"/>
        <v>2099.301840000001</v>
      </c>
      <c r="X19" s="30">
        <f>SUM(X14:X18)</f>
        <v>30.07</v>
      </c>
      <c r="Y19" s="165">
        <f t="shared" si="10"/>
        <v>101.99534419687396</v>
      </c>
      <c r="Z19" s="31">
        <f t="shared" si="46"/>
        <v>69.813829065513829</v>
      </c>
      <c r="AA19" s="84">
        <f>SUM(AA14:AA18)</f>
        <v>12033.102000000001</v>
      </c>
      <c r="AB19" s="70">
        <f>SUM(AB14:AB18)</f>
        <v>382.34000000000003</v>
      </c>
      <c r="AC19" s="71">
        <f t="shared" si="48"/>
        <v>31.472255060940522</v>
      </c>
    </row>
    <row r="20" spans="1:29" x14ac:dyDescent="0.25">
      <c r="A20" s="8">
        <v>45243</v>
      </c>
      <c r="B20" s="150"/>
      <c r="C20" s="123"/>
      <c r="D20" s="145"/>
      <c r="E20" s="119"/>
      <c r="F20" s="18">
        <f>IFERROR(#REF!/E20,0)</f>
        <v>0</v>
      </c>
      <c r="G20" s="19">
        <f>B20*K$3</f>
        <v>0</v>
      </c>
      <c r="H20" s="19">
        <f>G20</f>
        <v>0</v>
      </c>
      <c r="I20" s="131"/>
      <c r="J20" s="90">
        <f t="shared" si="42"/>
        <v>0</v>
      </c>
      <c r="K20" s="121"/>
      <c r="L20" s="10">
        <f>K20*P$3</f>
        <v>0</v>
      </c>
      <c r="M20" s="13">
        <f t="shared" si="15"/>
        <v>0</v>
      </c>
      <c r="N20" s="17">
        <f>E20+I20+K20</f>
        <v>0</v>
      </c>
      <c r="O20" s="18">
        <f t="shared" si="43"/>
        <v>0</v>
      </c>
      <c r="P20" s="16">
        <f>B20*T$3</f>
        <v>0</v>
      </c>
      <c r="Q20" s="157">
        <f>P20</f>
        <v>0</v>
      </c>
      <c r="R20" s="126"/>
      <c r="S20" s="120"/>
      <c r="T20" s="21">
        <f t="shared" si="44"/>
        <v>0</v>
      </c>
      <c r="U20" s="126"/>
      <c r="V20" s="10">
        <f>U20*Y$3</f>
        <v>0</v>
      </c>
      <c r="W20" s="19">
        <f t="shared" si="45"/>
        <v>0</v>
      </c>
      <c r="X20" s="17">
        <f>R20+U20</f>
        <v>0</v>
      </c>
      <c r="Y20" s="164">
        <f t="shared" si="10"/>
        <v>0</v>
      </c>
      <c r="Z20" s="21">
        <f t="shared" si="46"/>
        <v>0</v>
      </c>
      <c r="AA20" s="83">
        <f t="shared" ref="AA20:AB24" si="60">W20+M20</f>
        <v>0</v>
      </c>
      <c r="AB20" s="67">
        <f t="shared" si="60"/>
        <v>0</v>
      </c>
      <c r="AC20" s="68">
        <f t="shared" si="48"/>
        <v>0</v>
      </c>
    </row>
    <row r="21" spans="1:29" x14ac:dyDescent="0.25">
      <c r="A21" s="8">
        <v>45244</v>
      </c>
      <c r="B21" s="150"/>
      <c r="C21" s="123"/>
      <c r="D21" s="145"/>
      <c r="E21" s="119"/>
      <c r="F21" s="18">
        <f>IFERROR(#REF!/E21,0)</f>
        <v>0</v>
      </c>
      <c r="G21" s="19">
        <f>B21*K$3</f>
        <v>0</v>
      </c>
      <c r="H21" s="19">
        <f>G21</f>
        <v>0</v>
      </c>
      <c r="I21" s="131"/>
      <c r="J21" s="90">
        <f t="shared" si="42"/>
        <v>0</v>
      </c>
      <c r="K21" s="121"/>
      <c r="L21" s="10">
        <f>K21*P$3</f>
        <v>0</v>
      </c>
      <c r="M21" s="13">
        <f t="shared" si="15"/>
        <v>0</v>
      </c>
      <c r="N21" s="17">
        <f>E21+I21+K21</f>
        <v>0</v>
      </c>
      <c r="O21" s="18">
        <f t="shared" si="43"/>
        <v>0</v>
      </c>
      <c r="P21" s="16">
        <f>B21*T$3</f>
        <v>0</v>
      </c>
      <c r="Q21" s="157">
        <f>P21</f>
        <v>0</v>
      </c>
      <c r="R21" s="126"/>
      <c r="S21" s="120"/>
      <c r="T21" s="21">
        <f t="shared" si="44"/>
        <v>0</v>
      </c>
      <c r="U21" s="126"/>
      <c r="V21" s="10">
        <f>U21*Y$3</f>
        <v>0</v>
      </c>
      <c r="W21" s="19">
        <f t="shared" si="45"/>
        <v>0</v>
      </c>
      <c r="X21" s="17">
        <f>R21+U21</f>
        <v>0</v>
      </c>
      <c r="Y21" s="164">
        <f t="shared" si="10"/>
        <v>0</v>
      </c>
      <c r="Z21" s="21">
        <f t="shared" si="46"/>
        <v>0</v>
      </c>
      <c r="AA21" s="83">
        <f t="shared" si="60"/>
        <v>0</v>
      </c>
      <c r="AB21" s="67">
        <f t="shared" si="60"/>
        <v>0</v>
      </c>
      <c r="AC21" s="68">
        <f t="shared" si="48"/>
        <v>0</v>
      </c>
    </row>
    <row r="22" spans="1:29" x14ac:dyDescent="0.25">
      <c r="A22" s="8">
        <v>45245</v>
      </c>
      <c r="B22" s="150"/>
      <c r="C22" s="123"/>
      <c r="D22" s="145"/>
      <c r="E22" s="119"/>
      <c r="F22" s="18">
        <f>IFERROR(#REF!/E22,0)</f>
        <v>0</v>
      </c>
      <c r="G22" s="19">
        <f>B22*K$3</f>
        <v>0</v>
      </c>
      <c r="H22" s="19">
        <f>G22</f>
        <v>0</v>
      </c>
      <c r="I22" s="131"/>
      <c r="J22" s="90">
        <f t="shared" si="42"/>
        <v>0</v>
      </c>
      <c r="K22" s="121"/>
      <c r="L22" s="10">
        <f>K22*P$3</f>
        <v>0</v>
      </c>
      <c r="M22" s="13">
        <f t="shared" si="15"/>
        <v>0</v>
      </c>
      <c r="N22" s="17">
        <f>E22+I22+K22</f>
        <v>0</v>
      </c>
      <c r="O22" s="18">
        <f t="shared" si="43"/>
        <v>0</v>
      </c>
      <c r="P22" s="16">
        <f>B22*T$3</f>
        <v>0</v>
      </c>
      <c r="Q22" s="157">
        <f>P22</f>
        <v>0</v>
      </c>
      <c r="R22" s="126"/>
      <c r="S22" s="120"/>
      <c r="T22" s="21">
        <f t="shared" si="44"/>
        <v>0</v>
      </c>
      <c r="U22" s="126"/>
      <c r="V22" s="10">
        <f>U22*Y$3</f>
        <v>0</v>
      </c>
      <c r="W22" s="19">
        <f t="shared" si="45"/>
        <v>0</v>
      </c>
      <c r="X22" s="17">
        <f>R22+U22</f>
        <v>0</v>
      </c>
      <c r="Y22" s="164">
        <f t="shared" si="10"/>
        <v>0</v>
      </c>
      <c r="Z22" s="21">
        <f t="shared" si="46"/>
        <v>0</v>
      </c>
      <c r="AA22" s="83">
        <f t="shared" si="60"/>
        <v>0</v>
      </c>
      <c r="AB22" s="67">
        <f t="shared" si="60"/>
        <v>0</v>
      </c>
      <c r="AC22" s="68">
        <f t="shared" si="48"/>
        <v>0</v>
      </c>
    </row>
    <row r="23" spans="1:29" x14ac:dyDescent="0.25">
      <c r="A23" s="8">
        <v>45246</v>
      </c>
      <c r="B23" s="150"/>
      <c r="C23" s="123"/>
      <c r="D23" s="145"/>
      <c r="E23" s="119"/>
      <c r="F23" s="18">
        <f>IFERROR(#REF!/E23,0)</f>
        <v>0</v>
      </c>
      <c r="G23" s="19">
        <f>B23*K$3</f>
        <v>0</v>
      </c>
      <c r="H23" s="19">
        <f>G23</f>
        <v>0</v>
      </c>
      <c r="I23" s="131"/>
      <c r="J23" s="90">
        <f t="shared" si="42"/>
        <v>0</v>
      </c>
      <c r="K23" s="121"/>
      <c r="L23" s="10">
        <f>K23*P$3</f>
        <v>0</v>
      </c>
      <c r="M23" s="13">
        <f t="shared" si="15"/>
        <v>0</v>
      </c>
      <c r="N23" s="17">
        <f>E23+I23+K23</f>
        <v>0</v>
      </c>
      <c r="O23" s="18">
        <f t="shared" si="43"/>
        <v>0</v>
      </c>
      <c r="P23" s="16">
        <f>B23*T$3</f>
        <v>0</v>
      </c>
      <c r="Q23" s="157">
        <f>P23</f>
        <v>0</v>
      </c>
      <c r="R23" s="126"/>
      <c r="S23" s="120"/>
      <c r="T23" s="21">
        <f t="shared" si="44"/>
        <v>0</v>
      </c>
      <c r="U23" s="126"/>
      <c r="V23" s="10">
        <f>U23*Y$3</f>
        <v>0</v>
      </c>
      <c r="W23" s="19">
        <f t="shared" si="45"/>
        <v>0</v>
      </c>
      <c r="X23" s="17">
        <f>R23+U23</f>
        <v>0</v>
      </c>
      <c r="Y23" s="164">
        <f t="shared" si="10"/>
        <v>0</v>
      </c>
      <c r="Z23" s="21">
        <f t="shared" si="46"/>
        <v>0</v>
      </c>
      <c r="AA23" s="83">
        <f t="shared" si="60"/>
        <v>0</v>
      </c>
      <c r="AB23" s="67">
        <f t="shared" si="60"/>
        <v>0</v>
      </c>
      <c r="AC23" s="68">
        <f t="shared" si="48"/>
        <v>0</v>
      </c>
    </row>
    <row r="24" spans="1:29" x14ac:dyDescent="0.25">
      <c r="A24" s="8">
        <v>45247</v>
      </c>
      <c r="B24" s="150"/>
      <c r="C24" s="123"/>
      <c r="D24" s="145"/>
      <c r="E24" s="119"/>
      <c r="F24" s="18">
        <f>IFERROR(#REF!/E24,0)</f>
        <v>0</v>
      </c>
      <c r="G24" s="19">
        <f>B24*K$3</f>
        <v>0</v>
      </c>
      <c r="H24" s="19">
        <f>G24</f>
        <v>0</v>
      </c>
      <c r="I24" s="131"/>
      <c r="J24" s="90">
        <f t="shared" si="42"/>
        <v>0</v>
      </c>
      <c r="K24" s="121"/>
      <c r="L24" s="10">
        <f>K24*P$3</f>
        <v>0</v>
      </c>
      <c r="M24" s="13">
        <f t="shared" si="15"/>
        <v>0</v>
      </c>
      <c r="N24" s="17">
        <f>E24+I24+K24</f>
        <v>0</v>
      </c>
      <c r="O24" s="18">
        <f t="shared" si="43"/>
        <v>0</v>
      </c>
      <c r="P24" s="16">
        <f>B24*T$3</f>
        <v>0</v>
      </c>
      <c r="Q24" s="157">
        <f>P24</f>
        <v>0</v>
      </c>
      <c r="R24" s="126"/>
      <c r="S24" s="120"/>
      <c r="T24" s="21">
        <f t="shared" si="44"/>
        <v>0</v>
      </c>
      <c r="U24" s="126"/>
      <c r="V24" s="10">
        <f>U24*Y$3</f>
        <v>0</v>
      </c>
      <c r="W24" s="19">
        <f t="shared" si="45"/>
        <v>0</v>
      </c>
      <c r="X24" s="17">
        <f>R24+U24</f>
        <v>0</v>
      </c>
      <c r="Y24" s="164">
        <f t="shared" si="10"/>
        <v>0</v>
      </c>
      <c r="Z24" s="21">
        <f t="shared" si="46"/>
        <v>0</v>
      </c>
      <c r="AA24" s="83">
        <f t="shared" si="60"/>
        <v>0</v>
      </c>
      <c r="AB24" s="67">
        <f t="shared" si="60"/>
        <v>0</v>
      </c>
      <c r="AC24" s="68">
        <f t="shared" si="48"/>
        <v>0</v>
      </c>
    </row>
    <row r="25" spans="1:29" x14ac:dyDescent="0.25">
      <c r="A25" s="95" t="s">
        <v>13</v>
      </c>
      <c r="B25" s="151">
        <f t="shared" ref="B25:E25" si="61">SUM(B20:B24)</f>
        <v>0</v>
      </c>
      <c r="C25" s="148">
        <f t="shared" si="61"/>
        <v>0</v>
      </c>
      <c r="D25" s="22">
        <f t="shared" si="61"/>
        <v>0</v>
      </c>
      <c r="E25" s="153">
        <f t="shared" si="61"/>
        <v>0</v>
      </c>
      <c r="F25" s="27">
        <f>IFERROR(#REF!/E25,0)</f>
        <v>0</v>
      </c>
      <c r="G25" s="28">
        <f>SUM(G20:G24)</f>
        <v>0</v>
      </c>
      <c r="H25" s="28">
        <f>SUM(H20:H24)</f>
        <v>0</v>
      </c>
      <c r="I25" s="87">
        <f>SUM(I20:I24)</f>
        <v>0</v>
      </c>
      <c r="J25" s="91">
        <f t="shared" si="42"/>
        <v>0</v>
      </c>
      <c r="K25" s="26">
        <f>SUM(K20:K24)</f>
        <v>0</v>
      </c>
      <c r="L25" s="25">
        <f>SUM(L20:L24)</f>
        <v>0</v>
      </c>
      <c r="M25" s="28">
        <f>SUM(M20:M24)</f>
        <v>0</v>
      </c>
      <c r="N25" s="30">
        <f>SUM(N20:N24)</f>
        <v>0</v>
      </c>
      <c r="O25" s="27">
        <f t="shared" si="43"/>
        <v>0</v>
      </c>
      <c r="P25" s="24">
        <f>SUM(P20:P24)</f>
        <v>0</v>
      </c>
      <c r="Q25" s="82">
        <f>SUM(Q20:Q24)</f>
        <v>0</v>
      </c>
      <c r="R25" s="86">
        <f>SUM(R20:R24)</f>
        <v>0</v>
      </c>
      <c r="S25" s="26">
        <f>SUM(S20:S24)</f>
        <v>0</v>
      </c>
      <c r="T25" s="31">
        <f t="shared" si="44"/>
        <v>0</v>
      </c>
      <c r="U25" s="86">
        <f>SUM(U20:U24)</f>
        <v>0</v>
      </c>
      <c r="V25" s="25">
        <f>SUM(V20:V24)</f>
        <v>0</v>
      </c>
      <c r="W25" s="28">
        <f t="shared" si="45"/>
        <v>0</v>
      </c>
      <c r="X25" s="30">
        <f>SUM(X20:X24)</f>
        <v>0</v>
      </c>
      <c r="Y25" s="165">
        <f t="shared" si="10"/>
        <v>0</v>
      </c>
      <c r="Z25" s="31">
        <f t="shared" si="46"/>
        <v>0</v>
      </c>
      <c r="AA25" s="84">
        <f>SUM(AA20:AA24)</f>
        <v>0</v>
      </c>
      <c r="AB25" s="70">
        <f>SUM(AB20:AB24)</f>
        <v>0</v>
      </c>
      <c r="AC25" s="71">
        <f t="shared" si="48"/>
        <v>0</v>
      </c>
    </row>
    <row r="26" spans="1:29" x14ac:dyDescent="0.25">
      <c r="A26" s="8">
        <v>45250</v>
      </c>
      <c r="B26" s="150"/>
      <c r="C26" s="123"/>
      <c r="D26" s="145"/>
      <c r="E26" s="119"/>
      <c r="F26" s="18">
        <f>IFERROR(#REF!/E26,0)</f>
        <v>0</v>
      </c>
      <c r="G26" s="19">
        <f>B26*K$3</f>
        <v>0</v>
      </c>
      <c r="H26" s="19">
        <f>G26</f>
        <v>0</v>
      </c>
      <c r="I26" s="130"/>
      <c r="J26" s="90">
        <f t="shared" si="42"/>
        <v>0</v>
      </c>
      <c r="K26" s="121"/>
      <c r="L26" s="10">
        <f>K26*P$3</f>
        <v>0</v>
      </c>
      <c r="M26" s="13">
        <f t="shared" si="15"/>
        <v>0</v>
      </c>
      <c r="N26" s="17">
        <f>E26+I26+K26</f>
        <v>0</v>
      </c>
      <c r="O26" s="18">
        <f t="shared" si="43"/>
        <v>0</v>
      </c>
      <c r="P26" s="16">
        <f>B26*T$3</f>
        <v>0</v>
      </c>
      <c r="Q26" s="157">
        <f>P26</f>
        <v>0</v>
      </c>
      <c r="R26" s="126"/>
      <c r="S26" s="120"/>
      <c r="T26" s="21">
        <f t="shared" si="44"/>
        <v>0</v>
      </c>
      <c r="U26" s="126"/>
      <c r="V26" s="10">
        <f>U26*Y$3</f>
        <v>0</v>
      </c>
      <c r="W26" s="19">
        <f t="shared" si="45"/>
        <v>0</v>
      </c>
      <c r="X26" s="17">
        <f>R26+U26</f>
        <v>0</v>
      </c>
      <c r="Y26" s="164">
        <f t="shared" si="10"/>
        <v>0</v>
      </c>
      <c r="Z26" s="21">
        <f t="shared" si="46"/>
        <v>0</v>
      </c>
      <c r="AA26" s="83">
        <f t="shared" ref="AA26:AB30" si="62">W26+M26</f>
        <v>0</v>
      </c>
      <c r="AB26" s="67">
        <f t="shared" si="62"/>
        <v>0</v>
      </c>
      <c r="AC26" s="68">
        <f t="shared" si="48"/>
        <v>0</v>
      </c>
    </row>
    <row r="27" spans="1:29" x14ac:dyDescent="0.25">
      <c r="A27" s="8">
        <v>45251</v>
      </c>
      <c r="B27" s="150"/>
      <c r="C27" s="123"/>
      <c r="D27" s="145"/>
      <c r="E27" s="119"/>
      <c r="F27" s="18">
        <f>IFERROR(#REF!/E27,0)</f>
        <v>0</v>
      </c>
      <c r="G27" s="19">
        <f>B27*K$3</f>
        <v>0</v>
      </c>
      <c r="H27" s="19">
        <f>G27</f>
        <v>0</v>
      </c>
      <c r="I27" s="130"/>
      <c r="J27" s="90">
        <f t="shared" si="42"/>
        <v>0</v>
      </c>
      <c r="K27" s="121"/>
      <c r="L27" s="10">
        <f>K27*P$3</f>
        <v>0</v>
      </c>
      <c r="M27" s="13">
        <f t="shared" si="15"/>
        <v>0</v>
      </c>
      <c r="N27" s="17">
        <f>E27+I27+K27</f>
        <v>0</v>
      </c>
      <c r="O27" s="18">
        <f t="shared" si="43"/>
        <v>0</v>
      </c>
      <c r="P27" s="16">
        <f>B27*T$3</f>
        <v>0</v>
      </c>
      <c r="Q27" s="157">
        <f>P27</f>
        <v>0</v>
      </c>
      <c r="R27" s="126"/>
      <c r="S27" s="120"/>
      <c r="T27" s="21">
        <f t="shared" si="44"/>
        <v>0</v>
      </c>
      <c r="U27" s="126"/>
      <c r="V27" s="10">
        <f>U27*Y$3</f>
        <v>0</v>
      </c>
      <c r="W27" s="19">
        <f t="shared" si="45"/>
        <v>0</v>
      </c>
      <c r="X27" s="17">
        <f>R27+U27</f>
        <v>0</v>
      </c>
      <c r="Y27" s="164">
        <f t="shared" si="10"/>
        <v>0</v>
      </c>
      <c r="Z27" s="21">
        <f t="shared" si="46"/>
        <v>0</v>
      </c>
      <c r="AA27" s="83">
        <f t="shared" si="62"/>
        <v>0</v>
      </c>
      <c r="AB27" s="67">
        <f t="shared" si="62"/>
        <v>0</v>
      </c>
      <c r="AC27" s="68">
        <f t="shared" si="48"/>
        <v>0</v>
      </c>
    </row>
    <row r="28" spans="1:29" x14ac:dyDescent="0.25">
      <c r="A28" s="8">
        <v>45252</v>
      </c>
      <c r="B28" s="150"/>
      <c r="C28" s="123"/>
      <c r="D28" s="145"/>
      <c r="E28" s="119"/>
      <c r="F28" s="18">
        <f>IFERROR(#REF!/E28,0)</f>
        <v>0</v>
      </c>
      <c r="G28" s="19">
        <f>B28*K$3</f>
        <v>0</v>
      </c>
      <c r="H28" s="19">
        <f>G28</f>
        <v>0</v>
      </c>
      <c r="I28" s="130"/>
      <c r="J28" s="90">
        <f t="shared" si="42"/>
        <v>0</v>
      </c>
      <c r="K28" s="121"/>
      <c r="L28" s="10">
        <f>K28*P$3</f>
        <v>0</v>
      </c>
      <c r="M28" s="13">
        <f t="shared" si="15"/>
        <v>0</v>
      </c>
      <c r="N28" s="17">
        <f>E28+I28+K28</f>
        <v>0</v>
      </c>
      <c r="O28" s="18">
        <f t="shared" si="43"/>
        <v>0</v>
      </c>
      <c r="P28" s="16">
        <f>B28*T$3</f>
        <v>0</v>
      </c>
      <c r="Q28" s="157">
        <f>P28</f>
        <v>0</v>
      </c>
      <c r="R28" s="126"/>
      <c r="S28" s="120"/>
      <c r="T28" s="21">
        <f t="shared" si="44"/>
        <v>0</v>
      </c>
      <c r="U28" s="126"/>
      <c r="V28" s="10">
        <f>U28*Y$3</f>
        <v>0</v>
      </c>
      <c r="W28" s="19">
        <f t="shared" si="45"/>
        <v>0</v>
      </c>
      <c r="X28" s="17">
        <f>R28+U28</f>
        <v>0</v>
      </c>
      <c r="Y28" s="164">
        <f t="shared" si="10"/>
        <v>0</v>
      </c>
      <c r="Z28" s="21">
        <f t="shared" si="46"/>
        <v>0</v>
      </c>
      <c r="AA28" s="83">
        <f t="shared" si="62"/>
        <v>0</v>
      </c>
      <c r="AB28" s="67">
        <f t="shared" si="62"/>
        <v>0</v>
      </c>
      <c r="AC28" s="68">
        <f t="shared" si="48"/>
        <v>0</v>
      </c>
    </row>
    <row r="29" spans="1:29" x14ac:dyDescent="0.25">
      <c r="A29" s="8">
        <v>45253</v>
      </c>
      <c r="B29" s="150"/>
      <c r="C29" s="123"/>
      <c r="D29" s="145"/>
      <c r="E29" s="119"/>
      <c r="F29" s="18">
        <f>IFERROR(#REF!/E29,0)</f>
        <v>0</v>
      </c>
      <c r="G29" s="19">
        <f>B29*K$3</f>
        <v>0</v>
      </c>
      <c r="H29" s="19">
        <f>G29</f>
        <v>0</v>
      </c>
      <c r="I29" s="130"/>
      <c r="J29" s="90">
        <f t="shared" si="42"/>
        <v>0</v>
      </c>
      <c r="K29" s="121"/>
      <c r="L29" s="10">
        <f>K29*P$3</f>
        <v>0</v>
      </c>
      <c r="M29" s="13">
        <f t="shared" si="15"/>
        <v>0</v>
      </c>
      <c r="N29" s="17">
        <f>E29+I29+K29</f>
        <v>0</v>
      </c>
      <c r="O29" s="18">
        <f t="shared" si="43"/>
        <v>0</v>
      </c>
      <c r="P29" s="16">
        <f>B29*T$3</f>
        <v>0</v>
      </c>
      <c r="Q29" s="157">
        <f>P29</f>
        <v>0</v>
      </c>
      <c r="R29" s="126"/>
      <c r="S29" s="120"/>
      <c r="T29" s="21">
        <f t="shared" si="44"/>
        <v>0</v>
      </c>
      <c r="U29" s="126"/>
      <c r="V29" s="10">
        <f>U29*Y$3</f>
        <v>0</v>
      </c>
      <c r="W29" s="19">
        <f t="shared" si="45"/>
        <v>0</v>
      </c>
      <c r="X29" s="17">
        <f>R29+U29</f>
        <v>0</v>
      </c>
      <c r="Y29" s="164">
        <f t="shared" si="10"/>
        <v>0</v>
      </c>
      <c r="Z29" s="21">
        <f t="shared" si="46"/>
        <v>0</v>
      </c>
      <c r="AA29" s="83">
        <f t="shared" si="62"/>
        <v>0</v>
      </c>
      <c r="AB29" s="67">
        <f t="shared" si="62"/>
        <v>0</v>
      </c>
      <c r="AC29" s="68">
        <f t="shared" si="48"/>
        <v>0</v>
      </c>
    </row>
    <row r="30" spans="1:29" x14ac:dyDescent="0.25">
      <c r="A30" s="8">
        <v>45254</v>
      </c>
      <c r="B30" s="150"/>
      <c r="C30" s="123"/>
      <c r="D30" s="145"/>
      <c r="E30" s="119"/>
      <c r="F30" s="18">
        <f>IFERROR(#REF!/E30,0)</f>
        <v>0</v>
      </c>
      <c r="G30" s="19">
        <f>B30*K$3</f>
        <v>0</v>
      </c>
      <c r="H30" s="19">
        <f>G30</f>
        <v>0</v>
      </c>
      <c r="I30" s="130"/>
      <c r="J30" s="90">
        <f t="shared" si="42"/>
        <v>0</v>
      </c>
      <c r="K30" s="121"/>
      <c r="L30" s="10">
        <f>K30*P$3</f>
        <v>0</v>
      </c>
      <c r="M30" s="13">
        <f t="shared" si="15"/>
        <v>0</v>
      </c>
      <c r="N30" s="17">
        <f>E30+I30+K30</f>
        <v>0</v>
      </c>
      <c r="O30" s="18">
        <f t="shared" si="43"/>
        <v>0</v>
      </c>
      <c r="P30" s="16">
        <f>B30*T$3</f>
        <v>0</v>
      </c>
      <c r="Q30" s="157">
        <f>P30</f>
        <v>0</v>
      </c>
      <c r="R30" s="126"/>
      <c r="S30" s="120"/>
      <c r="T30" s="21">
        <f t="shared" si="44"/>
        <v>0</v>
      </c>
      <c r="U30" s="126"/>
      <c r="V30" s="10">
        <f>U30*Y$3</f>
        <v>0</v>
      </c>
      <c r="W30" s="19">
        <f t="shared" si="45"/>
        <v>0</v>
      </c>
      <c r="X30" s="17">
        <f>R30+U30</f>
        <v>0</v>
      </c>
      <c r="Y30" s="164">
        <f t="shared" si="10"/>
        <v>0</v>
      </c>
      <c r="Z30" s="21">
        <f t="shared" si="46"/>
        <v>0</v>
      </c>
      <c r="AA30" s="83">
        <f t="shared" si="62"/>
        <v>0</v>
      </c>
      <c r="AB30" s="67">
        <f t="shared" si="62"/>
        <v>0</v>
      </c>
      <c r="AC30" s="68">
        <f t="shared" si="48"/>
        <v>0</v>
      </c>
    </row>
    <row r="31" spans="1:29" x14ac:dyDescent="0.25">
      <c r="A31" s="95" t="s">
        <v>13</v>
      </c>
      <c r="B31" s="151">
        <f t="shared" ref="B31:E31" si="63">SUM(B26:B30)</f>
        <v>0</v>
      </c>
      <c r="C31" s="148">
        <f t="shared" si="63"/>
        <v>0</v>
      </c>
      <c r="D31" s="22">
        <f t="shared" si="63"/>
        <v>0</v>
      </c>
      <c r="E31" s="153">
        <f t="shared" si="63"/>
        <v>0</v>
      </c>
      <c r="F31" s="27">
        <f>IFERROR(#REF!/E31,0)</f>
        <v>0</v>
      </c>
      <c r="G31" s="28">
        <f>SUM(G26:G30)</f>
        <v>0</v>
      </c>
      <c r="H31" s="25">
        <f>SUM(H26:H30)</f>
        <v>0</v>
      </c>
      <c r="I31" s="87">
        <f>SUM(I26:I30)</f>
        <v>0</v>
      </c>
      <c r="J31" s="91">
        <f t="shared" si="42"/>
        <v>0</v>
      </c>
      <c r="K31" s="26">
        <f>SUM(K26:K30)</f>
        <v>0</v>
      </c>
      <c r="L31" s="25">
        <f>SUM(L26:L30)</f>
        <v>0</v>
      </c>
      <c r="M31" s="28">
        <f>SUM(M26:M30)</f>
        <v>0</v>
      </c>
      <c r="N31" s="30">
        <f>SUM(N26:N30)</f>
        <v>0</v>
      </c>
      <c r="O31" s="27">
        <f t="shared" si="43"/>
        <v>0</v>
      </c>
      <c r="P31" s="24">
        <f>SUM(P26:P30)</f>
        <v>0</v>
      </c>
      <c r="Q31" s="82">
        <f>SUM(Q26:Q30)</f>
        <v>0</v>
      </c>
      <c r="R31" s="86">
        <f>SUM(R26:R30)</f>
        <v>0</v>
      </c>
      <c r="S31" s="26">
        <f>SUM(S26:S30)</f>
        <v>0</v>
      </c>
      <c r="T31" s="31">
        <f t="shared" si="44"/>
        <v>0</v>
      </c>
      <c r="U31" s="86">
        <f>SUM(U26:U30)</f>
        <v>0</v>
      </c>
      <c r="V31" s="25">
        <f>SUM(V26:V30)</f>
        <v>0</v>
      </c>
      <c r="W31" s="28">
        <f t="shared" si="45"/>
        <v>0</v>
      </c>
      <c r="X31" s="30">
        <f>SUM(X26:X30)</f>
        <v>0</v>
      </c>
      <c r="Y31" s="165">
        <f t="shared" si="10"/>
        <v>0</v>
      </c>
      <c r="Z31" s="31">
        <f t="shared" si="46"/>
        <v>0</v>
      </c>
      <c r="AA31" s="84">
        <f>SUM(AA26:AA30)</f>
        <v>0</v>
      </c>
      <c r="AB31" s="70">
        <f>SUM(AB26:AB30)</f>
        <v>0</v>
      </c>
      <c r="AC31" s="71">
        <f t="shared" si="48"/>
        <v>0</v>
      </c>
    </row>
    <row r="32" spans="1:29" x14ac:dyDescent="0.25">
      <c r="A32" s="8">
        <v>45257</v>
      </c>
      <c r="B32" s="150"/>
      <c r="C32" s="123"/>
      <c r="D32" s="145"/>
      <c r="E32" s="119"/>
      <c r="F32" s="18">
        <f>IFERROR(#REF!/E32,0)</f>
        <v>0</v>
      </c>
      <c r="G32" s="19">
        <f>B32*K$3</f>
        <v>0</v>
      </c>
      <c r="H32" s="19">
        <f>G32</f>
        <v>0</v>
      </c>
      <c r="I32" s="130"/>
      <c r="J32" s="90">
        <f t="shared" si="42"/>
        <v>0</v>
      </c>
      <c r="K32" s="121"/>
      <c r="L32" s="10">
        <f>K32*P$3</f>
        <v>0</v>
      </c>
      <c r="M32" s="13">
        <f t="shared" si="15"/>
        <v>0</v>
      </c>
      <c r="N32" s="17">
        <f>E32+I32+K32</f>
        <v>0</v>
      </c>
      <c r="O32" s="18">
        <f t="shared" si="43"/>
        <v>0</v>
      </c>
      <c r="P32" s="16">
        <f>B32*T$3</f>
        <v>0</v>
      </c>
      <c r="Q32" s="157">
        <f>P32</f>
        <v>0</v>
      </c>
      <c r="R32" s="126"/>
      <c r="S32" s="120"/>
      <c r="T32" s="21">
        <f t="shared" si="44"/>
        <v>0</v>
      </c>
      <c r="U32" s="126"/>
      <c r="V32" s="10">
        <f>U32*Y$3</f>
        <v>0</v>
      </c>
      <c r="W32" s="19">
        <f t="shared" si="45"/>
        <v>0</v>
      </c>
      <c r="X32" s="17">
        <f>R32+U32</f>
        <v>0</v>
      </c>
      <c r="Y32" s="164">
        <f t="shared" si="10"/>
        <v>0</v>
      </c>
      <c r="Z32" s="21">
        <f t="shared" si="46"/>
        <v>0</v>
      </c>
      <c r="AA32" s="83">
        <f t="shared" ref="AA32:AB36" si="64">W32+M32</f>
        <v>0</v>
      </c>
      <c r="AB32" s="67">
        <f t="shared" si="64"/>
        <v>0</v>
      </c>
      <c r="AC32" s="68">
        <f t="shared" si="48"/>
        <v>0</v>
      </c>
    </row>
    <row r="33" spans="1:29" x14ac:dyDescent="0.25">
      <c r="A33" s="8">
        <v>45258</v>
      </c>
      <c r="B33" s="150"/>
      <c r="C33" s="123"/>
      <c r="D33" s="145"/>
      <c r="E33" s="119"/>
      <c r="F33" s="18">
        <f>IFERROR(#REF!/E33,0)</f>
        <v>0</v>
      </c>
      <c r="G33" s="19">
        <f>B33*K$3</f>
        <v>0</v>
      </c>
      <c r="H33" s="19">
        <f>G33</f>
        <v>0</v>
      </c>
      <c r="I33" s="130"/>
      <c r="J33" s="90">
        <f t="shared" si="42"/>
        <v>0</v>
      </c>
      <c r="K33" s="121"/>
      <c r="L33" s="10">
        <f>K33*P$3</f>
        <v>0</v>
      </c>
      <c r="M33" s="13">
        <f t="shared" si="15"/>
        <v>0</v>
      </c>
      <c r="N33" s="17">
        <f>E33+I33+K33</f>
        <v>0</v>
      </c>
      <c r="O33" s="18">
        <f t="shared" si="43"/>
        <v>0</v>
      </c>
      <c r="P33" s="16">
        <f>B33*T$3</f>
        <v>0</v>
      </c>
      <c r="Q33" s="157">
        <f>P33</f>
        <v>0</v>
      </c>
      <c r="R33" s="126"/>
      <c r="S33" s="120"/>
      <c r="T33" s="21">
        <f t="shared" si="44"/>
        <v>0</v>
      </c>
      <c r="U33" s="126"/>
      <c r="V33" s="10">
        <f>U33*Y$3</f>
        <v>0</v>
      </c>
      <c r="W33" s="19">
        <f t="shared" si="45"/>
        <v>0</v>
      </c>
      <c r="X33" s="17">
        <f>R33+U33</f>
        <v>0</v>
      </c>
      <c r="Y33" s="164">
        <f t="shared" si="10"/>
        <v>0</v>
      </c>
      <c r="Z33" s="21">
        <f t="shared" si="46"/>
        <v>0</v>
      </c>
      <c r="AA33" s="83">
        <f t="shared" si="64"/>
        <v>0</v>
      </c>
      <c r="AB33" s="67">
        <f t="shared" si="64"/>
        <v>0</v>
      </c>
      <c r="AC33" s="68">
        <f t="shared" si="48"/>
        <v>0</v>
      </c>
    </row>
    <row r="34" spans="1:29" x14ac:dyDescent="0.25">
      <c r="A34" s="8">
        <v>45259</v>
      </c>
      <c r="B34" s="150"/>
      <c r="C34" s="123"/>
      <c r="D34" s="145"/>
      <c r="E34" s="119"/>
      <c r="F34" s="18">
        <f>IFERROR(#REF!/E34,0)</f>
        <v>0</v>
      </c>
      <c r="G34" s="19">
        <f>B34*K$3</f>
        <v>0</v>
      </c>
      <c r="H34" s="19">
        <f>G34</f>
        <v>0</v>
      </c>
      <c r="I34" s="130"/>
      <c r="J34" s="90">
        <f t="shared" si="42"/>
        <v>0</v>
      </c>
      <c r="K34" s="121"/>
      <c r="L34" s="10">
        <f>K34*P$3</f>
        <v>0</v>
      </c>
      <c r="M34" s="13">
        <f t="shared" si="15"/>
        <v>0</v>
      </c>
      <c r="N34" s="17">
        <f>E34+I34+K34</f>
        <v>0</v>
      </c>
      <c r="O34" s="18">
        <f t="shared" si="43"/>
        <v>0</v>
      </c>
      <c r="P34" s="16">
        <f>B34*T$3</f>
        <v>0</v>
      </c>
      <c r="Q34" s="157">
        <f>P34</f>
        <v>0</v>
      </c>
      <c r="R34" s="126"/>
      <c r="S34" s="120"/>
      <c r="T34" s="21">
        <f t="shared" si="44"/>
        <v>0</v>
      </c>
      <c r="U34" s="126"/>
      <c r="V34" s="10">
        <f>U34*Y$3</f>
        <v>0</v>
      </c>
      <c r="W34" s="19">
        <f t="shared" si="45"/>
        <v>0</v>
      </c>
      <c r="X34" s="17">
        <f>R34+U34</f>
        <v>0</v>
      </c>
      <c r="Y34" s="164">
        <f t="shared" si="10"/>
        <v>0</v>
      </c>
      <c r="Z34" s="21">
        <f t="shared" si="46"/>
        <v>0</v>
      </c>
      <c r="AA34" s="83">
        <f t="shared" si="64"/>
        <v>0</v>
      </c>
      <c r="AB34" s="67">
        <f t="shared" si="64"/>
        <v>0</v>
      </c>
      <c r="AC34" s="68">
        <f t="shared" si="48"/>
        <v>0</v>
      </c>
    </row>
    <row r="35" spans="1:29" x14ac:dyDescent="0.25">
      <c r="A35" s="8">
        <v>45260</v>
      </c>
      <c r="B35" s="150"/>
      <c r="C35" s="123"/>
      <c r="D35" s="145"/>
      <c r="E35" s="119"/>
      <c r="F35" s="18">
        <f>IFERROR(#REF!/E35,0)</f>
        <v>0</v>
      </c>
      <c r="G35" s="19">
        <f>B35*K$3</f>
        <v>0</v>
      </c>
      <c r="H35" s="19">
        <f>G35</f>
        <v>0</v>
      </c>
      <c r="I35" s="130"/>
      <c r="J35" s="90">
        <f t="shared" si="42"/>
        <v>0</v>
      </c>
      <c r="K35" s="121"/>
      <c r="L35" s="10">
        <f>K35*P$3</f>
        <v>0</v>
      </c>
      <c r="M35" s="13">
        <f t="shared" si="15"/>
        <v>0</v>
      </c>
      <c r="N35" s="17">
        <f>E35+I35+K35</f>
        <v>0</v>
      </c>
      <c r="O35" s="18">
        <f t="shared" si="43"/>
        <v>0</v>
      </c>
      <c r="P35" s="16">
        <f>B35*T$3</f>
        <v>0</v>
      </c>
      <c r="Q35" s="157">
        <f>P35</f>
        <v>0</v>
      </c>
      <c r="R35" s="126"/>
      <c r="S35" s="120"/>
      <c r="T35" s="21">
        <f t="shared" si="44"/>
        <v>0</v>
      </c>
      <c r="U35" s="126"/>
      <c r="V35" s="10">
        <f>U35*Y$3</f>
        <v>0</v>
      </c>
      <c r="W35" s="19">
        <f t="shared" si="45"/>
        <v>0</v>
      </c>
      <c r="X35" s="17">
        <f>R35+U35</f>
        <v>0</v>
      </c>
      <c r="Y35" s="164">
        <f t="shared" si="10"/>
        <v>0</v>
      </c>
      <c r="Z35" s="21">
        <f t="shared" si="46"/>
        <v>0</v>
      </c>
      <c r="AA35" s="83">
        <f t="shared" si="64"/>
        <v>0</v>
      </c>
      <c r="AB35" s="67">
        <f t="shared" si="64"/>
        <v>0</v>
      </c>
      <c r="AC35" s="68">
        <f t="shared" si="48"/>
        <v>0</v>
      </c>
    </row>
    <row r="36" spans="1:29" x14ac:dyDescent="0.25">
      <c r="A36" s="8"/>
      <c r="B36" s="150"/>
      <c r="C36" s="123"/>
      <c r="D36" s="145"/>
      <c r="E36" s="119"/>
      <c r="F36" s="18">
        <f>IFERROR(#REF!/E36,0)</f>
        <v>0</v>
      </c>
      <c r="G36" s="19">
        <f>B36*K$3</f>
        <v>0</v>
      </c>
      <c r="H36" s="19">
        <f>G36</f>
        <v>0</v>
      </c>
      <c r="I36" s="130"/>
      <c r="J36" s="90">
        <f t="shared" si="42"/>
        <v>0</v>
      </c>
      <c r="K36" s="121"/>
      <c r="L36" s="10">
        <f>K36*P$3</f>
        <v>0</v>
      </c>
      <c r="M36" s="13">
        <f t="shared" si="15"/>
        <v>0</v>
      </c>
      <c r="N36" s="17">
        <f>E36+I36+K36</f>
        <v>0</v>
      </c>
      <c r="O36" s="18">
        <f t="shared" si="43"/>
        <v>0</v>
      </c>
      <c r="P36" s="16">
        <f>B36*T$3</f>
        <v>0</v>
      </c>
      <c r="Q36" s="157">
        <f>P36</f>
        <v>0</v>
      </c>
      <c r="R36" s="126"/>
      <c r="S36" s="120"/>
      <c r="T36" s="21">
        <f t="shared" si="44"/>
        <v>0</v>
      </c>
      <c r="U36" s="126"/>
      <c r="V36" s="10">
        <f>U36*Y$3</f>
        <v>0</v>
      </c>
      <c r="W36" s="19">
        <f t="shared" si="45"/>
        <v>0</v>
      </c>
      <c r="X36" s="17">
        <f>R36+U36</f>
        <v>0</v>
      </c>
      <c r="Y36" s="164">
        <f t="shared" si="10"/>
        <v>0</v>
      </c>
      <c r="Z36" s="21">
        <f t="shared" si="46"/>
        <v>0</v>
      </c>
      <c r="AA36" s="83">
        <f t="shared" si="64"/>
        <v>0</v>
      </c>
      <c r="AB36" s="67">
        <f t="shared" si="64"/>
        <v>0</v>
      </c>
      <c r="AC36" s="68">
        <f t="shared" si="48"/>
        <v>0</v>
      </c>
    </row>
    <row r="37" spans="1:29" ht="14.4" thickBot="1" x14ac:dyDescent="0.3">
      <c r="A37" s="96" t="s">
        <v>14</v>
      </c>
      <c r="B37" s="152">
        <f t="shared" ref="B37:E37" si="65">SUM(B32:B36)</f>
        <v>0</v>
      </c>
      <c r="C37" s="149">
        <f t="shared" si="65"/>
        <v>0</v>
      </c>
      <c r="D37" s="104">
        <f t="shared" si="65"/>
        <v>0</v>
      </c>
      <c r="E37" s="36">
        <f t="shared" si="65"/>
        <v>0</v>
      </c>
      <c r="F37" s="37">
        <f>IFERROR(#REF!/E37,0)</f>
        <v>0</v>
      </c>
      <c r="G37" s="38">
        <f>SUM(G32:G36)</f>
        <v>0</v>
      </c>
      <c r="H37" s="38">
        <f>SUM(H32:H36)</f>
        <v>0</v>
      </c>
      <c r="I37" s="89">
        <f>SUM(I32:I36)</f>
        <v>0</v>
      </c>
      <c r="J37" s="92">
        <f t="shared" si="42"/>
        <v>0</v>
      </c>
      <c r="K37" s="39">
        <f>SUM(K32:K36)</f>
        <v>0</v>
      </c>
      <c r="L37" s="35">
        <f>SUM(L32:L36)</f>
        <v>0</v>
      </c>
      <c r="M37" s="38">
        <f>SUM(M32:M36)</f>
        <v>0</v>
      </c>
      <c r="N37" s="36">
        <f>SUM(N32:N36)</f>
        <v>0</v>
      </c>
      <c r="O37" s="37">
        <f t="shared" si="43"/>
        <v>0</v>
      </c>
      <c r="P37" s="34">
        <f>SUM(P32:P36)</f>
        <v>0</v>
      </c>
      <c r="Q37" s="38">
        <f>SUM(Q32:Q36)</f>
        <v>0</v>
      </c>
      <c r="R37" s="36">
        <f>SUM(R32:R36)</f>
        <v>0</v>
      </c>
      <c r="S37" s="39">
        <f>SUM(S32:S36)</f>
        <v>0</v>
      </c>
      <c r="T37" s="40">
        <f t="shared" si="44"/>
        <v>0</v>
      </c>
      <c r="U37" s="88">
        <f>SUM(U32:U36)</f>
        <v>0</v>
      </c>
      <c r="V37" s="35">
        <f>SUM(V32:V36)</f>
        <v>0</v>
      </c>
      <c r="W37" s="38">
        <f>SUM(W32:W36)</f>
        <v>0</v>
      </c>
      <c r="X37" s="36">
        <f>SUM(X32:X36)</f>
        <v>0</v>
      </c>
      <c r="Y37" s="165">
        <f t="shared" si="10"/>
        <v>0</v>
      </c>
      <c r="Z37" s="40">
        <f t="shared" si="46"/>
        <v>0</v>
      </c>
      <c r="AA37" s="85">
        <f>SUM(AA32:AA36)</f>
        <v>0</v>
      </c>
      <c r="AB37" s="74">
        <f>SUM(AB32:AB36)</f>
        <v>0</v>
      </c>
      <c r="AC37" s="75">
        <f t="shared" si="48"/>
        <v>0</v>
      </c>
    </row>
    <row r="38" spans="1:29" ht="14.4" thickBot="1" x14ac:dyDescent="0.3">
      <c r="A38" s="41"/>
      <c r="B38" s="42"/>
      <c r="C38" s="42"/>
      <c r="D38" s="42"/>
      <c r="E38" s="155"/>
      <c r="F38" s="93"/>
      <c r="G38" s="93"/>
      <c r="H38" s="93"/>
      <c r="I38" s="94"/>
      <c r="J38" s="154"/>
      <c r="K38" s="155"/>
      <c r="L38" s="43"/>
      <c r="M38" s="43"/>
      <c r="N38" s="44"/>
      <c r="O38" s="43"/>
      <c r="P38" s="43"/>
      <c r="Q38" s="43"/>
      <c r="R38" s="43"/>
      <c r="S38" s="44"/>
      <c r="T38" s="43"/>
      <c r="U38" s="44"/>
      <c r="V38" s="43"/>
      <c r="W38" s="43"/>
      <c r="X38" s="44"/>
      <c r="Y38" s="44"/>
      <c r="Z38" s="43"/>
    </row>
    <row r="39" spans="1:29" ht="14.4" thickBot="1" x14ac:dyDescent="0.3">
      <c r="A39" s="45" t="s">
        <v>15</v>
      </c>
      <c r="B39" s="46">
        <f t="shared" ref="B39:E39" si="66">B13+B19+B25+B31+B37</f>
        <v>5202</v>
      </c>
      <c r="C39" s="55">
        <f t="shared" si="66"/>
        <v>7433</v>
      </c>
      <c r="D39" s="76">
        <f t="shared" si="66"/>
        <v>9552</v>
      </c>
      <c r="E39" s="49">
        <f t="shared" si="66"/>
        <v>139.84</v>
      </c>
      <c r="F39" s="50">
        <f>IFERROR(#REF!/E39,0)</f>
        <v>0</v>
      </c>
      <c r="G39" s="51">
        <f>G13+G19+G25+G31+G37</f>
        <v>14445.329760000001</v>
      </c>
      <c r="H39" s="51">
        <f>H13+H19+H25+H31+H37</f>
        <v>14445.329760000001</v>
      </c>
      <c r="I39" s="49">
        <f>I13+I19+I25+I31+I37</f>
        <v>364.82</v>
      </c>
      <c r="J39" s="52">
        <f>IFERROR((H39)/I39,0)</f>
        <v>39.595772600186393</v>
      </c>
      <c r="K39" s="53">
        <f>K13+K19+K25+K31+K37</f>
        <v>81.830000000000013</v>
      </c>
      <c r="L39" s="48">
        <f>L13+L19+L25+L31+L37</f>
        <v>2993.3413999999998</v>
      </c>
      <c r="M39" s="51">
        <f>M13+M19+M25+M31+M37</f>
        <v>17438.671159999998</v>
      </c>
      <c r="N39" s="49">
        <f>N13+N19+N25+N31+N37</f>
        <v>586.49</v>
      </c>
      <c r="O39" s="54">
        <f>IFERROR(M39/N39,0)</f>
        <v>29.733961636174527</v>
      </c>
      <c r="P39" s="51">
        <f>P13+P19+P25+P31+P37</f>
        <v>3085.4102400000015</v>
      </c>
      <c r="Q39" s="51">
        <f>Q13+Q19+Q25+Q31+Q37</f>
        <v>3085.4102400000015</v>
      </c>
      <c r="R39" s="49">
        <f>R13+R19+R25+R31+R37</f>
        <v>39.309999999999995</v>
      </c>
      <c r="S39" s="53">
        <f>S13+S19+S25+S31+S37</f>
        <v>1.6600000000000001</v>
      </c>
      <c r="T39" s="52">
        <f>IFERROR((Q39)/R39,0)</f>
        <v>78.489194606970287</v>
      </c>
      <c r="U39" s="53">
        <f>U13+U19+U25+U31+U37</f>
        <v>17.07</v>
      </c>
      <c r="V39" s="48">
        <f>V13+V19+V25+V31+V37</f>
        <v>624.42060000000004</v>
      </c>
      <c r="W39" s="51">
        <f>W13+W19+W25+W31+W37</f>
        <v>3709.8308400000014</v>
      </c>
      <c r="X39" s="49">
        <f>X13+X19+X25+X31+X37</f>
        <v>56.38</v>
      </c>
      <c r="Y39" s="161">
        <f>IFERROR(B39/X39,0)</f>
        <v>92.266761262859163</v>
      </c>
      <c r="Z39" s="54">
        <f>IFERROR(W39/X39,0)</f>
        <v>65.800476055338791</v>
      </c>
      <c r="AA39" s="48">
        <f>AA13+AA19+AA25+AA31+AA37</f>
        <v>21148.502</v>
      </c>
      <c r="AB39" s="49">
        <f>AB13+AB19+AB25+AB31+AB37</f>
        <v>642.87000000000012</v>
      </c>
      <c r="AC39" s="54">
        <f>IFERROR(AA39/AB39,0)</f>
        <v>32.897011837541022</v>
      </c>
    </row>
  </sheetData>
  <mergeCells count="5">
    <mergeCell ref="AC4:AE4"/>
    <mergeCell ref="R4:AB4"/>
    <mergeCell ref="E4:Q4"/>
    <mergeCell ref="G1:I1"/>
    <mergeCell ref="B4:D4"/>
  </mergeCells>
  <dataValidations count="1">
    <dataValidation allowBlank="1" sqref="D36 J13 A6:A36" xr:uid="{740243A2-3E2D-4903-9D94-21AFB1EA14E0}"/>
  </dataValidations>
  <pageMargins left="0.7" right="0.7" top="0.75" bottom="0.75" header="0.3" footer="0.3"/>
  <pageSetup scale="9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E3745-5755-4C21-A631-C2E0119BB18C}">
  <sheetPr codeName="Sheet8">
    <tabColor rgb="FF7030A0"/>
    <pageSetUpPr fitToPage="1"/>
  </sheetPr>
  <dimension ref="A1:AK39"/>
  <sheetViews>
    <sheetView zoomScaleNormal="100" workbookViewId="0">
      <pane xSplit="1" ySplit="5" topLeftCell="B6" activePane="bottomRight" state="frozen"/>
      <selection activeCell="A6" sqref="A6:A34"/>
      <selection pane="topRight" activeCell="A6" sqref="A6:A34"/>
      <selection pane="bottomLeft" activeCell="A6" sqref="A6:A34"/>
      <selection pane="bottomRight" activeCell="B21" sqref="B21"/>
    </sheetView>
  </sheetViews>
  <sheetFormatPr defaultColWidth="9.109375" defaultRowHeight="13.8" x14ac:dyDescent="0.25"/>
  <cols>
    <col min="1" max="1" width="9.109375" style="59"/>
    <col min="2" max="3" width="9.33203125" style="59" bestFit="1" customWidth="1"/>
    <col min="4" max="4" width="8.33203125" style="59" customWidth="1"/>
    <col min="5" max="5" width="10" style="59" customWidth="1"/>
    <col min="6" max="6" width="9.33203125" style="59" bestFit="1" customWidth="1"/>
    <col min="7" max="8" width="11" style="59" bestFit="1" customWidth="1"/>
    <col min="9" max="9" width="9.33203125" style="59" bestFit="1" customWidth="1"/>
    <col min="10" max="10" width="9.88671875" style="59" customWidth="1"/>
    <col min="11" max="11" width="10.5546875" style="59" customWidth="1"/>
    <col min="12" max="12" width="11" style="59" bestFit="1" customWidth="1"/>
    <col min="13" max="13" width="10.6640625" style="59" customWidth="1"/>
    <col min="14" max="14" width="9.33203125" style="59" bestFit="1" customWidth="1"/>
    <col min="15" max="15" width="9.88671875" style="59" customWidth="1"/>
    <col min="16" max="17" width="9.33203125" style="59" bestFit="1" customWidth="1"/>
    <col min="18" max="18" width="11.33203125" style="59" customWidth="1"/>
    <col min="19" max="19" width="9.33203125" style="59" bestFit="1" customWidth="1"/>
    <col min="20" max="22" width="9.88671875" style="59" bestFit="1" customWidth="1"/>
    <col min="23" max="23" width="10" style="59" customWidth="1"/>
    <col min="24" max="26" width="11" style="59" bestFit="1" customWidth="1"/>
    <col min="27" max="27" width="9.33203125" style="59" bestFit="1" customWidth="1"/>
    <col min="28" max="28" width="9.33203125" style="59" customWidth="1"/>
    <col min="29" max="30" width="10.109375" style="59" bestFit="1" customWidth="1"/>
    <col min="31" max="31" width="9.33203125" style="59" bestFit="1" customWidth="1"/>
    <col min="32" max="32" width="11" style="59" bestFit="1" customWidth="1"/>
    <col min="33" max="33" width="9.33203125" style="59" bestFit="1" customWidth="1"/>
    <col min="34" max="34" width="9.88671875" style="59" bestFit="1" customWidth="1"/>
    <col min="35" max="35" width="12" style="59" bestFit="1" customWidth="1"/>
    <col min="36" max="36" width="10.109375" style="59" bestFit="1" customWidth="1"/>
    <col min="37" max="37" width="9.33203125" style="59" bestFit="1" customWidth="1"/>
    <col min="38" max="16384" width="9.109375" style="59"/>
  </cols>
  <sheetData>
    <row r="1" spans="1:37" ht="23.25" customHeight="1" x14ac:dyDescent="0.4">
      <c r="A1" s="176"/>
      <c r="B1" s="118" t="s">
        <v>7198</v>
      </c>
      <c r="C1" s="118"/>
      <c r="D1" s="118"/>
      <c r="E1" s="176" t="s">
        <v>21</v>
      </c>
      <c r="F1" s="97">
        <v>6178</v>
      </c>
      <c r="G1" s="203"/>
      <c r="H1" s="203"/>
      <c r="I1" s="203"/>
    </row>
    <row r="2" spans="1:37" s="56" customFormat="1" ht="16.5" customHeight="1" x14ac:dyDescent="0.2">
      <c r="A2" s="135"/>
      <c r="B2" s="136"/>
      <c r="C2" s="136"/>
      <c r="D2" s="136"/>
      <c r="E2" s="137"/>
      <c r="F2" s="136"/>
      <c r="G2" s="138">
        <v>0.93</v>
      </c>
      <c r="H2" s="139"/>
      <c r="I2" s="139"/>
      <c r="J2" s="139"/>
      <c r="K2" s="140">
        <v>0.83</v>
      </c>
      <c r="L2" s="140">
        <v>0.72</v>
      </c>
      <c r="Q2" s="140"/>
      <c r="U2" s="140">
        <v>7.0000000000000007E-2</v>
      </c>
      <c r="W2" s="140">
        <v>0.17</v>
      </c>
      <c r="X2" s="140">
        <v>0.28000000000000003</v>
      </c>
    </row>
    <row r="3" spans="1:37" s="111" customFormat="1" thickBot="1" x14ac:dyDescent="0.3">
      <c r="A3" s="134"/>
      <c r="B3" s="112"/>
      <c r="C3" s="112">
        <v>0.46</v>
      </c>
      <c r="D3" s="112"/>
      <c r="E3" s="112">
        <v>0.15</v>
      </c>
      <c r="F3" s="112">
        <v>2.98</v>
      </c>
      <c r="G3" s="112">
        <f>G2*C3</f>
        <v>0.42780000000000001</v>
      </c>
      <c r="H3" s="112"/>
      <c r="I3" s="112"/>
      <c r="J3" s="112"/>
      <c r="K3" s="112">
        <f>K2*E3</f>
        <v>0.12449999999999999</v>
      </c>
      <c r="L3" s="112">
        <f>L2*F3</f>
        <v>2.1456</v>
      </c>
      <c r="M3" s="112"/>
      <c r="N3" s="112"/>
      <c r="O3" s="112"/>
      <c r="P3" s="112"/>
      <c r="Q3" s="112">
        <v>39.5</v>
      </c>
      <c r="R3" s="112"/>
      <c r="S3" s="112"/>
      <c r="T3" s="112"/>
      <c r="U3" s="112">
        <f>U2*C3</f>
        <v>3.2200000000000006E-2</v>
      </c>
      <c r="V3" s="112"/>
      <c r="W3" s="112">
        <f>W2*E3</f>
        <v>2.5500000000000002E-2</v>
      </c>
      <c r="X3" s="112">
        <f>X2*F3</f>
        <v>0.83440000000000003</v>
      </c>
      <c r="Y3" s="112"/>
      <c r="Z3" s="112"/>
      <c r="AA3" s="112"/>
      <c r="AB3" s="112"/>
      <c r="AC3" s="112"/>
      <c r="AD3" s="112">
        <f>Q3</f>
        <v>39.5</v>
      </c>
      <c r="AE3" s="112"/>
      <c r="AF3" s="112"/>
      <c r="AG3" s="112"/>
      <c r="AH3" s="112"/>
      <c r="AI3" s="112"/>
      <c r="AJ3" s="112"/>
      <c r="AK3" s="112"/>
    </row>
    <row r="4" spans="1:37" ht="15" customHeight="1" thickBot="1" x14ac:dyDescent="0.3">
      <c r="B4" s="204" t="s">
        <v>23</v>
      </c>
      <c r="C4" s="205"/>
      <c r="D4" s="205"/>
      <c r="E4" s="207" t="s">
        <v>27</v>
      </c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9"/>
      <c r="S4" s="207" t="s">
        <v>26</v>
      </c>
      <c r="T4" s="208"/>
      <c r="U4" s="208"/>
      <c r="V4" s="208"/>
      <c r="W4" s="208"/>
      <c r="X4" s="208"/>
      <c r="Y4" s="208"/>
      <c r="Z4" s="208"/>
      <c r="AA4" s="208"/>
      <c r="AB4" s="208"/>
      <c r="AC4" s="208"/>
      <c r="AD4" s="208"/>
      <c r="AE4" s="208"/>
      <c r="AF4" s="208"/>
      <c r="AG4" s="209"/>
      <c r="AH4" s="207" t="s">
        <v>1</v>
      </c>
      <c r="AI4" s="208"/>
      <c r="AJ4" s="209"/>
    </row>
    <row r="5" spans="1:37" ht="56.25" customHeight="1" thickBot="1" x14ac:dyDescent="0.3">
      <c r="A5" s="1" t="s">
        <v>2</v>
      </c>
      <c r="B5" s="177" t="s">
        <v>7158</v>
      </c>
      <c r="C5" s="177" t="s">
        <v>7164</v>
      </c>
      <c r="D5" s="178" t="s">
        <v>3569</v>
      </c>
      <c r="E5" s="179" t="s">
        <v>7197</v>
      </c>
      <c r="F5" s="5" t="s">
        <v>3</v>
      </c>
      <c r="G5" s="60" t="s">
        <v>40</v>
      </c>
      <c r="H5" s="107" t="s">
        <v>39</v>
      </c>
      <c r="I5" s="6" t="s">
        <v>4</v>
      </c>
      <c r="J5" s="179" t="s">
        <v>7194</v>
      </c>
      <c r="K5" s="6" t="s">
        <v>5</v>
      </c>
      <c r="L5" s="180" t="s">
        <v>7195</v>
      </c>
      <c r="M5" s="3" t="s">
        <v>6</v>
      </c>
      <c r="N5" s="6" t="s">
        <v>7</v>
      </c>
      <c r="O5" s="4" t="s">
        <v>8</v>
      </c>
      <c r="P5" s="7" t="s">
        <v>9</v>
      </c>
      <c r="Q5" s="60" t="s">
        <v>40</v>
      </c>
      <c r="R5" s="107" t="s">
        <v>39</v>
      </c>
      <c r="S5" s="6" t="s">
        <v>4</v>
      </c>
      <c r="T5" s="6" t="s">
        <v>10</v>
      </c>
      <c r="U5" s="179" t="s">
        <v>7196</v>
      </c>
      <c r="V5" s="180" t="s">
        <v>35</v>
      </c>
      <c r="W5" s="6" t="s">
        <v>11</v>
      </c>
      <c r="X5" s="180" t="s">
        <v>38</v>
      </c>
      <c r="Y5" s="3" t="s">
        <v>6</v>
      </c>
      <c r="Z5" s="6" t="s">
        <v>7</v>
      </c>
      <c r="AA5" s="4" t="s">
        <v>8</v>
      </c>
      <c r="AB5" s="159" t="s">
        <v>36</v>
      </c>
      <c r="AC5" s="5" t="s">
        <v>12</v>
      </c>
      <c r="AD5" s="2" t="s">
        <v>7</v>
      </c>
      <c r="AE5" s="4" t="s">
        <v>8</v>
      </c>
      <c r="AF5" s="7" t="s">
        <v>9</v>
      </c>
    </row>
    <row r="6" spans="1:37" x14ac:dyDescent="0.25">
      <c r="A6" s="8" t="s">
        <v>37</v>
      </c>
      <c r="B6" s="182">
        <v>0</v>
      </c>
      <c r="C6" s="181">
        <v>0</v>
      </c>
      <c r="D6" s="181">
        <v>0</v>
      </c>
      <c r="E6" s="183">
        <v>0</v>
      </c>
      <c r="F6" s="12">
        <f>IFERROR(#REF!/E6,0)</f>
        <v>0</v>
      </c>
      <c r="G6" s="13">
        <f t="shared" ref="G6:H12" si="0">C6*K$3</f>
        <v>0</v>
      </c>
      <c r="H6" s="13">
        <f t="shared" si="0"/>
        <v>0</v>
      </c>
      <c r="I6" s="13">
        <f>G6+H6</f>
        <v>0</v>
      </c>
      <c r="J6" s="183">
        <v>0</v>
      </c>
      <c r="K6" s="14">
        <f>IFERROR((I6)/J6,0)</f>
        <v>0</v>
      </c>
      <c r="L6" s="183">
        <v>0</v>
      </c>
      <c r="M6" s="10">
        <f t="shared" ref="M6:M12" si="1">L6*Q$3</f>
        <v>0</v>
      </c>
      <c r="N6" s="13">
        <f>I6+M6</f>
        <v>0</v>
      </c>
      <c r="O6" s="11">
        <f>E6+J6+L6</f>
        <v>0</v>
      </c>
      <c r="P6" s="15">
        <f>IFERROR(N6/O6,0)</f>
        <v>0</v>
      </c>
      <c r="Q6" s="13">
        <f t="shared" ref="Q6:R12" si="2">C6*W$3</f>
        <v>0</v>
      </c>
      <c r="R6" s="13">
        <f t="shared" si="2"/>
        <v>0</v>
      </c>
      <c r="S6" s="13">
        <f>Q6+R6</f>
        <v>0</v>
      </c>
      <c r="T6" s="13">
        <f>S6</f>
        <v>0</v>
      </c>
      <c r="U6" s="183">
        <v>0</v>
      </c>
      <c r="V6" s="184">
        <v>0</v>
      </c>
      <c r="W6" s="14">
        <f>IFERROR(T6/U6,0)</f>
        <v>0</v>
      </c>
      <c r="X6" s="183">
        <v>0</v>
      </c>
      <c r="Y6" s="10">
        <f t="shared" ref="Y6:Y12" si="3">X6*AD$3</f>
        <v>0</v>
      </c>
      <c r="Z6" s="13">
        <f>T6+Y6</f>
        <v>0</v>
      </c>
      <c r="AA6" s="11">
        <f>U6+X6</f>
        <v>0</v>
      </c>
      <c r="AB6" s="160">
        <f t="shared" ref="AB6:AB37" si="4">IFERROR(B6/AA6,0)</f>
        <v>0</v>
      </c>
      <c r="AC6" s="12">
        <f t="shared" ref="AC6:AC37" si="5">IFERROR(Z6/AA6,0)</f>
        <v>0</v>
      </c>
      <c r="AD6" s="63">
        <f t="shared" ref="AD6:AE12" si="6">Z6+N6</f>
        <v>0</v>
      </c>
      <c r="AE6" s="133">
        <f t="shared" si="6"/>
        <v>0</v>
      </c>
      <c r="AF6" s="65">
        <f>IFERROR(AD6/AE6,0)</f>
        <v>0</v>
      </c>
    </row>
    <row r="7" spans="1:37" x14ac:dyDescent="0.25">
      <c r="A7" s="8" t="s">
        <v>37</v>
      </c>
      <c r="B7" s="182">
        <v>0</v>
      </c>
      <c r="C7" s="181">
        <v>0</v>
      </c>
      <c r="D7" s="181">
        <v>0</v>
      </c>
      <c r="E7" s="185">
        <v>0</v>
      </c>
      <c r="F7" s="18">
        <f>IFERROR(#REF!/E7,0)</f>
        <v>0</v>
      </c>
      <c r="G7" s="13">
        <f t="shared" si="0"/>
        <v>0</v>
      </c>
      <c r="H7" s="13">
        <f t="shared" si="0"/>
        <v>0</v>
      </c>
      <c r="I7" s="13">
        <f t="shared" ref="I7:I12" si="7">G7+H7</f>
        <v>0</v>
      </c>
      <c r="J7" s="185">
        <v>0</v>
      </c>
      <c r="K7" s="14">
        <f t="shared" ref="K7:K8" si="8">IFERROR((I7)/J7,0)</f>
        <v>0</v>
      </c>
      <c r="L7" s="185">
        <v>0</v>
      </c>
      <c r="M7" s="10">
        <f t="shared" si="1"/>
        <v>0</v>
      </c>
      <c r="N7" s="13">
        <f t="shared" ref="N7:N36" si="9">I7+M7</f>
        <v>0</v>
      </c>
      <c r="O7" s="11">
        <f>E7+J7+L7</f>
        <v>0</v>
      </c>
      <c r="P7" s="21">
        <f>IFERROR(N7/O7,0)</f>
        <v>0</v>
      </c>
      <c r="Q7" s="13">
        <f t="shared" si="2"/>
        <v>0</v>
      </c>
      <c r="R7" s="13">
        <f t="shared" si="2"/>
        <v>0</v>
      </c>
      <c r="S7" s="13">
        <f>Q7+R7</f>
        <v>0</v>
      </c>
      <c r="T7" s="13">
        <f t="shared" ref="T7:T36" si="10">S7</f>
        <v>0</v>
      </c>
      <c r="U7" s="185">
        <v>0</v>
      </c>
      <c r="V7" s="184">
        <v>0</v>
      </c>
      <c r="W7" s="20">
        <f>IFERROR(T7/U7,0)</f>
        <v>0</v>
      </c>
      <c r="X7" s="185">
        <v>0</v>
      </c>
      <c r="Y7" s="10">
        <f t="shared" si="3"/>
        <v>0</v>
      </c>
      <c r="Z7" s="13">
        <f>T7+Y7</f>
        <v>0</v>
      </c>
      <c r="AA7" s="11">
        <f>U7+X7</f>
        <v>0</v>
      </c>
      <c r="AB7" s="160">
        <f t="shared" si="4"/>
        <v>0</v>
      </c>
      <c r="AC7" s="12">
        <f t="shared" si="5"/>
        <v>0</v>
      </c>
      <c r="AD7" s="66">
        <f t="shared" si="6"/>
        <v>0</v>
      </c>
      <c r="AE7" s="67">
        <f t="shared" si="6"/>
        <v>0</v>
      </c>
      <c r="AF7" s="68">
        <f>IFERROR(AD7/AE7,0)</f>
        <v>0</v>
      </c>
    </row>
    <row r="8" spans="1:37" ht="14.4" thickBot="1" x14ac:dyDescent="0.3">
      <c r="A8" s="8" t="s">
        <v>37</v>
      </c>
      <c r="B8" s="182">
        <v>0</v>
      </c>
      <c r="C8" s="181">
        <v>0</v>
      </c>
      <c r="D8" s="181">
        <v>0</v>
      </c>
      <c r="E8" s="185">
        <v>0</v>
      </c>
      <c r="F8" s="18">
        <f>IFERROR(#REF!/E8,0)</f>
        <v>0</v>
      </c>
      <c r="G8" s="13">
        <f t="shared" si="0"/>
        <v>0</v>
      </c>
      <c r="H8" s="13">
        <f t="shared" si="0"/>
        <v>0</v>
      </c>
      <c r="I8" s="13">
        <f t="shared" si="7"/>
        <v>0</v>
      </c>
      <c r="J8" s="185">
        <v>0</v>
      </c>
      <c r="K8" s="14">
        <f t="shared" si="8"/>
        <v>0</v>
      </c>
      <c r="L8" s="185">
        <v>0</v>
      </c>
      <c r="M8" s="10">
        <f t="shared" si="1"/>
        <v>0</v>
      </c>
      <c r="N8" s="13">
        <f t="shared" si="9"/>
        <v>0</v>
      </c>
      <c r="O8" s="11">
        <f t="shared" ref="O8" si="11">E8+J8+L8</f>
        <v>0</v>
      </c>
      <c r="P8" s="21">
        <f t="shared" ref="P8" si="12">IFERROR(N8/O8,0)</f>
        <v>0</v>
      </c>
      <c r="Q8" s="13">
        <f t="shared" si="2"/>
        <v>0</v>
      </c>
      <c r="R8" s="13">
        <f t="shared" si="2"/>
        <v>0</v>
      </c>
      <c r="S8" s="13">
        <f t="shared" ref="S8" si="13">Q8+R8</f>
        <v>0</v>
      </c>
      <c r="T8" s="13">
        <f t="shared" si="10"/>
        <v>0</v>
      </c>
      <c r="U8" s="185">
        <v>0</v>
      </c>
      <c r="V8" s="184">
        <v>0</v>
      </c>
      <c r="W8" s="20">
        <f t="shared" ref="W8" si="14">IFERROR(T8/U8,0)</f>
        <v>0</v>
      </c>
      <c r="X8" s="185">
        <v>0</v>
      </c>
      <c r="Y8" s="10">
        <f t="shared" si="3"/>
        <v>0</v>
      </c>
      <c r="Z8" s="13">
        <f t="shared" ref="Z8" si="15">T8+Y8</f>
        <v>0</v>
      </c>
      <c r="AA8" s="11">
        <f t="shared" ref="AA8" si="16">U8+X8</f>
        <v>0</v>
      </c>
      <c r="AB8" s="160">
        <f t="shared" si="4"/>
        <v>0</v>
      </c>
      <c r="AC8" s="12">
        <f t="shared" si="5"/>
        <v>0</v>
      </c>
      <c r="AD8" s="66">
        <f t="shared" si="6"/>
        <v>0</v>
      </c>
      <c r="AE8" s="67">
        <f t="shared" si="6"/>
        <v>0</v>
      </c>
      <c r="AF8" s="68">
        <f t="shared" ref="AF8" si="17">IFERROR(AD8/AE8,0)</f>
        <v>0</v>
      </c>
    </row>
    <row r="9" spans="1:37" x14ac:dyDescent="0.25">
      <c r="A9" s="8" t="s">
        <v>37</v>
      </c>
      <c r="B9" s="182">
        <v>0</v>
      </c>
      <c r="C9" s="181">
        <v>0</v>
      </c>
      <c r="D9" s="181">
        <v>0</v>
      </c>
      <c r="E9" s="183">
        <v>0</v>
      </c>
      <c r="F9" s="12">
        <f>IFERROR(#REF!/E9,0)</f>
        <v>0</v>
      </c>
      <c r="G9" s="13">
        <f t="shared" si="0"/>
        <v>0</v>
      </c>
      <c r="H9" s="13">
        <f t="shared" si="0"/>
        <v>0</v>
      </c>
      <c r="I9" s="13">
        <f>G9+H9</f>
        <v>0</v>
      </c>
      <c r="J9" s="183">
        <v>0</v>
      </c>
      <c r="K9" s="14">
        <f>IFERROR((I9)/J9,0)</f>
        <v>0</v>
      </c>
      <c r="L9" s="183">
        <v>0</v>
      </c>
      <c r="M9" s="10">
        <f t="shared" si="1"/>
        <v>0</v>
      </c>
      <c r="N9" s="13">
        <f t="shared" si="9"/>
        <v>0</v>
      </c>
      <c r="O9" s="11">
        <f>E9+J9+L9</f>
        <v>0</v>
      </c>
      <c r="P9" s="15">
        <f>IFERROR(N9/O9,0)</f>
        <v>0</v>
      </c>
      <c r="Q9" s="13">
        <f t="shared" si="2"/>
        <v>0</v>
      </c>
      <c r="R9" s="13">
        <f t="shared" si="2"/>
        <v>0</v>
      </c>
      <c r="S9" s="13">
        <f>Q9+R9</f>
        <v>0</v>
      </c>
      <c r="T9" s="13">
        <f t="shared" si="10"/>
        <v>0</v>
      </c>
      <c r="U9" s="183">
        <v>0</v>
      </c>
      <c r="V9" s="184">
        <v>0</v>
      </c>
      <c r="W9" s="14">
        <f>IFERROR(T9/U9,0)</f>
        <v>0</v>
      </c>
      <c r="X9" s="183">
        <v>0</v>
      </c>
      <c r="Y9" s="10">
        <f t="shared" si="3"/>
        <v>0</v>
      </c>
      <c r="Z9" s="13">
        <f>T9+Y9</f>
        <v>0</v>
      </c>
      <c r="AA9" s="11">
        <f>U9+X9</f>
        <v>0</v>
      </c>
      <c r="AB9" s="160">
        <f t="shared" si="4"/>
        <v>0</v>
      </c>
      <c r="AC9" s="12">
        <f t="shared" si="5"/>
        <v>0</v>
      </c>
      <c r="AD9" s="63">
        <f t="shared" si="6"/>
        <v>0</v>
      </c>
      <c r="AE9" s="133">
        <f t="shared" si="6"/>
        <v>0</v>
      </c>
      <c r="AF9" s="65">
        <f>IFERROR(AD9/AE9,0)</f>
        <v>0</v>
      </c>
    </row>
    <row r="10" spans="1:37" x14ac:dyDescent="0.25">
      <c r="A10" s="8">
        <v>45231</v>
      </c>
      <c r="B10" s="182">
        <v>6</v>
      </c>
      <c r="C10" s="181">
        <v>0</v>
      </c>
      <c r="D10" s="181">
        <v>12</v>
      </c>
      <c r="E10" s="185">
        <v>0</v>
      </c>
      <c r="F10" s="18">
        <f>IFERROR(#REF!/E10,0)</f>
        <v>0</v>
      </c>
      <c r="G10" s="13">
        <f t="shared" si="0"/>
        <v>0</v>
      </c>
      <c r="H10" s="13">
        <f t="shared" si="0"/>
        <v>25.747199999999999</v>
      </c>
      <c r="I10" s="13">
        <f t="shared" ref="I10:I11" si="18">G10+H10</f>
        <v>25.747199999999999</v>
      </c>
      <c r="J10" s="185">
        <v>3.17</v>
      </c>
      <c r="K10" s="14">
        <f t="shared" ref="K10:K12" si="19">IFERROR((I10)/J10,0)</f>
        <v>8.122145110410095</v>
      </c>
      <c r="L10" s="185">
        <v>0.75</v>
      </c>
      <c r="M10" s="10">
        <f t="shared" si="1"/>
        <v>29.625</v>
      </c>
      <c r="N10" s="13">
        <f t="shared" si="9"/>
        <v>55.372199999999999</v>
      </c>
      <c r="O10" s="11">
        <f>E10+J10+L10</f>
        <v>3.92</v>
      </c>
      <c r="P10" s="21">
        <f>IFERROR(N10/O10,0)</f>
        <v>14.125561224489797</v>
      </c>
      <c r="Q10" s="13">
        <f t="shared" si="2"/>
        <v>0</v>
      </c>
      <c r="R10" s="13">
        <f t="shared" si="2"/>
        <v>10.0128</v>
      </c>
      <c r="S10" s="13">
        <f>Q10+R10</f>
        <v>10.0128</v>
      </c>
      <c r="T10" s="13">
        <f t="shared" si="10"/>
        <v>10.0128</v>
      </c>
      <c r="U10" s="185">
        <v>0.43</v>
      </c>
      <c r="V10" s="184">
        <v>0</v>
      </c>
      <c r="W10" s="20">
        <f>IFERROR(T10/U10,0)</f>
        <v>23.285581395348839</v>
      </c>
      <c r="X10" s="185">
        <v>0</v>
      </c>
      <c r="Y10" s="10">
        <f t="shared" si="3"/>
        <v>0</v>
      </c>
      <c r="Z10" s="13">
        <f>T10+Y10</f>
        <v>10.0128</v>
      </c>
      <c r="AA10" s="11">
        <f>U10+X10</f>
        <v>0.43</v>
      </c>
      <c r="AB10" s="160">
        <f t="shared" si="4"/>
        <v>13.953488372093023</v>
      </c>
      <c r="AC10" s="12">
        <f t="shared" si="5"/>
        <v>23.285581395348839</v>
      </c>
      <c r="AD10" s="66">
        <f t="shared" si="6"/>
        <v>65.385000000000005</v>
      </c>
      <c r="AE10" s="67">
        <f t="shared" si="6"/>
        <v>4.3499999999999996</v>
      </c>
      <c r="AF10" s="68">
        <f>IFERROR(AD10/AE10,0)</f>
        <v>15.031034482758622</v>
      </c>
    </row>
    <row r="11" spans="1:37" x14ac:dyDescent="0.25">
      <c r="A11" s="8">
        <v>45232</v>
      </c>
      <c r="B11" s="182">
        <v>15</v>
      </c>
      <c r="C11" s="181">
        <v>0</v>
      </c>
      <c r="D11" s="181">
        <v>16</v>
      </c>
      <c r="E11" s="185">
        <v>0</v>
      </c>
      <c r="F11" s="18">
        <f>IFERROR(#REF!/E11,0)</f>
        <v>0</v>
      </c>
      <c r="G11" s="13">
        <f t="shared" si="0"/>
        <v>0</v>
      </c>
      <c r="H11" s="13">
        <f t="shared" si="0"/>
        <v>34.329599999999999</v>
      </c>
      <c r="I11" s="13">
        <f t="shared" si="18"/>
        <v>34.329599999999999</v>
      </c>
      <c r="J11" s="185">
        <v>3.97</v>
      </c>
      <c r="K11" s="14">
        <f t="shared" si="19"/>
        <v>8.6472544080604532</v>
      </c>
      <c r="L11" s="185">
        <v>5.95</v>
      </c>
      <c r="M11" s="10">
        <f t="shared" si="1"/>
        <v>235.02500000000001</v>
      </c>
      <c r="N11" s="13">
        <f t="shared" si="9"/>
        <v>269.3546</v>
      </c>
      <c r="O11" s="11">
        <f t="shared" ref="O11" si="20">E11+J11+L11</f>
        <v>9.92</v>
      </c>
      <c r="P11" s="21">
        <f t="shared" ref="P11" si="21">IFERROR(N11/O11,0)</f>
        <v>27.152681451612903</v>
      </c>
      <c r="Q11" s="13">
        <f t="shared" si="2"/>
        <v>0</v>
      </c>
      <c r="R11" s="13">
        <f t="shared" si="2"/>
        <v>13.3504</v>
      </c>
      <c r="S11" s="13">
        <f t="shared" ref="S11" si="22">Q11+R11</f>
        <v>13.3504</v>
      </c>
      <c r="T11" s="13">
        <f t="shared" si="10"/>
        <v>13.3504</v>
      </c>
      <c r="U11" s="185">
        <v>0.5</v>
      </c>
      <c r="V11" s="184">
        <v>0</v>
      </c>
      <c r="W11" s="20">
        <f t="shared" ref="W11:W36" si="23">IFERROR(T11/U11,0)</f>
        <v>26.700800000000001</v>
      </c>
      <c r="X11" s="185">
        <v>0</v>
      </c>
      <c r="Y11" s="10">
        <f t="shared" si="3"/>
        <v>0</v>
      </c>
      <c r="Z11" s="13">
        <f t="shared" ref="Z11" si="24">T11+Y11</f>
        <v>13.3504</v>
      </c>
      <c r="AA11" s="11">
        <f t="shared" ref="AA11" si="25">U11+X11</f>
        <v>0.5</v>
      </c>
      <c r="AB11" s="160">
        <f t="shared" si="4"/>
        <v>30</v>
      </c>
      <c r="AC11" s="12">
        <f t="shared" si="5"/>
        <v>26.700800000000001</v>
      </c>
      <c r="AD11" s="66">
        <f t="shared" si="6"/>
        <v>282.70499999999998</v>
      </c>
      <c r="AE11" s="67">
        <f t="shared" si="6"/>
        <v>10.42</v>
      </c>
      <c r="AF11" s="68">
        <f t="shared" ref="AF11:AF37" si="26">IFERROR(AD11/AE11,0)</f>
        <v>27.130998080614201</v>
      </c>
    </row>
    <row r="12" spans="1:37" x14ac:dyDescent="0.25">
      <c r="A12" s="8">
        <v>45233</v>
      </c>
      <c r="B12" s="182">
        <v>18</v>
      </c>
      <c r="C12" s="181">
        <v>0</v>
      </c>
      <c r="D12" s="181">
        <v>21</v>
      </c>
      <c r="E12" s="185">
        <v>1.37</v>
      </c>
      <c r="F12" s="18">
        <f>IFERROR(#REF!/E12,0)</f>
        <v>0</v>
      </c>
      <c r="G12" s="13">
        <f t="shared" si="0"/>
        <v>0</v>
      </c>
      <c r="H12" s="13">
        <f t="shared" si="0"/>
        <v>45.057600000000001</v>
      </c>
      <c r="I12" s="13">
        <f t="shared" si="7"/>
        <v>45.057600000000001</v>
      </c>
      <c r="J12" s="185">
        <v>10.65</v>
      </c>
      <c r="K12" s="14">
        <f t="shared" si="19"/>
        <v>4.2307605633802821</v>
      </c>
      <c r="L12" s="185">
        <v>2.65</v>
      </c>
      <c r="M12" s="10">
        <f t="shared" si="1"/>
        <v>104.675</v>
      </c>
      <c r="N12" s="13">
        <f t="shared" si="9"/>
        <v>149.73259999999999</v>
      </c>
      <c r="O12" s="11">
        <f>E12+J12+L12</f>
        <v>14.67</v>
      </c>
      <c r="P12" s="21">
        <f>IFERROR(N12/O12,0)</f>
        <v>10.206721199727333</v>
      </c>
      <c r="Q12" s="13">
        <f t="shared" si="2"/>
        <v>0</v>
      </c>
      <c r="R12" s="13">
        <f t="shared" si="2"/>
        <v>17.522400000000001</v>
      </c>
      <c r="S12" s="13">
        <f>Q12+R12</f>
        <v>17.522400000000001</v>
      </c>
      <c r="T12" s="13">
        <f t="shared" si="10"/>
        <v>17.522400000000001</v>
      </c>
      <c r="U12" s="185">
        <v>0.5</v>
      </c>
      <c r="V12" s="184">
        <v>0</v>
      </c>
      <c r="W12" s="20">
        <f t="shared" si="23"/>
        <v>35.044800000000002</v>
      </c>
      <c r="X12" s="185">
        <v>0</v>
      </c>
      <c r="Y12" s="10">
        <f t="shared" si="3"/>
        <v>0</v>
      </c>
      <c r="Z12" s="13">
        <f>T12+Y12</f>
        <v>17.522400000000001</v>
      </c>
      <c r="AA12" s="11">
        <f>U12+X12</f>
        <v>0.5</v>
      </c>
      <c r="AB12" s="160">
        <f t="shared" si="4"/>
        <v>36</v>
      </c>
      <c r="AC12" s="12">
        <f t="shared" si="5"/>
        <v>35.044800000000002</v>
      </c>
      <c r="AD12" s="66">
        <f t="shared" si="6"/>
        <v>167.255</v>
      </c>
      <c r="AE12" s="67">
        <f t="shared" si="6"/>
        <v>15.17</v>
      </c>
      <c r="AF12" s="68">
        <f t="shared" si="26"/>
        <v>11.02537903757416</v>
      </c>
    </row>
    <row r="13" spans="1:37" x14ac:dyDescent="0.25">
      <c r="A13" s="95" t="s">
        <v>13</v>
      </c>
      <c r="B13" s="23">
        <f t="shared" ref="B13:E13" si="27">SUM(B8:B12)</f>
        <v>39</v>
      </c>
      <c r="C13" s="23">
        <f t="shared" si="27"/>
        <v>0</v>
      </c>
      <c r="D13" s="148">
        <f t="shared" si="27"/>
        <v>49</v>
      </c>
      <c r="E13" s="26">
        <f t="shared" si="27"/>
        <v>1.37</v>
      </c>
      <c r="F13" s="27">
        <f>IFERROR(#REF!/E13,0)</f>
        <v>0</v>
      </c>
      <c r="G13" s="28">
        <f>SUM(G8:G12)</f>
        <v>0</v>
      </c>
      <c r="H13" s="28">
        <f>SUM(H8:H12)</f>
        <v>105.1344</v>
      </c>
      <c r="I13" s="25">
        <f>SUM(I8:I12)</f>
        <v>105.1344</v>
      </c>
      <c r="J13" s="26">
        <f>SUM(J8:J12)</f>
        <v>17.79</v>
      </c>
      <c r="K13" s="29">
        <f>IFERROR((I13)/J13,0)</f>
        <v>5.9097470489038786</v>
      </c>
      <c r="L13" s="26">
        <f>SUM(L8:L12)</f>
        <v>9.35</v>
      </c>
      <c r="M13" s="25">
        <f>SUM(M8:M12)</f>
        <v>369.32499999999999</v>
      </c>
      <c r="N13" s="28">
        <f>SUM(N8:N12)</f>
        <v>474.45940000000002</v>
      </c>
      <c r="O13" s="30">
        <f>SUM(O8:O12)</f>
        <v>28.509999999999998</v>
      </c>
      <c r="P13" s="31">
        <f>IFERROR(N13/O13,0)</f>
        <v>16.641858996843215</v>
      </c>
      <c r="Q13" s="28">
        <f t="shared" ref="Q13:V13" si="28">SUM(Q8:Q12)</f>
        <v>0</v>
      </c>
      <c r="R13" s="28">
        <f t="shared" si="28"/>
        <v>40.885599999999997</v>
      </c>
      <c r="S13" s="25">
        <f t="shared" si="28"/>
        <v>40.885599999999997</v>
      </c>
      <c r="T13" s="28">
        <f t="shared" si="28"/>
        <v>40.885599999999997</v>
      </c>
      <c r="U13" s="26">
        <f t="shared" si="28"/>
        <v>1.43</v>
      </c>
      <c r="V13" s="26">
        <f t="shared" si="28"/>
        <v>0</v>
      </c>
      <c r="W13" s="29">
        <f>IFERROR(T13/U13,0)</f>
        <v>28.591328671328672</v>
      </c>
      <c r="X13" s="26">
        <f>SUM(X8:X12)</f>
        <v>0</v>
      </c>
      <c r="Y13" s="25">
        <f>SUM(Y8:Y12)</f>
        <v>0</v>
      </c>
      <c r="Z13" s="28">
        <f>SUM(Z8:Z12)</f>
        <v>40.885599999999997</v>
      </c>
      <c r="AA13" s="30">
        <f>SUM(AA8:AA12)</f>
        <v>1.43</v>
      </c>
      <c r="AB13" s="163">
        <f t="shared" si="4"/>
        <v>27.272727272727273</v>
      </c>
      <c r="AC13" s="27">
        <f t="shared" si="5"/>
        <v>28.591328671328672</v>
      </c>
      <c r="AD13" s="142">
        <f>SUM(AD8:AD12)</f>
        <v>515.34500000000003</v>
      </c>
      <c r="AE13" s="70">
        <f>SUM(AE8:AE12)</f>
        <v>29.939999999999998</v>
      </c>
      <c r="AF13" s="71">
        <f t="shared" si="26"/>
        <v>17.212591850367403</v>
      </c>
    </row>
    <row r="14" spans="1:37" x14ac:dyDescent="0.25">
      <c r="A14" s="8">
        <v>45236</v>
      </c>
      <c r="B14" s="187">
        <v>37</v>
      </c>
      <c r="C14" s="186">
        <v>0</v>
      </c>
      <c r="D14" s="186">
        <v>798</v>
      </c>
      <c r="E14" s="183">
        <v>0</v>
      </c>
      <c r="F14" s="18">
        <f>IFERROR(#REF!/E14,0)</f>
        <v>0</v>
      </c>
      <c r="G14" s="13">
        <f t="shared" ref="G14:H17" si="29">C14*K$3</f>
        <v>0</v>
      </c>
      <c r="H14" s="13">
        <f t="shared" si="29"/>
        <v>1712.1887999999999</v>
      </c>
      <c r="I14" s="13">
        <f>G14+H14</f>
        <v>1712.1887999999999</v>
      </c>
      <c r="J14" s="183">
        <v>7.27</v>
      </c>
      <c r="K14" s="14">
        <f>IFERROR((I14)/J14,0)</f>
        <v>235.51427785419531</v>
      </c>
      <c r="L14" s="183">
        <v>6.2</v>
      </c>
      <c r="M14" s="10">
        <f>L14*Q$3</f>
        <v>244.9</v>
      </c>
      <c r="N14" s="13">
        <f t="shared" si="9"/>
        <v>1957.0888</v>
      </c>
      <c r="O14" s="17">
        <f>E14+J14+L14</f>
        <v>13.469999999999999</v>
      </c>
      <c r="P14" s="21">
        <f t="shared" ref="P14:P37" si="30">IFERROR(N14/O14,0)</f>
        <v>145.29241276911657</v>
      </c>
      <c r="Q14" s="13">
        <f t="shared" ref="Q14:R17" si="31">C14*W$3</f>
        <v>0</v>
      </c>
      <c r="R14" s="13">
        <f t="shared" si="31"/>
        <v>665.85120000000006</v>
      </c>
      <c r="S14" s="13">
        <f>Q14+R14</f>
        <v>665.85120000000006</v>
      </c>
      <c r="T14" s="13">
        <f t="shared" si="10"/>
        <v>665.85120000000006</v>
      </c>
      <c r="U14" s="183">
        <v>0.57999999999999996</v>
      </c>
      <c r="V14" s="184">
        <v>0</v>
      </c>
      <c r="W14" s="20">
        <f t="shared" si="23"/>
        <v>1148.0193103448278</v>
      </c>
      <c r="X14" s="183">
        <v>0</v>
      </c>
      <c r="Y14" s="10">
        <f>X14*AD$3</f>
        <v>0</v>
      </c>
      <c r="Z14" s="13">
        <f>T14+Y14</f>
        <v>665.85120000000006</v>
      </c>
      <c r="AA14" s="11">
        <f>U14+X14</f>
        <v>0.57999999999999996</v>
      </c>
      <c r="AB14" s="160">
        <f t="shared" si="4"/>
        <v>63.793103448275865</v>
      </c>
      <c r="AC14" s="18">
        <f t="shared" si="5"/>
        <v>1148.0193103448278</v>
      </c>
      <c r="AD14" s="141">
        <f t="shared" ref="AD14:AE17" si="32">Z14+N14</f>
        <v>2622.94</v>
      </c>
      <c r="AE14" s="67">
        <f t="shared" si="32"/>
        <v>14.049999999999999</v>
      </c>
      <c r="AF14" s="68">
        <f t="shared" si="26"/>
        <v>186.6861209964413</v>
      </c>
    </row>
    <row r="15" spans="1:37" x14ac:dyDescent="0.25">
      <c r="A15" s="8">
        <v>45237</v>
      </c>
      <c r="B15" s="182">
        <v>13</v>
      </c>
      <c r="C15" s="181">
        <v>0</v>
      </c>
      <c r="D15" s="181">
        <v>28</v>
      </c>
      <c r="E15" s="185">
        <v>0</v>
      </c>
      <c r="F15" s="18">
        <f>IFERROR(#REF!/E15,0)</f>
        <v>0</v>
      </c>
      <c r="G15" s="13">
        <f t="shared" si="29"/>
        <v>0</v>
      </c>
      <c r="H15" s="13">
        <f t="shared" si="29"/>
        <v>60.076799999999999</v>
      </c>
      <c r="I15" s="13">
        <f t="shared" ref="I15:I17" si="33">G15+H15</f>
        <v>60.076799999999999</v>
      </c>
      <c r="J15" s="185">
        <v>2.75</v>
      </c>
      <c r="K15" s="14">
        <f t="shared" ref="K15:K16" si="34">IFERROR((I15)/J15,0)</f>
        <v>21.846109090909092</v>
      </c>
      <c r="L15" s="185">
        <v>0.77</v>
      </c>
      <c r="M15" s="10">
        <f>L15*Q$3</f>
        <v>30.414999999999999</v>
      </c>
      <c r="N15" s="13">
        <f t="shared" si="9"/>
        <v>90.491799999999998</v>
      </c>
      <c r="O15" s="17">
        <f>E15+J15+L15</f>
        <v>3.52</v>
      </c>
      <c r="P15" s="21">
        <f t="shared" si="30"/>
        <v>25.707897727272726</v>
      </c>
      <c r="Q15" s="13">
        <f t="shared" si="31"/>
        <v>0</v>
      </c>
      <c r="R15" s="13">
        <f t="shared" si="31"/>
        <v>23.363199999999999</v>
      </c>
      <c r="S15" s="13">
        <f>Q15+R15</f>
        <v>23.363199999999999</v>
      </c>
      <c r="T15" s="13">
        <f t="shared" si="10"/>
        <v>23.363199999999999</v>
      </c>
      <c r="U15" s="185">
        <v>1.28</v>
      </c>
      <c r="V15" s="184">
        <v>0.53</v>
      </c>
      <c r="W15" s="20">
        <f t="shared" si="23"/>
        <v>18.252499999999998</v>
      </c>
      <c r="X15" s="185">
        <v>0</v>
      </c>
      <c r="Y15" s="10">
        <f>X15*AD$3</f>
        <v>0</v>
      </c>
      <c r="Z15" s="13">
        <f>T15+Y15</f>
        <v>23.363199999999999</v>
      </c>
      <c r="AA15" s="11">
        <f>U15+X15</f>
        <v>1.28</v>
      </c>
      <c r="AB15" s="160">
        <f t="shared" si="4"/>
        <v>10.15625</v>
      </c>
      <c r="AC15" s="18">
        <f t="shared" si="5"/>
        <v>18.252499999999998</v>
      </c>
      <c r="AD15" s="141">
        <f t="shared" si="32"/>
        <v>113.85499999999999</v>
      </c>
      <c r="AE15" s="67">
        <f t="shared" si="32"/>
        <v>4.8</v>
      </c>
      <c r="AF15" s="68">
        <f t="shared" si="26"/>
        <v>23.719791666666666</v>
      </c>
    </row>
    <row r="16" spans="1:37" x14ac:dyDescent="0.25">
      <c r="A16" s="8">
        <v>45238</v>
      </c>
      <c r="B16" s="182">
        <v>26</v>
      </c>
      <c r="C16" s="181">
        <v>30</v>
      </c>
      <c r="D16" s="181">
        <v>1104</v>
      </c>
      <c r="E16" s="185">
        <v>0</v>
      </c>
      <c r="F16" s="18">
        <f>IFERROR(#REF!/E16,0)</f>
        <v>0</v>
      </c>
      <c r="G16" s="13">
        <f t="shared" si="29"/>
        <v>3.7349999999999994</v>
      </c>
      <c r="H16" s="13">
        <f t="shared" si="29"/>
        <v>2368.7424000000001</v>
      </c>
      <c r="I16" s="13">
        <f>G16+H16</f>
        <v>2372.4774000000002</v>
      </c>
      <c r="J16" s="185">
        <v>6.4600000000000009</v>
      </c>
      <c r="K16" s="14">
        <f t="shared" si="34"/>
        <v>367.25656346749224</v>
      </c>
      <c r="L16" s="185">
        <v>21.48</v>
      </c>
      <c r="M16" s="10">
        <f>L16*Q$3</f>
        <v>848.46</v>
      </c>
      <c r="N16" s="13">
        <f t="shared" si="9"/>
        <v>3220.9374000000003</v>
      </c>
      <c r="O16" s="17">
        <f>E16+J16+L16</f>
        <v>27.94</v>
      </c>
      <c r="P16" s="21">
        <f t="shared" si="30"/>
        <v>115.28050823192555</v>
      </c>
      <c r="Q16" s="13">
        <f t="shared" si="31"/>
        <v>0.76500000000000001</v>
      </c>
      <c r="R16" s="13">
        <f t="shared" si="31"/>
        <v>921.17759999999998</v>
      </c>
      <c r="S16" s="13">
        <f>Q16+R16</f>
        <v>921.94259999999997</v>
      </c>
      <c r="T16" s="13">
        <f t="shared" si="10"/>
        <v>921.94259999999997</v>
      </c>
      <c r="U16" s="185">
        <v>0.57999999999999996</v>
      </c>
      <c r="V16" s="184">
        <v>0</v>
      </c>
      <c r="W16" s="20">
        <f>IFERROR(T16/U16,0)</f>
        <v>1589.5562068965519</v>
      </c>
      <c r="X16" s="185">
        <v>0</v>
      </c>
      <c r="Y16" s="10">
        <f>X16*AD$3</f>
        <v>0</v>
      </c>
      <c r="Z16" s="13">
        <f>T16+Y16</f>
        <v>921.94259999999997</v>
      </c>
      <c r="AA16" s="11">
        <f>U16+X16</f>
        <v>0.57999999999999996</v>
      </c>
      <c r="AB16" s="160">
        <f t="shared" si="4"/>
        <v>44.827586206896555</v>
      </c>
      <c r="AC16" s="18">
        <f>IFERROR(Z16/AA16,0)</f>
        <v>1589.5562068965519</v>
      </c>
      <c r="AD16" s="141">
        <f t="shared" si="32"/>
        <v>4142.88</v>
      </c>
      <c r="AE16" s="67">
        <f t="shared" si="32"/>
        <v>28.52</v>
      </c>
      <c r="AF16" s="68">
        <f>IFERROR(AD16/AE16,0)</f>
        <v>145.26227208976158</v>
      </c>
    </row>
    <row r="17" spans="1:32" x14ac:dyDescent="0.25">
      <c r="A17" s="8">
        <v>45239</v>
      </c>
      <c r="B17" s="182">
        <v>19</v>
      </c>
      <c r="C17" s="181">
        <v>0</v>
      </c>
      <c r="D17" s="181">
        <v>30</v>
      </c>
      <c r="E17" s="185">
        <v>0</v>
      </c>
      <c r="F17" s="18">
        <f>IFERROR(#REF!/E17,0)</f>
        <v>0</v>
      </c>
      <c r="G17" s="13">
        <f t="shared" si="29"/>
        <v>0</v>
      </c>
      <c r="H17" s="13">
        <f t="shared" si="29"/>
        <v>64.367999999999995</v>
      </c>
      <c r="I17" s="13">
        <f t="shared" si="33"/>
        <v>64.367999999999995</v>
      </c>
      <c r="J17" s="185">
        <v>6.47</v>
      </c>
      <c r="K17" s="14">
        <f>IFERROR((I17)/J17,0)</f>
        <v>9.9486862442040174</v>
      </c>
      <c r="L17" s="185">
        <v>10.08</v>
      </c>
      <c r="M17" s="10">
        <f>L17*Q$3</f>
        <v>398.16</v>
      </c>
      <c r="N17" s="13">
        <f t="shared" si="9"/>
        <v>462.52800000000002</v>
      </c>
      <c r="O17" s="17">
        <f>E17+J17+L17</f>
        <v>16.55</v>
      </c>
      <c r="P17" s="21">
        <f t="shared" si="30"/>
        <v>27.947311178247734</v>
      </c>
      <c r="Q17" s="13">
        <f t="shared" si="31"/>
        <v>0</v>
      </c>
      <c r="R17" s="13">
        <f t="shared" si="31"/>
        <v>25.032</v>
      </c>
      <c r="S17" s="13">
        <f>Q17+R17</f>
        <v>25.032</v>
      </c>
      <c r="T17" s="13">
        <f t="shared" si="10"/>
        <v>25.032</v>
      </c>
      <c r="U17" s="185">
        <v>0.42</v>
      </c>
      <c r="V17" s="184">
        <v>0</v>
      </c>
      <c r="W17" s="20">
        <f t="shared" si="23"/>
        <v>59.6</v>
      </c>
      <c r="X17" s="185">
        <v>0</v>
      </c>
      <c r="Y17" s="10">
        <f>X17*AD$3</f>
        <v>0</v>
      </c>
      <c r="Z17" s="13">
        <f>T17+Y17</f>
        <v>25.032</v>
      </c>
      <c r="AA17" s="11">
        <f>U17+X17</f>
        <v>0.42</v>
      </c>
      <c r="AB17" s="160">
        <f t="shared" si="4"/>
        <v>45.238095238095241</v>
      </c>
      <c r="AC17" s="18">
        <f t="shared" si="5"/>
        <v>59.6</v>
      </c>
      <c r="AD17" s="141">
        <f t="shared" si="32"/>
        <v>487.56</v>
      </c>
      <c r="AE17" s="67">
        <f t="shared" si="32"/>
        <v>16.970000000000002</v>
      </c>
      <c r="AF17" s="68">
        <f>IFERROR(AD17/AE17,0)</f>
        <v>28.730701237477899</v>
      </c>
    </row>
    <row r="18" spans="1:32" s="195" customFormat="1" x14ac:dyDescent="0.25">
      <c r="A18" s="189">
        <v>45240</v>
      </c>
      <c r="B18" s="190"/>
      <c r="C18" s="191"/>
      <c r="D18" s="191"/>
      <c r="E18" s="192"/>
      <c r="F18" s="18">
        <f>IFERROR(#REF!/E18,0)</f>
        <v>0</v>
      </c>
      <c r="G18" s="13">
        <f t="shared" ref="G18" si="35">C18*K$3</f>
        <v>0</v>
      </c>
      <c r="H18" s="13">
        <f t="shared" ref="H18" si="36">D18*L$3</f>
        <v>0</v>
      </c>
      <c r="I18" s="13">
        <f t="shared" ref="I18" si="37">G18+H18</f>
        <v>0</v>
      </c>
      <c r="J18" s="192"/>
      <c r="K18" s="14">
        <f>IFERROR((I18)/J18,0)</f>
        <v>0</v>
      </c>
      <c r="L18" s="192"/>
      <c r="M18" s="10">
        <f>L18*Q$3</f>
        <v>0</v>
      </c>
      <c r="N18" s="13">
        <f t="shared" ref="N18" si="38">I18+M18</f>
        <v>0</v>
      </c>
      <c r="O18" s="17">
        <f>E18+J18+L18</f>
        <v>0</v>
      </c>
      <c r="P18" s="21">
        <f t="shared" ref="P18" si="39">IFERROR(N18/O18,0)</f>
        <v>0</v>
      </c>
      <c r="Q18" s="13">
        <f t="shared" ref="Q18" si="40">C18*W$3</f>
        <v>0</v>
      </c>
      <c r="R18" s="13">
        <f t="shared" ref="R18" si="41">D18*X$3</f>
        <v>0</v>
      </c>
      <c r="S18" s="13">
        <f>Q18+R18</f>
        <v>0</v>
      </c>
      <c r="T18" s="13">
        <f t="shared" ref="T18" si="42">S18</f>
        <v>0</v>
      </c>
      <c r="U18" s="192"/>
      <c r="V18" s="194"/>
      <c r="W18" s="20">
        <f t="shared" si="23"/>
        <v>0</v>
      </c>
      <c r="X18" s="192"/>
      <c r="Y18" s="10">
        <f>X18*AD$3</f>
        <v>0</v>
      </c>
      <c r="Z18" s="13">
        <f>T18+Y18</f>
        <v>0</v>
      </c>
      <c r="AA18" s="11">
        <f>U18+X18</f>
        <v>0</v>
      </c>
      <c r="AB18" s="160">
        <f t="shared" ref="AB18" si="43">IFERROR(B18/AA18,0)</f>
        <v>0</v>
      </c>
      <c r="AC18" s="18">
        <f t="shared" ref="AC18" si="44">IFERROR(Z18/AA18,0)</f>
        <v>0</v>
      </c>
      <c r="AD18" s="141">
        <f t="shared" ref="AD18" si="45">Z18+N18</f>
        <v>0</v>
      </c>
      <c r="AE18" s="67">
        <f t="shared" ref="AE18" si="46">AA18+O18</f>
        <v>0</v>
      </c>
      <c r="AF18" s="68">
        <f>IFERROR(AD18/AE18,0)</f>
        <v>0</v>
      </c>
    </row>
    <row r="19" spans="1:32" x14ac:dyDescent="0.25">
      <c r="A19" s="95" t="s">
        <v>13</v>
      </c>
      <c r="B19" s="23">
        <f t="shared" ref="B19:C19" si="47">SUM(B14:B18)</f>
        <v>95</v>
      </c>
      <c r="C19" s="23">
        <f t="shared" si="47"/>
        <v>30</v>
      </c>
      <c r="D19" s="148">
        <f>SUM(D14:D18)</f>
        <v>1960</v>
      </c>
      <c r="E19" s="26">
        <f>SUM(E14:E18)</f>
        <v>0</v>
      </c>
      <c r="F19" s="27">
        <f>IFERROR(#REF!/E19,0)</f>
        <v>0</v>
      </c>
      <c r="G19" s="28">
        <f>SUM(G14:G18)</f>
        <v>3.7349999999999994</v>
      </c>
      <c r="H19" s="28">
        <f>SUM(H14:H18)</f>
        <v>4205.3760000000002</v>
      </c>
      <c r="I19" s="25">
        <f>SUM(I14:I18)</f>
        <v>4209.1110000000008</v>
      </c>
      <c r="J19" s="26">
        <f>SUM(J14:J18)</f>
        <v>22.95</v>
      </c>
      <c r="K19" s="29">
        <f>IFERROR((I19)/J19,0)</f>
        <v>183.40352941176474</v>
      </c>
      <c r="L19" s="26">
        <f>SUM(L14:L18)</f>
        <v>38.53</v>
      </c>
      <c r="M19" s="25">
        <f>SUM(M14:M18)</f>
        <v>1521.9350000000002</v>
      </c>
      <c r="N19" s="28">
        <f>SUM(N14:N18)</f>
        <v>5731.0460000000003</v>
      </c>
      <c r="O19" s="30">
        <f>SUM(O14:O18)</f>
        <v>61.480000000000004</v>
      </c>
      <c r="P19" s="31">
        <f t="shared" si="30"/>
        <v>93.218054651919317</v>
      </c>
      <c r="Q19" s="28">
        <f t="shared" ref="Q19:U19" si="48">SUM(Q14:Q18)</f>
        <v>0.76500000000000001</v>
      </c>
      <c r="R19" s="28">
        <f>SUM(R14:R18)</f>
        <v>1635.424</v>
      </c>
      <c r="S19" s="25">
        <f t="shared" si="48"/>
        <v>1636.1890000000001</v>
      </c>
      <c r="T19" s="28">
        <f t="shared" si="48"/>
        <v>1636.1890000000001</v>
      </c>
      <c r="U19" s="26">
        <f t="shared" si="48"/>
        <v>2.86</v>
      </c>
      <c r="V19" s="26">
        <f>SUM(V14:V18)</f>
        <v>0.53</v>
      </c>
      <c r="W19" s="29">
        <f>IFERROR(T19/U19,0)</f>
        <v>572.09405594405598</v>
      </c>
      <c r="X19" s="26">
        <f>SUM(X14:X18)</f>
        <v>0</v>
      </c>
      <c r="Y19" s="25">
        <f>SUM(Y14:Y18)</f>
        <v>0</v>
      </c>
      <c r="Z19" s="28">
        <f>SUM(Z14:Z18)</f>
        <v>1636.1890000000001</v>
      </c>
      <c r="AA19" s="30">
        <f>SUM(AA14:AA18)</f>
        <v>2.86</v>
      </c>
      <c r="AB19" s="163">
        <f t="shared" si="4"/>
        <v>33.21678321678322</v>
      </c>
      <c r="AC19" s="27">
        <f t="shared" si="5"/>
        <v>572.09405594405598</v>
      </c>
      <c r="AD19" s="69">
        <f>SUM(AD14:AD18)</f>
        <v>7367.2350000000006</v>
      </c>
      <c r="AE19" s="70">
        <f>SUM(AE14:AE18)</f>
        <v>64.34</v>
      </c>
      <c r="AF19" s="71">
        <f>IFERROR(AD19/AE19,0)</f>
        <v>114.50474044140503</v>
      </c>
    </row>
    <row r="20" spans="1:32" x14ac:dyDescent="0.25">
      <c r="A20" s="8">
        <v>45243</v>
      </c>
      <c r="B20" s="187"/>
      <c r="C20" s="186"/>
      <c r="D20" s="186"/>
      <c r="E20" s="183"/>
      <c r="F20" s="18">
        <f>IFERROR(#REF!/E20,0)</f>
        <v>0</v>
      </c>
      <c r="G20" s="13">
        <f t="shared" ref="G20:H24" si="49">C20*K$3</f>
        <v>0</v>
      </c>
      <c r="H20" s="13">
        <f t="shared" si="49"/>
        <v>0</v>
      </c>
      <c r="I20" s="13">
        <f>G20+H20</f>
        <v>0</v>
      </c>
      <c r="J20" s="183"/>
      <c r="K20" s="14">
        <f>IFERROR((I20)/J20,0)</f>
        <v>0</v>
      </c>
      <c r="L20" s="183"/>
      <c r="M20" s="10">
        <f>L20*Q$3</f>
        <v>0</v>
      </c>
      <c r="N20" s="13">
        <f t="shared" si="9"/>
        <v>0</v>
      </c>
      <c r="O20" s="17">
        <f>E20+J20+L20</f>
        <v>0</v>
      </c>
      <c r="P20" s="21">
        <f t="shared" si="30"/>
        <v>0</v>
      </c>
      <c r="Q20" s="13">
        <f t="shared" ref="Q20:R24" si="50">C20*W$3</f>
        <v>0</v>
      </c>
      <c r="R20" s="13">
        <f t="shared" si="50"/>
        <v>0</v>
      </c>
      <c r="S20" s="13">
        <f>Q20+R20</f>
        <v>0</v>
      </c>
      <c r="T20" s="13">
        <f t="shared" si="10"/>
        <v>0</v>
      </c>
      <c r="U20" s="183"/>
      <c r="V20" s="184"/>
      <c r="W20" s="20">
        <f t="shared" si="23"/>
        <v>0</v>
      </c>
      <c r="X20" s="183"/>
      <c r="Y20" s="10">
        <f>X20*AD$3</f>
        <v>0</v>
      </c>
      <c r="Z20" s="13">
        <f>T20+Y20</f>
        <v>0</v>
      </c>
      <c r="AA20" s="11">
        <f>U20+X20</f>
        <v>0</v>
      </c>
      <c r="AB20" s="160">
        <f t="shared" si="4"/>
        <v>0</v>
      </c>
      <c r="AC20" s="18">
        <f t="shared" si="5"/>
        <v>0</v>
      </c>
      <c r="AD20" s="141">
        <f t="shared" ref="AD20:AE24" si="51">Z20+N20</f>
        <v>0</v>
      </c>
      <c r="AE20" s="67">
        <f t="shared" si="51"/>
        <v>0</v>
      </c>
      <c r="AF20" s="68">
        <f t="shared" si="26"/>
        <v>0</v>
      </c>
    </row>
    <row r="21" spans="1:32" x14ac:dyDescent="0.25">
      <c r="A21" s="8">
        <v>45244</v>
      </c>
      <c r="B21" s="182"/>
      <c r="C21" s="181"/>
      <c r="D21" s="181"/>
      <c r="E21" s="185"/>
      <c r="F21" s="18">
        <f>IFERROR(#REF!/E21,0)</f>
        <v>0</v>
      </c>
      <c r="G21" s="13">
        <f t="shared" si="49"/>
        <v>0</v>
      </c>
      <c r="H21" s="13">
        <f t="shared" si="49"/>
        <v>0</v>
      </c>
      <c r="I21" s="13">
        <f t="shared" ref="I21:I24" si="52">G21+H21</f>
        <v>0</v>
      </c>
      <c r="J21" s="185"/>
      <c r="K21" s="14">
        <f t="shared" ref="K21:K24" si="53">IFERROR((I21)/J21,0)</f>
        <v>0</v>
      </c>
      <c r="L21" s="185"/>
      <c r="M21" s="10">
        <f>L21*Q$3</f>
        <v>0</v>
      </c>
      <c r="N21" s="13">
        <f t="shared" si="9"/>
        <v>0</v>
      </c>
      <c r="O21" s="17">
        <f>E21+J21+L21</f>
        <v>0</v>
      </c>
      <c r="P21" s="21">
        <f t="shared" si="30"/>
        <v>0</v>
      </c>
      <c r="Q21" s="13">
        <f t="shared" si="50"/>
        <v>0</v>
      </c>
      <c r="R21" s="13">
        <f t="shared" si="50"/>
        <v>0</v>
      </c>
      <c r="S21" s="13">
        <f>Q21+R21</f>
        <v>0</v>
      </c>
      <c r="T21" s="13">
        <f t="shared" si="10"/>
        <v>0</v>
      </c>
      <c r="U21" s="185"/>
      <c r="V21" s="184"/>
      <c r="W21" s="20">
        <f t="shared" si="23"/>
        <v>0</v>
      </c>
      <c r="X21" s="185"/>
      <c r="Y21" s="10">
        <f>X21*AD$3</f>
        <v>0</v>
      </c>
      <c r="Z21" s="13">
        <f>T21+Y21</f>
        <v>0</v>
      </c>
      <c r="AA21" s="11">
        <f>U21+X21</f>
        <v>0</v>
      </c>
      <c r="AB21" s="160">
        <f t="shared" si="4"/>
        <v>0</v>
      </c>
      <c r="AC21" s="18">
        <f t="shared" si="5"/>
        <v>0</v>
      </c>
      <c r="AD21" s="141">
        <f t="shared" si="51"/>
        <v>0</v>
      </c>
      <c r="AE21" s="67">
        <f t="shared" si="51"/>
        <v>0</v>
      </c>
      <c r="AF21" s="68">
        <f t="shared" si="26"/>
        <v>0</v>
      </c>
    </row>
    <row r="22" spans="1:32" x14ac:dyDescent="0.25">
      <c r="A22" s="8">
        <v>45245</v>
      </c>
      <c r="B22" s="182"/>
      <c r="C22" s="181"/>
      <c r="D22" s="181"/>
      <c r="E22" s="185"/>
      <c r="F22" s="18">
        <f>IFERROR(#REF!/E22,0)</f>
        <v>0</v>
      </c>
      <c r="G22" s="13">
        <f t="shared" si="49"/>
        <v>0</v>
      </c>
      <c r="H22" s="13">
        <f t="shared" si="49"/>
        <v>0</v>
      </c>
      <c r="I22" s="13">
        <f>G22+H22</f>
        <v>0</v>
      </c>
      <c r="J22" s="185"/>
      <c r="K22" s="14">
        <f t="shared" si="53"/>
        <v>0</v>
      </c>
      <c r="L22" s="185"/>
      <c r="M22" s="10">
        <f>L22*Q$3</f>
        <v>0</v>
      </c>
      <c r="N22" s="13">
        <f t="shared" si="9"/>
        <v>0</v>
      </c>
      <c r="O22" s="17">
        <f>E22+J22+L22</f>
        <v>0</v>
      </c>
      <c r="P22" s="21">
        <f>IFERROR(N22/O22,0)</f>
        <v>0</v>
      </c>
      <c r="Q22" s="13">
        <f t="shared" si="50"/>
        <v>0</v>
      </c>
      <c r="R22" s="13">
        <f t="shared" si="50"/>
        <v>0</v>
      </c>
      <c r="S22" s="13">
        <f>Q22+R22</f>
        <v>0</v>
      </c>
      <c r="T22" s="13">
        <f t="shared" si="10"/>
        <v>0</v>
      </c>
      <c r="U22" s="185"/>
      <c r="V22" s="184"/>
      <c r="W22" s="20">
        <f t="shared" si="23"/>
        <v>0</v>
      </c>
      <c r="X22" s="185"/>
      <c r="Y22" s="10">
        <f>X22*AD$3</f>
        <v>0</v>
      </c>
      <c r="Z22" s="13">
        <f>T22+Y22</f>
        <v>0</v>
      </c>
      <c r="AA22" s="11">
        <f>U22+X22</f>
        <v>0</v>
      </c>
      <c r="AB22" s="160">
        <f t="shared" si="4"/>
        <v>0</v>
      </c>
      <c r="AC22" s="18">
        <f t="shared" si="5"/>
        <v>0</v>
      </c>
      <c r="AD22" s="141">
        <f t="shared" si="51"/>
        <v>0</v>
      </c>
      <c r="AE22" s="67">
        <f t="shared" si="51"/>
        <v>0</v>
      </c>
      <c r="AF22" s="68">
        <f t="shared" si="26"/>
        <v>0</v>
      </c>
    </row>
    <row r="23" spans="1:32" x14ac:dyDescent="0.25">
      <c r="A23" s="8">
        <v>45246</v>
      </c>
      <c r="B23" s="182"/>
      <c r="C23" s="181"/>
      <c r="D23" s="181"/>
      <c r="E23" s="185"/>
      <c r="F23" s="18">
        <f>IFERROR(#REF!/E23,0)</f>
        <v>0</v>
      </c>
      <c r="G23" s="13">
        <f t="shared" si="49"/>
        <v>0</v>
      </c>
      <c r="H23" s="13">
        <f t="shared" si="49"/>
        <v>0</v>
      </c>
      <c r="I23" s="13">
        <f t="shared" si="52"/>
        <v>0</v>
      </c>
      <c r="J23" s="185"/>
      <c r="K23" s="14">
        <f>IFERROR((I23)/J23,0)</f>
        <v>0</v>
      </c>
      <c r="L23" s="185"/>
      <c r="M23" s="10">
        <f>L23*Q$3</f>
        <v>0</v>
      </c>
      <c r="N23" s="13">
        <f t="shared" si="9"/>
        <v>0</v>
      </c>
      <c r="O23" s="17">
        <f>E23+J23+L23</f>
        <v>0</v>
      </c>
      <c r="P23" s="21">
        <f>IFERROR(N23/O23,0)</f>
        <v>0</v>
      </c>
      <c r="Q23" s="13">
        <f t="shared" si="50"/>
        <v>0</v>
      </c>
      <c r="R23" s="13">
        <f t="shared" si="50"/>
        <v>0</v>
      </c>
      <c r="S23" s="13">
        <f>Q23+R23</f>
        <v>0</v>
      </c>
      <c r="T23" s="13">
        <f t="shared" si="10"/>
        <v>0</v>
      </c>
      <c r="U23" s="185"/>
      <c r="V23" s="184"/>
      <c r="W23" s="20">
        <f t="shared" si="23"/>
        <v>0</v>
      </c>
      <c r="X23" s="185"/>
      <c r="Y23" s="10">
        <f>X23*AD$3</f>
        <v>0</v>
      </c>
      <c r="Z23" s="13">
        <f>T23+Y23</f>
        <v>0</v>
      </c>
      <c r="AA23" s="11">
        <f>U23+X23</f>
        <v>0</v>
      </c>
      <c r="AB23" s="160">
        <f t="shared" si="4"/>
        <v>0</v>
      </c>
      <c r="AC23" s="18">
        <f t="shared" si="5"/>
        <v>0</v>
      </c>
      <c r="AD23" s="141">
        <f t="shared" si="51"/>
        <v>0</v>
      </c>
      <c r="AE23" s="67">
        <f t="shared" si="51"/>
        <v>0</v>
      </c>
      <c r="AF23" s="68">
        <f t="shared" si="26"/>
        <v>0</v>
      </c>
    </row>
    <row r="24" spans="1:32" x14ac:dyDescent="0.25">
      <c r="A24" s="8">
        <v>45247</v>
      </c>
      <c r="B24" s="182"/>
      <c r="C24" s="181"/>
      <c r="D24" s="181"/>
      <c r="E24" s="185"/>
      <c r="F24" s="18">
        <f>IFERROR(#REF!/E24,0)</f>
        <v>0</v>
      </c>
      <c r="G24" s="13">
        <f t="shared" si="49"/>
        <v>0</v>
      </c>
      <c r="H24" s="13">
        <f t="shared" si="49"/>
        <v>0</v>
      </c>
      <c r="I24" s="13">
        <f t="shared" si="52"/>
        <v>0</v>
      </c>
      <c r="J24" s="185"/>
      <c r="K24" s="14">
        <f t="shared" si="53"/>
        <v>0</v>
      </c>
      <c r="L24" s="185"/>
      <c r="M24" s="10">
        <f>L24*Q$3</f>
        <v>0</v>
      </c>
      <c r="N24" s="13">
        <f t="shared" si="9"/>
        <v>0</v>
      </c>
      <c r="O24" s="17">
        <f>E24+J24+L24</f>
        <v>0</v>
      </c>
      <c r="P24" s="21">
        <f t="shared" si="30"/>
        <v>0</v>
      </c>
      <c r="Q24" s="13">
        <f t="shared" si="50"/>
        <v>0</v>
      </c>
      <c r="R24" s="13">
        <f t="shared" si="50"/>
        <v>0</v>
      </c>
      <c r="S24" s="13">
        <f>Q24+R24</f>
        <v>0</v>
      </c>
      <c r="T24" s="13">
        <f t="shared" si="10"/>
        <v>0</v>
      </c>
      <c r="U24" s="185"/>
      <c r="V24" s="184"/>
      <c r="W24" s="20">
        <f t="shared" si="23"/>
        <v>0</v>
      </c>
      <c r="X24" s="185"/>
      <c r="Y24" s="10">
        <f>X24*AD$3</f>
        <v>0</v>
      </c>
      <c r="Z24" s="13">
        <f>T24+Y24</f>
        <v>0</v>
      </c>
      <c r="AA24" s="11">
        <f>U24+X24</f>
        <v>0</v>
      </c>
      <c r="AB24" s="160">
        <f t="shared" si="4"/>
        <v>0</v>
      </c>
      <c r="AC24" s="18">
        <f t="shared" si="5"/>
        <v>0</v>
      </c>
      <c r="AD24" s="141">
        <f t="shared" si="51"/>
        <v>0</v>
      </c>
      <c r="AE24" s="67">
        <f t="shared" si="51"/>
        <v>0</v>
      </c>
      <c r="AF24" s="68">
        <f t="shared" si="26"/>
        <v>0</v>
      </c>
    </row>
    <row r="25" spans="1:32" x14ac:dyDescent="0.25">
      <c r="A25" s="95" t="s">
        <v>13</v>
      </c>
      <c r="B25" s="23">
        <f t="shared" ref="B25:E25" si="54">SUM(B20:B24)</f>
        <v>0</v>
      </c>
      <c r="C25" s="23">
        <f t="shared" si="54"/>
        <v>0</v>
      </c>
      <c r="D25" s="148">
        <f>SUM(D20:D24)</f>
        <v>0</v>
      </c>
      <c r="E25" s="26">
        <f t="shared" si="54"/>
        <v>0</v>
      </c>
      <c r="F25" s="27">
        <f>IFERROR(#REF!/E25,0)</f>
        <v>0</v>
      </c>
      <c r="G25" s="28">
        <f>SUM(G20:G24)</f>
        <v>0</v>
      </c>
      <c r="H25" s="28">
        <f>SUM(H20:H24)</f>
        <v>0</v>
      </c>
      <c r="I25" s="25">
        <f>SUM(I20:I24)</f>
        <v>0</v>
      </c>
      <c r="J25" s="26">
        <f>SUM(J20:J24)</f>
        <v>0</v>
      </c>
      <c r="K25" s="29">
        <f>IFERROR((I25)/J25,0)</f>
        <v>0</v>
      </c>
      <c r="L25" s="26">
        <f>SUM(L20:L24)</f>
        <v>0</v>
      </c>
      <c r="M25" s="25">
        <f>SUM(M20:M24)</f>
        <v>0</v>
      </c>
      <c r="N25" s="28">
        <f>SUM(N20:N24)</f>
        <v>0</v>
      </c>
      <c r="O25" s="30">
        <f>SUM(O20:O24)</f>
        <v>0</v>
      </c>
      <c r="P25" s="31">
        <f t="shared" si="30"/>
        <v>0</v>
      </c>
      <c r="Q25" s="28">
        <f t="shared" ref="Q25:U25" si="55">SUM(Q20:Q24)</f>
        <v>0</v>
      </c>
      <c r="R25" s="28">
        <f>SUM(R20:R24)</f>
        <v>0</v>
      </c>
      <c r="S25" s="25">
        <f t="shared" si="55"/>
        <v>0</v>
      </c>
      <c r="T25" s="28">
        <f t="shared" si="55"/>
        <v>0</v>
      </c>
      <c r="U25" s="26">
        <f t="shared" si="55"/>
        <v>0</v>
      </c>
      <c r="V25" s="26">
        <f>SUM(V20:V24)</f>
        <v>0</v>
      </c>
      <c r="W25" s="29">
        <f>IFERROR(T25/U25,0)</f>
        <v>0</v>
      </c>
      <c r="X25" s="26">
        <f>SUM(X20:X24)</f>
        <v>0</v>
      </c>
      <c r="Y25" s="25">
        <f>SUM(Y20:Y24)</f>
        <v>0</v>
      </c>
      <c r="Z25" s="28">
        <f>SUM(Z20:Z24)</f>
        <v>0</v>
      </c>
      <c r="AA25" s="30">
        <f>SUM(AA20:AA24)</f>
        <v>0</v>
      </c>
      <c r="AB25" s="163">
        <f t="shared" si="4"/>
        <v>0</v>
      </c>
      <c r="AC25" s="27">
        <f t="shared" si="5"/>
        <v>0</v>
      </c>
      <c r="AD25" s="69">
        <f>SUM(AD20:AD24)</f>
        <v>0</v>
      </c>
      <c r="AE25" s="70">
        <f>SUM(AE20:AE24)</f>
        <v>0</v>
      </c>
      <c r="AF25" s="71">
        <f t="shared" si="26"/>
        <v>0</v>
      </c>
    </row>
    <row r="26" spans="1:32" x14ac:dyDescent="0.25">
      <c r="A26" s="8">
        <v>45250</v>
      </c>
      <c r="B26" s="187"/>
      <c r="C26" s="186"/>
      <c r="D26" s="186"/>
      <c r="E26" s="183"/>
      <c r="F26" s="18">
        <f>IFERROR(#REF!/E26,0)</f>
        <v>0</v>
      </c>
      <c r="G26" s="13">
        <f t="shared" ref="G26:H30" si="56">C26*K$3</f>
        <v>0</v>
      </c>
      <c r="H26" s="13">
        <f t="shared" si="56"/>
        <v>0</v>
      </c>
      <c r="I26" s="13">
        <f>G26+H26</f>
        <v>0</v>
      </c>
      <c r="J26" s="183"/>
      <c r="K26" s="14">
        <f>IFERROR((I26)/J26,0)</f>
        <v>0</v>
      </c>
      <c r="L26" s="183"/>
      <c r="M26" s="10">
        <f>L26*Q$3</f>
        <v>0</v>
      </c>
      <c r="N26" s="13">
        <f t="shared" si="9"/>
        <v>0</v>
      </c>
      <c r="O26" s="17">
        <f>E26+J26+L26</f>
        <v>0</v>
      </c>
      <c r="P26" s="21">
        <f t="shared" si="30"/>
        <v>0</v>
      </c>
      <c r="Q26" s="13">
        <f t="shared" ref="Q26:R30" si="57">C26*W$3</f>
        <v>0</v>
      </c>
      <c r="R26" s="13">
        <f t="shared" si="57"/>
        <v>0</v>
      </c>
      <c r="S26" s="13">
        <f>Q26+R26</f>
        <v>0</v>
      </c>
      <c r="T26" s="13">
        <f t="shared" si="10"/>
        <v>0</v>
      </c>
      <c r="U26" s="183"/>
      <c r="V26" s="184"/>
      <c r="W26" s="20">
        <f t="shared" si="23"/>
        <v>0</v>
      </c>
      <c r="X26" s="183"/>
      <c r="Y26" s="10">
        <f>X26*AD$3</f>
        <v>0</v>
      </c>
      <c r="Z26" s="13">
        <f>T26+Y26</f>
        <v>0</v>
      </c>
      <c r="AA26" s="11">
        <f>U26+X26</f>
        <v>0</v>
      </c>
      <c r="AB26" s="160">
        <f t="shared" si="4"/>
        <v>0</v>
      </c>
      <c r="AC26" s="18">
        <f t="shared" si="5"/>
        <v>0</v>
      </c>
      <c r="AD26" s="141">
        <f t="shared" ref="AD26:AE30" si="58">Z26+N26</f>
        <v>0</v>
      </c>
      <c r="AE26" s="67">
        <f t="shared" si="58"/>
        <v>0</v>
      </c>
      <c r="AF26" s="68">
        <f t="shared" si="26"/>
        <v>0</v>
      </c>
    </row>
    <row r="27" spans="1:32" x14ac:dyDescent="0.25">
      <c r="A27" s="8">
        <v>45251</v>
      </c>
      <c r="B27" s="182"/>
      <c r="C27" s="181"/>
      <c r="D27" s="181"/>
      <c r="E27" s="185"/>
      <c r="F27" s="18">
        <f>IFERROR(#REF!/E27,0)</f>
        <v>0</v>
      </c>
      <c r="G27" s="13">
        <f t="shared" si="56"/>
        <v>0</v>
      </c>
      <c r="H27" s="13">
        <f t="shared" si="56"/>
        <v>0</v>
      </c>
      <c r="I27" s="13">
        <f t="shared" ref="I27:I30" si="59">G27+H27</f>
        <v>0</v>
      </c>
      <c r="J27" s="185"/>
      <c r="K27" s="14">
        <f t="shared" ref="K27:K30" si="60">IFERROR((I27)/J27,0)</f>
        <v>0</v>
      </c>
      <c r="L27" s="185"/>
      <c r="M27" s="10">
        <f>L27*Q$3</f>
        <v>0</v>
      </c>
      <c r="N27" s="13">
        <f t="shared" si="9"/>
        <v>0</v>
      </c>
      <c r="O27" s="17">
        <f>E27+J27+L27</f>
        <v>0</v>
      </c>
      <c r="P27" s="21">
        <f t="shared" si="30"/>
        <v>0</v>
      </c>
      <c r="Q27" s="13">
        <f t="shared" si="57"/>
        <v>0</v>
      </c>
      <c r="R27" s="13">
        <f t="shared" si="57"/>
        <v>0</v>
      </c>
      <c r="S27" s="13">
        <f>Q27+R27</f>
        <v>0</v>
      </c>
      <c r="T27" s="13">
        <f t="shared" si="10"/>
        <v>0</v>
      </c>
      <c r="U27" s="185"/>
      <c r="V27" s="184"/>
      <c r="W27" s="20">
        <f t="shared" si="23"/>
        <v>0</v>
      </c>
      <c r="X27" s="185"/>
      <c r="Y27" s="10">
        <f>X27*AD$3</f>
        <v>0</v>
      </c>
      <c r="Z27" s="13">
        <f>T27+Y27</f>
        <v>0</v>
      </c>
      <c r="AA27" s="11">
        <f>U27+X27</f>
        <v>0</v>
      </c>
      <c r="AB27" s="160">
        <f t="shared" si="4"/>
        <v>0</v>
      </c>
      <c r="AC27" s="18">
        <f t="shared" si="5"/>
        <v>0</v>
      </c>
      <c r="AD27" s="141">
        <f t="shared" si="58"/>
        <v>0</v>
      </c>
      <c r="AE27" s="67">
        <f t="shared" si="58"/>
        <v>0</v>
      </c>
      <c r="AF27" s="68">
        <f t="shared" si="26"/>
        <v>0</v>
      </c>
    </row>
    <row r="28" spans="1:32" x14ac:dyDescent="0.25">
      <c r="A28" s="8">
        <v>45252</v>
      </c>
      <c r="B28" s="182"/>
      <c r="C28" s="181"/>
      <c r="D28" s="181"/>
      <c r="E28" s="185"/>
      <c r="F28" s="18">
        <f>IFERROR(#REF!/E28,0)</f>
        <v>0</v>
      </c>
      <c r="G28" s="13">
        <f t="shared" si="56"/>
        <v>0</v>
      </c>
      <c r="H28" s="13">
        <f t="shared" si="56"/>
        <v>0</v>
      </c>
      <c r="I28" s="13">
        <f>G28+H28</f>
        <v>0</v>
      </c>
      <c r="J28" s="185"/>
      <c r="K28" s="14">
        <f t="shared" si="60"/>
        <v>0</v>
      </c>
      <c r="L28" s="185"/>
      <c r="M28" s="10">
        <f>L28*Q$3</f>
        <v>0</v>
      </c>
      <c r="N28" s="13">
        <f t="shared" si="9"/>
        <v>0</v>
      </c>
      <c r="O28" s="17">
        <f>E28+J28+L28</f>
        <v>0</v>
      </c>
      <c r="P28" s="21">
        <f>IFERROR(N28/O28,0)</f>
        <v>0</v>
      </c>
      <c r="Q28" s="13">
        <f t="shared" si="57"/>
        <v>0</v>
      </c>
      <c r="R28" s="13">
        <f t="shared" si="57"/>
        <v>0</v>
      </c>
      <c r="S28" s="13">
        <f>Q28+R28</f>
        <v>0</v>
      </c>
      <c r="T28" s="13">
        <f t="shared" si="10"/>
        <v>0</v>
      </c>
      <c r="U28" s="185"/>
      <c r="V28" s="184"/>
      <c r="W28" s="20">
        <f t="shared" si="23"/>
        <v>0</v>
      </c>
      <c r="X28" s="185"/>
      <c r="Y28" s="10">
        <f>X28*AD$3</f>
        <v>0</v>
      </c>
      <c r="Z28" s="13">
        <f>T28+Y28</f>
        <v>0</v>
      </c>
      <c r="AA28" s="11">
        <f>U28+X28</f>
        <v>0</v>
      </c>
      <c r="AB28" s="160">
        <f t="shared" si="4"/>
        <v>0</v>
      </c>
      <c r="AC28" s="18">
        <f t="shared" si="5"/>
        <v>0</v>
      </c>
      <c r="AD28" s="141">
        <f t="shared" si="58"/>
        <v>0</v>
      </c>
      <c r="AE28" s="67">
        <f t="shared" si="58"/>
        <v>0</v>
      </c>
      <c r="AF28" s="68">
        <f t="shared" si="26"/>
        <v>0</v>
      </c>
    </row>
    <row r="29" spans="1:32" x14ac:dyDescent="0.25">
      <c r="A29" s="8">
        <v>45253</v>
      </c>
      <c r="B29" s="182"/>
      <c r="C29" s="181"/>
      <c r="D29" s="181"/>
      <c r="E29" s="185"/>
      <c r="F29" s="18">
        <f>IFERROR(#REF!/E29,0)</f>
        <v>0</v>
      </c>
      <c r="G29" s="13">
        <f t="shared" si="56"/>
        <v>0</v>
      </c>
      <c r="H29" s="13">
        <f t="shared" si="56"/>
        <v>0</v>
      </c>
      <c r="I29" s="13">
        <f t="shared" si="59"/>
        <v>0</v>
      </c>
      <c r="J29" s="185"/>
      <c r="K29" s="14">
        <f>IFERROR((I29)/J29,0)</f>
        <v>0</v>
      </c>
      <c r="L29" s="185"/>
      <c r="M29" s="10">
        <f>L29*Q$3</f>
        <v>0</v>
      </c>
      <c r="N29" s="13">
        <f t="shared" si="9"/>
        <v>0</v>
      </c>
      <c r="O29" s="17">
        <f>E29+J29+L29</f>
        <v>0</v>
      </c>
      <c r="P29" s="21">
        <f t="shared" si="30"/>
        <v>0</v>
      </c>
      <c r="Q29" s="13">
        <f t="shared" si="57"/>
        <v>0</v>
      </c>
      <c r="R29" s="13">
        <f t="shared" si="57"/>
        <v>0</v>
      </c>
      <c r="S29" s="13">
        <f>Q29+R29</f>
        <v>0</v>
      </c>
      <c r="T29" s="13">
        <f t="shared" si="10"/>
        <v>0</v>
      </c>
      <c r="U29" s="185"/>
      <c r="V29" s="184"/>
      <c r="W29" s="20">
        <f>IFERROR(T29/U29,0)</f>
        <v>0</v>
      </c>
      <c r="X29" s="185"/>
      <c r="Y29" s="10">
        <f>X29*AD$3</f>
        <v>0</v>
      </c>
      <c r="Z29" s="13">
        <f>T29+Y29</f>
        <v>0</v>
      </c>
      <c r="AA29" s="11">
        <f>U29+X29</f>
        <v>0</v>
      </c>
      <c r="AB29" s="160">
        <f t="shared" si="4"/>
        <v>0</v>
      </c>
      <c r="AC29" s="18">
        <f t="shared" si="5"/>
        <v>0</v>
      </c>
      <c r="AD29" s="141">
        <f t="shared" si="58"/>
        <v>0</v>
      </c>
      <c r="AE29" s="67">
        <f t="shared" si="58"/>
        <v>0</v>
      </c>
      <c r="AF29" s="68">
        <f t="shared" si="26"/>
        <v>0</v>
      </c>
    </row>
    <row r="30" spans="1:32" x14ac:dyDescent="0.25">
      <c r="A30" s="8">
        <v>45254</v>
      </c>
      <c r="B30" s="182"/>
      <c r="C30" s="181"/>
      <c r="D30" s="181"/>
      <c r="E30" s="185"/>
      <c r="F30" s="18">
        <f>IFERROR(#REF!/E30,0)</f>
        <v>0</v>
      </c>
      <c r="G30" s="13">
        <f t="shared" si="56"/>
        <v>0</v>
      </c>
      <c r="H30" s="13">
        <f t="shared" si="56"/>
        <v>0</v>
      </c>
      <c r="I30" s="13">
        <f t="shared" si="59"/>
        <v>0</v>
      </c>
      <c r="J30" s="185"/>
      <c r="K30" s="14">
        <f t="shared" si="60"/>
        <v>0</v>
      </c>
      <c r="L30" s="185"/>
      <c r="M30" s="10">
        <f>L30*Q$3</f>
        <v>0</v>
      </c>
      <c r="N30" s="13">
        <f t="shared" si="9"/>
        <v>0</v>
      </c>
      <c r="O30" s="17">
        <f>E30+J30+L30</f>
        <v>0</v>
      </c>
      <c r="P30" s="21">
        <f t="shared" si="30"/>
        <v>0</v>
      </c>
      <c r="Q30" s="13">
        <f t="shared" si="57"/>
        <v>0</v>
      </c>
      <c r="R30" s="13">
        <f t="shared" si="57"/>
        <v>0</v>
      </c>
      <c r="S30" s="13">
        <f>Q30+R30</f>
        <v>0</v>
      </c>
      <c r="T30" s="13">
        <f t="shared" si="10"/>
        <v>0</v>
      </c>
      <c r="U30" s="185"/>
      <c r="V30" s="184"/>
      <c r="W30" s="20">
        <f t="shared" si="23"/>
        <v>0</v>
      </c>
      <c r="X30" s="185"/>
      <c r="Y30" s="10">
        <f>X30*AD$3</f>
        <v>0</v>
      </c>
      <c r="Z30" s="13">
        <f>T30+Y30</f>
        <v>0</v>
      </c>
      <c r="AA30" s="11">
        <f>U30+X30</f>
        <v>0</v>
      </c>
      <c r="AB30" s="160">
        <f t="shared" si="4"/>
        <v>0</v>
      </c>
      <c r="AC30" s="18">
        <f t="shared" si="5"/>
        <v>0</v>
      </c>
      <c r="AD30" s="141">
        <f t="shared" si="58"/>
        <v>0</v>
      </c>
      <c r="AE30" s="67">
        <f t="shared" si="58"/>
        <v>0</v>
      </c>
      <c r="AF30" s="68">
        <f t="shared" si="26"/>
        <v>0</v>
      </c>
    </row>
    <row r="31" spans="1:32" x14ac:dyDescent="0.25">
      <c r="A31" s="95" t="s">
        <v>13</v>
      </c>
      <c r="B31" s="23">
        <f t="shared" ref="B31:E31" si="61">SUM(B26:B30)</f>
        <v>0</v>
      </c>
      <c r="C31" s="23">
        <f t="shared" si="61"/>
        <v>0</v>
      </c>
      <c r="D31" s="148">
        <f>SUM(D26:D30)</f>
        <v>0</v>
      </c>
      <c r="E31" s="26">
        <f t="shared" si="61"/>
        <v>0</v>
      </c>
      <c r="F31" s="27">
        <f>IFERROR(#REF!/E31,0)</f>
        <v>0</v>
      </c>
      <c r="G31" s="28">
        <f>SUM(G26:G30)</f>
        <v>0</v>
      </c>
      <c r="H31" s="28">
        <f>SUM(H26:H30)</f>
        <v>0</v>
      </c>
      <c r="I31" s="25">
        <f>SUM(I26:I30)</f>
        <v>0</v>
      </c>
      <c r="J31" s="26">
        <f>SUM(J26:J30)</f>
        <v>0</v>
      </c>
      <c r="K31" s="29">
        <f>IFERROR((I31)/J31,0)</f>
        <v>0</v>
      </c>
      <c r="L31" s="26">
        <f>SUM(L26:L30)</f>
        <v>0</v>
      </c>
      <c r="M31" s="25">
        <f>SUM(M26:M30)</f>
        <v>0</v>
      </c>
      <c r="N31" s="28">
        <f>SUM(N26:N30)</f>
        <v>0</v>
      </c>
      <c r="O31" s="30">
        <f>SUM(O26:O30)</f>
        <v>0</v>
      </c>
      <c r="P31" s="31">
        <f t="shared" si="30"/>
        <v>0</v>
      </c>
      <c r="Q31" s="28">
        <f t="shared" ref="Q31:U31" si="62">SUM(Q26:Q30)</f>
        <v>0</v>
      </c>
      <c r="R31" s="28">
        <f>SUM(R26:R30)</f>
        <v>0</v>
      </c>
      <c r="S31" s="25">
        <f t="shared" si="62"/>
        <v>0</v>
      </c>
      <c r="T31" s="28">
        <f t="shared" si="62"/>
        <v>0</v>
      </c>
      <c r="U31" s="26">
        <f t="shared" si="62"/>
        <v>0</v>
      </c>
      <c r="V31" s="26">
        <f>SUM(V26:V30)</f>
        <v>0</v>
      </c>
      <c r="W31" s="29">
        <f>IFERROR(T31/U31,0)</f>
        <v>0</v>
      </c>
      <c r="X31" s="26">
        <f>SUM(X26:X30)</f>
        <v>0</v>
      </c>
      <c r="Y31" s="25">
        <f>SUM(Y26:Y30)</f>
        <v>0</v>
      </c>
      <c r="Z31" s="28">
        <f>SUM(Z26:Z30)</f>
        <v>0</v>
      </c>
      <c r="AA31" s="30">
        <f>SUM(AA26:AA30)</f>
        <v>0</v>
      </c>
      <c r="AB31" s="163">
        <f t="shared" si="4"/>
        <v>0</v>
      </c>
      <c r="AC31" s="27">
        <f t="shared" si="5"/>
        <v>0</v>
      </c>
      <c r="AD31" s="69">
        <f>SUM(AD26:AD30)</f>
        <v>0</v>
      </c>
      <c r="AE31" s="70">
        <f>SUM(AE26:AE30)</f>
        <v>0</v>
      </c>
      <c r="AF31" s="71">
        <f t="shared" si="26"/>
        <v>0</v>
      </c>
    </row>
    <row r="32" spans="1:32" x14ac:dyDescent="0.25">
      <c r="A32" s="8">
        <v>45257</v>
      </c>
      <c r="B32" s="187"/>
      <c r="C32" s="186"/>
      <c r="D32" s="186"/>
      <c r="E32" s="183"/>
      <c r="F32" s="18">
        <f>IFERROR(#REF!/E32,0)</f>
        <v>0</v>
      </c>
      <c r="G32" s="13">
        <f t="shared" ref="G32:H36" si="63">C32*K$3</f>
        <v>0</v>
      </c>
      <c r="H32" s="13">
        <f t="shared" si="63"/>
        <v>0</v>
      </c>
      <c r="I32" s="13">
        <f>G32+H32</f>
        <v>0</v>
      </c>
      <c r="J32" s="183"/>
      <c r="K32" s="14">
        <f>IFERROR((I32)/J32,0)</f>
        <v>0</v>
      </c>
      <c r="L32" s="183"/>
      <c r="M32" s="10">
        <f>L32*Q$3</f>
        <v>0</v>
      </c>
      <c r="N32" s="13">
        <f t="shared" si="9"/>
        <v>0</v>
      </c>
      <c r="O32" s="17">
        <f>E32+J32+L32</f>
        <v>0</v>
      </c>
      <c r="P32" s="21">
        <f t="shared" si="30"/>
        <v>0</v>
      </c>
      <c r="Q32" s="13">
        <f t="shared" ref="Q32:R36" si="64">C32*W$3</f>
        <v>0</v>
      </c>
      <c r="R32" s="13">
        <f t="shared" si="64"/>
        <v>0</v>
      </c>
      <c r="S32" s="13">
        <f>Q32+R32</f>
        <v>0</v>
      </c>
      <c r="T32" s="13">
        <f t="shared" si="10"/>
        <v>0</v>
      </c>
      <c r="U32" s="183"/>
      <c r="V32" s="184"/>
      <c r="W32" s="20">
        <f t="shared" si="23"/>
        <v>0</v>
      </c>
      <c r="X32" s="183"/>
      <c r="Y32" s="10">
        <f>X32*AD$3</f>
        <v>0</v>
      </c>
      <c r="Z32" s="13">
        <f>T32+Y32</f>
        <v>0</v>
      </c>
      <c r="AA32" s="11">
        <f>U32+X32</f>
        <v>0</v>
      </c>
      <c r="AB32" s="160">
        <f t="shared" si="4"/>
        <v>0</v>
      </c>
      <c r="AC32" s="18">
        <f t="shared" si="5"/>
        <v>0</v>
      </c>
      <c r="AD32" s="141">
        <f t="shared" ref="AD32:AE36" si="65">Z32+N32</f>
        <v>0</v>
      </c>
      <c r="AE32" s="67">
        <f t="shared" si="65"/>
        <v>0</v>
      </c>
      <c r="AF32" s="68">
        <f t="shared" si="26"/>
        <v>0</v>
      </c>
    </row>
    <row r="33" spans="1:32" x14ac:dyDescent="0.25">
      <c r="A33" s="8">
        <v>45258</v>
      </c>
      <c r="B33" s="182"/>
      <c r="C33" s="181"/>
      <c r="D33" s="181"/>
      <c r="E33" s="185"/>
      <c r="F33" s="18">
        <f>IFERROR(#REF!/E33,0)</f>
        <v>0</v>
      </c>
      <c r="G33" s="13">
        <f t="shared" si="63"/>
        <v>0</v>
      </c>
      <c r="H33" s="13">
        <f t="shared" si="63"/>
        <v>0</v>
      </c>
      <c r="I33" s="13">
        <f>G33+H33</f>
        <v>0</v>
      </c>
      <c r="J33" s="185"/>
      <c r="K33" s="14">
        <f t="shared" ref="K33:K36" si="66">IFERROR((I33)/J33,0)</f>
        <v>0</v>
      </c>
      <c r="L33" s="185"/>
      <c r="M33" s="10">
        <f>L33*Q$3</f>
        <v>0</v>
      </c>
      <c r="N33" s="13">
        <f t="shared" si="9"/>
        <v>0</v>
      </c>
      <c r="O33" s="17">
        <f>E33+J33+L33</f>
        <v>0</v>
      </c>
      <c r="P33" s="21">
        <f t="shared" si="30"/>
        <v>0</v>
      </c>
      <c r="Q33" s="13">
        <f t="shared" si="64"/>
        <v>0</v>
      </c>
      <c r="R33" s="13">
        <f t="shared" si="64"/>
        <v>0</v>
      </c>
      <c r="S33" s="13">
        <f>Q33+R33</f>
        <v>0</v>
      </c>
      <c r="T33" s="13">
        <f t="shared" si="10"/>
        <v>0</v>
      </c>
      <c r="U33" s="185"/>
      <c r="V33" s="184"/>
      <c r="W33" s="20">
        <f t="shared" si="23"/>
        <v>0</v>
      </c>
      <c r="X33" s="185"/>
      <c r="Y33" s="10">
        <f>X33*AD$3</f>
        <v>0</v>
      </c>
      <c r="Z33" s="13">
        <f>T33+Y33</f>
        <v>0</v>
      </c>
      <c r="AA33" s="11">
        <f>U33+X33</f>
        <v>0</v>
      </c>
      <c r="AB33" s="160">
        <f t="shared" si="4"/>
        <v>0</v>
      </c>
      <c r="AC33" s="18">
        <f t="shared" si="5"/>
        <v>0</v>
      </c>
      <c r="AD33" s="141">
        <f t="shared" si="65"/>
        <v>0</v>
      </c>
      <c r="AE33" s="67">
        <f t="shared" si="65"/>
        <v>0</v>
      </c>
      <c r="AF33" s="68">
        <f t="shared" si="26"/>
        <v>0</v>
      </c>
    </row>
    <row r="34" spans="1:32" x14ac:dyDescent="0.25">
      <c r="A34" s="8">
        <v>45259</v>
      </c>
      <c r="B34" s="182"/>
      <c r="C34" s="181"/>
      <c r="D34" s="181"/>
      <c r="E34" s="185"/>
      <c r="F34" s="18">
        <f>IFERROR(#REF!/E34,0)</f>
        <v>0</v>
      </c>
      <c r="G34" s="13">
        <f t="shared" si="63"/>
        <v>0</v>
      </c>
      <c r="H34" s="13">
        <f t="shared" si="63"/>
        <v>0</v>
      </c>
      <c r="I34" s="13">
        <f>G34+H34</f>
        <v>0</v>
      </c>
      <c r="J34" s="185"/>
      <c r="K34" s="14">
        <f t="shared" si="66"/>
        <v>0</v>
      </c>
      <c r="L34" s="185"/>
      <c r="M34" s="10">
        <f>L34*Q$3</f>
        <v>0</v>
      </c>
      <c r="N34" s="13">
        <f t="shared" si="9"/>
        <v>0</v>
      </c>
      <c r="O34" s="17">
        <f>E34+J34+L34</f>
        <v>0</v>
      </c>
      <c r="P34" s="21">
        <f t="shared" si="30"/>
        <v>0</v>
      </c>
      <c r="Q34" s="13">
        <f t="shared" si="64"/>
        <v>0</v>
      </c>
      <c r="R34" s="13">
        <f t="shared" si="64"/>
        <v>0</v>
      </c>
      <c r="S34" s="13">
        <f>Q34+R34</f>
        <v>0</v>
      </c>
      <c r="T34" s="13">
        <f t="shared" si="10"/>
        <v>0</v>
      </c>
      <c r="U34" s="185"/>
      <c r="V34" s="184"/>
      <c r="W34" s="20">
        <f t="shared" si="23"/>
        <v>0</v>
      </c>
      <c r="X34" s="185"/>
      <c r="Y34" s="10">
        <f>X34*AD$3</f>
        <v>0</v>
      </c>
      <c r="Z34" s="13">
        <f>T34+Y34</f>
        <v>0</v>
      </c>
      <c r="AA34" s="11">
        <f>U34+X34</f>
        <v>0</v>
      </c>
      <c r="AB34" s="160">
        <f t="shared" si="4"/>
        <v>0</v>
      </c>
      <c r="AC34" s="18">
        <f t="shared" si="5"/>
        <v>0</v>
      </c>
      <c r="AD34" s="141">
        <f t="shared" si="65"/>
        <v>0</v>
      </c>
      <c r="AE34" s="67">
        <f t="shared" si="65"/>
        <v>0</v>
      </c>
      <c r="AF34" s="68">
        <f t="shared" si="26"/>
        <v>0</v>
      </c>
    </row>
    <row r="35" spans="1:32" x14ac:dyDescent="0.25">
      <c r="A35" s="8">
        <v>45260</v>
      </c>
      <c r="B35" s="182"/>
      <c r="C35" s="181"/>
      <c r="D35" s="181"/>
      <c r="E35" s="185"/>
      <c r="F35" s="18">
        <f>IFERROR(#REF!/E35,0)</f>
        <v>0</v>
      </c>
      <c r="G35" s="13">
        <f t="shared" si="63"/>
        <v>0</v>
      </c>
      <c r="H35" s="13">
        <f t="shared" si="63"/>
        <v>0</v>
      </c>
      <c r="I35" s="13">
        <f t="shared" ref="I35:I36" si="67">G35+H35</f>
        <v>0</v>
      </c>
      <c r="J35" s="185"/>
      <c r="K35" s="14">
        <f>IFERROR((I35)/J35,0)</f>
        <v>0</v>
      </c>
      <c r="L35" s="185"/>
      <c r="M35" s="10">
        <f>L35*Q$3</f>
        <v>0</v>
      </c>
      <c r="N35" s="13">
        <f t="shared" si="9"/>
        <v>0</v>
      </c>
      <c r="O35" s="17">
        <f>E35+J35+L35</f>
        <v>0</v>
      </c>
      <c r="P35" s="21">
        <f t="shared" si="30"/>
        <v>0</v>
      </c>
      <c r="Q35" s="13">
        <f t="shared" si="64"/>
        <v>0</v>
      </c>
      <c r="R35" s="13">
        <f t="shared" si="64"/>
        <v>0</v>
      </c>
      <c r="S35" s="13">
        <f>Q35+R35</f>
        <v>0</v>
      </c>
      <c r="T35" s="13">
        <f t="shared" si="10"/>
        <v>0</v>
      </c>
      <c r="U35" s="185"/>
      <c r="V35" s="184"/>
      <c r="W35" s="20">
        <f t="shared" si="23"/>
        <v>0</v>
      </c>
      <c r="X35" s="185"/>
      <c r="Y35" s="10">
        <f>X35*AD$3</f>
        <v>0</v>
      </c>
      <c r="Z35" s="13">
        <f>T35+Y35</f>
        <v>0</v>
      </c>
      <c r="AA35" s="11">
        <f>U35+X35</f>
        <v>0</v>
      </c>
      <c r="AB35" s="160">
        <f t="shared" si="4"/>
        <v>0</v>
      </c>
      <c r="AC35" s="18">
        <f t="shared" si="5"/>
        <v>0</v>
      </c>
      <c r="AD35" s="141">
        <f t="shared" si="65"/>
        <v>0</v>
      </c>
      <c r="AE35" s="67">
        <f t="shared" si="65"/>
        <v>0</v>
      </c>
      <c r="AF35" s="68">
        <f t="shared" si="26"/>
        <v>0</v>
      </c>
    </row>
    <row r="36" spans="1:32" x14ac:dyDescent="0.25">
      <c r="A36" s="8"/>
      <c r="B36" s="182"/>
      <c r="C36" s="181"/>
      <c r="D36" s="181"/>
      <c r="E36" s="185"/>
      <c r="F36" s="18">
        <f>IFERROR(#REF!/E36,0)</f>
        <v>0</v>
      </c>
      <c r="G36" s="13">
        <f t="shared" si="63"/>
        <v>0</v>
      </c>
      <c r="H36" s="13">
        <f t="shared" si="63"/>
        <v>0</v>
      </c>
      <c r="I36" s="13">
        <f t="shared" si="67"/>
        <v>0</v>
      </c>
      <c r="J36" s="185"/>
      <c r="K36" s="14">
        <f t="shared" si="66"/>
        <v>0</v>
      </c>
      <c r="L36" s="185"/>
      <c r="M36" s="10">
        <f>L36*Q$3</f>
        <v>0</v>
      </c>
      <c r="N36" s="13">
        <f t="shared" si="9"/>
        <v>0</v>
      </c>
      <c r="O36" s="17">
        <f>E36+J36+L36</f>
        <v>0</v>
      </c>
      <c r="P36" s="21">
        <f t="shared" si="30"/>
        <v>0</v>
      </c>
      <c r="Q36" s="13">
        <f t="shared" si="64"/>
        <v>0</v>
      </c>
      <c r="R36" s="13">
        <f t="shared" si="64"/>
        <v>0</v>
      </c>
      <c r="S36" s="13">
        <f>Q36+R36</f>
        <v>0</v>
      </c>
      <c r="T36" s="13">
        <f t="shared" si="10"/>
        <v>0</v>
      </c>
      <c r="U36" s="185"/>
      <c r="V36" s="184"/>
      <c r="W36" s="20">
        <f t="shared" si="23"/>
        <v>0</v>
      </c>
      <c r="X36" s="185"/>
      <c r="Y36" s="10">
        <f>X36*AD$3</f>
        <v>0</v>
      </c>
      <c r="Z36" s="13">
        <f>T36+Y36</f>
        <v>0</v>
      </c>
      <c r="AA36" s="11">
        <f>U36+X36</f>
        <v>0</v>
      </c>
      <c r="AB36" s="160">
        <f t="shared" si="4"/>
        <v>0</v>
      </c>
      <c r="AC36" s="18">
        <f t="shared" si="5"/>
        <v>0</v>
      </c>
      <c r="AD36" s="141">
        <f t="shared" si="65"/>
        <v>0</v>
      </c>
      <c r="AE36" s="67">
        <f t="shared" si="65"/>
        <v>0</v>
      </c>
      <c r="AF36" s="68">
        <f t="shared" si="26"/>
        <v>0</v>
      </c>
    </row>
    <row r="37" spans="1:32" ht="14.4" thickBot="1" x14ac:dyDescent="0.3">
      <c r="A37" s="96" t="s">
        <v>14</v>
      </c>
      <c r="B37" s="103">
        <f t="shared" ref="B37:E37" si="68">SUM(B32:B36)</f>
        <v>0</v>
      </c>
      <c r="C37" s="103">
        <f t="shared" si="68"/>
        <v>0</v>
      </c>
      <c r="D37" s="149">
        <f>SUM(D32:D36)</f>
        <v>0</v>
      </c>
      <c r="E37" s="36">
        <f t="shared" si="68"/>
        <v>0</v>
      </c>
      <c r="F37" s="37">
        <f>IFERROR(#REF!/E37,0)</f>
        <v>0</v>
      </c>
      <c r="G37" s="38">
        <f>SUM(G32:G36)</f>
        <v>0</v>
      </c>
      <c r="H37" s="38">
        <f>SUM(H32:H36)</f>
        <v>0</v>
      </c>
      <c r="I37" s="38">
        <f>SUM(I32:I36)</f>
        <v>0</v>
      </c>
      <c r="J37" s="36">
        <f>SUM(J32:J36)</f>
        <v>0</v>
      </c>
      <c r="K37" s="29">
        <f>IFERROR((I37)/J37,0)</f>
        <v>0</v>
      </c>
      <c r="L37" s="39">
        <f>SUM(L32:L36)</f>
        <v>0</v>
      </c>
      <c r="M37" s="35">
        <f>SUM(M32:M36)</f>
        <v>0</v>
      </c>
      <c r="N37" s="38">
        <f>SUM(N32:N36)</f>
        <v>0</v>
      </c>
      <c r="O37" s="36">
        <f>SUM(O32:O36)</f>
        <v>0</v>
      </c>
      <c r="P37" s="40">
        <f t="shared" si="30"/>
        <v>0</v>
      </c>
      <c r="Q37" s="38">
        <f t="shared" ref="Q37:U37" si="69">SUM(Q32:Q36)</f>
        <v>0</v>
      </c>
      <c r="R37" s="38">
        <f>SUM(R32:R36)</f>
        <v>0</v>
      </c>
      <c r="S37" s="38">
        <f t="shared" si="69"/>
        <v>0</v>
      </c>
      <c r="T37" s="38">
        <f t="shared" si="69"/>
        <v>0</v>
      </c>
      <c r="U37" s="36">
        <f t="shared" si="69"/>
        <v>0</v>
      </c>
      <c r="V37" s="39">
        <f>SUM(V32:V36)</f>
        <v>0</v>
      </c>
      <c r="W37" s="102">
        <f>IFERROR(T37/U37,0)</f>
        <v>0</v>
      </c>
      <c r="X37" s="39">
        <f>SUM(X32:X36)</f>
        <v>0</v>
      </c>
      <c r="Y37" s="35">
        <f>SUM(Y32:Y36)</f>
        <v>0</v>
      </c>
      <c r="Z37" s="38">
        <f>SUM(Z32:Z36)</f>
        <v>0</v>
      </c>
      <c r="AA37" s="36">
        <f>SUM(AA32:AA36)</f>
        <v>0</v>
      </c>
      <c r="AB37" s="163">
        <f t="shared" si="4"/>
        <v>0</v>
      </c>
      <c r="AC37" s="37">
        <f t="shared" si="5"/>
        <v>0</v>
      </c>
      <c r="AD37" s="101">
        <f>SUM(AD32:AD36)</f>
        <v>0</v>
      </c>
      <c r="AE37" s="74">
        <f>SUM(AE32:AE36)</f>
        <v>0</v>
      </c>
      <c r="AF37" s="75">
        <f t="shared" si="26"/>
        <v>0</v>
      </c>
    </row>
    <row r="38" spans="1:32" ht="14.4" thickBot="1" x14ac:dyDescent="0.3">
      <c r="A38" s="41"/>
      <c r="B38" s="42"/>
      <c r="C38" s="42"/>
      <c r="D38" s="42"/>
      <c r="E38" s="44"/>
      <c r="F38" s="43"/>
      <c r="G38" s="43"/>
      <c r="H38" s="43"/>
      <c r="I38" s="43"/>
      <c r="J38" s="44"/>
      <c r="K38" s="43"/>
      <c r="L38" s="44"/>
      <c r="M38" s="43"/>
      <c r="N38" s="43"/>
      <c r="O38" s="44"/>
      <c r="P38" s="43"/>
      <c r="Q38" s="43"/>
      <c r="R38" s="43"/>
      <c r="S38" s="43"/>
      <c r="T38" s="43"/>
      <c r="U38" s="43"/>
      <c r="V38" s="44"/>
      <c r="W38" s="43"/>
      <c r="X38" s="44"/>
      <c r="Y38" s="43"/>
      <c r="Z38" s="43"/>
      <c r="AA38" s="44"/>
      <c r="AB38" s="44"/>
      <c r="AC38" s="43"/>
    </row>
    <row r="39" spans="1:32" ht="14.4" thickBot="1" x14ac:dyDescent="0.3">
      <c r="A39" s="45" t="s">
        <v>15</v>
      </c>
      <c r="B39" s="46">
        <f t="shared" ref="B39:E39" si="70">B13+B19+B25+B31+B37</f>
        <v>134</v>
      </c>
      <c r="C39" s="46">
        <f t="shared" si="70"/>
        <v>30</v>
      </c>
      <c r="D39" s="76">
        <f>D13+D19+D25+D31+D37</f>
        <v>2009</v>
      </c>
      <c r="E39" s="49">
        <f t="shared" si="70"/>
        <v>1.37</v>
      </c>
      <c r="F39" s="50">
        <f>IFERROR(#REF!/E39,0)</f>
        <v>0</v>
      </c>
      <c r="G39" s="51">
        <f>G13+G19+G25+G31+G37</f>
        <v>3.7349999999999994</v>
      </c>
      <c r="H39" s="51">
        <f>H13+H19+H25+H31+H37</f>
        <v>4310.5104000000001</v>
      </c>
      <c r="I39" s="51">
        <f>I13+I19+I25+I31+I37</f>
        <v>4314.2454000000007</v>
      </c>
      <c r="J39" s="49">
        <f>J13+J19+J25+J31+J37</f>
        <v>40.739999999999995</v>
      </c>
      <c r="K39" s="52">
        <f>IFERROR((G39+H39)/J39,0)</f>
        <v>105.89703976435936</v>
      </c>
      <c r="L39" s="53">
        <f>L13+L19+L25+L31+L37</f>
        <v>47.88</v>
      </c>
      <c r="M39" s="48">
        <f>M13+M19+M25+M31+M37</f>
        <v>1891.2600000000002</v>
      </c>
      <c r="N39" s="51">
        <f>N13+N19+N25+N31+N37</f>
        <v>6205.5054</v>
      </c>
      <c r="O39" s="49">
        <f>O13+O19+O25+O31+O37</f>
        <v>89.990000000000009</v>
      </c>
      <c r="P39" s="54">
        <f>IFERROR(N39/O39,0)</f>
        <v>68.957721969107666</v>
      </c>
      <c r="Q39" s="51">
        <f t="shared" ref="Q39:U39" si="71">Q13+Q19+Q25+Q31+Q37</f>
        <v>0.76500000000000001</v>
      </c>
      <c r="R39" s="51">
        <f>R13+R19+R25+R31+R37</f>
        <v>1676.3096</v>
      </c>
      <c r="S39" s="51">
        <f t="shared" si="71"/>
        <v>1677.0746000000001</v>
      </c>
      <c r="T39" s="51">
        <f t="shared" si="71"/>
        <v>1677.0746000000001</v>
      </c>
      <c r="U39" s="49">
        <f t="shared" si="71"/>
        <v>4.29</v>
      </c>
      <c r="V39" s="53">
        <f>V13+V19+V25+V31+V37</f>
        <v>0.53</v>
      </c>
      <c r="W39" s="52">
        <f>IFERROR(T39/U39,0)</f>
        <v>390.92648018648021</v>
      </c>
      <c r="X39" s="53">
        <f>X13+X19+X25+X31+X37</f>
        <v>0</v>
      </c>
      <c r="Y39" s="48">
        <f>Y13+Y19+Y25+Y31+Y37</f>
        <v>0</v>
      </c>
      <c r="Z39" s="51">
        <f>Z13+Z19+Z25+Z31+Z37</f>
        <v>1677.0746000000001</v>
      </c>
      <c r="AA39" s="49">
        <f>AA13+AA19+AA25+AA31+AA37</f>
        <v>4.29</v>
      </c>
      <c r="AB39" s="161">
        <f>IFERROR(B39/AA39,0)</f>
        <v>31.235431235431236</v>
      </c>
      <c r="AC39" s="54">
        <f>IFERROR(Z39/AA39,0)</f>
        <v>390.92648018648021</v>
      </c>
      <c r="AD39" s="48">
        <f>AD13+AD19+AD25+AD31+AD37</f>
        <v>7882.5800000000008</v>
      </c>
      <c r="AE39" s="49">
        <f>AE13+AE19+AE25+AE31+AE37</f>
        <v>94.28</v>
      </c>
      <c r="AF39" s="54">
        <f>IFERROR(AD39/AE39,0)</f>
        <v>83.608188375053047</v>
      </c>
    </row>
  </sheetData>
  <mergeCells count="5">
    <mergeCell ref="AH4:AJ4"/>
    <mergeCell ref="G1:I1"/>
    <mergeCell ref="B4:D4"/>
    <mergeCell ref="E4:R4"/>
    <mergeCell ref="S4:AG4"/>
  </mergeCells>
  <dataValidations count="1">
    <dataValidation allowBlank="1" sqref="AA8 AA11 A6:A36" xr:uid="{248961D7-C845-43B8-B6BA-409ED5F0570B}"/>
  </dataValidations>
  <pageMargins left="0" right="0" top="0" bottom="0" header="0.3" footer="0.3"/>
  <pageSetup scale="97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0D5D-5292-4406-97D4-83799B1EBDDF}">
  <sheetPr codeName="Sheet9"/>
  <dimension ref="A1:J3588"/>
  <sheetViews>
    <sheetView topLeftCell="A10" workbookViewId="0">
      <selection activeCell="E12" sqref="E12"/>
    </sheetView>
  </sheetViews>
  <sheetFormatPr defaultRowHeight="14.4" x14ac:dyDescent="0.3"/>
  <cols>
    <col min="1" max="1" width="11.5546875" customWidth="1"/>
    <col min="2" max="2" width="29.33203125" bestFit="1" customWidth="1"/>
    <col min="3" max="3" width="27.109375" bestFit="1" customWidth="1"/>
    <col min="7" max="7" width="24.5546875" bestFit="1" customWidth="1"/>
    <col min="15" max="15" width="10.6640625" bestFit="1" customWidth="1"/>
  </cols>
  <sheetData>
    <row r="1" spans="1:10" x14ac:dyDescent="0.3">
      <c r="A1" t="s">
        <v>7165</v>
      </c>
      <c r="B1" t="s">
        <v>7166</v>
      </c>
      <c r="C1" t="s">
        <v>7167</v>
      </c>
    </row>
    <row r="2" spans="1:10" x14ac:dyDescent="0.3">
      <c r="A2">
        <v>0</v>
      </c>
      <c r="B2" t="s">
        <v>7168</v>
      </c>
      <c r="C2">
        <v>12.75</v>
      </c>
      <c r="J2" s="188"/>
    </row>
    <row r="3" spans="1:10" x14ac:dyDescent="0.3">
      <c r="A3">
        <v>0</v>
      </c>
      <c r="B3" t="s">
        <v>7169</v>
      </c>
      <c r="C3">
        <v>8.08</v>
      </c>
      <c r="J3" s="188"/>
    </row>
    <row r="4" spans="1:10" x14ac:dyDescent="0.3">
      <c r="A4">
        <v>0</v>
      </c>
      <c r="B4" t="s">
        <v>7170</v>
      </c>
      <c r="C4">
        <v>0.35</v>
      </c>
      <c r="J4" s="188"/>
    </row>
    <row r="5" spans="1:10" x14ac:dyDescent="0.3">
      <c r="A5">
        <v>53</v>
      </c>
      <c r="B5" t="s">
        <v>7171</v>
      </c>
      <c r="C5">
        <v>25.78</v>
      </c>
      <c r="J5" s="188"/>
    </row>
    <row r="6" spans="1:10" x14ac:dyDescent="0.3">
      <c r="A6">
        <v>3740</v>
      </c>
      <c r="B6" t="s">
        <v>7172</v>
      </c>
      <c r="C6">
        <v>21.95</v>
      </c>
      <c r="J6" s="188"/>
    </row>
    <row r="7" spans="1:10" x14ac:dyDescent="0.3">
      <c r="A7">
        <v>3740</v>
      </c>
      <c r="B7" t="s">
        <v>7173</v>
      </c>
      <c r="C7">
        <v>5.38</v>
      </c>
      <c r="J7" s="188"/>
    </row>
    <row r="8" spans="1:10" x14ac:dyDescent="0.3">
      <c r="A8">
        <v>4450</v>
      </c>
      <c r="B8" t="s">
        <v>7174</v>
      </c>
      <c r="C8">
        <v>10.38</v>
      </c>
      <c r="J8" s="188"/>
    </row>
    <row r="9" spans="1:10" x14ac:dyDescent="0.3">
      <c r="A9">
        <v>4450</v>
      </c>
      <c r="B9" t="s">
        <v>7175</v>
      </c>
      <c r="C9">
        <v>17.850000000000001</v>
      </c>
      <c r="J9" s="188"/>
    </row>
    <row r="10" spans="1:10" x14ac:dyDescent="0.3">
      <c r="A10">
        <v>4450</v>
      </c>
      <c r="B10" t="s">
        <v>7176</v>
      </c>
      <c r="C10">
        <v>1.42</v>
      </c>
      <c r="J10" s="188"/>
    </row>
    <row r="11" spans="1:10" x14ac:dyDescent="0.3">
      <c r="A11">
        <v>4450</v>
      </c>
      <c r="B11" t="s">
        <v>7177</v>
      </c>
      <c r="C11">
        <v>7.45</v>
      </c>
      <c r="J11" s="188"/>
    </row>
    <row r="12" spans="1:10" x14ac:dyDescent="0.3">
      <c r="A12">
        <v>4450</v>
      </c>
      <c r="B12" t="s">
        <v>7173</v>
      </c>
      <c r="C12">
        <v>1.45</v>
      </c>
      <c r="J12" s="188"/>
    </row>
    <row r="13" spans="1:10" x14ac:dyDescent="0.3">
      <c r="A13">
        <v>6178</v>
      </c>
      <c r="B13" t="s">
        <v>7174</v>
      </c>
      <c r="C13">
        <v>1.98</v>
      </c>
      <c r="J13" s="188"/>
    </row>
    <row r="14" spans="1:10" x14ac:dyDescent="0.3">
      <c r="A14">
        <v>6178</v>
      </c>
      <c r="B14" t="s">
        <v>7178</v>
      </c>
      <c r="C14">
        <v>2.0699999999999998</v>
      </c>
      <c r="J14" s="188"/>
    </row>
    <row r="15" spans="1:10" x14ac:dyDescent="0.3">
      <c r="A15">
        <v>6178</v>
      </c>
      <c r="B15" t="s">
        <v>7175</v>
      </c>
      <c r="C15">
        <v>7.35</v>
      </c>
      <c r="J15" s="188"/>
    </row>
    <row r="16" spans="1:10" x14ac:dyDescent="0.3">
      <c r="A16">
        <v>6178</v>
      </c>
      <c r="B16" t="s">
        <v>7176</v>
      </c>
      <c r="C16">
        <v>28.45</v>
      </c>
      <c r="J16" s="188"/>
    </row>
    <row r="17" spans="1:10" x14ac:dyDescent="0.3">
      <c r="A17">
        <v>6178</v>
      </c>
      <c r="B17" t="s">
        <v>7173</v>
      </c>
      <c r="C17">
        <v>5.08</v>
      </c>
      <c r="J17" s="188"/>
    </row>
    <row r="18" spans="1:10" x14ac:dyDescent="0.3">
      <c r="A18">
        <v>7134</v>
      </c>
      <c r="B18" t="s">
        <v>7174</v>
      </c>
      <c r="C18">
        <v>5.25</v>
      </c>
      <c r="J18" s="188"/>
    </row>
    <row r="19" spans="1:10" x14ac:dyDescent="0.3">
      <c r="A19">
        <v>7134</v>
      </c>
      <c r="B19" t="s">
        <v>7175</v>
      </c>
      <c r="C19">
        <v>0.63</v>
      </c>
      <c r="J19" s="188"/>
    </row>
    <row r="20" spans="1:10" x14ac:dyDescent="0.3">
      <c r="A20">
        <v>7134</v>
      </c>
      <c r="B20" t="s">
        <v>7179</v>
      </c>
      <c r="C20">
        <v>61.9</v>
      </c>
      <c r="J20" s="188"/>
    </row>
    <row r="21" spans="1:10" x14ac:dyDescent="0.3">
      <c r="A21">
        <v>7134</v>
      </c>
      <c r="B21" t="s">
        <v>7180</v>
      </c>
      <c r="C21">
        <v>52.6</v>
      </c>
      <c r="J21" s="188"/>
    </row>
    <row r="22" spans="1:10" x14ac:dyDescent="0.3">
      <c r="A22">
        <v>7134</v>
      </c>
      <c r="B22" t="s">
        <v>7176</v>
      </c>
      <c r="C22">
        <v>10.8</v>
      </c>
      <c r="J22" s="188"/>
    </row>
    <row r="23" spans="1:10" x14ac:dyDescent="0.3">
      <c r="A23">
        <v>7134</v>
      </c>
      <c r="B23" t="s">
        <v>7172</v>
      </c>
      <c r="C23">
        <v>29.53</v>
      </c>
      <c r="J23" s="188"/>
    </row>
    <row r="24" spans="1:10" x14ac:dyDescent="0.3">
      <c r="A24">
        <v>7134</v>
      </c>
      <c r="B24" t="s">
        <v>7173</v>
      </c>
      <c r="C24">
        <v>1.17</v>
      </c>
      <c r="J24" s="188"/>
    </row>
    <row r="25" spans="1:10" x14ac:dyDescent="0.3">
      <c r="A25">
        <v>7296</v>
      </c>
      <c r="B25" t="s">
        <v>7175</v>
      </c>
      <c r="C25">
        <v>0.92</v>
      </c>
      <c r="J25" s="188"/>
    </row>
    <row r="26" spans="1:10" x14ac:dyDescent="0.3">
      <c r="A26">
        <v>7346</v>
      </c>
      <c r="B26" t="s">
        <v>7174</v>
      </c>
      <c r="C26">
        <v>0.18</v>
      </c>
      <c r="J26" s="188"/>
    </row>
    <row r="27" spans="1:10" x14ac:dyDescent="0.3">
      <c r="A27">
        <v>7382</v>
      </c>
      <c r="B27" t="s">
        <v>7174</v>
      </c>
      <c r="C27">
        <v>3.65</v>
      </c>
      <c r="J27" s="188"/>
    </row>
    <row r="28" spans="1:10" x14ac:dyDescent="0.3">
      <c r="A28">
        <v>7382</v>
      </c>
      <c r="B28" t="s">
        <v>7175</v>
      </c>
      <c r="C28">
        <v>1.95</v>
      </c>
      <c r="J28" s="188"/>
    </row>
    <row r="29" spans="1:10" x14ac:dyDescent="0.3">
      <c r="A29">
        <v>7451</v>
      </c>
      <c r="B29" t="s">
        <v>7174</v>
      </c>
      <c r="C29">
        <v>2.12</v>
      </c>
      <c r="J29" s="188"/>
    </row>
    <row r="30" spans="1:10" x14ac:dyDescent="0.3">
      <c r="A30">
        <v>7451</v>
      </c>
      <c r="B30" t="s">
        <v>7175</v>
      </c>
      <c r="C30">
        <v>0.7</v>
      </c>
      <c r="J30" s="188"/>
    </row>
    <row r="31" spans="1:10" x14ac:dyDescent="0.3">
      <c r="A31">
        <v>7484</v>
      </c>
      <c r="B31" t="s">
        <v>7174</v>
      </c>
      <c r="C31">
        <v>5.3</v>
      </c>
      <c r="J31" s="188"/>
    </row>
    <row r="32" spans="1:10" x14ac:dyDescent="0.3">
      <c r="A32">
        <v>7484</v>
      </c>
      <c r="B32" t="s">
        <v>7175</v>
      </c>
      <c r="C32">
        <v>16.25</v>
      </c>
      <c r="J32" s="188"/>
    </row>
    <row r="33" spans="1:10" x14ac:dyDescent="0.3">
      <c r="A33">
        <v>7484</v>
      </c>
      <c r="B33" t="s">
        <v>7181</v>
      </c>
      <c r="C33">
        <v>0.13</v>
      </c>
      <c r="J33" s="188"/>
    </row>
    <row r="34" spans="1:10" x14ac:dyDescent="0.3">
      <c r="A34">
        <v>7484</v>
      </c>
      <c r="B34" t="s">
        <v>7177</v>
      </c>
      <c r="C34">
        <v>0.85</v>
      </c>
      <c r="J34" s="188"/>
    </row>
    <row r="35" spans="1:10" x14ac:dyDescent="0.3">
      <c r="A35">
        <v>7484</v>
      </c>
      <c r="B35" t="s">
        <v>7172</v>
      </c>
      <c r="C35">
        <v>12.63</v>
      </c>
      <c r="J35" s="188"/>
    </row>
    <row r="36" spans="1:10" x14ac:dyDescent="0.3">
      <c r="A36">
        <v>7484</v>
      </c>
      <c r="B36" t="s">
        <v>7173</v>
      </c>
      <c r="C36">
        <v>3.37</v>
      </c>
      <c r="J36" s="188"/>
    </row>
    <row r="37" spans="1:10" x14ac:dyDescent="0.3">
      <c r="A37">
        <v>7521</v>
      </c>
      <c r="B37" t="s">
        <v>7174</v>
      </c>
      <c r="C37">
        <v>0.1</v>
      </c>
      <c r="J37" s="188"/>
    </row>
    <row r="38" spans="1:10" x14ac:dyDescent="0.3">
      <c r="A38">
        <v>7521</v>
      </c>
      <c r="B38" t="s">
        <v>7172</v>
      </c>
      <c r="C38">
        <v>0.25</v>
      </c>
      <c r="J38" s="188"/>
    </row>
    <row r="39" spans="1:10" x14ac:dyDescent="0.3">
      <c r="A39">
        <v>7533</v>
      </c>
      <c r="B39" t="s">
        <v>7174</v>
      </c>
      <c r="C39">
        <v>5.75</v>
      </c>
      <c r="J39" s="188"/>
    </row>
    <row r="40" spans="1:10" x14ac:dyDescent="0.3">
      <c r="A40">
        <v>7533</v>
      </c>
      <c r="B40" t="s">
        <v>7175</v>
      </c>
      <c r="C40">
        <v>4.53</v>
      </c>
      <c r="J40" s="188"/>
    </row>
    <row r="41" spans="1:10" x14ac:dyDescent="0.3">
      <c r="A41">
        <v>7533</v>
      </c>
      <c r="B41" t="s">
        <v>7181</v>
      </c>
      <c r="C41">
        <v>0.45</v>
      </c>
      <c r="J41" s="188"/>
    </row>
    <row r="42" spans="1:10" x14ac:dyDescent="0.3">
      <c r="A42">
        <v>7533</v>
      </c>
      <c r="B42" t="s">
        <v>7173</v>
      </c>
      <c r="C42">
        <v>0.88</v>
      </c>
      <c r="J42" s="188"/>
    </row>
    <row r="43" spans="1:10" x14ac:dyDescent="0.3">
      <c r="A43">
        <v>7721</v>
      </c>
      <c r="B43" t="s">
        <v>7174</v>
      </c>
      <c r="C43">
        <v>1.62</v>
      </c>
      <c r="J43" s="188"/>
    </row>
    <row r="44" spans="1:10" x14ac:dyDescent="0.3">
      <c r="A44">
        <v>7721</v>
      </c>
      <c r="B44" t="s">
        <v>7175</v>
      </c>
      <c r="C44">
        <v>1.2</v>
      </c>
      <c r="J44" s="188"/>
    </row>
    <row r="45" spans="1:10" x14ac:dyDescent="0.3">
      <c r="A45">
        <v>7721</v>
      </c>
      <c r="B45" t="s">
        <v>7172</v>
      </c>
      <c r="C45">
        <v>1.08</v>
      </c>
      <c r="J45" s="188"/>
    </row>
    <row r="46" spans="1:10" x14ac:dyDescent="0.3">
      <c r="A46">
        <v>7721</v>
      </c>
      <c r="B46" t="s">
        <v>7173</v>
      </c>
      <c r="C46">
        <v>0.32</v>
      </c>
      <c r="J46" s="188"/>
    </row>
    <row r="47" spans="1:10" x14ac:dyDescent="0.3">
      <c r="A47">
        <v>7758</v>
      </c>
      <c r="B47" t="s">
        <v>7174</v>
      </c>
      <c r="C47">
        <v>1.45</v>
      </c>
      <c r="J47" s="188"/>
    </row>
    <row r="48" spans="1:10" x14ac:dyDescent="0.3">
      <c r="A48">
        <v>7758</v>
      </c>
      <c r="B48" t="s">
        <v>7175</v>
      </c>
      <c r="C48">
        <v>1.58</v>
      </c>
      <c r="J48" s="188"/>
    </row>
    <row r="49" spans="1:10" x14ac:dyDescent="0.3">
      <c r="A49">
        <v>7758</v>
      </c>
      <c r="B49" t="s">
        <v>7176</v>
      </c>
      <c r="C49">
        <v>4.28</v>
      </c>
      <c r="J49" s="188"/>
    </row>
    <row r="50" spans="1:10" x14ac:dyDescent="0.3">
      <c r="A50">
        <v>7821</v>
      </c>
      <c r="B50" t="s">
        <v>7175</v>
      </c>
      <c r="C50">
        <v>0.08</v>
      </c>
      <c r="J50" s="188"/>
    </row>
    <row r="51" spans="1:10" x14ac:dyDescent="0.3">
      <c r="A51">
        <v>7864</v>
      </c>
      <c r="B51" t="s">
        <v>7174</v>
      </c>
      <c r="C51">
        <v>13.67</v>
      </c>
      <c r="J51" s="188"/>
    </row>
    <row r="52" spans="1:10" x14ac:dyDescent="0.3">
      <c r="A52">
        <v>7864</v>
      </c>
      <c r="B52" t="s">
        <v>7175</v>
      </c>
      <c r="C52">
        <v>7.08</v>
      </c>
      <c r="J52" s="188"/>
    </row>
    <row r="53" spans="1:10" x14ac:dyDescent="0.3">
      <c r="A53">
        <v>7864</v>
      </c>
      <c r="B53" t="s">
        <v>7177</v>
      </c>
      <c r="C53">
        <v>3.58</v>
      </c>
      <c r="J53" s="188"/>
    </row>
    <row r="54" spans="1:10" x14ac:dyDescent="0.3">
      <c r="A54">
        <v>7903</v>
      </c>
      <c r="B54" t="s">
        <v>7174</v>
      </c>
      <c r="C54">
        <v>2.13</v>
      </c>
      <c r="J54" s="188"/>
    </row>
    <row r="55" spans="1:10" x14ac:dyDescent="0.3">
      <c r="A55">
        <v>7903</v>
      </c>
      <c r="B55" t="s">
        <v>7175</v>
      </c>
      <c r="C55">
        <v>1.05</v>
      </c>
      <c r="J55" s="188"/>
    </row>
    <row r="56" spans="1:10" x14ac:dyDescent="0.3">
      <c r="A56">
        <v>7979</v>
      </c>
      <c r="B56" t="s">
        <v>7174</v>
      </c>
      <c r="C56">
        <v>59.52</v>
      </c>
      <c r="J56" s="188"/>
    </row>
    <row r="57" spans="1:10" x14ac:dyDescent="0.3">
      <c r="A57">
        <v>7979</v>
      </c>
      <c r="B57" t="s">
        <v>7182</v>
      </c>
      <c r="C57">
        <v>3.95</v>
      </c>
      <c r="J57" s="188"/>
    </row>
    <row r="58" spans="1:10" x14ac:dyDescent="0.3">
      <c r="A58">
        <v>7979</v>
      </c>
      <c r="B58" t="s">
        <v>7175</v>
      </c>
      <c r="C58">
        <v>52.03</v>
      </c>
      <c r="J58" s="188"/>
    </row>
    <row r="59" spans="1:10" x14ac:dyDescent="0.3">
      <c r="A59">
        <v>7979</v>
      </c>
      <c r="B59" t="s">
        <v>7183</v>
      </c>
      <c r="C59">
        <v>76.2</v>
      </c>
      <c r="J59" s="188"/>
    </row>
    <row r="60" spans="1:10" x14ac:dyDescent="0.3">
      <c r="A60">
        <v>7979</v>
      </c>
      <c r="B60" t="s">
        <v>7184</v>
      </c>
      <c r="C60">
        <v>19.579999999999998</v>
      </c>
      <c r="J60" s="188"/>
    </row>
    <row r="61" spans="1:10" x14ac:dyDescent="0.3">
      <c r="A61">
        <v>7979</v>
      </c>
      <c r="B61" t="s">
        <v>7185</v>
      </c>
      <c r="C61">
        <v>29.57</v>
      </c>
      <c r="J61" s="188"/>
    </row>
    <row r="62" spans="1:10" x14ac:dyDescent="0.3">
      <c r="A62">
        <v>7979</v>
      </c>
      <c r="B62" t="s">
        <v>7176</v>
      </c>
      <c r="C62">
        <v>26.18</v>
      </c>
      <c r="J62" s="188"/>
    </row>
    <row r="63" spans="1:10" x14ac:dyDescent="0.3">
      <c r="A63">
        <v>7979</v>
      </c>
      <c r="B63" t="s">
        <v>7172</v>
      </c>
      <c r="C63">
        <v>19.600000000000001</v>
      </c>
      <c r="J63" s="188"/>
    </row>
    <row r="64" spans="1:10" x14ac:dyDescent="0.3">
      <c r="A64">
        <v>7979</v>
      </c>
      <c r="B64" t="s">
        <v>7173</v>
      </c>
      <c r="C64">
        <v>2.3199999999999998</v>
      </c>
      <c r="J64" s="188"/>
    </row>
    <row r="65" spans="1:10" x14ac:dyDescent="0.3">
      <c r="A65" t="s">
        <v>7165</v>
      </c>
      <c r="B65" t="s">
        <v>7166</v>
      </c>
      <c r="C65" t="s">
        <v>7167</v>
      </c>
      <c r="J65" s="188"/>
    </row>
    <row r="66" spans="1:10" x14ac:dyDescent="0.3">
      <c r="A66">
        <v>0</v>
      </c>
      <c r="B66" t="s">
        <v>7186</v>
      </c>
      <c r="C66">
        <v>5.25</v>
      </c>
      <c r="J66" s="188"/>
    </row>
    <row r="67" spans="1:10" x14ac:dyDescent="0.3">
      <c r="A67">
        <v>0</v>
      </c>
      <c r="B67" t="s">
        <v>7187</v>
      </c>
      <c r="C67">
        <v>8</v>
      </c>
      <c r="J67" s="188"/>
    </row>
    <row r="68" spans="1:10" x14ac:dyDescent="0.3">
      <c r="A68">
        <v>0</v>
      </c>
      <c r="B68" t="s">
        <v>7188</v>
      </c>
      <c r="C68">
        <v>8.5299999999999994</v>
      </c>
      <c r="J68" s="188"/>
    </row>
    <row r="69" spans="1:10" x14ac:dyDescent="0.3">
      <c r="A69">
        <v>0</v>
      </c>
      <c r="B69" t="s">
        <v>7189</v>
      </c>
      <c r="C69">
        <v>1.1200000000000001</v>
      </c>
      <c r="J69" s="188"/>
    </row>
    <row r="70" spans="1:10" x14ac:dyDescent="0.3">
      <c r="A70">
        <v>10</v>
      </c>
      <c r="B70" t="s">
        <v>7190</v>
      </c>
      <c r="C70">
        <v>9.82</v>
      </c>
      <c r="J70" s="188"/>
    </row>
    <row r="71" spans="1:10" x14ac:dyDescent="0.3">
      <c r="A71">
        <v>3740</v>
      </c>
      <c r="B71" t="s">
        <v>7190</v>
      </c>
      <c r="C71">
        <v>0.17</v>
      </c>
      <c r="J71" s="188"/>
    </row>
    <row r="72" spans="1:10" x14ac:dyDescent="0.3">
      <c r="A72">
        <v>3740</v>
      </c>
      <c r="B72" t="s">
        <v>7191</v>
      </c>
      <c r="C72">
        <v>0.67</v>
      </c>
      <c r="J72" s="188"/>
    </row>
    <row r="73" spans="1:10" x14ac:dyDescent="0.3">
      <c r="A73">
        <v>3740</v>
      </c>
      <c r="B73" t="s">
        <v>7188</v>
      </c>
      <c r="C73">
        <v>1.67</v>
      </c>
      <c r="J73" s="188"/>
    </row>
    <row r="74" spans="1:10" x14ac:dyDescent="0.3">
      <c r="A74">
        <v>4450</v>
      </c>
      <c r="B74" t="s">
        <v>7190</v>
      </c>
      <c r="C74">
        <v>0.33</v>
      </c>
      <c r="J74" s="188"/>
    </row>
    <row r="75" spans="1:10" x14ac:dyDescent="0.3">
      <c r="A75">
        <v>4450</v>
      </c>
      <c r="B75" t="s">
        <v>7191</v>
      </c>
      <c r="C75">
        <v>0.62</v>
      </c>
      <c r="J75" s="188"/>
    </row>
    <row r="76" spans="1:10" x14ac:dyDescent="0.3">
      <c r="A76">
        <v>4450</v>
      </c>
      <c r="B76" t="s">
        <v>7188</v>
      </c>
      <c r="C76">
        <v>4.92</v>
      </c>
      <c r="J76" s="188"/>
    </row>
    <row r="77" spans="1:10" x14ac:dyDescent="0.3">
      <c r="A77">
        <v>6020</v>
      </c>
      <c r="B77" t="s">
        <v>7190</v>
      </c>
      <c r="C77">
        <v>0.17</v>
      </c>
      <c r="J77" s="188"/>
    </row>
    <row r="78" spans="1:10" x14ac:dyDescent="0.3">
      <c r="A78">
        <v>6020</v>
      </c>
      <c r="B78" t="s">
        <v>7188</v>
      </c>
      <c r="C78">
        <v>0.57999999999999996</v>
      </c>
      <c r="J78" s="188"/>
    </row>
    <row r="79" spans="1:10" x14ac:dyDescent="0.3">
      <c r="A79">
        <v>6178</v>
      </c>
      <c r="B79" t="s">
        <v>7190</v>
      </c>
      <c r="C79">
        <v>0.53</v>
      </c>
      <c r="J79" s="188"/>
    </row>
    <row r="80" spans="1:10" x14ac:dyDescent="0.3">
      <c r="A80">
        <v>6178</v>
      </c>
      <c r="B80" t="s">
        <v>7188</v>
      </c>
      <c r="C80">
        <v>1.92</v>
      </c>
      <c r="J80" s="188"/>
    </row>
    <row r="81" spans="1:10" x14ac:dyDescent="0.3">
      <c r="A81">
        <v>7134</v>
      </c>
      <c r="B81" t="s">
        <v>7190</v>
      </c>
      <c r="C81">
        <v>1.55</v>
      </c>
      <c r="J81" s="188"/>
    </row>
    <row r="82" spans="1:10" x14ac:dyDescent="0.3">
      <c r="A82">
        <v>7134</v>
      </c>
      <c r="B82" t="s">
        <v>7191</v>
      </c>
      <c r="C82">
        <v>1.17</v>
      </c>
      <c r="J82" s="188"/>
    </row>
    <row r="83" spans="1:10" x14ac:dyDescent="0.3">
      <c r="A83">
        <v>7134</v>
      </c>
      <c r="B83" t="s">
        <v>7188</v>
      </c>
      <c r="C83">
        <v>5.67</v>
      </c>
      <c r="J83" s="188"/>
    </row>
    <row r="84" spans="1:10" x14ac:dyDescent="0.3">
      <c r="A84">
        <v>7296</v>
      </c>
      <c r="B84" t="s">
        <v>7190</v>
      </c>
      <c r="C84">
        <v>0.25</v>
      </c>
      <c r="J84" s="188"/>
    </row>
    <row r="85" spans="1:10" x14ac:dyDescent="0.3">
      <c r="A85">
        <v>7296</v>
      </c>
      <c r="B85" t="s">
        <v>7191</v>
      </c>
      <c r="C85">
        <v>0.67</v>
      </c>
      <c r="J85" s="188"/>
    </row>
    <row r="86" spans="1:10" x14ac:dyDescent="0.3">
      <c r="A86">
        <v>7296</v>
      </c>
      <c r="B86" t="s">
        <v>7188</v>
      </c>
      <c r="C86">
        <v>1</v>
      </c>
      <c r="J86" s="188"/>
    </row>
    <row r="87" spans="1:10" x14ac:dyDescent="0.3">
      <c r="A87">
        <v>7346</v>
      </c>
      <c r="B87" t="s">
        <v>7190</v>
      </c>
      <c r="C87">
        <v>0.17</v>
      </c>
      <c r="J87" s="188"/>
    </row>
    <row r="88" spans="1:10" x14ac:dyDescent="0.3">
      <c r="A88">
        <v>7346</v>
      </c>
      <c r="B88" t="s">
        <v>7188</v>
      </c>
      <c r="C88">
        <v>0.72</v>
      </c>
      <c r="J88" s="188"/>
    </row>
    <row r="89" spans="1:10" x14ac:dyDescent="0.3">
      <c r="A89">
        <v>7382</v>
      </c>
      <c r="B89" t="s">
        <v>7188</v>
      </c>
      <c r="C89">
        <v>1.78</v>
      </c>
      <c r="J89" s="188"/>
    </row>
    <row r="90" spans="1:10" x14ac:dyDescent="0.3">
      <c r="A90">
        <v>7451</v>
      </c>
      <c r="B90" t="s">
        <v>7190</v>
      </c>
      <c r="C90">
        <v>0.33</v>
      </c>
      <c r="J90" s="188"/>
    </row>
    <row r="91" spans="1:10" x14ac:dyDescent="0.3">
      <c r="A91">
        <v>7451</v>
      </c>
      <c r="B91" t="s">
        <v>7188</v>
      </c>
      <c r="C91">
        <v>0.57999999999999996</v>
      </c>
      <c r="J91" s="188"/>
    </row>
    <row r="92" spans="1:10" x14ac:dyDescent="0.3">
      <c r="A92">
        <v>7484</v>
      </c>
      <c r="B92" t="s">
        <v>7190</v>
      </c>
      <c r="C92">
        <v>0.57999999999999996</v>
      </c>
      <c r="J92" s="188"/>
    </row>
    <row r="93" spans="1:10" x14ac:dyDescent="0.3">
      <c r="A93">
        <v>7484</v>
      </c>
      <c r="B93" t="s">
        <v>7191</v>
      </c>
      <c r="C93">
        <v>1.58</v>
      </c>
      <c r="J93" s="188"/>
    </row>
    <row r="94" spans="1:10" x14ac:dyDescent="0.3">
      <c r="A94">
        <v>7484</v>
      </c>
      <c r="B94" t="s">
        <v>7188</v>
      </c>
      <c r="C94">
        <v>5.12</v>
      </c>
      <c r="J94" s="188"/>
    </row>
    <row r="95" spans="1:10" x14ac:dyDescent="0.3">
      <c r="A95">
        <v>7521</v>
      </c>
      <c r="B95" t="s">
        <v>7190</v>
      </c>
      <c r="C95">
        <v>0.17</v>
      </c>
      <c r="J95" s="188"/>
    </row>
    <row r="96" spans="1:10" x14ac:dyDescent="0.3">
      <c r="A96">
        <v>7521</v>
      </c>
      <c r="B96" t="s">
        <v>7188</v>
      </c>
      <c r="C96">
        <v>0.9</v>
      </c>
      <c r="J96" s="188"/>
    </row>
    <row r="97" spans="1:10" x14ac:dyDescent="0.3">
      <c r="A97">
        <v>7533</v>
      </c>
      <c r="B97" t="s">
        <v>7190</v>
      </c>
      <c r="C97">
        <v>0.17</v>
      </c>
      <c r="J97" s="188"/>
    </row>
    <row r="98" spans="1:10" x14ac:dyDescent="0.3">
      <c r="A98">
        <v>7533</v>
      </c>
      <c r="B98" t="s">
        <v>7188</v>
      </c>
      <c r="C98">
        <v>1.67</v>
      </c>
      <c r="J98" s="188"/>
    </row>
    <row r="99" spans="1:10" x14ac:dyDescent="0.3">
      <c r="A99">
        <v>7721</v>
      </c>
      <c r="B99" t="s">
        <v>7190</v>
      </c>
      <c r="C99">
        <v>0.17</v>
      </c>
      <c r="J99" s="188"/>
    </row>
    <row r="100" spans="1:10" x14ac:dyDescent="0.3">
      <c r="A100">
        <v>7721</v>
      </c>
      <c r="B100" t="s">
        <v>7188</v>
      </c>
      <c r="C100">
        <v>1.17</v>
      </c>
      <c r="J100" s="188"/>
    </row>
    <row r="101" spans="1:10" x14ac:dyDescent="0.3">
      <c r="A101">
        <v>7758</v>
      </c>
      <c r="B101" t="s">
        <v>7190</v>
      </c>
      <c r="C101">
        <v>0.42</v>
      </c>
      <c r="J101" s="188"/>
    </row>
    <row r="102" spans="1:10" x14ac:dyDescent="0.3">
      <c r="A102">
        <v>7758</v>
      </c>
      <c r="B102" t="s">
        <v>7188</v>
      </c>
      <c r="C102">
        <v>1.25</v>
      </c>
      <c r="J102" s="188"/>
    </row>
    <row r="103" spans="1:10" x14ac:dyDescent="0.3">
      <c r="A103">
        <v>7821</v>
      </c>
      <c r="B103" t="s">
        <v>7190</v>
      </c>
      <c r="C103">
        <v>0.08</v>
      </c>
      <c r="J103" s="188"/>
    </row>
    <row r="104" spans="1:10" x14ac:dyDescent="0.3">
      <c r="A104">
        <v>7821</v>
      </c>
      <c r="B104" t="s">
        <v>7188</v>
      </c>
      <c r="C104">
        <v>0.42</v>
      </c>
      <c r="J104" s="188"/>
    </row>
    <row r="105" spans="1:10" x14ac:dyDescent="0.3">
      <c r="A105">
        <v>7864</v>
      </c>
      <c r="B105" t="s">
        <v>7190</v>
      </c>
      <c r="C105">
        <v>0.25</v>
      </c>
      <c r="J105" s="188"/>
    </row>
    <row r="106" spans="1:10" x14ac:dyDescent="0.3">
      <c r="A106">
        <v>7864</v>
      </c>
      <c r="B106" t="s">
        <v>7191</v>
      </c>
      <c r="C106">
        <v>1.17</v>
      </c>
      <c r="J106" s="188"/>
    </row>
    <row r="107" spans="1:10" x14ac:dyDescent="0.3">
      <c r="A107">
        <v>7864</v>
      </c>
      <c r="B107" t="s">
        <v>7188</v>
      </c>
      <c r="C107">
        <v>1.67</v>
      </c>
      <c r="J107" s="188"/>
    </row>
    <row r="108" spans="1:10" x14ac:dyDescent="0.3">
      <c r="A108">
        <v>7903</v>
      </c>
      <c r="B108" t="s">
        <v>7190</v>
      </c>
      <c r="C108">
        <v>0.17</v>
      </c>
      <c r="J108" s="188"/>
    </row>
    <row r="109" spans="1:10" x14ac:dyDescent="0.3">
      <c r="A109">
        <v>7903</v>
      </c>
      <c r="B109" t="s">
        <v>7188</v>
      </c>
      <c r="C109">
        <v>0.92</v>
      </c>
      <c r="J109" s="188"/>
    </row>
    <row r="110" spans="1:10" x14ac:dyDescent="0.3">
      <c r="A110">
        <v>7979</v>
      </c>
      <c r="B110" t="s">
        <v>7190</v>
      </c>
      <c r="C110">
        <v>0.57999999999999996</v>
      </c>
      <c r="J110" s="188"/>
    </row>
    <row r="111" spans="1:10" x14ac:dyDescent="0.3">
      <c r="A111">
        <v>7979</v>
      </c>
      <c r="B111" t="s">
        <v>7191</v>
      </c>
      <c r="C111">
        <v>2.42</v>
      </c>
      <c r="J111" s="188"/>
    </row>
    <row r="112" spans="1:10" x14ac:dyDescent="0.3">
      <c r="A112">
        <v>7979</v>
      </c>
      <c r="B112" t="s">
        <v>7192</v>
      </c>
      <c r="C112">
        <v>3.17</v>
      </c>
      <c r="J112" s="188"/>
    </row>
    <row r="113" spans="1:10" x14ac:dyDescent="0.3">
      <c r="A113">
        <v>7979</v>
      </c>
      <c r="B113" t="s">
        <v>7188</v>
      </c>
      <c r="C113">
        <v>16.75</v>
      </c>
      <c r="J113" s="188"/>
    </row>
    <row r="114" spans="1:10" x14ac:dyDescent="0.3">
      <c r="J114" s="188"/>
    </row>
    <row r="115" spans="1:10" x14ac:dyDescent="0.3">
      <c r="J115" s="188"/>
    </row>
    <row r="116" spans="1:10" x14ac:dyDescent="0.3">
      <c r="J116" s="188"/>
    </row>
    <row r="117" spans="1:10" x14ac:dyDescent="0.3">
      <c r="J117" s="188"/>
    </row>
    <row r="118" spans="1:10" x14ac:dyDescent="0.3">
      <c r="J118" s="188"/>
    </row>
    <row r="119" spans="1:10" x14ac:dyDescent="0.3">
      <c r="J119" s="188"/>
    </row>
    <row r="120" spans="1:10" x14ac:dyDescent="0.3">
      <c r="J120" s="188"/>
    </row>
    <row r="121" spans="1:10" x14ac:dyDescent="0.3">
      <c r="J121" s="188"/>
    </row>
    <row r="122" spans="1:10" x14ac:dyDescent="0.3">
      <c r="J122" s="188"/>
    </row>
    <row r="123" spans="1:10" x14ac:dyDescent="0.3">
      <c r="J123" s="188"/>
    </row>
    <row r="124" spans="1:10" x14ac:dyDescent="0.3">
      <c r="J124" s="188"/>
    </row>
    <row r="125" spans="1:10" x14ac:dyDescent="0.3">
      <c r="J125" s="188"/>
    </row>
    <row r="126" spans="1:10" x14ac:dyDescent="0.3">
      <c r="J126" s="188"/>
    </row>
    <row r="127" spans="1:10" x14ac:dyDescent="0.3">
      <c r="J127" s="188"/>
    </row>
    <row r="128" spans="1:10" x14ac:dyDescent="0.3">
      <c r="J128" s="188"/>
    </row>
    <row r="129" spans="10:10" x14ac:dyDescent="0.3">
      <c r="J129" s="188"/>
    </row>
    <row r="130" spans="10:10" x14ac:dyDescent="0.3">
      <c r="J130" s="188"/>
    </row>
    <row r="131" spans="10:10" x14ac:dyDescent="0.3">
      <c r="J131" s="188"/>
    </row>
    <row r="132" spans="10:10" x14ac:dyDescent="0.3">
      <c r="J132" s="188"/>
    </row>
    <row r="133" spans="10:10" x14ac:dyDescent="0.3">
      <c r="J133" s="188"/>
    </row>
    <row r="134" spans="10:10" x14ac:dyDescent="0.3">
      <c r="J134" s="188"/>
    </row>
    <row r="135" spans="10:10" x14ac:dyDescent="0.3">
      <c r="J135" s="188"/>
    </row>
    <row r="136" spans="10:10" x14ac:dyDescent="0.3">
      <c r="J136" s="188"/>
    </row>
    <row r="137" spans="10:10" x14ac:dyDescent="0.3">
      <c r="J137" s="188"/>
    </row>
    <row r="138" spans="10:10" x14ac:dyDescent="0.3">
      <c r="J138" s="188"/>
    </row>
    <row r="139" spans="10:10" x14ac:dyDescent="0.3">
      <c r="J139" s="188"/>
    </row>
    <row r="140" spans="10:10" x14ac:dyDescent="0.3">
      <c r="J140" s="188"/>
    </row>
    <row r="141" spans="10:10" x14ac:dyDescent="0.3">
      <c r="J141" s="188"/>
    </row>
    <row r="142" spans="10:10" x14ac:dyDescent="0.3">
      <c r="J142" s="188"/>
    </row>
    <row r="143" spans="10:10" x14ac:dyDescent="0.3">
      <c r="J143" s="188"/>
    </row>
    <row r="144" spans="10:10" x14ac:dyDescent="0.3">
      <c r="J144" s="188"/>
    </row>
    <row r="145" spans="10:10" x14ac:dyDescent="0.3">
      <c r="J145" s="188"/>
    </row>
    <row r="146" spans="10:10" x14ac:dyDescent="0.3">
      <c r="J146" s="188"/>
    </row>
    <row r="147" spans="10:10" x14ac:dyDescent="0.3">
      <c r="J147" s="188"/>
    </row>
    <row r="148" spans="10:10" x14ac:dyDescent="0.3">
      <c r="J148" s="188"/>
    </row>
    <row r="149" spans="10:10" x14ac:dyDescent="0.3">
      <c r="J149" s="188"/>
    </row>
    <row r="150" spans="10:10" x14ac:dyDescent="0.3">
      <c r="J150" s="188"/>
    </row>
    <row r="151" spans="10:10" x14ac:dyDescent="0.3">
      <c r="J151" s="188"/>
    </row>
    <row r="152" spans="10:10" x14ac:dyDescent="0.3">
      <c r="J152" s="188"/>
    </row>
    <row r="153" spans="10:10" x14ac:dyDescent="0.3">
      <c r="J153" s="188"/>
    </row>
    <row r="154" spans="10:10" x14ac:dyDescent="0.3">
      <c r="J154" s="188"/>
    </row>
    <row r="155" spans="10:10" x14ac:dyDescent="0.3">
      <c r="J155" s="188"/>
    </row>
    <row r="156" spans="10:10" x14ac:dyDescent="0.3">
      <c r="J156" s="188"/>
    </row>
    <row r="157" spans="10:10" x14ac:dyDescent="0.3">
      <c r="J157" s="188"/>
    </row>
    <row r="158" spans="10:10" x14ac:dyDescent="0.3">
      <c r="J158" s="188"/>
    </row>
    <row r="159" spans="10:10" x14ac:dyDescent="0.3">
      <c r="J159" s="188"/>
    </row>
    <row r="160" spans="10:10" x14ac:dyDescent="0.3">
      <c r="J160" s="188"/>
    </row>
    <row r="161" spans="10:10" x14ac:dyDescent="0.3">
      <c r="J161" s="188"/>
    </row>
    <row r="162" spans="10:10" x14ac:dyDescent="0.3">
      <c r="J162" s="188"/>
    </row>
    <row r="163" spans="10:10" x14ac:dyDescent="0.3">
      <c r="J163" s="188"/>
    </row>
    <row r="164" spans="10:10" x14ac:dyDescent="0.3">
      <c r="J164" s="188"/>
    </row>
    <row r="165" spans="10:10" x14ac:dyDescent="0.3">
      <c r="J165" s="188"/>
    </row>
    <row r="166" spans="10:10" x14ac:dyDescent="0.3">
      <c r="J166" s="188"/>
    </row>
    <row r="167" spans="10:10" x14ac:dyDescent="0.3">
      <c r="J167" s="188"/>
    </row>
    <row r="168" spans="10:10" x14ac:dyDescent="0.3">
      <c r="J168" s="188"/>
    </row>
    <row r="169" spans="10:10" x14ac:dyDescent="0.3">
      <c r="J169" s="188"/>
    </row>
    <row r="170" spans="10:10" x14ac:dyDescent="0.3">
      <c r="J170" s="188"/>
    </row>
    <row r="171" spans="10:10" x14ac:dyDescent="0.3">
      <c r="J171" s="188"/>
    </row>
    <row r="172" spans="10:10" x14ac:dyDescent="0.3">
      <c r="J172" s="188"/>
    </row>
    <row r="173" spans="10:10" x14ac:dyDescent="0.3">
      <c r="J173" s="188"/>
    </row>
    <row r="174" spans="10:10" x14ac:dyDescent="0.3">
      <c r="J174" s="188"/>
    </row>
    <row r="175" spans="10:10" x14ac:dyDescent="0.3">
      <c r="J175" s="188"/>
    </row>
    <row r="176" spans="10:10" x14ac:dyDescent="0.3">
      <c r="J176" s="188"/>
    </row>
    <row r="177" spans="10:10" x14ac:dyDescent="0.3">
      <c r="J177" s="188"/>
    </row>
    <row r="178" spans="10:10" x14ac:dyDescent="0.3">
      <c r="J178" s="188"/>
    </row>
    <row r="179" spans="10:10" x14ac:dyDescent="0.3">
      <c r="J179" s="188"/>
    </row>
    <row r="180" spans="10:10" x14ac:dyDescent="0.3">
      <c r="J180" s="188"/>
    </row>
    <row r="181" spans="10:10" x14ac:dyDescent="0.3">
      <c r="J181" s="188"/>
    </row>
    <row r="182" spans="10:10" x14ac:dyDescent="0.3">
      <c r="J182" s="188"/>
    </row>
    <row r="183" spans="10:10" x14ac:dyDescent="0.3">
      <c r="J183" s="188"/>
    </row>
    <row r="184" spans="10:10" x14ac:dyDescent="0.3">
      <c r="J184" s="188"/>
    </row>
    <row r="185" spans="10:10" x14ac:dyDescent="0.3">
      <c r="J185" s="188"/>
    </row>
    <row r="186" spans="10:10" x14ac:dyDescent="0.3">
      <c r="J186" s="188"/>
    </row>
    <row r="187" spans="10:10" x14ac:dyDescent="0.3">
      <c r="J187" s="188"/>
    </row>
    <row r="188" spans="10:10" x14ac:dyDescent="0.3">
      <c r="J188" s="188"/>
    </row>
    <row r="189" spans="10:10" x14ac:dyDescent="0.3">
      <c r="J189" s="188"/>
    </row>
    <row r="190" spans="10:10" x14ac:dyDescent="0.3">
      <c r="J190" s="188"/>
    </row>
    <row r="191" spans="10:10" x14ac:dyDescent="0.3">
      <c r="J191" s="188"/>
    </row>
    <row r="192" spans="10:10" x14ac:dyDescent="0.3">
      <c r="J192" s="188"/>
    </row>
    <row r="193" spans="10:10" x14ac:dyDescent="0.3">
      <c r="J193" s="188"/>
    </row>
    <row r="194" spans="10:10" x14ac:dyDescent="0.3">
      <c r="J194" s="188"/>
    </row>
    <row r="195" spans="10:10" x14ac:dyDescent="0.3">
      <c r="J195" s="188"/>
    </row>
    <row r="196" spans="10:10" x14ac:dyDescent="0.3">
      <c r="J196" s="188"/>
    </row>
    <row r="197" spans="10:10" x14ac:dyDescent="0.3">
      <c r="J197" s="188"/>
    </row>
    <row r="198" spans="10:10" x14ac:dyDescent="0.3">
      <c r="J198" s="188"/>
    </row>
    <row r="199" spans="10:10" x14ac:dyDescent="0.3">
      <c r="J199" s="188"/>
    </row>
    <row r="200" spans="10:10" x14ac:dyDescent="0.3">
      <c r="J200" s="188"/>
    </row>
    <row r="201" spans="10:10" x14ac:dyDescent="0.3">
      <c r="J201" s="188"/>
    </row>
    <row r="202" spans="10:10" x14ac:dyDescent="0.3">
      <c r="J202" s="188"/>
    </row>
    <row r="203" spans="10:10" x14ac:dyDescent="0.3">
      <c r="J203" s="188"/>
    </row>
    <row r="204" spans="10:10" x14ac:dyDescent="0.3">
      <c r="J204" s="188"/>
    </row>
    <row r="205" spans="10:10" x14ac:dyDescent="0.3">
      <c r="J205" s="188"/>
    </row>
    <row r="206" spans="10:10" x14ac:dyDescent="0.3">
      <c r="J206" s="188"/>
    </row>
    <row r="207" spans="10:10" x14ac:dyDescent="0.3">
      <c r="J207" s="188"/>
    </row>
    <row r="208" spans="10:10" x14ac:dyDescent="0.3">
      <c r="J208" s="188"/>
    </row>
    <row r="209" spans="10:10" x14ac:dyDescent="0.3">
      <c r="J209" s="188"/>
    </row>
    <row r="210" spans="10:10" x14ac:dyDescent="0.3">
      <c r="J210" s="188"/>
    </row>
    <row r="211" spans="10:10" x14ac:dyDescent="0.3">
      <c r="J211" s="188"/>
    </row>
    <row r="212" spans="10:10" x14ac:dyDescent="0.3">
      <c r="J212" s="188"/>
    </row>
    <row r="213" spans="10:10" x14ac:dyDescent="0.3">
      <c r="J213" s="188"/>
    </row>
    <row r="214" spans="10:10" x14ac:dyDescent="0.3">
      <c r="J214" s="188"/>
    </row>
    <row r="215" spans="10:10" x14ac:dyDescent="0.3">
      <c r="J215" s="188"/>
    </row>
    <row r="216" spans="10:10" x14ac:dyDescent="0.3">
      <c r="J216" s="188"/>
    </row>
    <row r="217" spans="10:10" x14ac:dyDescent="0.3">
      <c r="J217" s="188"/>
    </row>
    <row r="218" spans="10:10" x14ac:dyDescent="0.3">
      <c r="J218" s="188"/>
    </row>
    <row r="219" spans="10:10" x14ac:dyDescent="0.3">
      <c r="J219" s="188"/>
    </row>
    <row r="220" spans="10:10" x14ac:dyDescent="0.3">
      <c r="J220" s="188"/>
    </row>
    <row r="221" spans="10:10" x14ac:dyDescent="0.3">
      <c r="J221" s="188"/>
    </row>
    <row r="222" spans="10:10" x14ac:dyDescent="0.3">
      <c r="J222" s="188"/>
    </row>
    <row r="223" spans="10:10" x14ac:dyDescent="0.3">
      <c r="J223" s="188"/>
    </row>
    <row r="224" spans="10:10" x14ac:dyDescent="0.3">
      <c r="J224" s="188"/>
    </row>
    <row r="225" spans="10:10" x14ac:dyDescent="0.3">
      <c r="J225" s="188"/>
    </row>
    <row r="226" spans="10:10" x14ac:dyDescent="0.3">
      <c r="J226" s="188"/>
    </row>
    <row r="227" spans="10:10" x14ac:dyDescent="0.3">
      <c r="J227" s="188"/>
    </row>
    <row r="228" spans="10:10" x14ac:dyDescent="0.3">
      <c r="J228" s="188"/>
    </row>
    <row r="229" spans="10:10" x14ac:dyDescent="0.3">
      <c r="J229" s="188"/>
    </row>
    <row r="230" spans="10:10" x14ac:dyDescent="0.3">
      <c r="J230" s="188"/>
    </row>
    <row r="231" spans="10:10" x14ac:dyDescent="0.3">
      <c r="J231" s="188"/>
    </row>
    <row r="232" spans="10:10" x14ac:dyDescent="0.3">
      <c r="J232" s="188"/>
    </row>
    <row r="233" spans="10:10" x14ac:dyDescent="0.3">
      <c r="J233" s="188"/>
    </row>
    <row r="234" spans="10:10" x14ac:dyDescent="0.3">
      <c r="J234" s="188"/>
    </row>
    <row r="235" spans="10:10" x14ac:dyDescent="0.3">
      <c r="J235" s="188"/>
    </row>
    <row r="236" spans="10:10" x14ac:dyDescent="0.3">
      <c r="J236" s="188"/>
    </row>
    <row r="237" spans="10:10" x14ac:dyDescent="0.3">
      <c r="J237" s="188"/>
    </row>
    <row r="238" spans="10:10" x14ac:dyDescent="0.3">
      <c r="J238" s="188"/>
    </row>
    <row r="239" spans="10:10" x14ac:dyDescent="0.3">
      <c r="J239" s="188"/>
    </row>
    <row r="240" spans="10:10" x14ac:dyDescent="0.3">
      <c r="J240" s="188"/>
    </row>
    <row r="241" spans="10:10" x14ac:dyDescent="0.3">
      <c r="J241" s="188"/>
    </row>
    <row r="242" spans="10:10" x14ac:dyDescent="0.3">
      <c r="J242" s="188"/>
    </row>
    <row r="243" spans="10:10" x14ac:dyDescent="0.3">
      <c r="J243" s="188"/>
    </row>
    <row r="244" spans="10:10" x14ac:dyDescent="0.3">
      <c r="J244" s="188"/>
    </row>
    <row r="245" spans="10:10" x14ac:dyDescent="0.3">
      <c r="J245" s="188"/>
    </row>
    <row r="246" spans="10:10" x14ac:dyDescent="0.3">
      <c r="J246" s="188"/>
    </row>
    <row r="247" spans="10:10" x14ac:dyDescent="0.3">
      <c r="J247" s="188"/>
    </row>
    <row r="248" spans="10:10" x14ac:dyDescent="0.3">
      <c r="J248" s="188"/>
    </row>
    <row r="249" spans="10:10" x14ac:dyDescent="0.3">
      <c r="J249" s="188"/>
    </row>
    <row r="250" spans="10:10" x14ac:dyDescent="0.3">
      <c r="J250" s="188"/>
    </row>
    <row r="251" spans="10:10" x14ac:dyDescent="0.3">
      <c r="J251" s="188"/>
    </row>
    <row r="252" spans="10:10" x14ac:dyDescent="0.3">
      <c r="J252" s="188"/>
    </row>
    <row r="253" spans="10:10" x14ac:dyDescent="0.3">
      <c r="J253" s="188"/>
    </row>
    <row r="254" spans="10:10" x14ac:dyDescent="0.3">
      <c r="J254" s="188"/>
    </row>
    <row r="255" spans="10:10" x14ac:dyDescent="0.3">
      <c r="J255" s="188"/>
    </row>
    <row r="256" spans="10:10" x14ac:dyDescent="0.3">
      <c r="J256" s="188"/>
    </row>
    <row r="257" spans="10:10" x14ac:dyDescent="0.3">
      <c r="J257" s="188"/>
    </row>
    <row r="258" spans="10:10" x14ac:dyDescent="0.3">
      <c r="J258" s="188"/>
    </row>
    <row r="259" spans="10:10" x14ac:dyDescent="0.3">
      <c r="J259" s="188"/>
    </row>
    <row r="260" spans="10:10" x14ac:dyDescent="0.3">
      <c r="J260" s="188"/>
    </row>
    <row r="261" spans="10:10" x14ac:dyDescent="0.3">
      <c r="J261" s="188"/>
    </row>
    <row r="262" spans="10:10" x14ac:dyDescent="0.3">
      <c r="J262" s="188"/>
    </row>
    <row r="263" spans="10:10" x14ac:dyDescent="0.3">
      <c r="J263" s="188"/>
    </row>
    <row r="264" spans="10:10" x14ac:dyDescent="0.3">
      <c r="J264" s="188"/>
    </row>
    <row r="265" spans="10:10" x14ac:dyDescent="0.3">
      <c r="J265" s="188"/>
    </row>
    <row r="266" spans="10:10" x14ac:dyDescent="0.3">
      <c r="J266" s="188"/>
    </row>
    <row r="267" spans="10:10" x14ac:dyDescent="0.3">
      <c r="J267" s="188"/>
    </row>
    <row r="268" spans="10:10" x14ac:dyDescent="0.3">
      <c r="J268" s="188"/>
    </row>
    <row r="269" spans="10:10" x14ac:dyDescent="0.3">
      <c r="J269" s="188"/>
    </row>
    <row r="270" spans="10:10" x14ac:dyDescent="0.3">
      <c r="J270" s="188"/>
    </row>
    <row r="271" spans="10:10" x14ac:dyDescent="0.3">
      <c r="J271" s="188"/>
    </row>
    <row r="272" spans="10:10" x14ac:dyDescent="0.3">
      <c r="J272" s="188"/>
    </row>
    <row r="273" spans="10:10" x14ac:dyDescent="0.3">
      <c r="J273" s="188"/>
    </row>
    <row r="274" spans="10:10" x14ac:dyDescent="0.3">
      <c r="J274" s="188"/>
    </row>
    <row r="275" spans="10:10" x14ac:dyDescent="0.3">
      <c r="J275" s="188"/>
    </row>
    <row r="276" spans="10:10" x14ac:dyDescent="0.3">
      <c r="J276" s="188"/>
    </row>
    <row r="277" spans="10:10" x14ac:dyDescent="0.3">
      <c r="J277" s="188"/>
    </row>
    <row r="278" spans="10:10" x14ac:dyDescent="0.3">
      <c r="J278" s="188"/>
    </row>
    <row r="279" spans="10:10" x14ac:dyDescent="0.3">
      <c r="J279" s="188"/>
    </row>
    <row r="280" spans="10:10" x14ac:dyDescent="0.3">
      <c r="J280" s="188"/>
    </row>
    <row r="281" spans="10:10" x14ac:dyDescent="0.3">
      <c r="J281" s="188"/>
    </row>
    <row r="282" spans="10:10" x14ac:dyDescent="0.3">
      <c r="J282" s="188"/>
    </row>
    <row r="283" spans="10:10" x14ac:dyDescent="0.3">
      <c r="J283" s="188"/>
    </row>
    <row r="284" spans="10:10" x14ac:dyDescent="0.3">
      <c r="J284" s="188"/>
    </row>
    <row r="285" spans="10:10" x14ac:dyDescent="0.3">
      <c r="J285" s="188"/>
    </row>
    <row r="286" spans="10:10" x14ac:dyDescent="0.3">
      <c r="J286" s="188"/>
    </row>
    <row r="287" spans="10:10" x14ac:dyDescent="0.3">
      <c r="J287" s="188"/>
    </row>
    <row r="288" spans="10:10" x14ac:dyDescent="0.3">
      <c r="J288" s="188"/>
    </row>
    <row r="289" spans="10:10" x14ac:dyDescent="0.3">
      <c r="J289" s="188"/>
    </row>
    <row r="290" spans="10:10" x14ac:dyDescent="0.3">
      <c r="J290" s="188"/>
    </row>
    <row r="291" spans="10:10" x14ac:dyDescent="0.3">
      <c r="J291" s="188"/>
    </row>
    <row r="292" spans="10:10" x14ac:dyDescent="0.3">
      <c r="J292" s="188"/>
    </row>
    <row r="293" spans="10:10" x14ac:dyDescent="0.3">
      <c r="J293" s="188"/>
    </row>
    <row r="294" spans="10:10" x14ac:dyDescent="0.3">
      <c r="J294" s="188"/>
    </row>
    <row r="295" spans="10:10" x14ac:dyDescent="0.3">
      <c r="J295" s="188"/>
    </row>
    <row r="296" spans="10:10" x14ac:dyDescent="0.3">
      <c r="J296" s="188"/>
    </row>
    <row r="297" spans="10:10" x14ac:dyDescent="0.3">
      <c r="J297" s="188"/>
    </row>
    <row r="298" spans="10:10" x14ac:dyDescent="0.3">
      <c r="J298" s="188"/>
    </row>
    <row r="299" spans="10:10" x14ac:dyDescent="0.3">
      <c r="J299" s="188"/>
    </row>
    <row r="300" spans="10:10" x14ac:dyDescent="0.3">
      <c r="J300" s="188"/>
    </row>
    <row r="301" spans="10:10" x14ac:dyDescent="0.3">
      <c r="J301" s="188"/>
    </row>
    <row r="302" spans="10:10" x14ac:dyDescent="0.3">
      <c r="J302" s="188"/>
    </row>
    <row r="303" spans="10:10" x14ac:dyDescent="0.3">
      <c r="J303" s="188"/>
    </row>
    <row r="304" spans="10:10" x14ac:dyDescent="0.3">
      <c r="J304" s="188"/>
    </row>
    <row r="305" spans="10:10" x14ac:dyDescent="0.3">
      <c r="J305" s="188"/>
    </row>
    <row r="306" spans="10:10" x14ac:dyDescent="0.3">
      <c r="J306" s="188"/>
    </row>
    <row r="307" spans="10:10" x14ac:dyDescent="0.3">
      <c r="J307" s="188"/>
    </row>
    <row r="308" spans="10:10" x14ac:dyDescent="0.3">
      <c r="J308" s="188"/>
    </row>
    <row r="309" spans="10:10" x14ac:dyDescent="0.3">
      <c r="J309" s="188"/>
    </row>
    <row r="310" spans="10:10" x14ac:dyDescent="0.3">
      <c r="J310" s="188"/>
    </row>
    <row r="311" spans="10:10" x14ac:dyDescent="0.3">
      <c r="J311" s="188"/>
    </row>
    <row r="312" spans="10:10" x14ac:dyDescent="0.3">
      <c r="J312" s="188"/>
    </row>
    <row r="313" spans="10:10" x14ac:dyDescent="0.3">
      <c r="J313" s="188"/>
    </row>
    <row r="314" spans="10:10" x14ac:dyDescent="0.3">
      <c r="J314" s="188"/>
    </row>
    <row r="315" spans="10:10" x14ac:dyDescent="0.3">
      <c r="J315" s="188"/>
    </row>
    <row r="316" spans="10:10" x14ac:dyDescent="0.3">
      <c r="J316" s="188"/>
    </row>
    <row r="317" spans="10:10" x14ac:dyDescent="0.3">
      <c r="J317" s="188"/>
    </row>
    <row r="318" spans="10:10" x14ac:dyDescent="0.3">
      <c r="J318" s="188"/>
    </row>
    <row r="319" spans="10:10" x14ac:dyDescent="0.3">
      <c r="J319" s="188"/>
    </row>
    <row r="320" spans="10:10" x14ac:dyDescent="0.3">
      <c r="J320" s="188"/>
    </row>
    <row r="321" spans="10:10" x14ac:dyDescent="0.3">
      <c r="J321" s="188"/>
    </row>
    <row r="322" spans="10:10" x14ac:dyDescent="0.3">
      <c r="J322" s="188"/>
    </row>
    <row r="323" spans="10:10" x14ac:dyDescent="0.3">
      <c r="J323" s="188"/>
    </row>
    <row r="324" spans="10:10" x14ac:dyDescent="0.3">
      <c r="J324" s="188"/>
    </row>
    <row r="325" spans="10:10" x14ac:dyDescent="0.3">
      <c r="J325" s="188"/>
    </row>
    <row r="326" spans="10:10" x14ac:dyDescent="0.3">
      <c r="J326" s="188"/>
    </row>
    <row r="327" spans="10:10" x14ac:dyDescent="0.3">
      <c r="J327" s="188"/>
    </row>
    <row r="328" spans="10:10" x14ac:dyDescent="0.3">
      <c r="J328" s="188"/>
    </row>
    <row r="329" spans="10:10" x14ac:dyDescent="0.3">
      <c r="J329" s="188"/>
    </row>
    <row r="330" spans="10:10" x14ac:dyDescent="0.3">
      <c r="J330" s="188"/>
    </row>
    <row r="331" spans="10:10" x14ac:dyDescent="0.3">
      <c r="J331" s="188"/>
    </row>
    <row r="332" spans="10:10" x14ac:dyDescent="0.3">
      <c r="J332" s="188"/>
    </row>
    <row r="333" spans="10:10" x14ac:dyDescent="0.3">
      <c r="J333" s="188"/>
    </row>
    <row r="334" spans="10:10" x14ac:dyDescent="0.3">
      <c r="J334" s="188"/>
    </row>
    <row r="335" spans="10:10" x14ac:dyDescent="0.3">
      <c r="J335" s="188"/>
    </row>
    <row r="336" spans="10:10" x14ac:dyDescent="0.3">
      <c r="J336" s="188"/>
    </row>
    <row r="337" spans="10:10" x14ac:dyDescent="0.3">
      <c r="J337" s="188"/>
    </row>
    <row r="338" spans="10:10" x14ac:dyDescent="0.3">
      <c r="J338" s="188"/>
    </row>
    <row r="339" spans="10:10" x14ac:dyDescent="0.3">
      <c r="J339" s="188"/>
    </row>
    <row r="340" spans="10:10" x14ac:dyDescent="0.3">
      <c r="J340" s="188"/>
    </row>
    <row r="341" spans="10:10" x14ac:dyDescent="0.3">
      <c r="J341" s="188"/>
    </row>
    <row r="342" spans="10:10" x14ac:dyDescent="0.3">
      <c r="J342" s="188"/>
    </row>
    <row r="343" spans="10:10" x14ac:dyDescent="0.3">
      <c r="J343" s="188"/>
    </row>
    <row r="344" spans="10:10" x14ac:dyDescent="0.3">
      <c r="J344" s="188"/>
    </row>
    <row r="345" spans="10:10" x14ac:dyDescent="0.3">
      <c r="J345" s="188"/>
    </row>
    <row r="346" spans="10:10" x14ac:dyDescent="0.3">
      <c r="J346" s="188"/>
    </row>
    <row r="347" spans="10:10" x14ac:dyDescent="0.3">
      <c r="J347" s="188"/>
    </row>
    <row r="348" spans="10:10" x14ac:dyDescent="0.3">
      <c r="J348" s="188"/>
    </row>
    <row r="349" spans="10:10" x14ac:dyDescent="0.3">
      <c r="J349" s="188"/>
    </row>
    <row r="350" spans="10:10" x14ac:dyDescent="0.3">
      <c r="J350" s="188"/>
    </row>
    <row r="351" spans="10:10" x14ac:dyDescent="0.3">
      <c r="J351" s="188"/>
    </row>
    <row r="352" spans="10:10" x14ac:dyDescent="0.3">
      <c r="J352" s="188"/>
    </row>
    <row r="353" spans="10:10" x14ac:dyDescent="0.3">
      <c r="J353" s="188"/>
    </row>
    <row r="354" spans="10:10" x14ac:dyDescent="0.3">
      <c r="J354" s="188"/>
    </row>
    <row r="355" spans="10:10" x14ac:dyDescent="0.3">
      <c r="J355" s="188"/>
    </row>
    <row r="356" spans="10:10" x14ac:dyDescent="0.3">
      <c r="J356" s="188"/>
    </row>
    <row r="357" spans="10:10" x14ac:dyDescent="0.3">
      <c r="J357" s="188"/>
    </row>
    <row r="358" spans="10:10" x14ac:dyDescent="0.3">
      <c r="J358" s="188"/>
    </row>
    <row r="359" spans="10:10" x14ac:dyDescent="0.3">
      <c r="J359" s="188"/>
    </row>
    <row r="360" spans="10:10" x14ac:dyDescent="0.3">
      <c r="J360" s="188"/>
    </row>
    <row r="361" spans="10:10" x14ac:dyDescent="0.3">
      <c r="J361" s="188"/>
    </row>
    <row r="362" spans="10:10" x14ac:dyDescent="0.3">
      <c r="J362" s="188"/>
    </row>
    <row r="363" spans="10:10" x14ac:dyDescent="0.3">
      <c r="J363" s="188"/>
    </row>
    <row r="364" spans="10:10" x14ac:dyDescent="0.3">
      <c r="J364" s="188"/>
    </row>
    <row r="365" spans="10:10" x14ac:dyDescent="0.3">
      <c r="J365" s="188"/>
    </row>
    <row r="366" spans="10:10" x14ac:dyDescent="0.3">
      <c r="J366" s="188"/>
    </row>
    <row r="367" spans="10:10" x14ac:dyDescent="0.3">
      <c r="J367" s="188"/>
    </row>
    <row r="368" spans="10:10" x14ac:dyDescent="0.3">
      <c r="J368" s="188"/>
    </row>
    <row r="369" spans="10:10" x14ac:dyDescent="0.3">
      <c r="J369" s="188"/>
    </row>
    <row r="370" spans="10:10" x14ac:dyDescent="0.3">
      <c r="J370" s="188"/>
    </row>
    <row r="371" spans="10:10" x14ac:dyDescent="0.3">
      <c r="J371" s="188"/>
    </row>
    <row r="372" spans="10:10" x14ac:dyDescent="0.3">
      <c r="J372" s="188"/>
    </row>
    <row r="373" spans="10:10" x14ac:dyDescent="0.3">
      <c r="J373" s="188"/>
    </row>
    <row r="374" spans="10:10" x14ac:dyDescent="0.3">
      <c r="J374" s="188"/>
    </row>
    <row r="375" spans="10:10" x14ac:dyDescent="0.3">
      <c r="J375" s="188"/>
    </row>
    <row r="376" spans="10:10" x14ac:dyDescent="0.3">
      <c r="J376" s="188"/>
    </row>
    <row r="377" spans="10:10" x14ac:dyDescent="0.3">
      <c r="J377" s="188"/>
    </row>
    <row r="378" spans="10:10" x14ac:dyDescent="0.3">
      <c r="J378" s="188"/>
    </row>
    <row r="379" spans="10:10" x14ac:dyDescent="0.3">
      <c r="J379" s="188"/>
    </row>
    <row r="380" spans="10:10" x14ac:dyDescent="0.3">
      <c r="J380" s="188"/>
    </row>
    <row r="381" spans="10:10" x14ac:dyDescent="0.3">
      <c r="J381" s="188"/>
    </row>
    <row r="382" spans="10:10" x14ac:dyDescent="0.3">
      <c r="J382" s="188"/>
    </row>
    <row r="383" spans="10:10" x14ac:dyDescent="0.3">
      <c r="J383" s="188"/>
    </row>
    <row r="384" spans="10:10" x14ac:dyDescent="0.3">
      <c r="J384" s="188"/>
    </row>
    <row r="385" spans="10:10" x14ac:dyDescent="0.3">
      <c r="J385" s="188"/>
    </row>
    <row r="386" spans="10:10" x14ac:dyDescent="0.3">
      <c r="J386" s="188"/>
    </row>
    <row r="387" spans="10:10" x14ac:dyDescent="0.3">
      <c r="J387" s="188"/>
    </row>
    <row r="388" spans="10:10" x14ac:dyDescent="0.3">
      <c r="J388" s="188"/>
    </row>
    <row r="389" spans="10:10" x14ac:dyDescent="0.3">
      <c r="J389" s="188"/>
    </row>
    <row r="390" spans="10:10" x14ac:dyDescent="0.3">
      <c r="J390" s="188"/>
    </row>
    <row r="391" spans="10:10" x14ac:dyDescent="0.3">
      <c r="J391" s="188"/>
    </row>
    <row r="392" spans="10:10" x14ac:dyDescent="0.3">
      <c r="J392" s="188"/>
    </row>
    <row r="393" spans="10:10" x14ac:dyDescent="0.3">
      <c r="J393" s="188"/>
    </row>
    <row r="394" spans="10:10" x14ac:dyDescent="0.3">
      <c r="J394" s="188"/>
    </row>
    <row r="395" spans="10:10" x14ac:dyDescent="0.3">
      <c r="J395" s="188"/>
    </row>
    <row r="396" spans="10:10" x14ac:dyDescent="0.3">
      <c r="J396" s="188"/>
    </row>
    <row r="397" spans="10:10" x14ac:dyDescent="0.3">
      <c r="J397" s="188"/>
    </row>
    <row r="398" spans="10:10" x14ac:dyDescent="0.3">
      <c r="J398" s="188"/>
    </row>
    <row r="399" spans="10:10" x14ac:dyDescent="0.3">
      <c r="J399" s="188"/>
    </row>
    <row r="400" spans="10:10" x14ac:dyDescent="0.3">
      <c r="J400" s="188"/>
    </row>
    <row r="401" spans="10:10" x14ac:dyDescent="0.3">
      <c r="J401" s="188"/>
    </row>
    <row r="402" spans="10:10" x14ac:dyDescent="0.3">
      <c r="J402" s="188"/>
    </row>
    <row r="403" spans="10:10" x14ac:dyDescent="0.3">
      <c r="J403" s="188"/>
    </row>
    <row r="404" spans="10:10" x14ac:dyDescent="0.3">
      <c r="J404" s="188"/>
    </row>
    <row r="405" spans="10:10" x14ac:dyDescent="0.3">
      <c r="J405" s="188"/>
    </row>
    <row r="406" spans="10:10" x14ac:dyDescent="0.3">
      <c r="J406" s="188"/>
    </row>
    <row r="407" spans="10:10" x14ac:dyDescent="0.3">
      <c r="J407" s="188"/>
    </row>
    <row r="408" spans="10:10" x14ac:dyDescent="0.3">
      <c r="J408" s="188"/>
    </row>
    <row r="409" spans="10:10" x14ac:dyDescent="0.3">
      <c r="J409" s="188"/>
    </row>
    <row r="410" spans="10:10" x14ac:dyDescent="0.3">
      <c r="J410" s="188"/>
    </row>
    <row r="411" spans="10:10" x14ac:dyDescent="0.3">
      <c r="J411" s="188"/>
    </row>
    <row r="412" spans="10:10" x14ac:dyDescent="0.3">
      <c r="J412" s="188"/>
    </row>
    <row r="413" spans="10:10" x14ac:dyDescent="0.3">
      <c r="J413" s="188"/>
    </row>
    <row r="414" spans="10:10" x14ac:dyDescent="0.3">
      <c r="J414" s="188"/>
    </row>
    <row r="415" spans="10:10" x14ac:dyDescent="0.3">
      <c r="J415" s="188"/>
    </row>
    <row r="416" spans="10:10" x14ac:dyDescent="0.3">
      <c r="J416" s="188"/>
    </row>
    <row r="417" spans="10:10" x14ac:dyDescent="0.3">
      <c r="J417" s="188"/>
    </row>
    <row r="418" spans="10:10" x14ac:dyDescent="0.3">
      <c r="J418" s="188"/>
    </row>
    <row r="419" spans="10:10" x14ac:dyDescent="0.3">
      <c r="J419" s="188"/>
    </row>
    <row r="420" spans="10:10" x14ac:dyDescent="0.3">
      <c r="J420" s="188"/>
    </row>
    <row r="421" spans="10:10" x14ac:dyDescent="0.3">
      <c r="J421" s="188"/>
    </row>
    <row r="422" spans="10:10" x14ac:dyDescent="0.3">
      <c r="J422" s="188"/>
    </row>
    <row r="423" spans="10:10" x14ac:dyDescent="0.3">
      <c r="J423" s="188"/>
    </row>
    <row r="424" spans="10:10" x14ac:dyDescent="0.3">
      <c r="J424" s="188"/>
    </row>
    <row r="425" spans="10:10" x14ac:dyDescent="0.3">
      <c r="J425" s="188"/>
    </row>
    <row r="426" spans="10:10" x14ac:dyDescent="0.3">
      <c r="J426" s="188"/>
    </row>
    <row r="427" spans="10:10" x14ac:dyDescent="0.3">
      <c r="J427" s="188"/>
    </row>
    <row r="428" spans="10:10" x14ac:dyDescent="0.3">
      <c r="J428" s="188"/>
    </row>
    <row r="429" spans="10:10" x14ac:dyDescent="0.3">
      <c r="J429" s="188"/>
    </row>
    <row r="430" spans="10:10" x14ac:dyDescent="0.3">
      <c r="J430" s="188"/>
    </row>
    <row r="431" spans="10:10" x14ac:dyDescent="0.3">
      <c r="J431" s="188"/>
    </row>
    <row r="432" spans="10:10" x14ac:dyDescent="0.3">
      <c r="J432" s="188"/>
    </row>
    <row r="433" spans="10:10" x14ac:dyDescent="0.3">
      <c r="J433" s="188"/>
    </row>
    <row r="434" spans="10:10" x14ac:dyDescent="0.3">
      <c r="J434" s="188"/>
    </row>
    <row r="435" spans="10:10" x14ac:dyDescent="0.3">
      <c r="J435" s="188"/>
    </row>
    <row r="436" spans="10:10" x14ac:dyDescent="0.3">
      <c r="J436" s="188"/>
    </row>
    <row r="437" spans="10:10" x14ac:dyDescent="0.3">
      <c r="J437" s="188"/>
    </row>
    <row r="438" spans="10:10" x14ac:dyDescent="0.3">
      <c r="J438" s="188"/>
    </row>
    <row r="439" spans="10:10" x14ac:dyDescent="0.3">
      <c r="J439" s="188"/>
    </row>
    <row r="440" spans="10:10" x14ac:dyDescent="0.3">
      <c r="J440" s="188"/>
    </row>
    <row r="441" spans="10:10" x14ac:dyDescent="0.3">
      <c r="J441" s="188"/>
    </row>
    <row r="442" spans="10:10" x14ac:dyDescent="0.3">
      <c r="J442" s="188"/>
    </row>
    <row r="443" spans="10:10" x14ac:dyDescent="0.3">
      <c r="J443" s="188"/>
    </row>
    <row r="444" spans="10:10" x14ac:dyDescent="0.3">
      <c r="J444" s="188"/>
    </row>
    <row r="445" spans="10:10" x14ac:dyDescent="0.3">
      <c r="J445" s="188"/>
    </row>
    <row r="446" spans="10:10" x14ac:dyDescent="0.3">
      <c r="J446" s="188"/>
    </row>
    <row r="447" spans="10:10" x14ac:dyDescent="0.3">
      <c r="J447" s="188"/>
    </row>
    <row r="448" spans="10:10" x14ac:dyDescent="0.3">
      <c r="J448" s="188"/>
    </row>
    <row r="449" spans="10:10" x14ac:dyDescent="0.3">
      <c r="J449" s="188"/>
    </row>
    <row r="450" spans="10:10" x14ac:dyDescent="0.3">
      <c r="J450" s="188"/>
    </row>
    <row r="451" spans="10:10" x14ac:dyDescent="0.3">
      <c r="J451" s="188"/>
    </row>
    <row r="452" spans="10:10" x14ac:dyDescent="0.3">
      <c r="J452" s="188"/>
    </row>
    <row r="453" spans="10:10" x14ac:dyDescent="0.3">
      <c r="J453" s="188"/>
    </row>
    <row r="454" spans="10:10" x14ac:dyDescent="0.3">
      <c r="J454" s="188"/>
    </row>
    <row r="455" spans="10:10" x14ac:dyDescent="0.3">
      <c r="J455" s="188"/>
    </row>
    <row r="456" spans="10:10" x14ac:dyDescent="0.3">
      <c r="J456" s="188"/>
    </row>
    <row r="457" spans="10:10" x14ac:dyDescent="0.3">
      <c r="J457" s="188"/>
    </row>
    <row r="458" spans="10:10" x14ac:dyDescent="0.3">
      <c r="J458" s="188"/>
    </row>
    <row r="459" spans="10:10" x14ac:dyDescent="0.3">
      <c r="J459" s="188"/>
    </row>
    <row r="460" spans="10:10" x14ac:dyDescent="0.3">
      <c r="J460" s="188"/>
    </row>
    <row r="461" spans="10:10" x14ac:dyDescent="0.3">
      <c r="J461" s="188"/>
    </row>
    <row r="462" spans="10:10" x14ac:dyDescent="0.3">
      <c r="J462" s="188"/>
    </row>
    <row r="463" spans="10:10" x14ac:dyDescent="0.3">
      <c r="J463" s="188"/>
    </row>
    <row r="464" spans="10:10" x14ac:dyDescent="0.3">
      <c r="J464" s="188"/>
    </row>
    <row r="465" spans="10:10" x14ac:dyDescent="0.3">
      <c r="J465" s="188"/>
    </row>
    <row r="466" spans="10:10" x14ac:dyDescent="0.3">
      <c r="J466" s="188"/>
    </row>
    <row r="467" spans="10:10" x14ac:dyDescent="0.3">
      <c r="J467" s="188"/>
    </row>
    <row r="468" spans="10:10" x14ac:dyDescent="0.3">
      <c r="J468" s="188"/>
    </row>
    <row r="469" spans="10:10" x14ac:dyDescent="0.3">
      <c r="J469" s="188"/>
    </row>
    <row r="470" spans="10:10" x14ac:dyDescent="0.3">
      <c r="J470" s="188"/>
    </row>
    <row r="471" spans="10:10" x14ac:dyDescent="0.3">
      <c r="J471" s="188"/>
    </row>
    <row r="472" spans="10:10" x14ac:dyDescent="0.3">
      <c r="J472" s="188"/>
    </row>
    <row r="473" spans="10:10" x14ac:dyDescent="0.3">
      <c r="J473" s="188"/>
    </row>
    <row r="474" spans="10:10" x14ac:dyDescent="0.3">
      <c r="J474" s="188"/>
    </row>
    <row r="475" spans="10:10" x14ac:dyDescent="0.3">
      <c r="J475" s="188"/>
    </row>
    <row r="476" spans="10:10" x14ac:dyDescent="0.3">
      <c r="J476" s="188"/>
    </row>
    <row r="477" spans="10:10" x14ac:dyDescent="0.3">
      <c r="J477" s="188"/>
    </row>
    <row r="478" spans="10:10" x14ac:dyDescent="0.3">
      <c r="J478" s="188"/>
    </row>
    <row r="479" spans="10:10" x14ac:dyDescent="0.3">
      <c r="J479" s="188"/>
    </row>
    <row r="480" spans="10:10" x14ac:dyDescent="0.3">
      <c r="J480" s="188"/>
    </row>
    <row r="481" spans="10:10" x14ac:dyDescent="0.3">
      <c r="J481" s="188"/>
    </row>
    <row r="482" spans="10:10" x14ac:dyDescent="0.3">
      <c r="J482" s="188"/>
    </row>
    <row r="483" spans="10:10" x14ac:dyDescent="0.3">
      <c r="J483" s="188"/>
    </row>
    <row r="484" spans="10:10" x14ac:dyDescent="0.3">
      <c r="J484" s="188"/>
    </row>
    <row r="485" spans="10:10" x14ac:dyDescent="0.3">
      <c r="J485" s="188"/>
    </row>
    <row r="486" spans="10:10" x14ac:dyDescent="0.3">
      <c r="J486" s="188"/>
    </row>
    <row r="487" spans="10:10" x14ac:dyDescent="0.3">
      <c r="J487" s="188"/>
    </row>
    <row r="488" spans="10:10" x14ac:dyDescent="0.3">
      <c r="J488" s="188"/>
    </row>
    <row r="489" spans="10:10" x14ac:dyDescent="0.3">
      <c r="J489" s="188"/>
    </row>
    <row r="490" spans="10:10" x14ac:dyDescent="0.3">
      <c r="J490" s="188"/>
    </row>
    <row r="491" spans="10:10" x14ac:dyDescent="0.3">
      <c r="J491" s="188"/>
    </row>
    <row r="492" spans="10:10" x14ac:dyDescent="0.3">
      <c r="J492" s="188"/>
    </row>
    <row r="493" spans="10:10" x14ac:dyDescent="0.3">
      <c r="J493" s="188"/>
    </row>
    <row r="494" spans="10:10" x14ac:dyDescent="0.3">
      <c r="J494" s="188"/>
    </row>
    <row r="495" spans="10:10" x14ac:dyDescent="0.3">
      <c r="J495" s="188"/>
    </row>
    <row r="496" spans="10:10" x14ac:dyDescent="0.3">
      <c r="J496" s="188"/>
    </row>
    <row r="497" spans="10:10" x14ac:dyDescent="0.3">
      <c r="J497" s="188"/>
    </row>
    <row r="498" spans="10:10" x14ac:dyDescent="0.3">
      <c r="J498" s="188"/>
    </row>
    <row r="499" spans="10:10" x14ac:dyDescent="0.3">
      <c r="J499" s="188"/>
    </row>
    <row r="500" spans="10:10" x14ac:dyDescent="0.3">
      <c r="J500" s="188"/>
    </row>
    <row r="501" spans="10:10" x14ac:dyDescent="0.3">
      <c r="J501" s="188"/>
    </row>
    <row r="502" spans="10:10" x14ac:dyDescent="0.3">
      <c r="J502" s="188"/>
    </row>
    <row r="503" spans="10:10" x14ac:dyDescent="0.3">
      <c r="J503" s="188"/>
    </row>
    <row r="504" spans="10:10" x14ac:dyDescent="0.3">
      <c r="J504" s="188"/>
    </row>
    <row r="505" spans="10:10" x14ac:dyDescent="0.3">
      <c r="J505" s="188"/>
    </row>
    <row r="506" spans="10:10" x14ac:dyDescent="0.3">
      <c r="J506" s="188"/>
    </row>
    <row r="507" spans="10:10" x14ac:dyDescent="0.3">
      <c r="J507" s="188"/>
    </row>
    <row r="508" spans="10:10" x14ac:dyDescent="0.3">
      <c r="J508" s="188"/>
    </row>
    <row r="509" spans="10:10" x14ac:dyDescent="0.3">
      <c r="J509" s="188"/>
    </row>
    <row r="510" spans="10:10" x14ac:dyDescent="0.3">
      <c r="J510" s="188"/>
    </row>
    <row r="511" spans="10:10" x14ac:dyDescent="0.3">
      <c r="J511" s="188"/>
    </row>
    <row r="512" spans="10:10" x14ac:dyDescent="0.3">
      <c r="J512" s="188"/>
    </row>
    <row r="513" spans="10:10" x14ac:dyDescent="0.3">
      <c r="J513" s="188"/>
    </row>
    <row r="514" spans="10:10" x14ac:dyDescent="0.3">
      <c r="J514" s="188"/>
    </row>
    <row r="515" spans="10:10" x14ac:dyDescent="0.3">
      <c r="J515" s="188"/>
    </row>
    <row r="516" spans="10:10" x14ac:dyDescent="0.3">
      <c r="J516" s="188"/>
    </row>
    <row r="517" spans="10:10" x14ac:dyDescent="0.3">
      <c r="J517" s="188"/>
    </row>
    <row r="518" spans="10:10" x14ac:dyDescent="0.3">
      <c r="J518" s="188"/>
    </row>
    <row r="519" spans="10:10" x14ac:dyDescent="0.3">
      <c r="J519" s="188"/>
    </row>
    <row r="520" spans="10:10" x14ac:dyDescent="0.3">
      <c r="J520" s="188"/>
    </row>
    <row r="521" spans="10:10" x14ac:dyDescent="0.3">
      <c r="J521" s="188"/>
    </row>
    <row r="522" spans="10:10" x14ac:dyDescent="0.3">
      <c r="J522" s="188"/>
    </row>
    <row r="523" spans="10:10" x14ac:dyDescent="0.3">
      <c r="J523" s="188"/>
    </row>
    <row r="524" spans="10:10" x14ac:dyDescent="0.3">
      <c r="J524" s="188"/>
    </row>
    <row r="525" spans="10:10" x14ac:dyDescent="0.3">
      <c r="J525" s="188"/>
    </row>
    <row r="526" spans="10:10" x14ac:dyDescent="0.3">
      <c r="J526" s="188"/>
    </row>
    <row r="527" spans="10:10" x14ac:dyDescent="0.3">
      <c r="J527" s="188"/>
    </row>
    <row r="528" spans="10:10" x14ac:dyDescent="0.3">
      <c r="J528" s="188"/>
    </row>
    <row r="529" spans="10:10" x14ac:dyDescent="0.3">
      <c r="J529" s="188"/>
    </row>
    <row r="530" spans="10:10" x14ac:dyDescent="0.3">
      <c r="J530" s="188"/>
    </row>
    <row r="531" spans="10:10" x14ac:dyDescent="0.3">
      <c r="J531" s="188"/>
    </row>
    <row r="532" spans="10:10" x14ac:dyDescent="0.3">
      <c r="J532" s="188"/>
    </row>
    <row r="533" spans="10:10" x14ac:dyDescent="0.3">
      <c r="J533" s="188"/>
    </row>
    <row r="534" spans="10:10" x14ac:dyDescent="0.3">
      <c r="J534" s="188"/>
    </row>
    <row r="535" spans="10:10" x14ac:dyDescent="0.3">
      <c r="J535" s="188"/>
    </row>
    <row r="536" spans="10:10" x14ac:dyDescent="0.3">
      <c r="J536" s="188"/>
    </row>
    <row r="537" spans="10:10" x14ac:dyDescent="0.3">
      <c r="J537" s="188"/>
    </row>
    <row r="538" spans="10:10" x14ac:dyDescent="0.3">
      <c r="J538" s="188"/>
    </row>
    <row r="539" spans="10:10" x14ac:dyDescent="0.3">
      <c r="J539" s="188"/>
    </row>
    <row r="540" spans="10:10" x14ac:dyDescent="0.3">
      <c r="J540" s="188"/>
    </row>
    <row r="541" spans="10:10" x14ac:dyDescent="0.3">
      <c r="J541" s="188"/>
    </row>
    <row r="542" spans="10:10" x14ac:dyDescent="0.3">
      <c r="J542" s="188"/>
    </row>
    <row r="543" spans="10:10" x14ac:dyDescent="0.3">
      <c r="J543" s="188"/>
    </row>
    <row r="544" spans="10:10" x14ac:dyDescent="0.3">
      <c r="J544" s="188"/>
    </row>
    <row r="545" spans="10:10" x14ac:dyDescent="0.3">
      <c r="J545" s="188"/>
    </row>
    <row r="546" spans="10:10" x14ac:dyDescent="0.3">
      <c r="J546" s="188"/>
    </row>
    <row r="547" spans="10:10" x14ac:dyDescent="0.3">
      <c r="J547" s="188"/>
    </row>
    <row r="548" spans="10:10" x14ac:dyDescent="0.3">
      <c r="J548" s="188"/>
    </row>
    <row r="549" spans="10:10" x14ac:dyDescent="0.3">
      <c r="J549" s="188"/>
    </row>
    <row r="550" spans="10:10" x14ac:dyDescent="0.3">
      <c r="J550" s="188"/>
    </row>
    <row r="551" spans="10:10" x14ac:dyDescent="0.3">
      <c r="J551" s="188"/>
    </row>
    <row r="552" spans="10:10" x14ac:dyDescent="0.3">
      <c r="J552" s="188"/>
    </row>
    <row r="553" spans="10:10" x14ac:dyDescent="0.3">
      <c r="J553" s="188"/>
    </row>
    <row r="554" spans="10:10" x14ac:dyDescent="0.3">
      <c r="J554" s="188"/>
    </row>
    <row r="555" spans="10:10" x14ac:dyDescent="0.3">
      <c r="J555" s="188"/>
    </row>
    <row r="556" spans="10:10" x14ac:dyDescent="0.3">
      <c r="J556" s="188"/>
    </row>
    <row r="557" spans="10:10" x14ac:dyDescent="0.3">
      <c r="J557" s="188"/>
    </row>
    <row r="558" spans="10:10" x14ac:dyDescent="0.3">
      <c r="J558" s="188"/>
    </row>
    <row r="559" spans="10:10" x14ac:dyDescent="0.3">
      <c r="J559" s="188"/>
    </row>
    <row r="560" spans="10:10" x14ac:dyDescent="0.3">
      <c r="J560" s="188"/>
    </row>
    <row r="561" spans="10:10" x14ac:dyDescent="0.3">
      <c r="J561" s="188"/>
    </row>
    <row r="562" spans="10:10" x14ac:dyDescent="0.3">
      <c r="J562" s="188"/>
    </row>
    <row r="563" spans="10:10" x14ac:dyDescent="0.3">
      <c r="J563" s="188"/>
    </row>
    <row r="564" spans="10:10" x14ac:dyDescent="0.3">
      <c r="J564" s="188"/>
    </row>
    <row r="565" spans="10:10" x14ac:dyDescent="0.3">
      <c r="J565" s="188"/>
    </row>
    <row r="566" spans="10:10" x14ac:dyDescent="0.3">
      <c r="J566" s="188"/>
    </row>
    <row r="567" spans="10:10" x14ac:dyDescent="0.3">
      <c r="J567" s="188"/>
    </row>
    <row r="568" spans="10:10" x14ac:dyDescent="0.3">
      <c r="J568" s="188"/>
    </row>
    <row r="569" spans="10:10" x14ac:dyDescent="0.3">
      <c r="J569" s="188"/>
    </row>
    <row r="570" spans="10:10" x14ac:dyDescent="0.3">
      <c r="J570" s="188"/>
    </row>
    <row r="571" spans="10:10" x14ac:dyDescent="0.3">
      <c r="J571" s="188"/>
    </row>
    <row r="572" spans="10:10" x14ac:dyDescent="0.3">
      <c r="J572" s="188"/>
    </row>
    <row r="573" spans="10:10" x14ac:dyDescent="0.3">
      <c r="J573" s="188"/>
    </row>
    <row r="574" spans="10:10" x14ac:dyDescent="0.3">
      <c r="J574" s="188"/>
    </row>
    <row r="575" spans="10:10" x14ac:dyDescent="0.3">
      <c r="J575" s="188"/>
    </row>
    <row r="576" spans="10:10" x14ac:dyDescent="0.3">
      <c r="J576" s="188"/>
    </row>
    <row r="577" spans="10:10" x14ac:dyDescent="0.3">
      <c r="J577" s="188"/>
    </row>
    <row r="578" spans="10:10" x14ac:dyDescent="0.3">
      <c r="J578" s="188"/>
    </row>
    <row r="579" spans="10:10" x14ac:dyDescent="0.3">
      <c r="J579" s="188"/>
    </row>
    <row r="580" spans="10:10" x14ac:dyDescent="0.3">
      <c r="J580" s="188"/>
    </row>
    <row r="581" spans="10:10" x14ac:dyDescent="0.3">
      <c r="J581" s="188"/>
    </row>
    <row r="582" spans="10:10" x14ac:dyDescent="0.3">
      <c r="J582" s="188"/>
    </row>
    <row r="583" spans="10:10" x14ac:dyDescent="0.3">
      <c r="J583" s="188"/>
    </row>
    <row r="584" spans="10:10" x14ac:dyDescent="0.3">
      <c r="J584" s="188"/>
    </row>
    <row r="585" spans="10:10" x14ac:dyDescent="0.3">
      <c r="J585" s="188"/>
    </row>
    <row r="586" spans="10:10" x14ac:dyDescent="0.3">
      <c r="J586" s="188"/>
    </row>
    <row r="587" spans="10:10" x14ac:dyDescent="0.3">
      <c r="J587" s="188"/>
    </row>
    <row r="588" spans="10:10" x14ac:dyDescent="0.3">
      <c r="J588" s="188"/>
    </row>
    <row r="589" spans="10:10" x14ac:dyDescent="0.3">
      <c r="J589" s="188"/>
    </row>
    <row r="590" spans="10:10" x14ac:dyDescent="0.3">
      <c r="J590" s="188"/>
    </row>
    <row r="591" spans="10:10" x14ac:dyDescent="0.3">
      <c r="J591" s="188"/>
    </row>
    <row r="592" spans="10:10" x14ac:dyDescent="0.3">
      <c r="J592" s="188"/>
    </row>
    <row r="593" spans="10:10" x14ac:dyDescent="0.3">
      <c r="J593" s="188"/>
    </row>
    <row r="594" spans="10:10" x14ac:dyDescent="0.3">
      <c r="J594" s="188"/>
    </row>
    <row r="595" spans="10:10" x14ac:dyDescent="0.3">
      <c r="J595" s="188"/>
    </row>
    <row r="596" spans="10:10" x14ac:dyDescent="0.3">
      <c r="J596" s="188"/>
    </row>
    <row r="597" spans="10:10" x14ac:dyDescent="0.3">
      <c r="J597" s="188"/>
    </row>
    <row r="598" spans="10:10" x14ac:dyDescent="0.3">
      <c r="J598" s="188"/>
    </row>
    <row r="599" spans="10:10" x14ac:dyDescent="0.3">
      <c r="J599" s="188"/>
    </row>
    <row r="600" spans="10:10" x14ac:dyDescent="0.3">
      <c r="J600" s="188"/>
    </row>
    <row r="601" spans="10:10" x14ac:dyDescent="0.3">
      <c r="J601" s="188"/>
    </row>
    <row r="602" spans="10:10" x14ac:dyDescent="0.3">
      <c r="J602" s="188"/>
    </row>
    <row r="603" spans="10:10" x14ac:dyDescent="0.3">
      <c r="J603" s="188"/>
    </row>
    <row r="604" spans="10:10" x14ac:dyDescent="0.3">
      <c r="J604" s="188"/>
    </row>
    <row r="605" spans="10:10" x14ac:dyDescent="0.3">
      <c r="J605" s="188"/>
    </row>
    <row r="606" spans="10:10" x14ac:dyDescent="0.3">
      <c r="J606" s="188"/>
    </row>
    <row r="607" spans="10:10" x14ac:dyDescent="0.3">
      <c r="J607" s="188"/>
    </row>
    <row r="608" spans="10:10" x14ac:dyDescent="0.3">
      <c r="J608" s="188"/>
    </row>
    <row r="609" spans="10:10" x14ac:dyDescent="0.3">
      <c r="J609" s="188"/>
    </row>
    <row r="610" spans="10:10" x14ac:dyDescent="0.3">
      <c r="J610" s="188"/>
    </row>
    <row r="611" spans="10:10" x14ac:dyDescent="0.3">
      <c r="J611" s="188"/>
    </row>
    <row r="612" spans="10:10" x14ac:dyDescent="0.3">
      <c r="J612" s="188"/>
    </row>
    <row r="613" spans="10:10" x14ac:dyDescent="0.3">
      <c r="J613" s="188"/>
    </row>
    <row r="614" spans="10:10" x14ac:dyDescent="0.3">
      <c r="J614" s="188"/>
    </row>
    <row r="615" spans="10:10" x14ac:dyDescent="0.3">
      <c r="J615" s="188"/>
    </row>
    <row r="616" spans="10:10" x14ac:dyDescent="0.3">
      <c r="J616" s="188"/>
    </row>
    <row r="617" spans="10:10" x14ac:dyDescent="0.3">
      <c r="J617" s="188"/>
    </row>
    <row r="618" spans="10:10" x14ac:dyDescent="0.3">
      <c r="J618" s="188"/>
    </row>
    <row r="619" spans="10:10" x14ac:dyDescent="0.3">
      <c r="J619" s="188"/>
    </row>
    <row r="620" spans="10:10" x14ac:dyDescent="0.3">
      <c r="J620" s="188"/>
    </row>
    <row r="621" spans="10:10" x14ac:dyDescent="0.3">
      <c r="J621" s="188"/>
    </row>
    <row r="622" spans="10:10" x14ac:dyDescent="0.3">
      <c r="J622" s="188"/>
    </row>
    <row r="623" spans="10:10" x14ac:dyDescent="0.3">
      <c r="J623" s="188"/>
    </row>
    <row r="624" spans="10:10" x14ac:dyDescent="0.3">
      <c r="J624" s="188"/>
    </row>
    <row r="625" spans="10:10" x14ac:dyDescent="0.3">
      <c r="J625" s="188"/>
    </row>
    <row r="626" spans="10:10" x14ac:dyDescent="0.3">
      <c r="J626" s="188"/>
    </row>
    <row r="627" spans="10:10" x14ac:dyDescent="0.3">
      <c r="J627" s="188"/>
    </row>
    <row r="628" spans="10:10" x14ac:dyDescent="0.3">
      <c r="J628" s="188"/>
    </row>
    <row r="629" spans="10:10" x14ac:dyDescent="0.3">
      <c r="J629" s="188"/>
    </row>
    <row r="630" spans="10:10" x14ac:dyDescent="0.3">
      <c r="J630" s="188"/>
    </row>
    <row r="631" spans="10:10" x14ac:dyDescent="0.3">
      <c r="J631" s="188"/>
    </row>
    <row r="632" spans="10:10" x14ac:dyDescent="0.3">
      <c r="J632" s="188"/>
    </row>
    <row r="633" spans="10:10" x14ac:dyDescent="0.3">
      <c r="J633" s="188"/>
    </row>
    <row r="634" spans="10:10" x14ac:dyDescent="0.3">
      <c r="J634" s="188"/>
    </row>
    <row r="635" spans="10:10" x14ac:dyDescent="0.3">
      <c r="J635" s="188"/>
    </row>
    <row r="636" spans="10:10" x14ac:dyDescent="0.3">
      <c r="J636" s="188"/>
    </row>
    <row r="637" spans="10:10" x14ac:dyDescent="0.3">
      <c r="J637" s="188"/>
    </row>
    <row r="638" spans="10:10" x14ac:dyDescent="0.3">
      <c r="J638" s="188"/>
    </row>
    <row r="639" spans="10:10" x14ac:dyDescent="0.3">
      <c r="J639" s="188"/>
    </row>
    <row r="640" spans="10:10" x14ac:dyDescent="0.3">
      <c r="J640" s="188"/>
    </row>
    <row r="641" spans="10:10" x14ac:dyDescent="0.3">
      <c r="J641" s="188"/>
    </row>
    <row r="642" spans="10:10" x14ac:dyDescent="0.3">
      <c r="J642" s="188"/>
    </row>
    <row r="643" spans="10:10" x14ac:dyDescent="0.3">
      <c r="J643" s="188"/>
    </row>
    <row r="644" spans="10:10" x14ac:dyDescent="0.3">
      <c r="J644" s="188"/>
    </row>
    <row r="645" spans="10:10" x14ac:dyDescent="0.3">
      <c r="J645" s="188"/>
    </row>
    <row r="646" spans="10:10" x14ac:dyDescent="0.3">
      <c r="J646" s="188"/>
    </row>
    <row r="647" spans="10:10" x14ac:dyDescent="0.3">
      <c r="J647" s="188"/>
    </row>
    <row r="648" spans="10:10" x14ac:dyDescent="0.3">
      <c r="J648" s="188"/>
    </row>
    <row r="649" spans="10:10" x14ac:dyDescent="0.3">
      <c r="J649" s="188"/>
    </row>
    <row r="650" spans="10:10" x14ac:dyDescent="0.3">
      <c r="J650" s="188"/>
    </row>
    <row r="651" spans="10:10" x14ac:dyDescent="0.3">
      <c r="J651" s="188"/>
    </row>
    <row r="652" spans="10:10" x14ac:dyDescent="0.3">
      <c r="J652" s="188"/>
    </row>
    <row r="653" spans="10:10" x14ac:dyDescent="0.3">
      <c r="J653" s="188"/>
    </row>
    <row r="654" spans="10:10" x14ac:dyDescent="0.3">
      <c r="J654" s="188"/>
    </row>
    <row r="655" spans="10:10" x14ac:dyDescent="0.3">
      <c r="J655" s="188"/>
    </row>
    <row r="656" spans="10:10" x14ac:dyDescent="0.3">
      <c r="J656" s="188"/>
    </row>
    <row r="657" spans="10:10" x14ac:dyDescent="0.3">
      <c r="J657" s="188"/>
    </row>
    <row r="658" spans="10:10" x14ac:dyDescent="0.3">
      <c r="J658" s="188"/>
    </row>
    <row r="659" spans="10:10" x14ac:dyDescent="0.3">
      <c r="J659" s="188"/>
    </row>
    <row r="660" spans="10:10" x14ac:dyDescent="0.3">
      <c r="J660" s="188"/>
    </row>
    <row r="661" spans="10:10" x14ac:dyDescent="0.3">
      <c r="J661" s="188"/>
    </row>
    <row r="662" spans="10:10" x14ac:dyDescent="0.3">
      <c r="J662" s="188"/>
    </row>
    <row r="663" spans="10:10" x14ac:dyDescent="0.3">
      <c r="J663" s="188"/>
    </row>
    <row r="664" spans="10:10" x14ac:dyDescent="0.3">
      <c r="J664" s="188"/>
    </row>
    <row r="665" spans="10:10" x14ac:dyDescent="0.3">
      <c r="J665" s="188"/>
    </row>
    <row r="666" spans="10:10" x14ac:dyDescent="0.3">
      <c r="J666" s="188"/>
    </row>
    <row r="667" spans="10:10" x14ac:dyDescent="0.3">
      <c r="J667" s="188"/>
    </row>
    <row r="668" spans="10:10" x14ac:dyDescent="0.3">
      <c r="J668" s="188"/>
    </row>
    <row r="669" spans="10:10" x14ac:dyDescent="0.3">
      <c r="J669" s="188"/>
    </row>
    <row r="670" spans="10:10" x14ac:dyDescent="0.3">
      <c r="J670" s="188"/>
    </row>
    <row r="671" spans="10:10" x14ac:dyDescent="0.3">
      <c r="J671" s="188"/>
    </row>
    <row r="672" spans="10:10" x14ac:dyDescent="0.3">
      <c r="J672" s="188"/>
    </row>
    <row r="673" spans="10:10" x14ac:dyDescent="0.3">
      <c r="J673" s="188"/>
    </row>
    <row r="674" spans="10:10" x14ac:dyDescent="0.3">
      <c r="J674" s="188"/>
    </row>
    <row r="675" spans="10:10" x14ac:dyDescent="0.3">
      <c r="J675" s="188"/>
    </row>
    <row r="676" spans="10:10" x14ac:dyDescent="0.3">
      <c r="J676" s="188"/>
    </row>
    <row r="677" spans="10:10" x14ac:dyDescent="0.3">
      <c r="J677" s="188"/>
    </row>
    <row r="678" spans="10:10" x14ac:dyDescent="0.3">
      <c r="J678" s="188"/>
    </row>
    <row r="679" spans="10:10" x14ac:dyDescent="0.3">
      <c r="J679" s="188"/>
    </row>
    <row r="680" spans="10:10" x14ac:dyDescent="0.3">
      <c r="J680" s="188"/>
    </row>
    <row r="681" spans="10:10" x14ac:dyDescent="0.3">
      <c r="J681" s="188"/>
    </row>
    <row r="682" spans="10:10" x14ac:dyDescent="0.3">
      <c r="J682" s="188"/>
    </row>
    <row r="683" spans="10:10" x14ac:dyDescent="0.3">
      <c r="J683" s="188"/>
    </row>
    <row r="684" spans="10:10" x14ac:dyDescent="0.3">
      <c r="J684" s="188"/>
    </row>
    <row r="685" spans="10:10" x14ac:dyDescent="0.3">
      <c r="J685" s="188"/>
    </row>
    <row r="686" spans="10:10" x14ac:dyDescent="0.3">
      <c r="J686" s="188"/>
    </row>
    <row r="687" spans="10:10" x14ac:dyDescent="0.3">
      <c r="J687" s="188"/>
    </row>
    <row r="688" spans="10:10" x14ac:dyDescent="0.3">
      <c r="J688" s="188"/>
    </row>
    <row r="689" spans="10:10" x14ac:dyDescent="0.3">
      <c r="J689" s="188"/>
    </row>
    <row r="690" spans="10:10" x14ac:dyDescent="0.3">
      <c r="J690" s="188"/>
    </row>
    <row r="691" spans="10:10" x14ac:dyDescent="0.3">
      <c r="J691" s="188"/>
    </row>
    <row r="692" spans="10:10" x14ac:dyDescent="0.3">
      <c r="J692" s="188"/>
    </row>
    <row r="693" spans="10:10" x14ac:dyDescent="0.3">
      <c r="J693" s="188"/>
    </row>
    <row r="694" spans="10:10" x14ac:dyDescent="0.3">
      <c r="J694" s="188"/>
    </row>
    <row r="695" spans="10:10" x14ac:dyDescent="0.3">
      <c r="J695" s="188"/>
    </row>
    <row r="696" spans="10:10" x14ac:dyDescent="0.3">
      <c r="J696" s="188"/>
    </row>
    <row r="697" spans="10:10" x14ac:dyDescent="0.3">
      <c r="J697" s="188"/>
    </row>
    <row r="698" spans="10:10" x14ac:dyDescent="0.3">
      <c r="J698" s="188"/>
    </row>
    <row r="699" spans="10:10" x14ac:dyDescent="0.3">
      <c r="J699" s="188"/>
    </row>
    <row r="700" spans="10:10" x14ac:dyDescent="0.3">
      <c r="J700" s="188"/>
    </row>
    <row r="701" spans="10:10" x14ac:dyDescent="0.3">
      <c r="J701" s="188"/>
    </row>
    <row r="702" spans="10:10" x14ac:dyDescent="0.3">
      <c r="J702" s="188"/>
    </row>
    <row r="703" spans="10:10" x14ac:dyDescent="0.3">
      <c r="J703" s="188"/>
    </row>
    <row r="704" spans="10:10" x14ac:dyDescent="0.3">
      <c r="J704" s="188"/>
    </row>
    <row r="705" spans="10:10" x14ac:dyDescent="0.3">
      <c r="J705" s="188"/>
    </row>
    <row r="706" spans="10:10" x14ac:dyDescent="0.3">
      <c r="J706" s="188"/>
    </row>
    <row r="707" spans="10:10" x14ac:dyDescent="0.3">
      <c r="J707" s="188"/>
    </row>
    <row r="708" spans="10:10" x14ac:dyDescent="0.3">
      <c r="J708" s="188"/>
    </row>
    <row r="709" spans="10:10" x14ac:dyDescent="0.3">
      <c r="J709" s="188"/>
    </row>
    <row r="710" spans="10:10" x14ac:dyDescent="0.3">
      <c r="J710" s="188"/>
    </row>
    <row r="711" spans="10:10" x14ac:dyDescent="0.3">
      <c r="J711" s="188"/>
    </row>
    <row r="712" spans="10:10" x14ac:dyDescent="0.3">
      <c r="J712" s="188"/>
    </row>
    <row r="713" spans="10:10" x14ac:dyDescent="0.3">
      <c r="J713" s="188"/>
    </row>
    <row r="714" spans="10:10" x14ac:dyDescent="0.3">
      <c r="J714" s="188"/>
    </row>
    <row r="715" spans="10:10" x14ac:dyDescent="0.3">
      <c r="J715" s="188"/>
    </row>
    <row r="716" spans="10:10" x14ac:dyDescent="0.3">
      <c r="J716" s="188"/>
    </row>
    <row r="717" spans="10:10" x14ac:dyDescent="0.3">
      <c r="J717" s="188"/>
    </row>
    <row r="718" spans="10:10" x14ac:dyDescent="0.3">
      <c r="J718" s="188"/>
    </row>
    <row r="719" spans="10:10" x14ac:dyDescent="0.3">
      <c r="J719" s="188"/>
    </row>
    <row r="720" spans="10:10" x14ac:dyDescent="0.3">
      <c r="J720" s="188"/>
    </row>
    <row r="721" spans="10:10" x14ac:dyDescent="0.3">
      <c r="J721" s="188"/>
    </row>
    <row r="722" spans="10:10" x14ac:dyDescent="0.3">
      <c r="J722" s="188"/>
    </row>
    <row r="723" spans="10:10" x14ac:dyDescent="0.3">
      <c r="J723" s="188"/>
    </row>
    <row r="724" spans="10:10" x14ac:dyDescent="0.3">
      <c r="J724" s="188"/>
    </row>
    <row r="725" spans="10:10" x14ac:dyDescent="0.3">
      <c r="J725" s="188"/>
    </row>
    <row r="726" spans="10:10" x14ac:dyDescent="0.3">
      <c r="J726" s="188"/>
    </row>
    <row r="727" spans="10:10" x14ac:dyDescent="0.3">
      <c r="J727" s="188"/>
    </row>
    <row r="728" spans="10:10" x14ac:dyDescent="0.3">
      <c r="J728" s="188"/>
    </row>
    <row r="729" spans="10:10" x14ac:dyDescent="0.3">
      <c r="J729" s="188"/>
    </row>
    <row r="730" spans="10:10" x14ac:dyDescent="0.3">
      <c r="J730" s="188"/>
    </row>
    <row r="731" spans="10:10" x14ac:dyDescent="0.3">
      <c r="J731" s="188"/>
    </row>
    <row r="732" spans="10:10" x14ac:dyDescent="0.3">
      <c r="J732" s="188"/>
    </row>
    <row r="733" spans="10:10" x14ac:dyDescent="0.3">
      <c r="J733" s="188"/>
    </row>
    <row r="734" spans="10:10" x14ac:dyDescent="0.3">
      <c r="J734" s="188"/>
    </row>
    <row r="735" spans="10:10" x14ac:dyDescent="0.3">
      <c r="J735" s="188"/>
    </row>
    <row r="736" spans="10:10" x14ac:dyDescent="0.3">
      <c r="J736" s="188"/>
    </row>
    <row r="737" spans="10:10" x14ac:dyDescent="0.3">
      <c r="J737" s="188"/>
    </row>
    <row r="738" spans="10:10" x14ac:dyDescent="0.3">
      <c r="J738" s="188"/>
    </row>
    <row r="739" spans="10:10" x14ac:dyDescent="0.3">
      <c r="J739" s="188"/>
    </row>
    <row r="740" spans="10:10" x14ac:dyDescent="0.3">
      <c r="J740" s="188"/>
    </row>
    <row r="741" spans="10:10" x14ac:dyDescent="0.3">
      <c r="J741" s="188"/>
    </row>
    <row r="742" spans="10:10" x14ac:dyDescent="0.3">
      <c r="J742" s="188"/>
    </row>
    <row r="743" spans="10:10" x14ac:dyDescent="0.3">
      <c r="J743" s="188"/>
    </row>
    <row r="744" spans="10:10" x14ac:dyDescent="0.3">
      <c r="J744" s="188"/>
    </row>
    <row r="745" spans="10:10" x14ac:dyDescent="0.3">
      <c r="J745" s="188"/>
    </row>
    <row r="746" spans="10:10" x14ac:dyDescent="0.3">
      <c r="J746" s="188"/>
    </row>
    <row r="747" spans="10:10" x14ac:dyDescent="0.3">
      <c r="J747" s="188"/>
    </row>
    <row r="748" spans="10:10" x14ac:dyDescent="0.3">
      <c r="J748" s="188"/>
    </row>
    <row r="749" spans="10:10" x14ac:dyDescent="0.3">
      <c r="J749" s="188"/>
    </row>
    <row r="750" spans="10:10" x14ac:dyDescent="0.3">
      <c r="J750" s="188"/>
    </row>
    <row r="751" spans="10:10" x14ac:dyDescent="0.3">
      <c r="J751" s="188"/>
    </row>
    <row r="752" spans="10:10" x14ac:dyDescent="0.3">
      <c r="J752" s="188"/>
    </row>
    <row r="753" spans="10:10" x14ac:dyDescent="0.3">
      <c r="J753" s="188"/>
    </row>
    <row r="754" spans="10:10" x14ac:dyDescent="0.3">
      <c r="J754" s="188"/>
    </row>
    <row r="755" spans="10:10" x14ac:dyDescent="0.3">
      <c r="J755" s="188"/>
    </row>
    <row r="756" spans="10:10" x14ac:dyDescent="0.3">
      <c r="J756" s="188"/>
    </row>
    <row r="757" spans="10:10" x14ac:dyDescent="0.3">
      <c r="J757" s="188"/>
    </row>
    <row r="758" spans="10:10" x14ac:dyDescent="0.3">
      <c r="J758" s="188"/>
    </row>
    <row r="759" spans="10:10" x14ac:dyDescent="0.3">
      <c r="J759" s="188"/>
    </row>
    <row r="760" spans="10:10" x14ac:dyDescent="0.3">
      <c r="J760" s="188"/>
    </row>
    <row r="761" spans="10:10" x14ac:dyDescent="0.3">
      <c r="J761" s="188"/>
    </row>
    <row r="762" spans="10:10" x14ac:dyDescent="0.3">
      <c r="J762" s="188"/>
    </row>
    <row r="763" spans="10:10" x14ac:dyDescent="0.3">
      <c r="J763" s="188"/>
    </row>
    <row r="764" spans="10:10" x14ac:dyDescent="0.3">
      <c r="J764" s="188"/>
    </row>
    <row r="765" spans="10:10" x14ac:dyDescent="0.3">
      <c r="J765" s="188"/>
    </row>
    <row r="766" spans="10:10" x14ac:dyDescent="0.3">
      <c r="J766" s="188"/>
    </row>
    <row r="767" spans="10:10" x14ac:dyDescent="0.3">
      <c r="J767" s="188"/>
    </row>
    <row r="768" spans="10:10" x14ac:dyDescent="0.3">
      <c r="J768" s="188"/>
    </row>
    <row r="769" spans="10:10" x14ac:dyDescent="0.3">
      <c r="J769" s="188"/>
    </row>
    <row r="770" spans="10:10" x14ac:dyDescent="0.3">
      <c r="J770" s="188"/>
    </row>
    <row r="771" spans="10:10" x14ac:dyDescent="0.3">
      <c r="J771" s="188"/>
    </row>
    <row r="772" spans="10:10" x14ac:dyDescent="0.3">
      <c r="J772" s="188"/>
    </row>
    <row r="773" spans="10:10" x14ac:dyDescent="0.3">
      <c r="J773" s="188"/>
    </row>
    <row r="774" spans="10:10" x14ac:dyDescent="0.3">
      <c r="J774" s="188"/>
    </row>
    <row r="775" spans="10:10" x14ac:dyDescent="0.3">
      <c r="J775" s="188"/>
    </row>
    <row r="776" spans="10:10" x14ac:dyDescent="0.3">
      <c r="J776" s="188"/>
    </row>
    <row r="777" spans="10:10" x14ac:dyDescent="0.3">
      <c r="J777" s="188"/>
    </row>
    <row r="778" spans="10:10" x14ac:dyDescent="0.3">
      <c r="J778" s="188"/>
    </row>
    <row r="779" spans="10:10" x14ac:dyDescent="0.3">
      <c r="J779" s="188"/>
    </row>
    <row r="780" spans="10:10" x14ac:dyDescent="0.3">
      <c r="J780" s="188"/>
    </row>
    <row r="781" spans="10:10" x14ac:dyDescent="0.3">
      <c r="J781" s="188"/>
    </row>
    <row r="782" spans="10:10" x14ac:dyDescent="0.3">
      <c r="J782" s="188"/>
    </row>
    <row r="783" spans="10:10" x14ac:dyDescent="0.3">
      <c r="J783" s="188"/>
    </row>
    <row r="784" spans="10:10" x14ac:dyDescent="0.3">
      <c r="J784" s="188"/>
    </row>
    <row r="785" spans="10:10" x14ac:dyDescent="0.3">
      <c r="J785" s="188"/>
    </row>
    <row r="786" spans="10:10" x14ac:dyDescent="0.3">
      <c r="J786" s="188"/>
    </row>
    <row r="787" spans="10:10" x14ac:dyDescent="0.3">
      <c r="J787" s="188"/>
    </row>
    <row r="788" spans="10:10" x14ac:dyDescent="0.3">
      <c r="J788" s="188"/>
    </row>
    <row r="789" spans="10:10" x14ac:dyDescent="0.3">
      <c r="J789" s="188"/>
    </row>
    <row r="790" spans="10:10" x14ac:dyDescent="0.3">
      <c r="J790" s="188"/>
    </row>
    <row r="791" spans="10:10" x14ac:dyDescent="0.3">
      <c r="J791" s="188"/>
    </row>
    <row r="792" spans="10:10" x14ac:dyDescent="0.3">
      <c r="J792" s="188"/>
    </row>
    <row r="793" spans="10:10" x14ac:dyDescent="0.3">
      <c r="J793" s="188"/>
    </row>
    <row r="794" spans="10:10" x14ac:dyDescent="0.3">
      <c r="J794" s="188"/>
    </row>
    <row r="795" spans="10:10" x14ac:dyDescent="0.3">
      <c r="J795" s="188"/>
    </row>
    <row r="796" spans="10:10" x14ac:dyDescent="0.3">
      <c r="J796" s="188"/>
    </row>
    <row r="797" spans="10:10" x14ac:dyDescent="0.3">
      <c r="J797" s="188"/>
    </row>
    <row r="798" spans="10:10" x14ac:dyDescent="0.3">
      <c r="J798" s="188"/>
    </row>
    <row r="799" spans="10:10" x14ac:dyDescent="0.3">
      <c r="J799" s="188"/>
    </row>
    <row r="800" spans="10:10" x14ac:dyDescent="0.3">
      <c r="J800" s="188"/>
    </row>
    <row r="801" spans="10:10" x14ac:dyDescent="0.3">
      <c r="J801" s="188"/>
    </row>
    <row r="802" spans="10:10" x14ac:dyDescent="0.3">
      <c r="J802" s="188"/>
    </row>
    <row r="803" spans="10:10" x14ac:dyDescent="0.3">
      <c r="J803" s="188"/>
    </row>
    <row r="804" spans="10:10" x14ac:dyDescent="0.3">
      <c r="J804" s="188"/>
    </row>
    <row r="805" spans="10:10" x14ac:dyDescent="0.3">
      <c r="J805" s="188"/>
    </row>
    <row r="806" spans="10:10" x14ac:dyDescent="0.3">
      <c r="J806" s="188"/>
    </row>
    <row r="807" spans="10:10" x14ac:dyDescent="0.3">
      <c r="J807" s="188"/>
    </row>
    <row r="808" spans="10:10" x14ac:dyDescent="0.3">
      <c r="J808" s="188"/>
    </row>
    <row r="809" spans="10:10" x14ac:dyDescent="0.3">
      <c r="J809" s="188"/>
    </row>
    <row r="810" spans="10:10" x14ac:dyDescent="0.3">
      <c r="J810" s="188"/>
    </row>
    <row r="811" spans="10:10" x14ac:dyDescent="0.3">
      <c r="J811" s="188"/>
    </row>
    <row r="812" spans="10:10" x14ac:dyDescent="0.3">
      <c r="J812" s="188"/>
    </row>
    <row r="813" spans="10:10" x14ac:dyDescent="0.3">
      <c r="J813" s="188"/>
    </row>
    <row r="814" spans="10:10" x14ac:dyDescent="0.3">
      <c r="J814" s="188"/>
    </row>
    <row r="815" spans="10:10" x14ac:dyDescent="0.3">
      <c r="J815" s="188"/>
    </row>
    <row r="816" spans="10:10" x14ac:dyDescent="0.3">
      <c r="J816" s="188"/>
    </row>
    <row r="817" spans="10:10" x14ac:dyDescent="0.3">
      <c r="J817" s="188"/>
    </row>
    <row r="818" spans="10:10" x14ac:dyDescent="0.3">
      <c r="J818" s="188"/>
    </row>
    <row r="819" spans="10:10" x14ac:dyDescent="0.3">
      <c r="J819" s="188"/>
    </row>
    <row r="820" spans="10:10" x14ac:dyDescent="0.3">
      <c r="J820" s="188"/>
    </row>
    <row r="821" spans="10:10" x14ac:dyDescent="0.3">
      <c r="J821" s="188"/>
    </row>
    <row r="822" spans="10:10" x14ac:dyDescent="0.3">
      <c r="J822" s="188"/>
    </row>
    <row r="823" spans="10:10" x14ac:dyDescent="0.3">
      <c r="J823" s="188"/>
    </row>
    <row r="824" spans="10:10" x14ac:dyDescent="0.3">
      <c r="J824" s="188"/>
    </row>
    <row r="825" spans="10:10" x14ac:dyDescent="0.3">
      <c r="J825" s="188"/>
    </row>
    <row r="826" spans="10:10" x14ac:dyDescent="0.3">
      <c r="J826" s="188"/>
    </row>
    <row r="827" spans="10:10" x14ac:dyDescent="0.3">
      <c r="J827" s="188"/>
    </row>
    <row r="828" spans="10:10" x14ac:dyDescent="0.3">
      <c r="J828" s="188"/>
    </row>
    <row r="829" spans="10:10" x14ac:dyDescent="0.3">
      <c r="J829" s="188"/>
    </row>
    <row r="830" spans="10:10" x14ac:dyDescent="0.3">
      <c r="J830" s="188"/>
    </row>
    <row r="831" spans="10:10" x14ac:dyDescent="0.3">
      <c r="J831" s="188"/>
    </row>
    <row r="832" spans="10:10" x14ac:dyDescent="0.3">
      <c r="J832" s="188"/>
    </row>
    <row r="833" spans="10:10" x14ac:dyDescent="0.3">
      <c r="J833" s="188"/>
    </row>
    <row r="834" spans="10:10" x14ac:dyDescent="0.3">
      <c r="J834" s="188"/>
    </row>
    <row r="835" spans="10:10" x14ac:dyDescent="0.3">
      <c r="J835" s="188"/>
    </row>
    <row r="836" spans="10:10" x14ac:dyDescent="0.3">
      <c r="J836" s="188"/>
    </row>
    <row r="837" spans="10:10" x14ac:dyDescent="0.3">
      <c r="J837" s="188"/>
    </row>
    <row r="838" spans="10:10" x14ac:dyDescent="0.3">
      <c r="J838" s="188"/>
    </row>
    <row r="839" spans="10:10" x14ac:dyDescent="0.3">
      <c r="J839" s="188"/>
    </row>
    <row r="840" spans="10:10" x14ac:dyDescent="0.3">
      <c r="J840" s="188"/>
    </row>
    <row r="841" spans="10:10" x14ac:dyDescent="0.3">
      <c r="J841" s="188"/>
    </row>
    <row r="842" spans="10:10" x14ac:dyDescent="0.3">
      <c r="J842" s="188"/>
    </row>
    <row r="843" spans="10:10" x14ac:dyDescent="0.3">
      <c r="J843" s="188"/>
    </row>
    <row r="844" spans="10:10" x14ac:dyDescent="0.3">
      <c r="J844" s="188"/>
    </row>
    <row r="845" spans="10:10" x14ac:dyDescent="0.3">
      <c r="J845" s="188"/>
    </row>
    <row r="846" spans="10:10" x14ac:dyDescent="0.3">
      <c r="J846" s="188"/>
    </row>
    <row r="847" spans="10:10" x14ac:dyDescent="0.3">
      <c r="J847" s="188"/>
    </row>
    <row r="848" spans="10:10" x14ac:dyDescent="0.3">
      <c r="J848" s="188"/>
    </row>
    <row r="849" spans="10:10" x14ac:dyDescent="0.3">
      <c r="J849" s="188"/>
    </row>
    <row r="850" spans="10:10" x14ac:dyDescent="0.3">
      <c r="J850" s="188"/>
    </row>
    <row r="851" spans="10:10" x14ac:dyDescent="0.3">
      <c r="J851" s="188"/>
    </row>
    <row r="852" spans="10:10" x14ac:dyDescent="0.3">
      <c r="J852" s="188"/>
    </row>
    <row r="853" spans="10:10" x14ac:dyDescent="0.3">
      <c r="J853" s="188"/>
    </row>
    <row r="854" spans="10:10" x14ac:dyDescent="0.3">
      <c r="J854" s="188"/>
    </row>
    <row r="855" spans="10:10" x14ac:dyDescent="0.3">
      <c r="J855" s="188"/>
    </row>
    <row r="856" spans="10:10" x14ac:dyDescent="0.3">
      <c r="J856" s="188"/>
    </row>
    <row r="857" spans="10:10" x14ac:dyDescent="0.3">
      <c r="J857" s="188"/>
    </row>
    <row r="858" spans="10:10" x14ac:dyDescent="0.3">
      <c r="J858" s="188"/>
    </row>
    <row r="859" spans="10:10" x14ac:dyDescent="0.3">
      <c r="J859" s="188"/>
    </row>
    <row r="860" spans="10:10" x14ac:dyDescent="0.3">
      <c r="J860" s="188"/>
    </row>
    <row r="861" spans="10:10" x14ac:dyDescent="0.3">
      <c r="J861" s="188"/>
    </row>
    <row r="862" spans="10:10" x14ac:dyDescent="0.3">
      <c r="J862" s="188"/>
    </row>
    <row r="863" spans="10:10" x14ac:dyDescent="0.3">
      <c r="J863" s="188"/>
    </row>
    <row r="864" spans="10:10" x14ac:dyDescent="0.3">
      <c r="J864" s="188"/>
    </row>
    <row r="865" spans="10:10" x14ac:dyDescent="0.3">
      <c r="J865" s="188"/>
    </row>
    <row r="866" spans="10:10" x14ac:dyDescent="0.3">
      <c r="J866" s="188"/>
    </row>
    <row r="867" spans="10:10" x14ac:dyDescent="0.3">
      <c r="J867" s="188"/>
    </row>
    <row r="868" spans="10:10" x14ac:dyDescent="0.3">
      <c r="J868" s="188"/>
    </row>
    <row r="869" spans="10:10" x14ac:dyDescent="0.3">
      <c r="J869" s="188"/>
    </row>
    <row r="870" spans="10:10" x14ac:dyDescent="0.3">
      <c r="J870" s="188"/>
    </row>
    <row r="871" spans="10:10" x14ac:dyDescent="0.3">
      <c r="J871" s="188"/>
    </row>
    <row r="872" spans="10:10" x14ac:dyDescent="0.3">
      <c r="J872" s="188"/>
    </row>
    <row r="873" spans="10:10" x14ac:dyDescent="0.3">
      <c r="J873" s="188"/>
    </row>
    <row r="874" spans="10:10" x14ac:dyDescent="0.3">
      <c r="J874" s="188"/>
    </row>
    <row r="875" spans="10:10" x14ac:dyDescent="0.3">
      <c r="J875" s="188"/>
    </row>
    <row r="876" spans="10:10" x14ac:dyDescent="0.3">
      <c r="J876" s="188"/>
    </row>
    <row r="877" spans="10:10" x14ac:dyDescent="0.3">
      <c r="J877" s="188"/>
    </row>
    <row r="878" spans="10:10" x14ac:dyDescent="0.3">
      <c r="J878" s="188"/>
    </row>
    <row r="879" spans="10:10" x14ac:dyDescent="0.3">
      <c r="J879" s="188"/>
    </row>
    <row r="880" spans="10:10" x14ac:dyDescent="0.3">
      <c r="J880" s="188"/>
    </row>
    <row r="881" spans="10:10" x14ac:dyDescent="0.3">
      <c r="J881" s="188"/>
    </row>
    <row r="882" spans="10:10" x14ac:dyDescent="0.3">
      <c r="J882" s="188"/>
    </row>
    <row r="883" spans="10:10" x14ac:dyDescent="0.3">
      <c r="J883" s="188"/>
    </row>
    <row r="884" spans="10:10" x14ac:dyDescent="0.3">
      <c r="J884" s="188"/>
    </row>
    <row r="885" spans="10:10" x14ac:dyDescent="0.3">
      <c r="J885" s="188"/>
    </row>
    <row r="886" spans="10:10" x14ac:dyDescent="0.3">
      <c r="J886" s="188"/>
    </row>
    <row r="887" spans="10:10" x14ac:dyDescent="0.3">
      <c r="J887" s="188"/>
    </row>
    <row r="888" spans="10:10" x14ac:dyDescent="0.3">
      <c r="J888" s="188"/>
    </row>
    <row r="889" spans="10:10" x14ac:dyDescent="0.3">
      <c r="J889" s="188"/>
    </row>
    <row r="890" spans="10:10" x14ac:dyDescent="0.3">
      <c r="J890" s="188"/>
    </row>
    <row r="891" spans="10:10" x14ac:dyDescent="0.3">
      <c r="J891" s="188"/>
    </row>
    <row r="892" spans="10:10" x14ac:dyDescent="0.3">
      <c r="J892" s="188"/>
    </row>
    <row r="893" spans="10:10" x14ac:dyDescent="0.3">
      <c r="J893" s="188"/>
    </row>
    <row r="894" spans="10:10" x14ac:dyDescent="0.3">
      <c r="J894" s="188"/>
    </row>
    <row r="895" spans="10:10" x14ac:dyDescent="0.3">
      <c r="J895" s="188"/>
    </row>
    <row r="896" spans="10:10" x14ac:dyDescent="0.3">
      <c r="J896" s="188"/>
    </row>
    <row r="897" spans="10:10" x14ac:dyDescent="0.3">
      <c r="J897" s="188"/>
    </row>
    <row r="898" spans="10:10" x14ac:dyDescent="0.3">
      <c r="J898" s="188"/>
    </row>
    <row r="899" spans="10:10" x14ac:dyDescent="0.3">
      <c r="J899" s="188"/>
    </row>
    <row r="900" spans="10:10" x14ac:dyDescent="0.3">
      <c r="J900" s="188"/>
    </row>
    <row r="901" spans="10:10" x14ac:dyDescent="0.3">
      <c r="J901" s="188"/>
    </row>
    <row r="902" spans="10:10" x14ac:dyDescent="0.3">
      <c r="J902" s="188"/>
    </row>
    <row r="903" spans="10:10" x14ac:dyDescent="0.3">
      <c r="J903" s="188"/>
    </row>
    <row r="904" spans="10:10" x14ac:dyDescent="0.3">
      <c r="J904" s="188"/>
    </row>
    <row r="905" spans="10:10" x14ac:dyDescent="0.3">
      <c r="J905" s="188"/>
    </row>
    <row r="906" spans="10:10" x14ac:dyDescent="0.3">
      <c r="J906" s="188"/>
    </row>
    <row r="907" spans="10:10" x14ac:dyDescent="0.3">
      <c r="J907" s="188"/>
    </row>
    <row r="908" spans="10:10" x14ac:dyDescent="0.3">
      <c r="J908" s="188"/>
    </row>
    <row r="909" spans="10:10" x14ac:dyDescent="0.3">
      <c r="J909" s="188"/>
    </row>
    <row r="910" spans="10:10" x14ac:dyDescent="0.3">
      <c r="J910" s="188"/>
    </row>
    <row r="911" spans="10:10" x14ac:dyDescent="0.3">
      <c r="J911" s="188"/>
    </row>
    <row r="912" spans="10:10" x14ac:dyDescent="0.3">
      <c r="J912" s="188"/>
    </row>
    <row r="913" spans="10:10" x14ac:dyDescent="0.3">
      <c r="J913" s="188"/>
    </row>
    <row r="914" spans="10:10" x14ac:dyDescent="0.3">
      <c r="J914" s="188"/>
    </row>
    <row r="915" spans="10:10" x14ac:dyDescent="0.3">
      <c r="J915" s="188"/>
    </row>
    <row r="916" spans="10:10" x14ac:dyDescent="0.3">
      <c r="J916" s="188"/>
    </row>
    <row r="917" spans="10:10" x14ac:dyDescent="0.3">
      <c r="J917" s="188"/>
    </row>
    <row r="918" spans="10:10" x14ac:dyDescent="0.3">
      <c r="J918" s="188"/>
    </row>
    <row r="919" spans="10:10" x14ac:dyDescent="0.3">
      <c r="J919" s="188"/>
    </row>
    <row r="920" spans="10:10" x14ac:dyDescent="0.3">
      <c r="J920" s="188"/>
    </row>
    <row r="921" spans="10:10" x14ac:dyDescent="0.3">
      <c r="J921" s="188"/>
    </row>
    <row r="922" spans="10:10" x14ac:dyDescent="0.3">
      <c r="J922" s="188"/>
    </row>
    <row r="923" spans="10:10" x14ac:dyDescent="0.3">
      <c r="J923" s="188"/>
    </row>
    <row r="924" spans="10:10" x14ac:dyDescent="0.3">
      <c r="J924" s="188"/>
    </row>
    <row r="925" spans="10:10" x14ac:dyDescent="0.3">
      <c r="J925" s="188"/>
    </row>
    <row r="926" spans="10:10" x14ac:dyDescent="0.3">
      <c r="J926" s="188"/>
    </row>
    <row r="927" spans="10:10" x14ac:dyDescent="0.3">
      <c r="J927" s="188"/>
    </row>
    <row r="928" spans="10:10" x14ac:dyDescent="0.3">
      <c r="J928" s="188"/>
    </row>
    <row r="929" spans="10:10" x14ac:dyDescent="0.3">
      <c r="J929" s="188"/>
    </row>
    <row r="930" spans="10:10" x14ac:dyDescent="0.3">
      <c r="J930" s="188"/>
    </row>
    <row r="931" spans="10:10" x14ac:dyDescent="0.3">
      <c r="J931" s="188"/>
    </row>
    <row r="932" spans="10:10" x14ac:dyDescent="0.3">
      <c r="J932" s="188"/>
    </row>
    <row r="933" spans="10:10" x14ac:dyDescent="0.3">
      <c r="J933" s="188"/>
    </row>
    <row r="934" spans="10:10" x14ac:dyDescent="0.3">
      <c r="J934" s="188"/>
    </row>
    <row r="935" spans="10:10" x14ac:dyDescent="0.3">
      <c r="J935" s="188"/>
    </row>
    <row r="936" spans="10:10" x14ac:dyDescent="0.3">
      <c r="J936" s="188"/>
    </row>
    <row r="937" spans="10:10" x14ac:dyDescent="0.3">
      <c r="J937" s="188"/>
    </row>
    <row r="938" spans="10:10" x14ac:dyDescent="0.3">
      <c r="J938" s="188"/>
    </row>
    <row r="939" spans="10:10" x14ac:dyDescent="0.3">
      <c r="J939" s="188"/>
    </row>
    <row r="940" spans="10:10" x14ac:dyDescent="0.3">
      <c r="J940" s="188"/>
    </row>
    <row r="941" spans="10:10" x14ac:dyDescent="0.3">
      <c r="J941" s="188"/>
    </row>
    <row r="942" spans="10:10" x14ac:dyDescent="0.3">
      <c r="J942" s="188"/>
    </row>
    <row r="943" spans="10:10" x14ac:dyDescent="0.3">
      <c r="J943" s="188"/>
    </row>
    <row r="944" spans="10:10" x14ac:dyDescent="0.3">
      <c r="J944" s="188"/>
    </row>
    <row r="945" spans="10:10" x14ac:dyDescent="0.3">
      <c r="J945" s="188"/>
    </row>
    <row r="946" spans="10:10" x14ac:dyDescent="0.3">
      <c r="J946" s="188"/>
    </row>
    <row r="947" spans="10:10" x14ac:dyDescent="0.3">
      <c r="J947" s="188"/>
    </row>
    <row r="948" spans="10:10" x14ac:dyDescent="0.3">
      <c r="J948" s="188"/>
    </row>
    <row r="949" spans="10:10" x14ac:dyDescent="0.3">
      <c r="J949" s="188"/>
    </row>
    <row r="950" spans="10:10" x14ac:dyDescent="0.3">
      <c r="J950" s="188"/>
    </row>
    <row r="951" spans="10:10" x14ac:dyDescent="0.3">
      <c r="J951" s="188"/>
    </row>
    <row r="952" spans="10:10" x14ac:dyDescent="0.3">
      <c r="J952" s="188"/>
    </row>
    <row r="953" spans="10:10" x14ac:dyDescent="0.3">
      <c r="J953" s="188"/>
    </row>
    <row r="954" spans="10:10" x14ac:dyDescent="0.3">
      <c r="J954" s="188"/>
    </row>
    <row r="955" spans="10:10" x14ac:dyDescent="0.3">
      <c r="J955" s="188"/>
    </row>
    <row r="956" spans="10:10" x14ac:dyDescent="0.3">
      <c r="J956" s="188"/>
    </row>
    <row r="957" spans="10:10" x14ac:dyDescent="0.3">
      <c r="J957" s="188"/>
    </row>
    <row r="958" spans="10:10" x14ac:dyDescent="0.3">
      <c r="J958" s="188"/>
    </row>
    <row r="959" spans="10:10" x14ac:dyDescent="0.3">
      <c r="J959" s="188"/>
    </row>
    <row r="960" spans="10:10" x14ac:dyDescent="0.3">
      <c r="J960" s="188"/>
    </row>
    <row r="961" spans="10:10" x14ac:dyDescent="0.3">
      <c r="J961" s="188"/>
    </row>
    <row r="962" spans="10:10" x14ac:dyDescent="0.3">
      <c r="J962" s="188"/>
    </row>
    <row r="963" spans="10:10" x14ac:dyDescent="0.3">
      <c r="J963" s="188"/>
    </row>
    <row r="964" spans="10:10" x14ac:dyDescent="0.3">
      <c r="J964" s="188"/>
    </row>
    <row r="965" spans="10:10" x14ac:dyDescent="0.3">
      <c r="J965" s="188"/>
    </row>
    <row r="966" spans="10:10" x14ac:dyDescent="0.3">
      <c r="J966" s="188"/>
    </row>
    <row r="967" spans="10:10" x14ac:dyDescent="0.3">
      <c r="J967" s="188"/>
    </row>
    <row r="968" spans="10:10" x14ac:dyDescent="0.3">
      <c r="J968" s="188"/>
    </row>
    <row r="969" spans="10:10" x14ac:dyDescent="0.3">
      <c r="J969" s="188"/>
    </row>
    <row r="970" spans="10:10" x14ac:dyDescent="0.3">
      <c r="J970" s="188"/>
    </row>
    <row r="971" spans="10:10" x14ac:dyDescent="0.3">
      <c r="J971" s="188"/>
    </row>
    <row r="972" spans="10:10" x14ac:dyDescent="0.3">
      <c r="J972" s="188"/>
    </row>
    <row r="973" spans="10:10" x14ac:dyDescent="0.3">
      <c r="J973" s="188"/>
    </row>
    <row r="974" spans="10:10" x14ac:dyDescent="0.3">
      <c r="J974" s="188"/>
    </row>
    <row r="975" spans="10:10" x14ac:dyDescent="0.3">
      <c r="J975" s="188"/>
    </row>
    <row r="976" spans="10:10" x14ac:dyDescent="0.3">
      <c r="J976" s="188"/>
    </row>
    <row r="977" spans="10:10" x14ac:dyDescent="0.3">
      <c r="J977" s="188"/>
    </row>
    <row r="978" spans="10:10" x14ac:dyDescent="0.3">
      <c r="J978" s="188"/>
    </row>
    <row r="979" spans="10:10" x14ac:dyDescent="0.3">
      <c r="J979" s="188"/>
    </row>
    <row r="980" spans="10:10" x14ac:dyDescent="0.3">
      <c r="J980" s="188"/>
    </row>
    <row r="981" spans="10:10" x14ac:dyDescent="0.3">
      <c r="J981" s="188"/>
    </row>
    <row r="982" spans="10:10" x14ac:dyDescent="0.3">
      <c r="J982" s="188"/>
    </row>
    <row r="983" spans="10:10" x14ac:dyDescent="0.3">
      <c r="J983" s="188"/>
    </row>
    <row r="984" spans="10:10" x14ac:dyDescent="0.3">
      <c r="J984" s="188"/>
    </row>
    <row r="985" spans="10:10" x14ac:dyDescent="0.3">
      <c r="J985" s="188"/>
    </row>
    <row r="986" spans="10:10" x14ac:dyDescent="0.3">
      <c r="J986" s="188"/>
    </row>
    <row r="987" spans="10:10" x14ac:dyDescent="0.3">
      <c r="J987" s="188"/>
    </row>
    <row r="988" spans="10:10" x14ac:dyDescent="0.3">
      <c r="J988" s="188"/>
    </row>
    <row r="989" spans="10:10" x14ac:dyDescent="0.3">
      <c r="J989" s="188"/>
    </row>
    <row r="990" spans="10:10" x14ac:dyDescent="0.3">
      <c r="J990" s="188"/>
    </row>
    <row r="991" spans="10:10" x14ac:dyDescent="0.3">
      <c r="J991" s="188"/>
    </row>
    <row r="992" spans="10:10" x14ac:dyDescent="0.3">
      <c r="J992" s="188"/>
    </row>
    <row r="993" spans="10:10" x14ac:dyDescent="0.3">
      <c r="J993" s="188"/>
    </row>
    <row r="994" spans="10:10" x14ac:dyDescent="0.3">
      <c r="J994" s="188"/>
    </row>
    <row r="995" spans="10:10" x14ac:dyDescent="0.3">
      <c r="J995" s="188"/>
    </row>
    <row r="996" spans="10:10" x14ac:dyDescent="0.3">
      <c r="J996" s="188"/>
    </row>
    <row r="997" spans="10:10" x14ac:dyDescent="0.3">
      <c r="J997" s="188"/>
    </row>
    <row r="998" spans="10:10" x14ac:dyDescent="0.3">
      <c r="J998" s="188"/>
    </row>
    <row r="999" spans="10:10" x14ac:dyDescent="0.3">
      <c r="J999" s="188"/>
    </row>
    <row r="1000" spans="10:10" x14ac:dyDescent="0.3">
      <c r="J1000" s="188"/>
    </row>
    <row r="1001" spans="10:10" x14ac:dyDescent="0.3">
      <c r="J1001" s="188"/>
    </row>
    <row r="1002" spans="10:10" x14ac:dyDescent="0.3">
      <c r="J1002" s="188"/>
    </row>
    <row r="1003" spans="10:10" x14ac:dyDescent="0.3">
      <c r="J1003" s="188"/>
    </row>
    <row r="1004" spans="10:10" x14ac:dyDescent="0.3">
      <c r="J1004" s="188"/>
    </row>
    <row r="1005" spans="10:10" x14ac:dyDescent="0.3">
      <c r="J1005" s="188"/>
    </row>
    <row r="1006" spans="10:10" x14ac:dyDescent="0.3">
      <c r="J1006" s="188"/>
    </row>
    <row r="1007" spans="10:10" x14ac:dyDescent="0.3">
      <c r="J1007" s="188"/>
    </row>
    <row r="1008" spans="10:10" x14ac:dyDescent="0.3">
      <c r="J1008" s="188"/>
    </row>
    <row r="1009" spans="10:10" x14ac:dyDescent="0.3">
      <c r="J1009" s="188"/>
    </row>
    <row r="1010" spans="10:10" x14ac:dyDescent="0.3">
      <c r="J1010" s="188"/>
    </row>
    <row r="1011" spans="10:10" x14ac:dyDescent="0.3">
      <c r="J1011" s="188"/>
    </row>
    <row r="1012" spans="10:10" x14ac:dyDescent="0.3">
      <c r="J1012" s="188"/>
    </row>
    <row r="1013" spans="10:10" x14ac:dyDescent="0.3">
      <c r="J1013" s="188"/>
    </row>
    <row r="1014" spans="10:10" x14ac:dyDescent="0.3">
      <c r="J1014" s="188"/>
    </row>
    <row r="1015" spans="10:10" x14ac:dyDescent="0.3">
      <c r="J1015" s="188"/>
    </row>
    <row r="1016" spans="10:10" x14ac:dyDescent="0.3">
      <c r="J1016" s="188"/>
    </row>
    <row r="1017" spans="10:10" x14ac:dyDescent="0.3">
      <c r="J1017" s="188"/>
    </row>
    <row r="1018" spans="10:10" x14ac:dyDescent="0.3">
      <c r="J1018" s="188"/>
    </row>
    <row r="1019" spans="10:10" x14ac:dyDescent="0.3">
      <c r="J1019" s="188"/>
    </row>
    <row r="1020" spans="10:10" x14ac:dyDescent="0.3">
      <c r="J1020" s="188"/>
    </row>
    <row r="1021" spans="10:10" x14ac:dyDescent="0.3">
      <c r="J1021" s="188"/>
    </row>
    <row r="1022" spans="10:10" x14ac:dyDescent="0.3">
      <c r="J1022" s="188"/>
    </row>
    <row r="1023" spans="10:10" x14ac:dyDescent="0.3">
      <c r="J1023" s="188"/>
    </row>
    <row r="1024" spans="10:10" x14ac:dyDescent="0.3">
      <c r="J1024" s="188"/>
    </row>
    <row r="1025" spans="10:10" x14ac:dyDescent="0.3">
      <c r="J1025" s="188"/>
    </row>
    <row r="1026" spans="10:10" x14ac:dyDescent="0.3">
      <c r="J1026" s="188"/>
    </row>
    <row r="1027" spans="10:10" x14ac:dyDescent="0.3">
      <c r="J1027" s="188"/>
    </row>
    <row r="1028" spans="10:10" x14ac:dyDescent="0.3">
      <c r="J1028" s="188"/>
    </row>
    <row r="1029" spans="10:10" x14ac:dyDescent="0.3">
      <c r="J1029" s="188"/>
    </row>
    <row r="1030" spans="10:10" x14ac:dyDescent="0.3">
      <c r="J1030" s="188"/>
    </row>
    <row r="1031" spans="10:10" x14ac:dyDescent="0.3">
      <c r="J1031" s="188"/>
    </row>
    <row r="1032" spans="10:10" x14ac:dyDescent="0.3">
      <c r="J1032" s="188"/>
    </row>
    <row r="1033" spans="10:10" x14ac:dyDescent="0.3">
      <c r="J1033" s="188"/>
    </row>
    <row r="1034" spans="10:10" x14ac:dyDescent="0.3">
      <c r="J1034" s="188"/>
    </row>
    <row r="1035" spans="10:10" x14ac:dyDescent="0.3">
      <c r="J1035" s="188"/>
    </row>
    <row r="1036" spans="10:10" x14ac:dyDescent="0.3">
      <c r="J1036" s="188"/>
    </row>
    <row r="1037" spans="10:10" x14ac:dyDescent="0.3">
      <c r="J1037" s="188"/>
    </row>
    <row r="1038" spans="10:10" x14ac:dyDescent="0.3">
      <c r="J1038" s="188"/>
    </row>
    <row r="1039" spans="10:10" x14ac:dyDescent="0.3">
      <c r="J1039" s="188"/>
    </row>
    <row r="1040" spans="10:10" x14ac:dyDescent="0.3">
      <c r="J1040" s="188"/>
    </row>
    <row r="1041" spans="10:10" x14ac:dyDescent="0.3">
      <c r="J1041" s="188"/>
    </row>
    <row r="1042" spans="10:10" x14ac:dyDescent="0.3">
      <c r="J1042" s="188"/>
    </row>
    <row r="1043" spans="10:10" x14ac:dyDescent="0.3">
      <c r="J1043" s="188"/>
    </row>
    <row r="1044" spans="10:10" x14ac:dyDescent="0.3">
      <c r="J1044" s="188"/>
    </row>
    <row r="1045" spans="10:10" x14ac:dyDescent="0.3">
      <c r="J1045" s="188"/>
    </row>
    <row r="1046" spans="10:10" x14ac:dyDescent="0.3">
      <c r="J1046" s="188"/>
    </row>
    <row r="1047" spans="10:10" x14ac:dyDescent="0.3">
      <c r="J1047" s="188"/>
    </row>
    <row r="1048" spans="10:10" x14ac:dyDescent="0.3">
      <c r="J1048" s="188"/>
    </row>
    <row r="1049" spans="10:10" x14ac:dyDescent="0.3">
      <c r="J1049" s="188"/>
    </row>
    <row r="1050" spans="10:10" x14ac:dyDescent="0.3">
      <c r="J1050" s="188"/>
    </row>
    <row r="1051" spans="10:10" x14ac:dyDescent="0.3">
      <c r="J1051" s="188"/>
    </row>
    <row r="1052" spans="10:10" x14ac:dyDescent="0.3">
      <c r="J1052" s="188"/>
    </row>
    <row r="1053" spans="10:10" x14ac:dyDescent="0.3">
      <c r="J1053" s="188"/>
    </row>
    <row r="1054" spans="10:10" x14ac:dyDescent="0.3">
      <c r="J1054" s="188"/>
    </row>
    <row r="1055" spans="10:10" x14ac:dyDescent="0.3">
      <c r="J1055" s="188"/>
    </row>
    <row r="1056" spans="10:10" x14ac:dyDescent="0.3">
      <c r="J1056" s="188"/>
    </row>
    <row r="1057" spans="10:10" x14ac:dyDescent="0.3">
      <c r="J1057" s="188"/>
    </row>
    <row r="1058" spans="10:10" x14ac:dyDescent="0.3">
      <c r="J1058" s="188"/>
    </row>
    <row r="1059" spans="10:10" x14ac:dyDescent="0.3">
      <c r="J1059" s="188"/>
    </row>
    <row r="1060" spans="10:10" x14ac:dyDescent="0.3">
      <c r="J1060" s="188"/>
    </row>
    <row r="1061" spans="10:10" x14ac:dyDescent="0.3">
      <c r="J1061" s="188"/>
    </row>
    <row r="1062" spans="10:10" x14ac:dyDescent="0.3">
      <c r="J1062" s="188"/>
    </row>
    <row r="1063" spans="10:10" x14ac:dyDescent="0.3">
      <c r="J1063" s="188"/>
    </row>
    <row r="1064" spans="10:10" x14ac:dyDescent="0.3">
      <c r="J1064" s="188"/>
    </row>
    <row r="1065" spans="10:10" x14ac:dyDescent="0.3">
      <c r="J1065" s="188"/>
    </row>
    <row r="1066" spans="10:10" x14ac:dyDescent="0.3">
      <c r="J1066" s="188"/>
    </row>
    <row r="1067" spans="10:10" x14ac:dyDescent="0.3">
      <c r="J1067" s="188"/>
    </row>
    <row r="1068" spans="10:10" x14ac:dyDescent="0.3">
      <c r="J1068" s="188"/>
    </row>
    <row r="1069" spans="10:10" x14ac:dyDescent="0.3">
      <c r="J1069" s="188"/>
    </row>
    <row r="1070" spans="10:10" x14ac:dyDescent="0.3">
      <c r="J1070" s="188"/>
    </row>
    <row r="1071" spans="10:10" x14ac:dyDescent="0.3">
      <c r="J1071" s="188"/>
    </row>
    <row r="1072" spans="10:10" x14ac:dyDescent="0.3">
      <c r="J1072" s="188"/>
    </row>
    <row r="1073" spans="10:10" x14ac:dyDescent="0.3">
      <c r="J1073" s="188"/>
    </row>
    <row r="1074" spans="10:10" x14ac:dyDescent="0.3">
      <c r="J1074" s="188"/>
    </row>
    <row r="1075" spans="10:10" x14ac:dyDescent="0.3">
      <c r="J1075" s="188"/>
    </row>
    <row r="1076" spans="10:10" x14ac:dyDescent="0.3">
      <c r="J1076" s="188"/>
    </row>
    <row r="1077" spans="10:10" x14ac:dyDescent="0.3">
      <c r="J1077" s="188"/>
    </row>
    <row r="1078" spans="10:10" x14ac:dyDescent="0.3">
      <c r="J1078" s="188"/>
    </row>
    <row r="1079" spans="10:10" x14ac:dyDescent="0.3">
      <c r="J1079" s="188"/>
    </row>
    <row r="1080" spans="10:10" x14ac:dyDescent="0.3">
      <c r="J1080" s="188"/>
    </row>
    <row r="1081" spans="10:10" x14ac:dyDescent="0.3">
      <c r="J1081" s="188"/>
    </row>
    <row r="1082" spans="10:10" x14ac:dyDescent="0.3">
      <c r="J1082" s="188"/>
    </row>
    <row r="1083" spans="10:10" x14ac:dyDescent="0.3">
      <c r="J1083" s="188"/>
    </row>
    <row r="1084" spans="10:10" x14ac:dyDescent="0.3">
      <c r="J1084" s="188"/>
    </row>
    <row r="1085" spans="10:10" x14ac:dyDescent="0.3">
      <c r="J1085" s="188"/>
    </row>
    <row r="1086" spans="10:10" x14ac:dyDescent="0.3">
      <c r="J1086" s="188"/>
    </row>
    <row r="1087" spans="10:10" x14ac:dyDescent="0.3">
      <c r="J1087" s="188"/>
    </row>
    <row r="1088" spans="10:10" x14ac:dyDescent="0.3">
      <c r="J1088" s="188"/>
    </row>
    <row r="1089" spans="10:10" x14ac:dyDescent="0.3">
      <c r="J1089" s="188"/>
    </row>
    <row r="1090" spans="10:10" x14ac:dyDescent="0.3">
      <c r="J1090" s="188"/>
    </row>
    <row r="1091" spans="10:10" x14ac:dyDescent="0.3">
      <c r="J1091" s="188"/>
    </row>
    <row r="1092" spans="10:10" x14ac:dyDescent="0.3">
      <c r="J1092" s="188"/>
    </row>
    <row r="1093" spans="10:10" x14ac:dyDescent="0.3">
      <c r="J1093" s="188"/>
    </row>
    <row r="1094" spans="10:10" x14ac:dyDescent="0.3">
      <c r="J1094" s="188"/>
    </row>
    <row r="1095" spans="10:10" x14ac:dyDescent="0.3">
      <c r="J1095" s="188"/>
    </row>
    <row r="1096" spans="10:10" x14ac:dyDescent="0.3">
      <c r="J1096" s="188"/>
    </row>
    <row r="1097" spans="10:10" x14ac:dyDescent="0.3">
      <c r="J1097" s="188"/>
    </row>
    <row r="1098" spans="10:10" x14ac:dyDescent="0.3">
      <c r="J1098" s="188"/>
    </row>
    <row r="1099" spans="10:10" x14ac:dyDescent="0.3">
      <c r="J1099" s="188"/>
    </row>
    <row r="1100" spans="10:10" x14ac:dyDescent="0.3">
      <c r="J1100" s="188"/>
    </row>
    <row r="1101" spans="10:10" x14ac:dyDescent="0.3">
      <c r="J1101" s="188"/>
    </row>
    <row r="1102" spans="10:10" x14ac:dyDescent="0.3">
      <c r="J1102" s="188"/>
    </row>
    <row r="1103" spans="10:10" x14ac:dyDescent="0.3">
      <c r="J1103" s="188"/>
    </row>
    <row r="1104" spans="10:10" x14ac:dyDescent="0.3">
      <c r="J1104" s="188"/>
    </row>
    <row r="1105" spans="10:10" x14ac:dyDescent="0.3">
      <c r="J1105" s="188"/>
    </row>
    <row r="1106" spans="10:10" x14ac:dyDescent="0.3">
      <c r="J1106" s="188"/>
    </row>
    <row r="1107" spans="10:10" x14ac:dyDescent="0.3">
      <c r="J1107" s="188"/>
    </row>
    <row r="1108" spans="10:10" x14ac:dyDescent="0.3">
      <c r="J1108" s="188"/>
    </row>
    <row r="1109" spans="10:10" x14ac:dyDescent="0.3">
      <c r="J1109" s="188"/>
    </row>
    <row r="1110" spans="10:10" x14ac:dyDescent="0.3">
      <c r="J1110" s="188"/>
    </row>
    <row r="1111" spans="10:10" x14ac:dyDescent="0.3">
      <c r="J1111" s="188"/>
    </row>
    <row r="1112" spans="10:10" x14ac:dyDescent="0.3">
      <c r="J1112" s="188"/>
    </row>
    <row r="1113" spans="10:10" x14ac:dyDescent="0.3">
      <c r="J1113" s="188"/>
    </row>
    <row r="1114" spans="10:10" x14ac:dyDescent="0.3">
      <c r="J1114" s="188"/>
    </row>
    <row r="1115" spans="10:10" x14ac:dyDescent="0.3">
      <c r="J1115" s="188"/>
    </row>
    <row r="1116" spans="10:10" x14ac:dyDescent="0.3">
      <c r="J1116" s="188"/>
    </row>
    <row r="1117" spans="10:10" x14ac:dyDescent="0.3">
      <c r="J1117" s="188"/>
    </row>
    <row r="1118" spans="10:10" x14ac:dyDescent="0.3">
      <c r="J1118" s="188"/>
    </row>
    <row r="1119" spans="10:10" x14ac:dyDescent="0.3">
      <c r="J1119" s="188"/>
    </row>
    <row r="1120" spans="10:10" x14ac:dyDescent="0.3">
      <c r="J1120" s="188"/>
    </row>
    <row r="1121" spans="10:10" x14ac:dyDescent="0.3">
      <c r="J1121" s="188"/>
    </row>
    <row r="1122" spans="10:10" x14ac:dyDescent="0.3">
      <c r="J1122" s="188"/>
    </row>
    <row r="1123" spans="10:10" x14ac:dyDescent="0.3">
      <c r="J1123" s="188"/>
    </row>
    <row r="1124" spans="10:10" x14ac:dyDescent="0.3">
      <c r="J1124" s="188"/>
    </row>
    <row r="1125" spans="10:10" x14ac:dyDescent="0.3">
      <c r="J1125" s="188"/>
    </row>
    <row r="1126" spans="10:10" x14ac:dyDescent="0.3">
      <c r="J1126" s="188"/>
    </row>
    <row r="1127" spans="10:10" x14ac:dyDescent="0.3">
      <c r="J1127" s="188"/>
    </row>
    <row r="1128" spans="10:10" x14ac:dyDescent="0.3">
      <c r="J1128" s="188"/>
    </row>
    <row r="1129" spans="10:10" x14ac:dyDescent="0.3">
      <c r="J1129" s="188"/>
    </row>
    <row r="1130" spans="10:10" x14ac:dyDescent="0.3">
      <c r="J1130" s="188"/>
    </row>
    <row r="1131" spans="10:10" x14ac:dyDescent="0.3">
      <c r="J1131" s="188"/>
    </row>
    <row r="1132" spans="10:10" x14ac:dyDescent="0.3">
      <c r="J1132" s="188"/>
    </row>
    <row r="1133" spans="10:10" x14ac:dyDescent="0.3">
      <c r="J1133" s="188"/>
    </row>
    <row r="1134" spans="10:10" x14ac:dyDescent="0.3">
      <c r="J1134" s="188"/>
    </row>
    <row r="1135" spans="10:10" x14ac:dyDescent="0.3">
      <c r="J1135" s="188"/>
    </row>
    <row r="1136" spans="10:10" x14ac:dyDescent="0.3">
      <c r="J1136" s="188"/>
    </row>
    <row r="1137" spans="10:10" x14ac:dyDescent="0.3">
      <c r="J1137" s="188"/>
    </row>
    <row r="1138" spans="10:10" x14ac:dyDescent="0.3">
      <c r="J1138" s="188"/>
    </row>
    <row r="1139" spans="10:10" x14ac:dyDescent="0.3">
      <c r="J1139" s="188"/>
    </row>
    <row r="1140" spans="10:10" x14ac:dyDescent="0.3">
      <c r="J1140" s="188"/>
    </row>
    <row r="1141" spans="10:10" x14ac:dyDescent="0.3">
      <c r="J1141" s="188"/>
    </row>
    <row r="1142" spans="10:10" x14ac:dyDescent="0.3">
      <c r="J1142" s="188"/>
    </row>
    <row r="1143" spans="10:10" x14ac:dyDescent="0.3">
      <c r="J1143" s="188"/>
    </row>
    <row r="1144" spans="10:10" x14ac:dyDescent="0.3">
      <c r="J1144" s="188"/>
    </row>
    <row r="1145" spans="10:10" x14ac:dyDescent="0.3">
      <c r="J1145" s="188"/>
    </row>
    <row r="1146" spans="10:10" x14ac:dyDescent="0.3">
      <c r="J1146" s="188"/>
    </row>
    <row r="1147" spans="10:10" x14ac:dyDescent="0.3">
      <c r="J1147" s="188"/>
    </row>
    <row r="1148" spans="10:10" x14ac:dyDescent="0.3">
      <c r="J1148" s="188"/>
    </row>
    <row r="1149" spans="10:10" x14ac:dyDescent="0.3">
      <c r="J1149" s="188"/>
    </row>
    <row r="1150" spans="10:10" x14ac:dyDescent="0.3">
      <c r="J1150" s="188"/>
    </row>
    <row r="1151" spans="10:10" x14ac:dyDescent="0.3">
      <c r="J1151" s="188"/>
    </row>
    <row r="1152" spans="10:10" x14ac:dyDescent="0.3">
      <c r="J1152" s="188"/>
    </row>
    <row r="1153" spans="10:10" x14ac:dyDescent="0.3">
      <c r="J1153" s="188"/>
    </row>
    <row r="1154" spans="10:10" x14ac:dyDescent="0.3">
      <c r="J1154" s="188"/>
    </row>
    <row r="1155" spans="10:10" x14ac:dyDescent="0.3">
      <c r="J1155" s="188"/>
    </row>
    <row r="1156" spans="10:10" x14ac:dyDescent="0.3">
      <c r="J1156" s="188"/>
    </row>
    <row r="1157" spans="10:10" x14ac:dyDescent="0.3">
      <c r="J1157" s="188"/>
    </row>
    <row r="1158" spans="10:10" x14ac:dyDescent="0.3">
      <c r="J1158" s="188"/>
    </row>
    <row r="1159" spans="10:10" x14ac:dyDescent="0.3">
      <c r="J1159" s="188"/>
    </row>
    <row r="1160" spans="10:10" x14ac:dyDescent="0.3">
      <c r="J1160" s="188"/>
    </row>
    <row r="1161" spans="10:10" x14ac:dyDescent="0.3">
      <c r="J1161" s="188"/>
    </row>
    <row r="1162" spans="10:10" x14ac:dyDescent="0.3">
      <c r="J1162" s="188"/>
    </row>
    <row r="1163" spans="10:10" x14ac:dyDescent="0.3">
      <c r="J1163" s="188"/>
    </row>
    <row r="1164" spans="10:10" x14ac:dyDescent="0.3">
      <c r="J1164" s="188"/>
    </row>
    <row r="1165" spans="10:10" x14ac:dyDescent="0.3">
      <c r="J1165" s="188"/>
    </row>
    <row r="1166" spans="10:10" x14ac:dyDescent="0.3">
      <c r="J1166" s="188"/>
    </row>
    <row r="1167" spans="10:10" x14ac:dyDescent="0.3">
      <c r="J1167" s="188"/>
    </row>
    <row r="1168" spans="10:10" x14ac:dyDescent="0.3">
      <c r="J1168" s="188"/>
    </row>
    <row r="1169" spans="10:10" x14ac:dyDescent="0.3">
      <c r="J1169" s="188"/>
    </row>
    <row r="1170" spans="10:10" x14ac:dyDescent="0.3">
      <c r="J1170" s="188"/>
    </row>
    <row r="1171" spans="10:10" x14ac:dyDescent="0.3">
      <c r="J1171" s="188"/>
    </row>
    <row r="1172" spans="10:10" x14ac:dyDescent="0.3">
      <c r="J1172" s="188"/>
    </row>
    <row r="1173" spans="10:10" x14ac:dyDescent="0.3">
      <c r="J1173" s="188"/>
    </row>
    <row r="1174" spans="10:10" x14ac:dyDescent="0.3">
      <c r="J1174" s="188"/>
    </row>
    <row r="1175" spans="10:10" x14ac:dyDescent="0.3">
      <c r="J1175" s="188"/>
    </row>
    <row r="1176" spans="10:10" x14ac:dyDescent="0.3">
      <c r="J1176" s="188"/>
    </row>
    <row r="1177" spans="10:10" x14ac:dyDescent="0.3">
      <c r="J1177" s="188"/>
    </row>
    <row r="1178" spans="10:10" x14ac:dyDescent="0.3">
      <c r="J1178" s="188"/>
    </row>
    <row r="1179" spans="10:10" x14ac:dyDescent="0.3">
      <c r="J1179" s="188"/>
    </row>
    <row r="1180" spans="10:10" x14ac:dyDescent="0.3">
      <c r="J1180" s="188"/>
    </row>
    <row r="1181" spans="10:10" x14ac:dyDescent="0.3">
      <c r="J1181" s="188"/>
    </row>
    <row r="1182" spans="10:10" x14ac:dyDescent="0.3">
      <c r="J1182" s="188"/>
    </row>
    <row r="1183" spans="10:10" x14ac:dyDescent="0.3">
      <c r="J1183" s="188"/>
    </row>
    <row r="1184" spans="10:10" x14ac:dyDescent="0.3">
      <c r="J1184" s="188"/>
    </row>
    <row r="1185" spans="10:10" x14ac:dyDescent="0.3">
      <c r="J1185" s="188"/>
    </row>
    <row r="1186" spans="10:10" x14ac:dyDescent="0.3">
      <c r="J1186" s="188"/>
    </row>
    <row r="1187" spans="10:10" x14ac:dyDescent="0.3">
      <c r="J1187" s="188"/>
    </row>
    <row r="1188" spans="10:10" x14ac:dyDescent="0.3">
      <c r="J1188" s="188"/>
    </row>
    <row r="1189" spans="10:10" x14ac:dyDescent="0.3">
      <c r="J1189" s="188"/>
    </row>
    <row r="1190" spans="10:10" x14ac:dyDescent="0.3">
      <c r="J1190" s="188"/>
    </row>
    <row r="1191" spans="10:10" x14ac:dyDescent="0.3">
      <c r="J1191" s="188"/>
    </row>
    <row r="1192" spans="10:10" x14ac:dyDescent="0.3">
      <c r="J1192" s="188"/>
    </row>
    <row r="1193" spans="10:10" x14ac:dyDescent="0.3">
      <c r="J1193" s="188"/>
    </row>
    <row r="1194" spans="10:10" x14ac:dyDescent="0.3">
      <c r="J1194" s="188"/>
    </row>
    <row r="1195" spans="10:10" x14ac:dyDescent="0.3">
      <c r="J1195" s="188"/>
    </row>
    <row r="1196" spans="10:10" x14ac:dyDescent="0.3">
      <c r="J1196" s="188"/>
    </row>
    <row r="1197" spans="10:10" x14ac:dyDescent="0.3">
      <c r="J1197" s="188"/>
    </row>
    <row r="1198" spans="10:10" x14ac:dyDescent="0.3">
      <c r="J1198" s="188"/>
    </row>
    <row r="1199" spans="10:10" x14ac:dyDescent="0.3">
      <c r="J1199" s="188"/>
    </row>
    <row r="1200" spans="10:10" x14ac:dyDescent="0.3">
      <c r="J1200" s="188"/>
    </row>
    <row r="1201" spans="10:10" x14ac:dyDescent="0.3">
      <c r="J1201" s="188"/>
    </row>
    <row r="1202" spans="10:10" x14ac:dyDescent="0.3">
      <c r="J1202" s="188"/>
    </row>
    <row r="1203" spans="10:10" x14ac:dyDescent="0.3">
      <c r="J1203" s="188"/>
    </row>
    <row r="1204" spans="10:10" x14ac:dyDescent="0.3">
      <c r="J1204" s="188"/>
    </row>
    <row r="1205" spans="10:10" x14ac:dyDescent="0.3">
      <c r="J1205" s="188"/>
    </row>
    <row r="1206" spans="10:10" x14ac:dyDescent="0.3">
      <c r="J1206" s="188"/>
    </row>
    <row r="1207" spans="10:10" x14ac:dyDescent="0.3">
      <c r="J1207" s="188"/>
    </row>
    <row r="1208" spans="10:10" x14ac:dyDescent="0.3">
      <c r="J1208" s="188"/>
    </row>
    <row r="1209" spans="10:10" x14ac:dyDescent="0.3">
      <c r="J1209" s="188"/>
    </row>
    <row r="1210" spans="10:10" x14ac:dyDescent="0.3">
      <c r="J1210" s="188"/>
    </row>
    <row r="1211" spans="10:10" x14ac:dyDescent="0.3">
      <c r="J1211" s="188"/>
    </row>
    <row r="1212" spans="10:10" x14ac:dyDescent="0.3">
      <c r="J1212" s="188"/>
    </row>
    <row r="1213" spans="10:10" x14ac:dyDescent="0.3">
      <c r="J1213" s="188"/>
    </row>
    <row r="1214" spans="10:10" x14ac:dyDescent="0.3">
      <c r="J1214" s="188"/>
    </row>
    <row r="1215" spans="10:10" x14ac:dyDescent="0.3">
      <c r="J1215" s="188"/>
    </row>
    <row r="1216" spans="10:10" x14ac:dyDescent="0.3">
      <c r="J1216" s="188"/>
    </row>
    <row r="1217" spans="10:10" x14ac:dyDescent="0.3">
      <c r="J1217" s="188"/>
    </row>
    <row r="1218" spans="10:10" x14ac:dyDescent="0.3">
      <c r="J1218" s="188"/>
    </row>
    <row r="1219" spans="10:10" x14ac:dyDescent="0.3">
      <c r="J1219" s="188"/>
    </row>
    <row r="1220" spans="10:10" x14ac:dyDescent="0.3">
      <c r="J1220" s="188"/>
    </row>
    <row r="1221" spans="10:10" x14ac:dyDescent="0.3">
      <c r="J1221" s="188"/>
    </row>
    <row r="1222" spans="10:10" x14ac:dyDescent="0.3">
      <c r="J1222" s="188"/>
    </row>
    <row r="1223" spans="10:10" x14ac:dyDescent="0.3">
      <c r="J1223" s="188"/>
    </row>
    <row r="1224" spans="10:10" x14ac:dyDescent="0.3">
      <c r="J1224" s="188"/>
    </row>
    <row r="1225" spans="10:10" x14ac:dyDescent="0.3">
      <c r="J1225" s="188"/>
    </row>
    <row r="1226" spans="10:10" x14ac:dyDescent="0.3">
      <c r="J1226" s="188"/>
    </row>
    <row r="1227" spans="10:10" x14ac:dyDescent="0.3">
      <c r="J1227" s="188"/>
    </row>
    <row r="1228" spans="10:10" x14ac:dyDescent="0.3">
      <c r="J1228" s="188"/>
    </row>
    <row r="1229" spans="10:10" x14ac:dyDescent="0.3">
      <c r="J1229" s="188"/>
    </row>
    <row r="1230" spans="10:10" x14ac:dyDescent="0.3">
      <c r="J1230" s="188"/>
    </row>
    <row r="1231" spans="10:10" x14ac:dyDescent="0.3">
      <c r="J1231" s="188"/>
    </row>
    <row r="1232" spans="10:10" x14ac:dyDescent="0.3">
      <c r="J1232" s="188"/>
    </row>
    <row r="1233" spans="10:10" x14ac:dyDescent="0.3">
      <c r="J1233" s="188"/>
    </row>
    <row r="1234" spans="10:10" x14ac:dyDescent="0.3">
      <c r="J1234" s="188"/>
    </row>
    <row r="1235" spans="10:10" x14ac:dyDescent="0.3">
      <c r="J1235" s="188"/>
    </row>
    <row r="1236" spans="10:10" x14ac:dyDescent="0.3">
      <c r="J1236" s="188"/>
    </row>
    <row r="1237" spans="10:10" x14ac:dyDescent="0.3">
      <c r="J1237" s="188"/>
    </row>
    <row r="1238" spans="10:10" x14ac:dyDescent="0.3">
      <c r="J1238" s="188"/>
    </row>
    <row r="1239" spans="10:10" x14ac:dyDescent="0.3">
      <c r="J1239" s="188"/>
    </row>
    <row r="1240" spans="10:10" x14ac:dyDescent="0.3">
      <c r="J1240" s="188"/>
    </row>
    <row r="1241" spans="10:10" x14ac:dyDescent="0.3">
      <c r="J1241" s="188"/>
    </row>
    <row r="1242" spans="10:10" x14ac:dyDescent="0.3">
      <c r="J1242" s="188"/>
    </row>
    <row r="1243" spans="10:10" x14ac:dyDescent="0.3">
      <c r="J1243" s="188"/>
    </row>
    <row r="1244" spans="10:10" x14ac:dyDescent="0.3">
      <c r="J1244" s="188"/>
    </row>
    <row r="1245" spans="10:10" x14ac:dyDescent="0.3">
      <c r="J1245" s="188"/>
    </row>
    <row r="1246" spans="10:10" x14ac:dyDescent="0.3">
      <c r="J1246" s="188"/>
    </row>
    <row r="1247" spans="10:10" x14ac:dyDescent="0.3">
      <c r="J1247" s="188"/>
    </row>
    <row r="1248" spans="10:10" x14ac:dyDescent="0.3">
      <c r="J1248" s="188"/>
    </row>
    <row r="1249" spans="10:10" x14ac:dyDescent="0.3">
      <c r="J1249" s="188"/>
    </row>
    <row r="1250" spans="10:10" x14ac:dyDescent="0.3">
      <c r="J1250" s="188"/>
    </row>
    <row r="1251" spans="10:10" x14ac:dyDescent="0.3">
      <c r="J1251" s="188"/>
    </row>
    <row r="1252" spans="10:10" x14ac:dyDescent="0.3">
      <c r="J1252" s="188"/>
    </row>
    <row r="1253" spans="10:10" x14ac:dyDescent="0.3">
      <c r="J1253" s="188"/>
    </row>
    <row r="1254" spans="10:10" x14ac:dyDescent="0.3">
      <c r="J1254" s="188"/>
    </row>
    <row r="1255" spans="10:10" x14ac:dyDescent="0.3">
      <c r="J1255" s="188"/>
    </row>
    <row r="1256" spans="10:10" x14ac:dyDescent="0.3">
      <c r="J1256" s="188"/>
    </row>
    <row r="1257" spans="10:10" x14ac:dyDescent="0.3">
      <c r="J1257" s="188"/>
    </row>
    <row r="1258" spans="10:10" x14ac:dyDescent="0.3">
      <c r="J1258" s="188"/>
    </row>
    <row r="1259" spans="10:10" x14ac:dyDescent="0.3">
      <c r="J1259" s="188"/>
    </row>
    <row r="1260" spans="10:10" x14ac:dyDescent="0.3">
      <c r="J1260" s="188"/>
    </row>
    <row r="1261" spans="10:10" x14ac:dyDescent="0.3">
      <c r="J1261" s="188"/>
    </row>
    <row r="1262" spans="10:10" x14ac:dyDescent="0.3">
      <c r="J1262" s="188"/>
    </row>
    <row r="1263" spans="10:10" x14ac:dyDescent="0.3">
      <c r="J1263" s="188"/>
    </row>
    <row r="1264" spans="10:10" x14ac:dyDescent="0.3">
      <c r="J1264" s="188"/>
    </row>
    <row r="1265" spans="10:10" x14ac:dyDescent="0.3">
      <c r="J1265" s="188"/>
    </row>
    <row r="1266" spans="10:10" x14ac:dyDescent="0.3">
      <c r="J1266" s="188"/>
    </row>
    <row r="1267" spans="10:10" x14ac:dyDescent="0.3">
      <c r="J1267" s="188"/>
    </row>
    <row r="1268" spans="10:10" x14ac:dyDescent="0.3">
      <c r="J1268" s="188"/>
    </row>
    <row r="1269" spans="10:10" x14ac:dyDescent="0.3">
      <c r="J1269" s="188"/>
    </row>
    <row r="1270" spans="10:10" x14ac:dyDescent="0.3">
      <c r="J1270" s="188"/>
    </row>
    <row r="1271" spans="10:10" x14ac:dyDescent="0.3">
      <c r="J1271" s="188"/>
    </row>
    <row r="1272" spans="10:10" x14ac:dyDescent="0.3">
      <c r="J1272" s="188"/>
    </row>
    <row r="1273" spans="10:10" x14ac:dyDescent="0.3">
      <c r="J1273" s="188"/>
    </row>
    <row r="1274" spans="10:10" x14ac:dyDescent="0.3">
      <c r="J1274" s="188"/>
    </row>
    <row r="1275" spans="10:10" x14ac:dyDescent="0.3">
      <c r="J1275" s="188"/>
    </row>
    <row r="1276" spans="10:10" x14ac:dyDescent="0.3">
      <c r="J1276" s="188"/>
    </row>
    <row r="1277" spans="10:10" x14ac:dyDescent="0.3">
      <c r="J1277" s="188"/>
    </row>
    <row r="1278" spans="10:10" x14ac:dyDescent="0.3">
      <c r="J1278" s="188"/>
    </row>
    <row r="1279" spans="10:10" x14ac:dyDescent="0.3">
      <c r="J1279" s="188"/>
    </row>
    <row r="1280" spans="10:10" x14ac:dyDescent="0.3">
      <c r="J1280" s="188"/>
    </row>
    <row r="1281" spans="10:10" x14ac:dyDescent="0.3">
      <c r="J1281" s="188"/>
    </row>
    <row r="1282" spans="10:10" x14ac:dyDescent="0.3">
      <c r="J1282" s="188"/>
    </row>
    <row r="1283" spans="10:10" x14ac:dyDescent="0.3">
      <c r="J1283" s="188"/>
    </row>
    <row r="1284" spans="10:10" x14ac:dyDescent="0.3">
      <c r="J1284" s="188"/>
    </row>
    <row r="1285" spans="10:10" x14ac:dyDescent="0.3">
      <c r="J1285" s="188"/>
    </row>
    <row r="1286" spans="10:10" x14ac:dyDescent="0.3">
      <c r="J1286" s="188"/>
    </row>
    <row r="1287" spans="10:10" x14ac:dyDescent="0.3">
      <c r="J1287" s="188"/>
    </row>
    <row r="1288" spans="10:10" x14ac:dyDescent="0.3">
      <c r="J1288" s="188"/>
    </row>
    <row r="1289" spans="10:10" x14ac:dyDescent="0.3">
      <c r="J1289" s="188"/>
    </row>
    <row r="1290" spans="10:10" x14ac:dyDescent="0.3">
      <c r="J1290" s="188"/>
    </row>
    <row r="1291" spans="10:10" x14ac:dyDescent="0.3">
      <c r="J1291" s="188"/>
    </row>
    <row r="1292" spans="10:10" x14ac:dyDescent="0.3">
      <c r="J1292" s="188"/>
    </row>
    <row r="1293" spans="10:10" x14ac:dyDescent="0.3">
      <c r="J1293" s="188"/>
    </row>
    <row r="1294" spans="10:10" x14ac:dyDescent="0.3">
      <c r="J1294" s="188"/>
    </row>
    <row r="1295" spans="10:10" x14ac:dyDescent="0.3">
      <c r="J1295" s="188"/>
    </row>
    <row r="1296" spans="10:10" x14ac:dyDescent="0.3">
      <c r="J1296" s="188"/>
    </row>
    <row r="1297" spans="10:10" x14ac:dyDescent="0.3">
      <c r="J1297" s="188"/>
    </row>
    <row r="1298" spans="10:10" x14ac:dyDescent="0.3">
      <c r="J1298" s="188"/>
    </row>
    <row r="1299" spans="10:10" x14ac:dyDescent="0.3">
      <c r="J1299" s="188"/>
    </row>
    <row r="1300" spans="10:10" x14ac:dyDescent="0.3">
      <c r="J1300" s="188"/>
    </row>
    <row r="1301" spans="10:10" x14ac:dyDescent="0.3">
      <c r="J1301" s="188"/>
    </row>
    <row r="1302" spans="10:10" x14ac:dyDescent="0.3">
      <c r="J1302" s="188"/>
    </row>
    <row r="1303" spans="10:10" x14ac:dyDescent="0.3">
      <c r="J1303" s="188"/>
    </row>
    <row r="1304" spans="10:10" x14ac:dyDescent="0.3">
      <c r="J1304" s="188"/>
    </row>
    <row r="1305" spans="10:10" x14ac:dyDescent="0.3">
      <c r="J1305" s="188"/>
    </row>
    <row r="1306" spans="10:10" x14ac:dyDescent="0.3">
      <c r="J1306" s="188"/>
    </row>
    <row r="1307" spans="10:10" x14ac:dyDescent="0.3">
      <c r="J1307" s="188"/>
    </row>
    <row r="1308" spans="10:10" x14ac:dyDescent="0.3">
      <c r="J1308" s="188"/>
    </row>
    <row r="1309" spans="10:10" x14ac:dyDescent="0.3">
      <c r="J1309" s="188"/>
    </row>
    <row r="1310" spans="10:10" x14ac:dyDescent="0.3">
      <c r="J1310" s="188"/>
    </row>
    <row r="1311" spans="10:10" x14ac:dyDescent="0.3">
      <c r="J1311" s="188"/>
    </row>
    <row r="1312" spans="10:10" x14ac:dyDescent="0.3">
      <c r="J1312" s="188"/>
    </row>
    <row r="1313" spans="10:10" x14ac:dyDescent="0.3">
      <c r="J1313" s="188"/>
    </row>
    <row r="1314" spans="10:10" x14ac:dyDescent="0.3">
      <c r="J1314" s="188"/>
    </row>
    <row r="1315" spans="10:10" x14ac:dyDescent="0.3">
      <c r="J1315" s="188"/>
    </row>
    <row r="1316" spans="10:10" x14ac:dyDescent="0.3">
      <c r="J1316" s="188"/>
    </row>
    <row r="1317" spans="10:10" x14ac:dyDescent="0.3">
      <c r="J1317" s="188"/>
    </row>
    <row r="1318" spans="10:10" x14ac:dyDescent="0.3">
      <c r="J1318" s="188"/>
    </row>
    <row r="1319" spans="10:10" x14ac:dyDescent="0.3">
      <c r="J1319" s="188"/>
    </row>
    <row r="1320" spans="10:10" x14ac:dyDescent="0.3">
      <c r="J1320" s="188"/>
    </row>
    <row r="1321" spans="10:10" x14ac:dyDescent="0.3">
      <c r="J1321" s="188"/>
    </row>
    <row r="1322" spans="10:10" x14ac:dyDescent="0.3">
      <c r="J1322" s="188"/>
    </row>
    <row r="1323" spans="10:10" x14ac:dyDescent="0.3">
      <c r="J1323" s="188"/>
    </row>
    <row r="1324" spans="10:10" x14ac:dyDescent="0.3">
      <c r="J1324" s="188"/>
    </row>
    <row r="1325" spans="10:10" x14ac:dyDescent="0.3">
      <c r="J1325" s="188"/>
    </row>
    <row r="1326" spans="10:10" x14ac:dyDescent="0.3">
      <c r="J1326" s="188"/>
    </row>
    <row r="1327" spans="10:10" x14ac:dyDescent="0.3">
      <c r="J1327" s="188"/>
    </row>
    <row r="1328" spans="10:10" x14ac:dyDescent="0.3">
      <c r="J1328" s="188"/>
    </row>
    <row r="1329" spans="10:10" x14ac:dyDescent="0.3">
      <c r="J1329" s="188"/>
    </row>
    <row r="1330" spans="10:10" x14ac:dyDescent="0.3">
      <c r="J1330" s="188"/>
    </row>
    <row r="1331" spans="10:10" x14ac:dyDescent="0.3">
      <c r="J1331" s="188"/>
    </row>
    <row r="1332" spans="10:10" x14ac:dyDescent="0.3">
      <c r="J1332" s="188"/>
    </row>
    <row r="1333" spans="10:10" x14ac:dyDescent="0.3">
      <c r="J1333" s="188"/>
    </row>
    <row r="1334" spans="10:10" x14ac:dyDescent="0.3">
      <c r="J1334" s="188"/>
    </row>
    <row r="1335" spans="10:10" x14ac:dyDescent="0.3">
      <c r="J1335" s="188"/>
    </row>
    <row r="1336" spans="10:10" x14ac:dyDescent="0.3">
      <c r="J1336" s="188"/>
    </row>
    <row r="1337" spans="10:10" x14ac:dyDescent="0.3">
      <c r="J1337" s="188"/>
    </row>
    <row r="1338" spans="10:10" x14ac:dyDescent="0.3">
      <c r="J1338" s="188"/>
    </row>
    <row r="1339" spans="10:10" x14ac:dyDescent="0.3">
      <c r="J1339" s="188"/>
    </row>
    <row r="1340" spans="10:10" x14ac:dyDescent="0.3">
      <c r="J1340" s="188"/>
    </row>
    <row r="1341" spans="10:10" x14ac:dyDescent="0.3">
      <c r="J1341" s="188"/>
    </row>
    <row r="1342" spans="10:10" x14ac:dyDescent="0.3">
      <c r="J1342" s="188"/>
    </row>
    <row r="1343" spans="10:10" x14ac:dyDescent="0.3">
      <c r="J1343" s="188"/>
    </row>
    <row r="1344" spans="10:10" x14ac:dyDescent="0.3">
      <c r="J1344" s="188"/>
    </row>
    <row r="1345" spans="10:10" x14ac:dyDescent="0.3">
      <c r="J1345" s="188"/>
    </row>
    <row r="1346" spans="10:10" x14ac:dyDescent="0.3">
      <c r="J1346" s="188"/>
    </row>
    <row r="1347" spans="10:10" x14ac:dyDescent="0.3">
      <c r="J1347" s="188"/>
    </row>
    <row r="1348" spans="10:10" x14ac:dyDescent="0.3">
      <c r="J1348" s="188"/>
    </row>
    <row r="1349" spans="10:10" x14ac:dyDescent="0.3">
      <c r="J1349" s="188"/>
    </row>
    <row r="1350" spans="10:10" x14ac:dyDescent="0.3">
      <c r="J1350" s="188"/>
    </row>
    <row r="1351" spans="10:10" x14ac:dyDescent="0.3">
      <c r="J1351" s="188"/>
    </row>
    <row r="1352" spans="10:10" x14ac:dyDescent="0.3">
      <c r="J1352" s="188"/>
    </row>
    <row r="1353" spans="10:10" x14ac:dyDescent="0.3">
      <c r="J1353" s="188"/>
    </row>
    <row r="1354" spans="10:10" x14ac:dyDescent="0.3">
      <c r="J1354" s="188"/>
    </row>
    <row r="1355" spans="10:10" x14ac:dyDescent="0.3">
      <c r="J1355" s="188"/>
    </row>
    <row r="1356" spans="10:10" x14ac:dyDescent="0.3">
      <c r="J1356" s="188"/>
    </row>
    <row r="1357" spans="10:10" x14ac:dyDescent="0.3">
      <c r="J1357" s="188"/>
    </row>
    <row r="1358" spans="10:10" x14ac:dyDescent="0.3">
      <c r="J1358" s="188"/>
    </row>
    <row r="1359" spans="10:10" x14ac:dyDescent="0.3">
      <c r="J1359" s="188"/>
    </row>
    <row r="1360" spans="10:10" x14ac:dyDescent="0.3">
      <c r="J1360" s="188"/>
    </row>
    <row r="1361" spans="10:10" x14ac:dyDescent="0.3">
      <c r="J1361" s="188"/>
    </row>
    <row r="1362" spans="10:10" x14ac:dyDescent="0.3">
      <c r="J1362" s="188"/>
    </row>
    <row r="1363" spans="10:10" x14ac:dyDescent="0.3">
      <c r="J1363" s="188"/>
    </row>
    <row r="1364" spans="10:10" x14ac:dyDescent="0.3">
      <c r="J1364" s="188"/>
    </row>
    <row r="1365" spans="10:10" x14ac:dyDescent="0.3">
      <c r="J1365" s="188"/>
    </row>
    <row r="1366" spans="10:10" x14ac:dyDescent="0.3">
      <c r="J1366" s="188"/>
    </row>
    <row r="1367" spans="10:10" x14ac:dyDescent="0.3">
      <c r="J1367" s="188"/>
    </row>
    <row r="1368" spans="10:10" x14ac:dyDescent="0.3">
      <c r="J1368" s="188"/>
    </row>
    <row r="1369" spans="10:10" x14ac:dyDescent="0.3">
      <c r="J1369" s="188"/>
    </row>
    <row r="1370" spans="10:10" x14ac:dyDescent="0.3">
      <c r="J1370" s="188"/>
    </row>
    <row r="1371" spans="10:10" x14ac:dyDescent="0.3">
      <c r="J1371" s="188"/>
    </row>
    <row r="1372" spans="10:10" x14ac:dyDescent="0.3">
      <c r="J1372" s="188"/>
    </row>
    <row r="1373" spans="10:10" x14ac:dyDescent="0.3">
      <c r="J1373" s="188"/>
    </row>
    <row r="1374" spans="10:10" x14ac:dyDescent="0.3">
      <c r="J1374" s="188"/>
    </row>
    <row r="1375" spans="10:10" x14ac:dyDescent="0.3">
      <c r="J1375" s="188"/>
    </row>
    <row r="1376" spans="10:10" x14ac:dyDescent="0.3">
      <c r="J1376" s="188"/>
    </row>
    <row r="1377" spans="10:10" x14ac:dyDescent="0.3">
      <c r="J1377" s="188"/>
    </row>
    <row r="1378" spans="10:10" x14ac:dyDescent="0.3">
      <c r="J1378" s="188"/>
    </row>
    <row r="1379" spans="10:10" x14ac:dyDescent="0.3">
      <c r="J1379" s="188"/>
    </row>
    <row r="1380" spans="10:10" x14ac:dyDescent="0.3">
      <c r="J1380" s="188"/>
    </row>
    <row r="1381" spans="10:10" x14ac:dyDescent="0.3">
      <c r="J1381" s="188"/>
    </row>
    <row r="1382" spans="10:10" x14ac:dyDescent="0.3">
      <c r="J1382" s="188"/>
    </row>
    <row r="1383" spans="10:10" x14ac:dyDescent="0.3">
      <c r="J1383" s="188"/>
    </row>
    <row r="1384" spans="10:10" x14ac:dyDescent="0.3">
      <c r="J1384" s="188"/>
    </row>
    <row r="1385" spans="10:10" x14ac:dyDescent="0.3">
      <c r="J1385" s="188"/>
    </row>
    <row r="1386" spans="10:10" x14ac:dyDescent="0.3">
      <c r="J1386" s="188"/>
    </row>
    <row r="1387" spans="10:10" x14ac:dyDescent="0.3">
      <c r="J1387" s="188"/>
    </row>
    <row r="1388" spans="10:10" x14ac:dyDescent="0.3">
      <c r="J1388" s="188"/>
    </row>
    <row r="1389" spans="10:10" x14ac:dyDescent="0.3">
      <c r="J1389" s="188"/>
    </row>
    <row r="1390" spans="10:10" x14ac:dyDescent="0.3">
      <c r="J1390" s="188"/>
    </row>
    <row r="1391" spans="10:10" x14ac:dyDescent="0.3">
      <c r="J1391" s="188"/>
    </row>
    <row r="1392" spans="10:10" x14ac:dyDescent="0.3">
      <c r="J1392" s="188"/>
    </row>
    <row r="1393" spans="10:10" x14ac:dyDescent="0.3">
      <c r="J1393" s="188"/>
    </row>
    <row r="1394" spans="10:10" x14ac:dyDescent="0.3">
      <c r="J1394" s="188"/>
    </row>
    <row r="1395" spans="10:10" x14ac:dyDescent="0.3">
      <c r="J1395" s="188"/>
    </row>
    <row r="1396" spans="10:10" x14ac:dyDescent="0.3">
      <c r="J1396" s="188"/>
    </row>
    <row r="1397" spans="10:10" x14ac:dyDescent="0.3">
      <c r="J1397" s="188"/>
    </row>
    <row r="1398" spans="10:10" x14ac:dyDescent="0.3">
      <c r="J1398" s="188"/>
    </row>
    <row r="1399" spans="10:10" x14ac:dyDescent="0.3">
      <c r="J1399" s="188"/>
    </row>
    <row r="1400" spans="10:10" x14ac:dyDescent="0.3">
      <c r="J1400" s="188"/>
    </row>
    <row r="1401" spans="10:10" x14ac:dyDescent="0.3">
      <c r="J1401" s="188"/>
    </row>
    <row r="1402" spans="10:10" x14ac:dyDescent="0.3">
      <c r="J1402" s="188"/>
    </row>
    <row r="1403" spans="10:10" x14ac:dyDescent="0.3">
      <c r="J1403" s="188"/>
    </row>
    <row r="1404" spans="10:10" x14ac:dyDescent="0.3">
      <c r="J1404" s="188"/>
    </row>
    <row r="1405" spans="10:10" x14ac:dyDescent="0.3">
      <c r="J1405" s="188"/>
    </row>
    <row r="1406" spans="10:10" x14ac:dyDescent="0.3">
      <c r="J1406" s="188"/>
    </row>
    <row r="1407" spans="10:10" x14ac:dyDescent="0.3">
      <c r="J1407" s="188"/>
    </row>
    <row r="1408" spans="10:10" x14ac:dyDescent="0.3">
      <c r="J1408" s="188"/>
    </row>
    <row r="1409" spans="10:10" x14ac:dyDescent="0.3">
      <c r="J1409" s="188"/>
    </row>
    <row r="1410" spans="10:10" x14ac:dyDescent="0.3">
      <c r="J1410" s="188"/>
    </row>
    <row r="1411" spans="10:10" x14ac:dyDescent="0.3">
      <c r="J1411" s="188"/>
    </row>
    <row r="1412" spans="10:10" x14ac:dyDescent="0.3">
      <c r="J1412" s="188"/>
    </row>
    <row r="1413" spans="10:10" x14ac:dyDescent="0.3">
      <c r="J1413" s="188"/>
    </row>
    <row r="1414" spans="10:10" x14ac:dyDescent="0.3">
      <c r="J1414" s="188"/>
    </row>
    <row r="1415" spans="10:10" x14ac:dyDescent="0.3">
      <c r="J1415" s="188"/>
    </row>
    <row r="1416" spans="10:10" x14ac:dyDescent="0.3">
      <c r="J1416" s="188"/>
    </row>
    <row r="1417" spans="10:10" x14ac:dyDescent="0.3">
      <c r="J1417" s="188"/>
    </row>
    <row r="1418" spans="10:10" x14ac:dyDescent="0.3">
      <c r="J1418" s="188"/>
    </row>
    <row r="1419" spans="10:10" x14ac:dyDescent="0.3">
      <c r="J1419" s="188"/>
    </row>
    <row r="1420" spans="10:10" x14ac:dyDescent="0.3">
      <c r="J1420" s="188"/>
    </row>
    <row r="1421" spans="10:10" x14ac:dyDescent="0.3">
      <c r="J1421" s="188"/>
    </row>
    <row r="1422" spans="10:10" x14ac:dyDescent="0.3">
      <c r="J1422" s="188"/>
    </row>
    <row r="1423" spans="10:10" x14ac:dyDescent="0.3">
      <c r="J1423" s="188"/>
    </row>
    <row r="1424" spans="10:10" x14ac:dyDescent="0.3">
      <c r="J1424" s="188"/>
    </row>
    <row r="1425" spans="10:10" x14ac:dyDescent="0.3">
      <c r="J1425" s="188"/>
    </row>
    <row r="1426" spans="10:10" x14ac:dyDescent="0.3">
      <c r="J1426" s="188"/>
    </row>
    <row r="1427" spans="10:10" x14ac:dyDescent="0.3">
      <c r="J1427" s="188"/>
    </row>
    <row r="1428" spans="10:10" x14ac:dyDescent="0.3">
      <c r="J1428" s="188"/>
    </row>
    <row r="1429" spans="10:10" x14ac:dyDescent="0.3">
      <c r="J1429" s="188"/>
    </row>
    <row r="1430" spans="10:10" x14ac:dyDescent="0.3">
      <c r="J1430" s="188"/>
    </row>
    <row r="1431" spans="10:10" x14ac:dyDescent="0.3">
      <c r="J1431" s="188"/>
    </row>
    <row r="1432" spans="10:10" x14ac:dyDescent="0.3">
      <c r="J1432" s="188"/>
    </row>
    <row r="1433" spans="10:10" x14ac:dyDescent="0.3">
      <c r="J1433" s="188"/>
    </row>
    <row r="1434" spans="10:10" x14ac:dyDescent="0.3">
      <c r="J1434" s="188"/>
    </row>
    <row r="1435" spans="10:10" x14ac:dyDescent="0.3">
      <c r="J1435" s="188"/>
    </row>
    <row r="1436" spans="10:10" x14ac:dyDescent="0.3">
      <c r="J1436" s="188"/>
    </row>
    <row r="1437" spans="10:10" x14ac:dyDescent="0.3">
      <c r="J1437" s="188"/>
    </row>
    <row r="1438" spans="10:10" x14ac:dyDescent="0.3">
      <c r="J1438" s="188"/>
    </row>
    <row r="1439" spans="10:10" x14ac:dyDescent="0.3">
      <c r="J1439" s="188"/>
    </row>
    <row r="1440" spans="10:10" x14ac:dyDescent="0.3">
      <c r="J1440" s="188"/>
    </row>
    <row r="1441" spans="10:10" x14ac:dyDescent="0.3">
      <c r="J1441" s="188"/>
    </row>
    <row r="1442" spans="10:10" x14ac:dyDescent="0.3">
      <c r="J1442" s="188"/>
    </row>
    <row r="1443" spans="10:10" x14ac:dyDescent="0.3">
      <c r="J1443" s="188"/>
    </row>
    <row r="1444" spans="10:10" x14ac:dyDescent="0.3">
      <c r="J1444" s="188"/>
    </row>
    <row r="1445" spans="10:10" x14ac:dyDescent="0.3">
      <c r="J1445" s="188"/>
    </row>
    <row r="1446" spans="10:10" x14ac:dyDescent="0.3">
      <c r="J1446" s="188"/>
    </row>
    <row r="1447" spans="10:10" x14ac:dyDescent="0.3">
      <c r="J1447" s="188"/>
    </row>
    <row r="1448" spans="10:10" x14ac:dyDescent="0.3">
      <c r="J1448" s="188"/>
    </row>
    <row r="1449" spans="10:10" x14ac:dyDescent="0.3">
      <c r="J1449" s="188"/>
    </row>
    <row r="1450" spans="10:10" x14ac:dyDescent="0.3">
      <c r="J1450" s="188"/>
    </row>
    <row r="1451" spans="10:10" x14ac:dyDescent="0.3">
      <c r="J1451" s="188"/>
    </row>
    <row r="1452" spans="10:10" x14ac:dyDescent="0.3">
      <c r="J1452" s="188"/>
    </row>
    <row r="1453" spans="10:10" x14ac:dyDescent="0.3">
      <c r="J1453" s="188"/>
    </row>
    <row r="1454" spans="10:10" x14ac:dyDescent="0.3">
      <c r="J1454" s="188"/>
    </row>
    <row r="1455" spans="10:10" x14ac:dyDescent="0.3">
      <c r="J1455" s="188"/>
    </row>
    <row r="1456" spans="10:10" x14ac:dyDescent="0.3">
      <c r="J1456" s="188"/>
    </row>
    <row r="1457" spans="10:10" x14ac:dyDescent="0.3">
      <c r="J1457" s="188"/>
    </row>
    <row r="1458" spans="10:10" x14ac:dyDescent="0.3">
      <c r="J1458" s="188"/>
    </row>
    <row r="1459" spans="10:10" x14ac:dyDescent="0.3">
      <c r="J1459" s="188"/>
    </row>
    <row r="1460" spans="10:10" x14ac:dyDescent="0.3">
      <c r="J1460" s="188"/>
    </row>
    <row r="1461" spans="10:10" x14ac:dyDescent="0.3">
      <c r="J1461" s="188"/>
    </row>
    <row r="1462" spans="10:10" x14ac:dyDescent="0.3">
      <c r="J1462" s="188"/>
    </row>
    <row r="1463" spans="10:10" x14ac:dyDescent="0.3">
      <c r="J1463" s="188"/>
    </row>
    <row r="1464" spans="10:10" x14ac:dyDescent="0.3">
      <c r="J1464" s="188"/>
    </row>
    <row r="1465" spans="10:10" x14ac:dyDescent="0.3">
      <c r="J1465" s="188"/>
    </row>
    <row r="1466" spans="10:10" x14ac:dyDescent="0.3">
      <c r="J1466" s="188"/>
    </row>
    <row r="1467" spans="10:10" x14ac:dyDescent="0.3">
      <c r="J1467" s="188"/>
    </row>
    <row r="1468" spans="10:10" x14ac:dyDescent="0.3">
      <c r="J1468" s="188"/>
    </row>
    <row r="1469" spans="10:10" x14ac:dyDescent="0.3">
      <c r="J1469" s="188"/>
    </row>
    <row r="1470" spans="10:10" x14ac:dyDescent="0.3">
      <c r="J1470" s="188"/>
    </row>
    <row r="1471" spans="10:10" x14ac:dyDescent="0.3">
      <c r="J1471" s="188"/>
    </row>
    <row r="1472" spans="10:10" x14ac:dyDescent="0.3">
      <c r="J1472" s="188"/>
    </row>
    <row r="1473" spans="10:10" x14ac:dyDescent="0.3">
      <c r="J1473" s="188"/>
    </row>
    <row r="1474" spans="10:10" x14ac:dyDescent="0.3">
      <c r="J1474" s="188"/>
    </row>
    <row r="1475" spans="10:10" x14ac:dyDescent="0.3">
      <c r="J1475" s="188"/>
    </row>
    <row r="1476" spans="10:10" x14ac:dyDescent="0.3">
      <c r="J1476" s="188"/>
    </row>
    <row r="1477" spans="10:10" x14ac:dyDescent="0.3">
      <c r="J1477" s="188"/>
    </row>
    <row r="1478" spans="10:10" x14ac:dyDescent="0.3">
      <c r="J1478" s="188"/>
    </row>
    <row r="1479" spans="10:10" x14ac:dyDescent="0.3">
      <c r="J1479" s="188"/>
    </row>
    <row r="1480" spans="10:10" x14ac:dyDescent="0.3">
      <c r="J1480" s="188"/>
    </row>
    <row r="1481" spans="10:10" x14ac:dyDescent="0.3">
      <c r="J1481" s="188"/>
    </row>
    <row r="1482" spans="10:10" x14ac:dyDescent="0.3">
      <c r="J1482" s="188"/>
    </row>
    <row r="1483" spans="10:10" x14ac:dyDescent="0.3">
      <c r="J1483" s="188"/>
    </row>
    <row r="1484" spans="10:10" x14ac:dyDescent="0.3">
      <c r="J1484" s="188"/>
    </row>
    <row r="1485" spans="10:10" x14ac:dyDescent="0.3">
      <c r="J1485" s="188"/>
    </row>
    <row r="1486" spans="10:10" x14ac:dyDescent="0.3">
      <c r="J1486" s="188"/>
    </row>
    <row r="1487" spans="10:10" x14ac:dyDescent="0.3">
      <c r="J1487" s="188"/>
    </row>
    <row r="1488" spans="10:10" x14ac:dyDescent="0.3">
      <c r="J1488" s="188"/>
    </row>
    <row r="1489" spans="10:10" x14ac:dyDescent="0.3">
      <c r="J1489" s="188"/>
    </row>
    <row r="1490" spans="10:10" x14ac:dyDescent="0.3">
      <c r="J1490" s="188"/>
    </row>
    <row r="1491" spans="10:10" x14ac:dyDescent="0.3">
      <c r="J1491" s="188"/>
    </row>
    <row r="1492" spans="10:10" x14ac:dyDescent="0.3">
      <c r="J1492" s="188"/>
    </row>
    <row r="1493" spans="10:10" x14ac:dyDescent="0.3">
      <c r="J1493" s="188"/>
    </row>
    <row r="1494" spans="10:10" x14ac:dyDescent="0.3">
      <c r="J1494" s="188"/>
    </row>
    <row r="1495" spans="10:10" x14ac:dyDescent="0.3">
      <c r="J1495" s="188"/>
    </row>
    <row r="1496" spans="10:10" x14ac:dyDescent="0.3">
      <c r="J1496" s="188"/>
    </row>
    <row r="1497" spans="10:10" x14ac:dyDescent="0.3">
      <c r="J1497" s="188"/>
    </row>
    <row r="1498" spans="10:10" x14ac:dyDescent="0.3">
      <c r="J1498" s="188"/>
    </row>
    <row r="1499" spans="10:10" x14ac:dyDescent="0.3">
      <c r="J1499" s="188"/>
    </row>
    <row r="1500" spans="10:10" x14ac:dyDescent="0.3">
      <c r="J1500" s="188"/>
    </row>
    <row r="1501" spans="10:10" x14ac:dyDescent="0.3">
      <c r="J1501" s="188"/>
    </row>
    <row r="1502" spans="10:10" x14ac:dyDescent="0.3">
      <c r="J1502" s="188"/>
    </row>
    <row r="1503" spans="10:10" x14ac:dyDescent="0.3">
      <c r="J1503" s="188"/>
    </row>
    <row r="1504" spans="10:10" x14ac:dyDescent="0.3">
      <c r="J1504" s="188"/>
    </row>
    <row r="1505" spans="10:10" x14ac:dyDescent="0.3">
      <c r="J1505" s="188"/>
    </row>
    <row r="1506" spans="10:10" x14ac:dyDescent="0.3">
      <c r="J1506" s="188"/>
    </row>
    <row r="1507" spans="10:10" x14ac:dyDescent="0.3">
      <c r="J1507" s="188"/>
    </row>
    <row r="1508" spans="10:10" x14ac:dyDescent="0.3">
      <c r="J1508" s="188"/>
    </row>
    <row r="1509" spans="10:10" x14ac:dyDescent="0.3">
      <c r="J1509" s="188"/>
    </row>
    <row r="1510" spans="10:10" x14ac:dyDescent="0.3">
      <c r="J1510" s="188"/>
    </row>
    <row r="1511" spans="10:10" x14ac:dyDescent="0.3">
      <c r="J1511" s="188"/>
    </row>
    <row r="1512" spans="10:10" x14ac:dyDescent="0.3">
      <c r="J1512" s="188"/>
    </row>
    <row r="1513" spans="10:10" x14ac:dyDescent="0.3">
      <c r="J1513" s="188"/>
    </row>
    <row r="1514" spans="10:10" x14ac:dyDescent="0.3">
      <c r="J1514" s="188"/>
    </row>
    <row r="1515" spans="10:10" x14ac:dyDescent="0.3">
      <c r="J1515" s="188"/>
    </row>
    <row r="1516" spans="10:10" x14ac:dyDescent="0.3">
      <c r="J1516" s="188"/>
    </row>
    <row r="1517" spans="10:10" x14ac:dyDescent="0.3">
      <c r="J1517" s="188"/>
    </row>
    <row r="1518" spans="10:10" x14ac:dyDescent="0.3">
      <c r="J1518" s="188"/>
    </row>
    <row r="1519" spans="10:10" x14ac:dyDescent="0.3">
      <c r="J1519" s="188"/>
    </row>
    <row r="1520" spans="10:10" x14ac:dyDescent="0.3">
      <c r="J1520" s="188"/>
    </row>
    <row r="1521" spans="10:10" x14ac:dyDescent="0.3">
      <c r="J1521" s="188"/>
    </row>
    <row r="1522" spans="10:10" x14ac:dyDescent="0.3">
      <c r="J1522" s="188"/>
    </row>
    <row r="1523" spans="10:10" x14ac:dyDescent="0.3">
      <c r="J1523" s="188"/>
    </row>
    <row r="1524" spans="10:10" x14ac:dyDescent="0.3">
      <c r="J1524" s="188"/>
    </row>
    <row r="1525" spans="10:10" x14ac:dyDescent="0.3">
      <c r="J1525" s="188"/>
    </row>
    <row r="1526" spans="10:10" x14ac:dyDescent="0.3">
      <c r="J1526" s="188"/>
    </row>
    <row r="1527" spans="10:10" x14ac:dyDescent="0.3">
      <c r="J1527" s="188"/>
    </row>
    <row r="1528" spans="10:10" x14ac:dyDescent="0.3">
      <c r="J1528" s="188"/>
    </row>
    <row r="1529" spans="10:10" x14ac:dyDescent="0.3">
      <c r="J1529" s="188"/>
    </row>
    <row r="1530" spans="10:10" x14ac:dyDescent="0.3">
      <c r="J1530" s="188"/>
    </row>
    <row r="1531" spans="10:10" x14ac:dyDescent="0.3">
      <c r="J1531" s="188"/>
    </row>
    <row r="1532" spans="10:10" x14ac:dyDescent="0.3">
      <c r="J1532" s="188"/>
    </row>
    <row r="1533" spans="10:10" x14ac:dyDescent="0.3">
      <c r="J1533" s="188"/>
    </row>
    <row r="1534" spans="10:10" x14ac:dyDescent="0.3">
      <c r="J1534" s="188"/>
    </row>
    <row r="1535" spans="10:10" x14ac:dyDescent="0.3">
      <c r="J1535" s="188"/>
    </row>
    <row r="1536" spans="10:10" x14ac:dyDescent="0.3">
      <c r="J1536" s="188"/>
    </row>
    <row r="1537" spans="10:10" x14ac:dyDescent="0.3">
      <c r="J1537" s="188"/>
    </row>
    <row r="1538" spans="10:10" x14ac:dyDescent="0.3">
      <c r="J1538" s="188"/>
    </row>
    <row r="1539" spans="10:10" x14ac:dyDescent="0.3">
      <c r="J1539" s="188"/>
    </row>
    <row r="1540" spans="10:10" x14ac:dyDescent="0.3">
      <c r="J1540" s="188"/>
    </row>
    <row r="1541" spans="10:10" x14ac:dyDescent="0.3">
      <c r="J1541" s="188"/>
    </row>
    <row r="1542" spans="10:10" x14ac:dyDescent="0.3">
      <c r="J1542" s="188"/>
    </row>
    <row r="1543" spans="10:10" x14ac:dyDescent="0.3">
      <c r="J1543" s="188"/>
    </row>
    <row r="1544" spans="10:10" x14ac:dyDescent="0.3">
      <c r="J1544" s="188"/>
    </row>
    <row r="1545" spans="10:10" x14ac:dyDescent="0.3">
      <c r="J1545" s="188"/>
    </row>
    <row r="1546" spans="10:10" x14ac:dyDescent="0.3">
      <c r="J1546" s="188"/>
    </row>
    <row r="1547" spans="10:10" x14ac:dyDescent="0.3">
      <c r="J1547" s="188"/>
    </row>
    <row r="1548" spans="10:10" x14ac:dyDescent="0.3">
      <c r="J1548" s="188"/>
    </row>
    <row r="1549" spans="10:10" x14ac:dyDescent="0.3">
      <c r="J1549" s="188"/>
    </row>
    <row r="1550" spans="10:10" x14ac:dyDescent="0.3">
      <c r="J1550" s="188"/>
    </row>
    <row r="1551" spans="10:10" x14ac:dyDescent="0.3">
      <c r="J1551" s="188"/>
    </row>
    <row r="1552" spans="10:10" x14ac:dyDescent="0.3">
      <c r="J1552" s="188"/>
    </row>
    <row r="1553" spans="10:10" x14ac:dyDescent="0.3">
      <c r="J1553" s="188"/>
    </row>
    <row r="1554" spans="10:10" x14ac:dyDescent="0.3">
      <c r="J1554" s="188"/>
    </row>
    <row r="1555" spans="10:10" x14ac:dyDescent="0.3">
      <c r="J1555" s="188"/>
    </row>
    <row r="1556" spans="10:10" x14ac:dyDescent="0.3">
      <c r="J1556" s="188"/>
    </row>
    <row r="1557" spans="10:10" x14ac:dyDescent="0.3">
      <c r="J1557" s="188"/>
    </row>
    <row r="1558" spans="10:10" x14ac:dyDescent="0.3">
      <c r="J1558" s="188"/>
    </row>
    <row r="1559" spans="10:10" x14ac:dyDescent="0.3">
      <c r="J1559" s="188"/>
    </row>
    <row r="1560" spans="10:10" x14ac:dyDescent="0.3">
      <c r="J1560" s="188"/>
    </row>
    <row r="1561" spans="10:10" x14ac:dyDescent="0.3">
      <c r="J1561" s="188"/>
    </row>
    <row r="1562" spans="10:10" x14ac:dyDescent="0.3">
      <c r="J1562" s="188"/>
    </row>
    <row r="1563" spans="10:10" x14ac:dyDescent="0.3">
      <c r="J1563" s="188"/>
    </row>
    <row r="1564" spans="10:10" x14ac:dyDescent="0.3">
      <c r="J1564" s="188"/>
    </row>
    <row r="1565" spans="10:10" x14ac:dyDescent="0.3">
      <c r="J1565" s="188"/>
    </row>
    <row r="1566" spans="10:10" x14ac:dyDescent="0.3">
      <c r="J1566" s="188"/>
    </row>
    <row r="1567" spans="10:10" x14ac:dyDescent="0.3">
      <c r="J1567" s="188"/>
    </row>
    <row r="1568" spans="10:10" x14ac:dyDescent="0.3">
      <c r="J1568" s="188"/>
    </row>
    <row r="1569" spans="10:10" x14ac:dyDescent="0.3">
      <c r="J1569" s="188"/>
    </row>
    <row r="1570" spans="10:10" x14ac:dyDescent="0.3">
      <c r="J1570" s="188"/>
    </row>
    <row r="1571" spans="10:10" x14ac:dyDescent="0.3">
      <c r="J1571" s="188"/>
    </row>
    <row r="1572" spans="10:10" x14ac:dyDescent="0.3">
      <c r="J1572" s="188"/>
    </row>
    <row r="1573" spans="10:10" x14ac:dyDescent="0.3">
      <c r="J1573" s="188"/>
    </row>
    <row r="1574" spans="10:10" x14ac:dyDescent="0.3">
      <c r="J1574" s="188"/>
    </row>
    <row r="1575" spans="10:10" x14ac:dyDescent="0.3">
      <c r="J1575" s="188"/>
    </row>
    <row r="1576" spans="10:10" x14ac:dyDescent="0.3">
      <c r="J1576" s="188"/>
    </row>
    <row r="1577" spans="10:10" x14ac:dyDescent="0.3">
      <c r="J1577" s="188"/>
    </row>
    <row r="1578" spans="10:10" x14ac:dyDescent="0.3">
      <c r="J1578" s="188"/>
    </row>
    <row r="1579" spans="10:10" x14ac:dyDescent="0.3">
      <c r="J1579" s="188"/>
    </row>
    <row r="1580" spans="10:10" x14ac:dyDescent="0.3">
      <c r="J1580" s="188"/>
    </row>
    <row r="1581" spans="10:10" x14ac:dyDescent="0.3">
      <c r="J1581" s="188"/>
    </row>
    <row r="1582" spans="10:10" x14ac:dyDescent="0.3">
      <c r="J1582" s="188"/>
    </row>
    <row r="1583" spans="10:10" x14ac:dyDescent="0.3">
      <c r="J1583" s="188"/>
    </row>
    <row r="1584" spans="10:10" x14ac:dyDescent="0.3">
      <c r="J1584" s="188"/>
    </row>
    <row r="1585" spans="10:10" x14ac:dyDescent="0.3">
      <c r="J1585" s="188"/>
    </row>
    <row r="1586" spans="10:10" x14ac:dyDescent="0.3">
      <c r="J1586" s="188"/>
    </row>
    <row r="1587" spans="10:10" x14ac:dyDescent="0.3">
      <c r="J1587" s="188"/>
    </row>
    <row r="1588" spans="10:10" x14ac:dyDescent="0.3">
      <c r="J1588" s="188"/>
    </row>
    <row r="1589" spans="10:10" x14ac:dyDescent="0.3">
      <c r="J1589" s="188"/>
    </row>
    <row r="1590" spans="10:10" x14ac:dyDescent="0.3">
      <c r="J1590" s="188"/>
    </row>
    <row r="1591" spans="10:10" x14ac:dyDescent="0.3">
      <c r="J1591" s="188"/>
    </row>
    <row r="1592" spans="10:10" x14ac:dyDescent="0.3">
      <c r="J1592" s="188"/>
    </row>
    <row r="1593" spans="10:10" x14ac:dyDescent="0.3">
      <c r="J1593" s="188"/>
    </row>
    <row r="1594" spans="10:10" x14ac:dyDescent="0.3">
      <c r="J1594" s="188"/>
    </row>
    <row r="1595" spans="10:10" x14ac:dyDescent="0.3">
      <c r="J1595" s="188"/>
    </row>
    <row r="1596" spans="10:10" x14ac:dyDescent="0.3">
      <c r="J1596" s="188"/>
    </row>
    <row r="1597" spans="10:10" x14ac:dyDescent="0.3">
      <c r="J1597" s="188"/>
    </row>
    <row r="1598" spans="10:10" x14ac:dyDescent="0.3">
      <c r="J1598" s="188"/>
    </row>
    <row r="1599" spans="10:10" x14ac:dyDescent="0.3">
      <c r="J1599" s="188"/>
    </row>
    <row r="1600" spans="10:10" x14ac:dyDescent="0.3">
      <c r="J1600" s="188"/>
    </row>
    <row r="1601" spans="10:10" x14ac:dyDescent="0.3">
      <c r="J1601" s="188"/>
    </row>
    <row r="1602" spans="10:10" x14ac:dyDescent="0.3">
      <c r="J1602" s="188"/>
    </row>
    <row r="1603" spans="10:10" x14ac:dyDescent="0.3">
      <c r="J1603" s="188"/>
    </row>
    <row r="1604" spans="10:10" x14ac:dyDescent="0.3">
      <c r="J1604" s="188"/>
    </row>
    <row r="1605" spans="10:10" x14ac:dyDescent="0.3">
      <c r="J1605" s="188"/>
    </row>
    <row r="1606" spans="10:10" x14ac:dyDescent="0.3">
      <c r="J1606" s="188"/>
    </row>
    <row r="1607" spans="10:10" x14ac:dyDescent="0.3">
      <c r="J1607" s="188"/>
    </row>
    <row r="1608" spans="10:10" x14ac:dyDescent="0.3">
      <c r="J1608" s="188"/>
    </row>
    <row r="1609" spans="10:10" x14ac:dyDescent="0.3">
      <c r="J1609" s="188"/>
    </row>
    <row r="1610" spans="10:10" x14ac:dyDescent="0.3">
      <c r="J1610" s="188"/>
    </row>
    <row r="1611" spans="10:10" x14ac:dyDescent="0.3">
      <c r="J1611" s="188"/>
    </row>
    <row r="1612" spans="10:10" x14ac:dyDescent="0.3">
      <c r="J1612" s="188"/>
    </row>
    <row r="1613" spans="10:10" x14ac:dyDescent="0.3">
      <c r="J1613" s="188"/>
    </row>
    <row r="1614" spans="10:10" x14ac:dyDescent="0.3">
      <c r="J1614" s="188"/>
    </row>
    <row r="1615" spans="10:10" x14ac:dyDescent="0.3">
      <c r="J1615" s="188"/>
    </row>
    <row r="1616" spans="10:10" x14ac:dyDescent="0.3">
      <c r="J1616" s="188"/>
    </row>
    <row r="1617" spans="10:10" x14ac:dyDescent="0.3">
      <c r="J1617" s="188"/>
    </row>
    <row r="1618" spans="10:10" x14ac:dyDescent="0.3">
      <c r="J1618" s="188"/>
    </row>
    <row r="1619" spans="10:10" x14ac:dyDescent="0.3">
      <c r="J1619" s="188"/>
    </row>
    <row r="1620" spans="10:10" x14ac:dyDescent="0.3">
      <c r="J1620" s="188"/>
    </row>
    <row r="1621" spans="10:10" x14ac:dyDescent="0.3">
      <c r="J1621" s="188"/>
    </row>
    <row r="1622" spans="10:10" x14ac:dyDescent="0.3">
      <c r="J1622" s="188"/>
    </row>
    <row r="1623" spans="10:10" x14ac:dyDescent="0.3">
      <c r="J1623" s="188"/>
    </row>
    <row r="1624" spans="10:10" x14ac:dyDescent="0.3">
      <c r="J1624" s="188"/>
    </row>
    <row r="1625" spans="10:10" x14ac:dyDescent="0.3">
      <c r="J1625" s="188"/>
    </row>
    <row r="1626" spans="10:10" x14ac:dyDescent="0.3">
      <c r="J1626" s="188"/>
    </row>
    <row r="1627" spans="10:10" x14ac:dyDescent="0.3">
      <c r="J1627" s="188"/>
    </row>
    <row r="1628" spans="10:10" x14ac:dyDescent="0.3">
      <c r="J1628" s="188"/>
    </row>
    <row r="1629" spans="10:10" x14ac:dyDescent="0.3">
      <c r="J1629" s="188"/>
    </row>
    <row r="1630" spans="10:10" x14ac:dyDescent="0.3">
      <c r="J1630" s="188"/>
    </row>
    <row r="1631" spans="10:10" x14ac:dyDescent="0.3">
      <c r="J1631" s="188"/>
    </row>
    <row r="1632" spans="10:10" x14ac:dyDescent="0.3">
      <c r="J1632" s="188"/>
    </row>
    <row r="1633" spans="10:10" x14ac:dyDescent="0.3">
      <c r="J1633" s="188"/>
    </row>
    <row r="1634" spans="10:10" x14ac:dyDescent="0.3">
      <c r="J1634" s="188"/>
    </row>
    <row r="1635" spans="10:10" x14ac:dyDescent="0.3">
      <c r="J1635" s="188"/>
    </row>
    <row r="1636" spans="10:10" x14ac:dyDescent="0.3">
      <c r="J1636" s="188"/>
    </row>
    <row r="1637" spans="10:10" x14ac:dyDescent="0.3">
      <c r="J1637" s="188"/>
    </row>
    <row r="1638" spans="10:10" x14ac:dyDescent="0.3">
      <c r="J1638" s="188"/>
    </row>
    <row r="1639" spans="10:10" x14ac:dyDescent="0.3">
      <c r="J1639" s="188"/>
    </row>
    <row r="1640" spans="10:10" x14ac:dyDescent="0.3">
      <c r="J1640" s="188"/>
    </row>
    <row r="1641" spans="10:10" x14ac:dyDescent="0.3">
      <c r="J1641" s="188"/>
    </row>
    <row r="1642" spans="10:10" x14ac:dyDescent="0.3">
      <c r="J1642" s="188"/>
    </row>
    <row r="1643" spans="10:10" x14ac:dyDescent="0.3">
      <c r="J1643" s="188"/>
    </row>
    <row r="1644" spans="10:10" x14ac:dyDescent="0.3">
      <c r="J1644" s="188"/>
    </row>
    <row r="1645" spans="10:10" x14ac:dyDescent="0.3">
      <c r="J1645" s="188"/>
    </row>
    <row r="1646" spans="10:10" x14ac:dyDescent="0.3">
      <c r="J1646" s="188"/>
    </row>
    <row r="1647" spans="10:10" x14ac:dyDescent="0.3">
      <c r="J1647" s="188"/>
    </row>
    <row r="1648" spans="10:10" x14ac:dyDescent="0.3">
      <c r="J1648" s="188"/>
    </row>
    <row r="1649" spans="10:10" x14ac:dyDescent="0.3">
      <c r="J1649" s="188"/>
    </row>
    <row r="1650" spans="10:10" x14ac:dyDescent="0.3">
      <c r="J1650" s="188"/>
    </row>
    <row r="1651" spans="10:10" x14ac:dyDescent="0.3">
      <c r="J1651" s="188"/>
    </row>
    <row r="1652" spans="10:10" x14ac:dyDescent="0.3">
      <c r="J1652" s="188"/>
    </row>
    <row r="1653" spans="10:10" x14ac:dyDescent="0.3">
      <c r="J1653" s="188"/>
    </row>
    <row r="1654" spans="10:10" x14ac:dyDescent="0.3">
      <c r="J1654" s="188"/>
    </row>
    <row r="1655" spans="10:10" x14ac:dyDescent="0.3">
      <c r="J1655" s="188"/>
    </row>
    <row r="1656" spans="10:10" x14ac:dyDescent="0.3">
      <c r="J1656" s="188"/>
    </row>
    <row r="1657" spans="10:10" x14ac:dyDescent="0.3">
      <c r="J1657" s="188"/>
    </row>
    <row r="1658" spans="10:10" x14ac:dyDescent="0.3">
      <c r="J1658" s="188"/>
    </row>
    <row r="1659" spans="10:10" x14ac:dyDescent="0.3">
      <c r="J1659" s="188"/>
    </row>
    <row r="1660" spans="10:10" x14ac:dyDescent="0.3">
      <c r="J1660" s="188"/>
    </row>
    <row r="1661" spans="10:10" x14ac:dyDescent="0.3">
      <c r="J1661" s="188"/>
    </row>
    <row r="1662" spans="10:10" x14ac:dyDescent="0.3">
      <c r="J1662" s="188"/>
    </row>
    <row r="1663" spans="10:10" x14ac:dyDescent="0.3">
      <c r="J1663" s="188"/>
    </row>
    <row r="1664" spans="10:10" x14ac:dyDescent="0.3">
      <c r="J1664" s="188"/>
    </row>
    <row r="1665" spans="10:10" x14ac:dyDescent="0.3">
      <c r="J1665" s="188"/>
    </row>
    <row r="1666" spans="10:10" x14ac:dyDescent="0.3">
      <c r="J1666" s="188"/>
    </row>
    <row r="1667" spans="10:10" x14ac:dyDescent="0.3">
      <c r="J1667" s="188"/>
    </row>
    <row r="1668" spans="10:10" x14ac:dyDescent="0.3">
      <c r="J1668" s="188"/>
    </row>
    <row r="1669" spans="10:10" x14ac:dyDescent="0.3">
      <c r="J1669" s="188"/>
    </row>
    <row r="1670" spans="10:10" x14ac:dyDescent="0.3">
      <c r="J1670" s="188"/>
    </row>
    <row r="1671" spans="10:10" x14ac:dyDescent="0.3">
      <c r="J1671" s="188"/>
    </row>
    <row r="1672" spans="10:10" x14ac:dyDescent="0.3">
      <c r="J1672" s="188"/>
    </row>
    <row r="1673" spans="10:10" x14ac:dyDescent="0.3">
      <c r="J1673" s="188"/>
    </row>
    <row r="1674" spans="10:10" x14ac:dyDescent="0.3">
      <c r="J1674" s="188"/>
    </row>
    <row r="1675" spans="10:10" x14ac:dyDescent="0.3">
      <c r="J1675" s="188"/>
    </row>
    <row r="1676" spans="10:10" x14ac:dyDescent="0.3">
      <c r="J1676" s="188"/>
    </row>
    <row r="1677" spans="10:10" x14ac:dyDescent="0.3">
      <c r="J1677" s="188"/>
    </row>
    <row r="1678" spans="10:10" x14ac:dyDescent="0.3">
      <c r="J1678" s="188"/>
    </row>
    <row r="1679" spans="10:10" x14ac:dyDescent="0.3">
      <c r="J1679" s="188"/>
    </row>
    <row r="1680" spans="10:10" x14ac:dyDescent="0.3">
      <c r="J1680" s="188"/>
    </row>
    <row r="1681" spans="10:10" x14ac:dyDescent="0.3">
      <c r="J1681" s="188"/>
    </row>
    <row r="1682" spans="10:10" x14ac:dyDescent="0.3">
      <c r="J1682" s="188"/>
    </row>
    <row r="1683" spans="10:10" x14ac:dyDescent="0.3">
      <c r="J1683" s="188"/>
    </row>
    <row r="1684" spans="10:10" x14ac:dyDescent="0.3">
      <c r="J1684" s="188"/>
    </row>
    <row r="1685" spans="10:10" x14ac:dyDescent="0.3">
      <c r="J1685" s="188"/>
    </row>
    <row r="1686" spans="10:10" x14ac:dyDescent="0.3">
      <c r="J1686" s="188"/>
    </row>
    <row r="1687" spans="10:10" x14ac:dyDescent="0.3">
      <c r="J1687" s="188"/>
    </row>
    <row r="1688" spans="10:10" x14ac:dyDescent="0.3">
      <c r="J1688" s="188"/>
    </row>
    <row r="1689" spans="10:10" x14ac:dyDescent="0.3">
      <c r="J1689" s="188"/>
    </row>
    <row r="1690" spans="10:10" x14ac:dyDescent="0.3">
      <c r="J1690" s="188"/>
    </row>
    <row r="1691" spans="10:10" x14ac:dyDescent="0.3">
      <c r="J1691" s="188"/>
    </row>
    <row r="1692" spans="10:10" x14ac:dyDescent="0.3">
      <c r="J1692" s="188"/>
    </row>
    <row r="1693" spans="10:10" x14ac:dyDescent="0.3">
      <c r="J1693" s="188"/>
    </row>
    <row r="1694" spans="10:10" x14ac:dyDescent="0.3">
      <c r="J1694" s="188"/>
    </row>
    <row r="1695" spans="10:10" x14ac:dyDescent="0.3">
      <c r="J1695" s="188"/>
    </row>
    <row r="1696" spans="10:10" x14ac:dyDescent="0.3">
      <c r="J1696" s="188"/>
    </row>
    <row r="1697" spans="10:10" x14ac:dyDescent="0.3">
      <c r="J1697" s="188"/>
    </row>
    <row r="1698" spans="10:10" x14ac:dyDescent="0.3">
      <c r="J1698" s="188"/>
    </row>
    <row r="1699" spans="10:10" x14ac:dyDescent="0.3">
      <c r="J1699" s="188"/>
    </row>
    <row r="1700" spans="10:10" x14ac:dyDescent="0.3">
      <c r="J1700" s="188"/>
    </row>
    <row r="1701" spans="10:10" x14ac:dyDescent="0.3">
      <c r="J1701" s="188"/>
    </row>
    <row r="1702" spans="10:10" x14ac:dyDescent="0.3">
      <c r="J1702" s="188"/>
    </row>
    <row r="1703" spans="10:10" x14ac:dyDescent="0.3">
      <c r="J1703" s="188"/>
    </row>
    <row r="1704" spans="10:10" x14ac:dyDescent="0.3">
      <c r="J1704" s="188"/>
    </row>
    <row r="1705" spans="10:10" x14ac:dyDescent="0.3">
      <c r="J1705" s="188"/>
    </row>
    <row r="1706" spans="10:10" x14ac:dyDescent="0.3">
      <c r="J1706" s="188"/>
    </row>
    <row r="1707" spans="10:10" x14ac:dyDescent="0.3">
      <c r="J1707" s="188"/>
    </row>
    <row r="1708" spans="10:10" x14ac:dyDescent="0.3">
      <c r="J1708" s="188"/>
    </row>
    <row r="1709" spans="10:10" x14ac:dyDescent="0.3">
      <c r="J1709" s="188"/>
    </row>
    <row r="1710" spans="10:10" x14ac:dyDescent="0.3">
      <c r="J1710" s="188"/>
    </row>
    <row r="1711" spans="10:10" x14ac:dyDescent="0.3">
      <c r="J1711" s="188"/>
    </row>
    <row r="1712" spans="10:10" x14ac:dyDescent="0.3">
      <c r="J1712" s="188"/>
    </row>
    <row r="1713" spans="10:10" x14ac:dyDescent="0.3">
      <c r="J1713" s="188"/>
    </row>
    <row r="1714" spans="10:10" x14ac:dyDescent="0.3">
      <c r="J1714" s="188"/>
    </row>
    <row r="1715" spans="10:10" x14ac:dyDescent="0.3">
      <c r="J1715" s="188"/>
    </row>
    <row r="1716" spans="10:10" x14ac:dyDescent="0.3">
      <c r="J1716" s="188"/>
    </row>
    <row r="1717" spans="10:10" x14ac:dyDescent="0.3">
      <c r="J1717" s="188"/>
    </row>
    <row r="1718" spans="10:10" x14ac:dyDescent="0.3">
      <c r="J1718" s="188"/>
    </row>
    <row r="1719" spans="10:10" x14ac:dyDescent="0.3">
      <c r="J1719" s="188"/>
    </row>
    <row r="1720" spans="10:10" x14ac:dyDescent="0.3">
      <c r="J1720" s="188"/>
    </row>
    <row r="1721" spans="10:10" x14ac:dyDescent="0.3">
      <c r="J1721" s="188"/>
    </row>
    <row r="1722" spans="10:10" x14ac:dyDescent="0.3">
      <c r="J1722" s="188"/>
    </row>
    <row r="1723" spans="10:10" x14ac:dyDescent="0.3">
      <c r="J1723" s="188"/>
    </row>
    <row r="1724" spans="10:10" x14ac:dyDescent="0.3">
      <c r="J1724" s="188"/>
    </row>
    <row r="1725" spans="10:10" x14ac:dyDescent="0.3">
      <c r="J1725" s="188"/>
    </row>
    <row r="1726" spans="10:10" x14ac:dyDescent="0.3">
      <c r="J1726" s="188"/>
    </row>
    <row r="1727" spans="10:10" x14ac:dyDescent="0.3">
      <c r="J1727" s="188"/>
    </row>
    <row r="1728" spans="10:10" x14ac:dyDescent="0.3">
      <c r="J1728" s="188"/>
    </row>
    <row r="1729" spans="10:10" x14ac:dyDescent="0.3">
      <c r="J1729" s="188"/>
    </row>
    <row r="1730" spans="10:10" x14ac:dyDescent="0.3">
      <c r="J1730" s="188"/>
    </row>
    <row r="1731" spans="10:10" x14ac:dyDescent="0.3">
      <c r="J1731" s="188"/>
    </row>
    <row r="1732" spans="10:10" x14ac:dyDescent="0.3">
      <c r="J1732" s="188"/>
    </row>
    <row r="1733" spans="10:10" x14ac:dyDescent="0.3">
      <c r="J1733" s="188"/>
    </row>
    <row r="1734" spans="10:10" x14ac:dyDescent="0.3">
      <c r="J1734" s="188"/>
    </row>
    <row r="1735" spans="10:10" x14ac:dyDescent="0.3">
      <c r="J1735" s="188"/>
    </row>
    <row r="1736" spans="10:10" x14ac:dyDescent="0.3">
      <c r="J1736" s="188"/>
    </row>
    <row r="1737" spans="10:10" x14ac:dyDescent="0.3">
      <c r="J1737" s="188"/>
    </row>
    <row r="1738" spans="10:10" x14ac:dyDescent="0.3">
      <c r="J1738" s="188"/>
    </row>
    <row r="1739" spans="10:10" x14ac:dyDescent="0.3">
      <c r="J1739" s="188"/>
    </row>
    <row r="1740" spans="10:10" x14ac:dyDescent="0.3">
      <c r="J1740" s="188"/>
    </row>
    <row r="1741" spans="10:10" x14ac:dyDescent="0.3">
      <c r="J1741" s="188"/>
    </row>
    <row r="1742" spans="10:10" x14ac:dyDescent="0.3">
      <c r="J1742" s="188"/>
    </row>
    <row r="1743" spans="10:10" x14ac:dyDescent="0.3">
      <c r="J1743" s="188"/>
    </row>
    <row r="1744" spans="10:10" x14ac:dyDescent="0.3">
      <c r="J1744" s="188"/>
    </row>
    <row r="1745" spans="10:10" x14ac:dyDescent="0.3">
      <c r="J1745" s="188"/>
    </row>
    <row r="1746" spans="10:10" x14ac:dyDescent="0.3">
      <c r="J1746" s="188"/>
    </row>
    <row r="1747" spans="10:10" x14ac:dyDescent="0.3">
      <c r="J1747" s="188"/>
    </row>
    <row r="1748" spans="10:10" x14ac:dyDescent="0.3">
      <c r="J1748" s="188"/>
    </row>
    <row r="1749" spans="10:10" x14ac:dyDescent="0.3">
      <c r="J1749" s="188"/>
    </row>
    <row r="1750" spans="10:10" x14ac:dyDescent="0.3">
      <c r="J1750" s="188"/>
    </row>
    <row r="1751" spans="10:10" x14ac:dyDescent="0.3">
      <c r="J1751" s="188"/>
    </row>
    <row r="1752" spans="10:10" x14ac:dyDescent="0.3">
      <c r="J1752" s="188"/>
    </row>
    <row r="1753" spans="10:10" x14ac:dyDescent="0.3">
      <c r="J1753" s="188"/>
    </row>
    <row r="1754" spans="10:10" x14ac:dyDescent="0.3">
      <c r="J1754" s="188"/>
    </row>
    <row r="1755" spans="10:10" x14ac:dyDescent="0.3">
      <c r="J1755" s="188"/>
    </row>
    <row r="1756" spans="10:10" x14ac:dyDescent="0.3">
      <c r="J1756" s="188"/>
    </row>
    <row r="1757" spans="10:10" x14ac:dyDescent="0.3">
      <c r="J1757" s="188"/>
    </row>
    <row r="1758" spans="10:10" x14ac:dyDescent="0.3">
      <c r="J1758" s="188"/>
    </row>
    <row r="1759" spans="10:10" x14ac:dyDescent="0.3">
      <c r="J1759" s="188"/>
    </row>
    <row r="1760" spans="10:10" x14ac:dyDescent="0.3">
      <c r="J1760" s="188"/>
    </row>
    <row r="1761" spans="10:10" x14ac:dyDescent="0.3">
      <c r="J1761" s="188"/>
    </row>
    <row r="1762" spans="10:10" x14ac:dyDescent="0.3">
      <c r="J1762" s="188"/>
    </row>
    <row r="1763" spans="10:10" x14ac:dyDescent="0.3">
      <c r="J1763" s="188"/>
    </row>
    <row r="1764" spans="10:10" x14ac:dyDescent="0.3">
      <c r="J1764" s="188"/>
    </row>
    <row r="1765" spans="10:10" x14ac:dyDescent="0.3">
      <c r="J1765" s="188"/>
    </row>
    <row r="1766" spans="10:10" x14ac:dyDescent="0.3">
      <c r="J1766" s="188"/>
    </row>
    <row r="1767" spans="10:10" x14ac:dyDescent="0.3">
      <c r="J1767" s="188"/>
    </row>
    <row r="1768" spans="10:10" x14ac:dyDescent="0.3">
      <c r="J1768" s="188"/>
    </row>
    <row r="1769" spans="10:10" x14ac:dyDescent="0.3">
      <c r="J1769" s="188"/>
    </row>
    <row r="1770" spans="10:10" x14ac:dyDescent="0.3">
      <c r="J1770" s="188"/>
    </row>
    <row r="1771" spans="10:10" x14ac:dyDescent="0.3">
      <c r="J1771" s="188"/>
    </row>
    <row r="1772" spans="10:10" x14ac:dyDescent="0.3">
      <c r="J1772" s="188"/>
    </row>
    <row r="1773" spans="10:10" x14ac:dyDescent="0.3">
      <c r="J1773" s="188"/>
    </row>
    <row r="1774" spans="10:10" x14ac:dyDescent="0.3">
      <c r="J1774" s="188"/>
    </row>
    <row r="1775" spans="10:10" x14ac:dyDescent="0.3">
      <c r="J1775" s="188"/>
    </row>
    <row r="1776" spans="10:10" x14ac:dyDescent="0.3">
      <c r="J1776" s="188"/>
    </row>
    <row r="1777" spans="10:10" x14ac:dyDescent="0.3">
      <c r="J1777" s="188"/>
    </row>
    <row r="1778" spans="10:10" x14ac:dyDescent="0.3">
      <c r="J1778" s="188"/>
    </row>
    <row r="1779" spans="10:10" x14ac:dyDescent="0.3">
      <c r="J1779" s="188"/>
    </row>
    <row r="1780" spans="10:10" x14ac:dyDescent="0.3">
      <c r="J1780" s="188"/>
    </row>
    <row r="1781" spans="10:10" x14ac:dyDescent="0.3">
      <c r="J1781" s="188"/>
    </row>
    <row r="1782" spans="10:10" x14ac:dyDescent="0.3">
      <c r="J1782" s="188"/>
    </row>
    <row r="1783" spans="10:10" x14ac:dyDescent="0.3">
      <c r="J1783" s="188"/>
    </row>
    <row r="1784" spans="10:10" x14ac:dyDescent="0.3">
      <c r="J1784" s="188"/>
    </row>
    <row r="1785" spans="10:10" x14ac:dyDescent="0.3">
      <c r="J1785" s="188"/>
    </row>
    <row r="1786" spans="10:10" x14ac:dyDescent="0.3">
      <c r="J1786" s="188"/>
    </row>
    <row r="1787" spans="10:10" x14ac:dyDescent="0.3">
      <c r="J1787" s="188"/>
    </row>
    <row r="1788" spans="10:10" x14ac:dyDescent="0.3">
      <c r="J1788" s="188"/>
    </row>
    <row r="1789" spans="10:10" x14ac:dyDescent="0.3">
      <c r="J1789" s="188"/>
    </row>
    <row r="1790" spans="10:10" x14ac:dyDescent="0.3">
      <c r="J1790" s="188"/>
    </row>
    <row r="1791" spans="10:10" x14ac:dyDescent="0.3">
      <c r="J1791" s="188"/>
    </row>
    <row r="1792" spans="10:10" x14ac:dyDescent="0.3">
      <c r="J1792" s="188"/>
    </row>
    <row r="1793" spans="10:10" x14ac:dyDescent="0.3">
      <c r="J1793" s="188"/>
    </row>
    <row r="1794" spans="10:10" x14ac:dyDescent="0.3">
      <c r="J1794" s="188"/>
    </row>
    <row r="1795" spans="10:10" x14ac:dyDescent="0.3">
      <c r="J1795" s="188"/>
    </row>
    <row r="1796" spans="10:10" x14ac:dyDescent="0.3">
      <c r="J1796" s="188"/>
    </row>
    <row r="1797" spans="10:10" x14ac:dyDescent="0.3">
      <c r="J1797" s="188"/>
    </row>
    <row r="1798" spans="10:10" x14ac:dyDescent="0.3">
      <c r="J1798" s="188"/>
    </row>
    <row r="1799" spans="10:10" x14ac:dyDescent="0.3">
      <c r="J1799" s="188"/>
    </row>
    <row r="1800" spans="10:10" x14ac:dyDescent="0.3">
      <c r="J1800" s="188"/>
    </row>
    <row r="1801" spans="10:10" x14ac:dyDescent="0.3">
      <c r="J1801" s="188"/>
    </row>
    <row r="1802" spans="10:10" x14ac:dyDescent="0.3">
      <c r="J1802" s="188"/>
    </row>
    <row r="1803" spans="10:10" x14ac:dyDescent="0.3">
      <c r="J1803" s="188"/>
    </row>
    <row r="1804" spans="10:10" x14ac:dyDescent="0.3">
      <c r="J1804" s="188"/>
    </row>
    <row r="1805" spans="10:10" x14ac:dyDescent="0.3">
      <c r="J1805" s="188"/>
    </row>
    <row r="1806" spans="10:10" x14ac:dyDescent="0.3">
      <c r="J1806" s="188"/>
    </row>
    <row r="1807" spans="10:10" x14ac:dyDescent="0.3">
      <c r="J1807" s="188"/>
    </row>
    <row r="1808" spans="10:10" x14ac:dyDescent="0.3">
      <c r="J1808" s="188"/>
    </row>
    <row r="1809" spans="10:10" x14ac:dyDescent="0.3">
      <c r="J1809" s="188"/>
    </row>
    <row r="1810" spans="10:10" x14ac:dyDescent="0.3">
      <c r="J1810" s="188"/>
    </row>
    <row r="1811" spans="10:10" x14ac:dyDescent="0.3">
      <c r="J1811" s="188"/>
    </row>
    <row r="1812" spans="10:10" x14ac:dyDescent="0.3">
      <c r="J1812" s="188"/>
    </row>
    <row r="1813" spans="10:10" x14ac:dyDescent="0.3">
      <c r="J1813" s="188"/>
    </row>
    <row r="1814" spans="10:10" x14ac:dyDescent="0.3">
      <c r="J1814" s="188"/>
    </row>
    <row r="1815" spans="10:10" x14ac:dyDescent="0.3">
      <c r="J1815" s="188"/>
    </row>
    <row r="1816" spans="10:10" x14ac:dyDescent="0.3">
      <c r="J1816" s="188"/>
    </row>
    <row r="1817" spans="10:10" x14ac:dyDescent="0.3">
      <c r="J1817" s="188"/>
    </row>
    <row r="1818" spans="10:10" x14ac:dyDescent="0.3">
      <c r="J1818" s="188"/>
    </row>
    <row r="1819" spans="10:10" x14ac:dyDescent="0.3">
      <c r="J1819" s="188"/>
    </row>
    <row r="1820" spans="10:10" x14ac:dyDescent="0.3">
      <c r="J1820" s="188"/>
    </row>
    <row r="1821" spans="10:10" x14ac:dyDescent="0.3">
      <c r="J1821" s="188"/>
    </row>
    <row r="1822" spans="10:10" x14ac:dyDescent="0.3">
      <c r="J1822" s="188"/>
    </row>
    <row r="1823" spans="10:10" x14ac:dyDescent="0.3">
      <c r="J1823" s="188"/>
    </row>
    <row r="1824" spans="10:10" x14ac:dyDescent="0.3">
      <c r="J1824" s="188"/>
    </row>
    <row r="1825" spans="10:10" x14ac:dyDescent="0.3">
      <c r="J1825" s="188"/>
    </row>
    <row r="1826" spans="10:10" x14ac:dyDescent="0.3">
      <c r="J1826" s="188"/>
    </row>
    <row r="1827" spans="10:10" x14ac:dyDescent="0.3">
      <c r="J1827" s="188"/>
    </row>
    <row r="1828" spans="10:10" x14ac:dyDescent="0.3">
      <c r="J1828" s="188"/>
    </row>
    <row r="1829" spans="10:10" x14ac:dyDescent="0.3">
      <c r="J1829" s="188"/>
    </row>
    <row r="1830" spans="10:10" x14ac:dyDescent="0.3">
      <c r="J1830" s="188"/>
    </row>
    <row r="1831" spans="10:10" x14ac:dyDescent="0.3">
      <c r="J1831" s="188"/>
    </row>
    <row r="1832" spans="10:10" x14ac:dyDescent="0.3">
      <c r="J1832" s="188"/>
    </row>
    <row r="1833" spans="10:10" x14ac:dyDescent="0.3">
      <c r="J1833" s="188"/>
    </row>
    <row r="1834" spans="10:10" x14ac:dyDescent="0.3">
      <c r="J1834" s="188"/>
    </row>
    <row r="1835" spans="10:10" x14ac:dyDescent="0.3">
      <c r="J1835" s="188"/>
    </row>
    <row r="1836" spans="10:10" x14ac:dyDescent="0.3">
      <c r="J1836" s="188"/>
    </row>
    <row r="1837" spans="10:10" x14ac:dyDescent="0.3">
      <c r="J1837" s="188"/>
    </row>
    <row r="1838" spans="10:10" x14ac:dyDescent="0.3">
      <c r="J1838" s="188"/>
    </row>
    <row r="1839" spans="10:10" x14ac:dyDescent="0.3">
      <c r="J1839" s="188"/>
    </row>
    <row r="1840" spans="10:10" x14ac:dyDescent="0.3">
      <c r="J1840" s="188"/>
    </row>
    <row r="1841" spans="10:10" x14ac:dyDescent="0.3">
      <c r="J1841" s="188"/>
    </row>
    <row r="1842" spans="10:10" x14ac:dyDescent="0.3">
      <c r="J1842" s="188"/>
    </row>
    <row r="1843" spans="10:10" x14ac:dyDescent="0.3">
      <c r="J1843" s="188"/>
    </row>
    <row r="1844" spans="10:10" x14ac:dyDescent="0.3">
      <c r="J1844" s="188"/>
    </row>
    <row r="1845" spans="10:10" x14ac:dyDescent="0.3">
      <c r="J1845" s="188"/>
    </row>
    <row r="1846" spans="10:10" x14ac:dyDescent="0.3">
      <c r="J1846" s="188"/>
    </row>
    <row r="1847" spans="10:10" x14ac:dyDescent="0.3">
      <c r="J1847" s="188"/>
    </row>
    <row r="1848" spans="10:10" x14ac:dyDescent="0.3">
      <c r="J1848" s="188"/>
    </row>
    <row r="1849" spans="10:10" x14ac:dyDescent="0.3">
      <c r="J1849" s="188"/>
    </row>
    <row r="1850" spans="10:10" x14ac:dyDescent="0.3">
      <c r="J1850" s="188"/>
    </row>
    <row r="1851" spans="10:10" x14ac:dyDescent="0.3">
      <c r="J1851" s="188"/>
    </row>
    <row r="1852" spans="10:10" x14ac:dyDescent="0.3">
      <c r="J1852" s="188"/>
    </row>
    <row r="1853" spans="10:10" x14ac:dyDescent="0.3">
      <c r="J1853" s="188"/>
    </row>
    <row r="1854" spans="10:10" x14ac:dyDescent="0.3">
      <c r="J1854" s="188"/>
    </row>
    <row r="1855" spans="10:10" x14ac:dyDescent="0.3">
      <c r="J1855" s="188"/>
    </row>
    <row r="1856" spans="10:10" x14ac:dyDescent="0.3">
      <c r="J1856" s="188"/>
    </row>
    <row r="1857" spans="10:10" x14ac:dyDescent="0.3">
      <c r="J1857" s="188"/>
    </row>
    <row r="1858" spans="10:10" x14ac:dyDescent="0.3">
      <c r="J1858" s="188"/>
    </row>
    <row r="1859" spans="10:10" x14ac:dyDescent="0.3">
      <c r="J1859" s="188"/>
    </row>
    <row r="1860" spans="10:10" x14ac:dyDescent="0.3">
      <c r="J1860" s="188"/>
    </row>
    <row r="1861" spans="10:10" x14ac:dyDescent="0.3">
      <c r="J1861" s="188"/>
    </row>
    <row r="1862" spans="10:10" x14ac:dyDescent="0.3">
      <c r="J1862" s="188"/>
    </row>
    <row r="1863" spans="10:10" x14ac:dyDescent="0.3">
      <c r="J1863" s="188"/>
    </row>
    <row r="1864" spans="10:10" x14ac:dyDescent="0.3">
      <c r="J1864" s="188"/>
    </row>
    <row r="1865" spans="10:10" x14ac:dyDescent="0.3">
      <c r="J1865" s="188"/>
    </row>
    <row r="1866" spans="10:10" x14ac:dyDescent="0.3">
      <c r="J1866" s="188"/>
    </row>
    <row r="1867" spans="10:10" x14ac:dyDescent="0.3">
      <c r="J1867" s="188"/>
    </row>
    <row r="1868" spans="10:10" x14ac:dyDescent="0.3">
      <c r="J1868" s="188"/>
    </row>
    <row r="1869" spans="10:10" x14ac:dyDescent="0.3">
      <c r="J1869" s="188"/>
    </row>
    <row r="1870" spans="10:10" x14ac:dyDescent="0.3">
      <c r="J1870" s="188"/>
    </row>
    <row r="1871" spans="10:10" x14ac:dyDescent="0.3">
      <c r="J1871" s="188"/>
    </row>
    <row r="1872" spans="10:10" x14ac:dyDescent="0.3">
      <c r="J1872" s="188"/>
    </row>
    <row r="1873" spans="10:10" x14ac:dyDescent="0.3">
      <c r="J1873" s="188"/>
    </row>
    <row r="1874" spans="10:10" x14ac:dyDescent="0.3">
      <c r="J1874" s="188"/>
    </row>
    <row r="1875" spans="10:10" x14ac:dyDescent="0.3">
      <c r="J1875" s="188"/>
    </row>
    <row r="1876" spans="10:10" x14ac:dyDescent="0.3">
      <c r="J1876" s="188"/>
    </row>
    <row r="1877" spans="10:10" x14ac:dyDescent="0.3">
      <c r="J1877" s="188"/>
    </row>
    <row r="1878" spans="10:10" x14ac:dyDescent="0.3">
      <c r="J1878" s="188"/>
    </row>
    <row r="1879" spans="10:10" x14ac:dyDescent="0.3">
      <c r="J1879" s="188"/>
    </row>
    <row r="1880" spans="10:10" x14ac:dyDescent="0.3">
      <c r="J1880" s="188"/>
    </row>
    <row r="1881" spans="10:10" x14ac:dyDescent="0.3">
      <c r="J1881" s="188"/>
    </row>
    <row r="1882" spans="10:10" x14ac:dyDescent="0.3">
      <c r="J1882" s="188"/>
    </row>
    <row r="1883" spans="10:10" x14ac:dyDescent="0.3">
      <c r="J1883" s="188"/>
    </row>
    <row r="1884" spans="10:10" x14ac:dyDescent="0.3">
      <c r="J1884" s="188"/>
    </row>
    <row r="1885" spans="10:10" x14ac:dyDescent="0.3">
      <c r="J1885" s="188"/>
    </row>
    <row r="1886" spans="10:10" x14ac:dyDescent="0.3">
      <c r="J1886" s="188"/>
    </row>
    <row r="1887" spans="10:10" x14ac:dyDescent="0.3">
      <c r="J1887" s="188"/>
    </row>
    <row r="1888" spans="10:10" x14ac:dyDescent="0.3">
      <c r="J1888" s="188"/>
    </row>
    <row r="1889" spans="10:10" x14ac:dyDescent="0.3">
      <c r="J1889" s="188"/>
    </row>
    <row r="1890" spans="10:10" x14ac:dyDescent="0.3">
      <c r="J1890" s="188"/>
    </row>
    <row r="1891" spans="10:10" x14ac:dyDescent="0.3">
      <c r="J1891" s="188"/>
    </row>
    <row r="1892" spans="10:10" x14ac:dyDescent="0.3">
      <c r="J1892" s="188"/>
    </row>
    <row r="1893" spans="10:10" x14ac:dyDescent="0.3">
      <c r="J1893" s="188"/>
    </row>
    <row r="1894" spans="10:10" x14ac:dyDescent="0.3">
      <c r="J1894" s="188"/>
    </row>
    <row r="1895" spans="10:10" x14ac:dyDescent="0.3">
      <c r="J1895" s="188"/>
    </row>
    <row r="1896" spans="10:10" x14ac:dyDescent="0.3">
      <c r="J1896" s="188"/>
    </row>
    <row r="1897" spans="10:10" x14ac:dyDescent="0.3">
      <c r="J1897" s="188"/>
    </row>
    <row r="1898" spans="10:10" x14ac:dyDescent="0.3">
      <c r="J1898" s="188"/>
    </row>
    <row r="1899" spans="10:10" x14ac:dyDescent="0.3">
      <c r="J1899" s="188"/>
    </row>
    <row r="1900" spans="10:10" x14ac:dyDescent="0.3">
      <c r="J1900" s="188"/>
    </row>
    <row r="1901" spans="10:10" x14ac:dyDescent="0.3">
      <c r="J1901" s="188"/>
    </row>
    <row r="1902" spans="10:10" x14ac:dyDescent="0.3">
      <c r="J1902" s="188"/>
    </row>
    <row r="1903" spans="10:10" x14ac:dyDescent="0.3">
      <c r="J1903" s="188"/>
    </row>
    <row r="1904" spans="10:10" x14ac:dyDescent="0.3">
      <c r="J1904" s="188"/>
    </row>
    <row r="1905" spans="10:10" x14ac:dyDescent="0.3">
      <c r="J1905" s="188"/>
    </row>
    <row r="1906" spans="10:10" x14ac:dyDescent="0.3">
      <c r="J1906" s="188"/>
    </row>
    <row r="1907" spans="10:10" x14ac:dyDescent="0.3">
      <c r="J1907" s="188"/>
    </row>
    <row r="1908" spans="10:10" x14ac:dyDescent="0.3">
      <c r="J1908" s="188"/>
    </row>
    <row r="1909" spans="10:10" x14ac:dyDescent="0.3">
      <c r="J1909" s="188"/>
    </row>
    <row r="1910" spans="10:10" x14ac:dyDescent="0.3">
      <c r="J1910" s="188"/>
    </row>
    <row r="1911" spans="10:10" x14ac:dyDescent="0.3">
      <c r="J1911" s="188"/>
    </row>
    <row r="1912" spans="10:10" x14ac:dyDescent="0.3">
      <c r="J1912" s="188"/>
    </row>
    <row r="1913" spans="10:10" x14ac:dyDescent="0.3">
      <c r="J1913" s="188"/>
    </row>
    <row r="1914" spans="10:10" x14ac:dyDescent="0.3">
      <c r="J1914" s="188"/>
    </row>
    <row r="1915" spans="10:10" x14ac:dyDescent="0.3">
      <c r="J1915" s="188"/>
    </row>
    <row r="1916" spans="10:10" x14ac:dyDescent="0.3">
      <c r="J1916" s="188"/>
    </row>
    <row r="1917" spans="10:10" x14ac:dyDescent="0.3">
      <c r="J1917" s="188"/>
    </row>
    <row r="1918" spans="10:10" x14ac:dyDescent="0.3">
      <c r="J1918" s="188"/>
    </row>
    <row r="1919" spans="10:10" x14ac:dyDescent="0.3">
      <c r="J1919" s="188"/>
    </row>
    <row r="1920" spans="10:10" x14ac:dyDescent="0.3">
      <c r="J1920" s="188"/>
    </row>
    <row r="1921" spans="10:10" x14ac:dyDescent="0.3">
      <c r="J1921" s="188"/>
    </row>
    <row r="1922" spans="10:10" x14ac:dyDescent="0.3">
      <c r="J1922" s="188"/>
    </row>
    <row r="1923" spans="10:10" x14ac:dyDescent="0.3">
      <c r="J1923" s="188"/>
    </row>
    <row r="1924" spans="10:10" x14ac:dyDescent="0.3">
      <c r="J1924" s="188"/>
    </row>
    <row r="1925" spans="10:10" x14ac:dyDescent="0.3">
      <c r="J1925" s="188"/>
    </row>
    <row r="1926" spans="10:10" x14ac:dyDescent="0.3">
      <c r="J1926" s="188"/>
    </row>
    <row r="1927" spans="10:10" x14ac:dyDescent="0.3">
      <c r="J1927" s="188"/>
    </row>
    <row r="1928" spans="10:10" x14ac:dyDescent="0.3">
      <c r="J1928" s="188"/>
    </row>
    <row r="1929" spans="10:10" x14ac:dyDescent="0.3">
      <c r="J1929" s="188"/>
    </row>
    <row r="1930" spans="10:10" x14ac:dyDescent="0.3">
      <c r="J1930" s="188"/>
    </row>
    <row r="1931" spans="10:10" x14ac:dyDescent="0.3">
      <c r="J1931" s="188"/>
    </row>
    <row r="1932" spans="10:10" x14ac:dyDescent="0.3">
      <c r="J1932" s="188"/>
    </row>
    <row r="1933" spans="10:10" x14ac:dyDescent="0.3">
      <c r="J1933" s="188"/>
    </row>
    <row r="1934" spans="10:10" x14ac:dyDescent="0.3">
      <c r="J1934" s="188"/>
    </row>
    <row r="1935" spans="10:10" x14ac:dyDescent="0.3">
      <c r="J1935" s="188"/>
    </row>
    <row r="1936" spans="10:10" x14ac:dyDescent="0.3">
      <c r="J1936" s="188"/>
    </row>
    <row r="1937" spans="10:10" x14ac:dyDescent="0.3">
      <c r="J1937" s="188"/>
    </row>
    <row r="1938" spans="10:10" x14ac:dyDescent="0.3">
      <c r="J1938" s="188"/>
    </row>
    <row r="1939" spans="10:10" x14ac:dyDescent="0.3">
      <c r="J1939" s="188"/>
    </row>
    <row r="1940" spans="10:10" x14ac:dyDescent="0.3">
      <c r="J1940" s="188"/>
    </row>
    <row r="1941" spans="10:10" x14ac:dyDescent="0.3">
      <c r="J1941" s="188"/>
    </row>
    <row r="1942" spans="10:10" x14ac:dyDescent="0.3">
      <c r="J1942" s="188"/>
    </row>
    <row r="1943" spans="10:10" x14ac:dyDescent="0.3">
      <c r="J1943" s="188"/>
    </row>
    <row r="1944" spans="10:10" x14ac:dyDescent="0.3">
      <c r="J1944" s="188"/>
    </row>
    <row r="1945" spans="10:10" x14ac:dyDescent="0.3">
      <c r="J1945" s="188"/>
    </row>
    <row r="1946" spans="10:10" x14ac:dyDescent="0.3">
      <c r="J1946" s="188"/>
    </row>
    <row r="1947" spans="10:10" x14ac:dyDescent="0.3">
      <c r="J1947" s="188"/>
    </row>
    <row r="1948" spans="10:10" x14ac:dyDescent="0.3">
      <c r="J1948" s="188"/>
    </row>
    <row r="1949" spans="10:10" x14ac:dyDescent="0.3">
      <c r="J1949" s="188"/>
    </row>
    <row r="1950" spans="10:10" x14ac:dyDescent="0.3">
      <c r="J1950" s="188"/>
    </row>
    <row r="1951" spans="10:10" x14ac:dyDescent="0.3">
      <c r="J1951" s="188"/>
    </row>
    <row r="1952" spans="10:10" x14ac:dyDescent="0.3">
      <c r="J1952" s="188"/>
    </row>
    <row r="1953" spans="10:10" x14ac:dyDescent="0.3">
      <c r="J1953" s="188"/>
    </row>
    <row r="1954" spans="10:10" x14ac:dyDescent="0.3">
      <c r="J1954" s="188"/>
    </row>
    <row r="1955" spans="10:10" x14ac:dyDescent="0.3">
      <c r="J1955" s="188"/>
    </row>
    <row r="1956" spans="10:10" x14ac:dyDescent="0.3">
      <c r="J1956" s="188"/>
    </row>
    <row r="1957" spans="10:10" x14ac:dyDescent="0.3">
      <c r="J1957" s="188"/>
    </row>
    <row r="1958" spans="10:10" x14ac:dyDescent="0.3">
      <c r="J1958" s="188"/>
    </row>
    <row r="1959" spans="10:10" x14ac:dyDescent="0.3">
      <c r="J1959" s="188"/>
    </row>
    <row r="1960" spans="10:10" x14ac:dyDescent="0.3">
      <c r="J1960" s="188"/>
    </row>
    <row r="1961" spans="10:10" x14ac:dyDescent="0.3">
      <c r="J1961" s="188"/>
    </row>
    <row r="1962" spans="10:10" x14ac:dyDescent="0.3">
      <c r="J1962" s="188"/>
    </row>
    <row r="1963" spans="10:10" x14ac:dyDescent="0.3">
      <c r="J1963" s="188"/>
    </row>
    <row r="1964" spans="10:10" x14ac:dyDescent="0.3">
      <c r="J1964" s="188"/>
    </row>
    <row r="1965" spans="10:10" x14ac:dyDescent="0.3">
      <c r="J1965" s="188"/>
    </row>
    <row r="1966" spans="10:10" x14ac:dyDescent="0.3">
      <c r="J1966" s="188"/>
    </row>
    <row r="1967" spans="10:10" x14ac:dyDescent="0.3">
      <c r="J1967" s="188"/>
    </row>
    <row r="1968" spans="10:10" x14ac:dyDescent="0.3">
      <c r="J1968" s="188"/>
    </row>
    <row r="1969" spans="10:10" x14ac:dyDescent="0.3">
      <c r="J1969" s="188"/>
    </row>
    <row r="1970" spans="10:10" x14ac:dyDescent="0.3">
      <c r="J1970" s="188"/>
    </row>
    <row r="1971" spans="10:10" x14ac:dyDescent="0.3">
      <c r="J1971" s="188"/>
    </row>
    <row r="1972" spans="10:10" x14ac:dyDescent="0.3">
      <c r="J1972" s="188"/>
    </row>
    <row r="1973" spans="10:10" x14ac:dyDescent="0.3">
      <c r="J1973" s="188"/>
    </row>
    <row r="1974" spans="10:10" x14ac:dyDescent="0.3">
      <c r="J1974" s="188"/>
    </row>
    <row r="1975" spans="10:10" x14ac:dyDescent="0.3">
      <c r="J1975" s="188"/>
    </row>
    <row r="1976" spans="10:10" x14ac:dyDescent="0.3">
      <c r="J1976" s="188"/>
    </row>
    <row r="1977" spans="10:10" x14ac:dyDescent="0.3">
      <c r="J1977" s="188"/>
    </row>
    <row r="1978" spans="10:10" x14ac:dyDescent="0.3">
      <c r="J1978" s="188"/>
    </row>
    <row r="1979" spans="10:10" x14ac:dyDescent="0.3">
      <c r="J1979" s="188"/>
    </row>
    <row r="1980" spans="10:10" x14ac:dyDescent="0.3">
      <c r="J1980" s="188"/>
    </row>
    <row r="1981" spans="10:10" x14ac:dyDescent="0.3">
      <c r="J1981" s="188"/>
    </row>
    <row r="1982" spans="10:10" x14ac:dyDescent="0.3">
      <c r="J1982" s="188"/>
    </row>
    <row r="1983" spans="10:10" x14ac:dyDescent="0.3">
      <c r="J1983" s="188"/>
    </row>
    <row r="1984" spans="10:10" x14ac:dyDescent="0.3">
      <c r="J1984" s="188"/>
    </row>
    <row r="1985" spans="10:10" x14ac:dyDescent="0.3">
      <c r="J1985" s="188"/>
    </row>
    <row r="1986" spans="10:10" x14ac:dyDescent="0.3">
      <c r="J1986" s="188"/>
    </row>
    <row r="1987" spans="10:10" x14ac:dyDescent="0.3">
      <c r="J1987" s="188"/>
    </row>
    <row r="1988" spans="10:10" x14ac:dyDescent="0.3">
      <c r="J1988" s="188"/>
    </row>
    <row r="1989" spans="10:10" x14ac:dyDescent="0.3">
      <c r="J1989" s="188"/>
    </row>
    <row r="1990" spans="10:10" x14ac:dyDescent="0.3">
      <c r="J1990" s="188"/>
    </row>
    <row r="1991" spans="10:10" x14ac:dyDescent="0.3">
      <c r="J1991" s="188"/>
    </row>
    <row r="1992" spans="10:10" x14ac:dyDescent="0.3">
      <c r="J1992" s="188"/>
    </row>
    <row r="1993" spans="10:10" x14ac:dyDescent="0.3">
      <c r="J1993" s="188"/>
    </row>
    <row r="1994" spans="10:10" x14ac:dyDescent="0.3">
      <c r="J1994" s="188"/>
    </row>
    <row r="1995" spans="10:10" x14ac:dyDescent="0.3">
      <c r="J1995" s="188"/>
    </row>
    <row r="1996" spans="10:10" x14ac:dyDescent="0.3">
      <c r="J1996" s="188"/>
    </row>
    <row r="1997" spans="10:10" x14ac:dyDescent="0.3">
      <c r="J1997" s="188"/>
    </row>
    <row r="1998" spans="10:10" x14ac:dyDescent="0.3">
      <c r="J1998" s="188"/>
    </row>
    <row r="1999" spans="10:10" x14ac:dyDescent="0.3">
      <c r="J1999" s="188"/>
    </row>
    <row r="2000" spans="10:10" x14ac:dyDescent="0.3">
      <c r="J2000" s="188"/>
    </row>
    <row r="2001" spans="10:10" x14ac:dyDescent="0.3">
      <c r="J2001" s="188"/>
    </row>
    <row r="2002" spans="10:10" x14ac:dyDescent="0.3">
      <c r="J2002" s="188"/>
    </row>
    <row r="2003" spans="10:10" x14ac:dyDescent="0.3">
      <c r="J2003" s="188"/>
    </row>
    <row r="2004" spans="10:10" x14ac:dyDescent="0.3">
      <c r="J2004" s="188"/>
    </row>
    <row r="2005" spans="10:10" x14ac:dyDescent="0.3">
      <c r="J2005" s="188"/>
    </row>
    <row r="2006" spans="10:10" x14ac:dyDescent="0.3">
      <c r="J2006" s="188"/>
    </row>
    <row r="2007" spans="10:10" x14ac:dyDescent="0.3">
      <c r="J2007" s="188"/>
    </row>
    <row r="2008" spans="10:10" x14ac:dyDescent="0.3">
      <c r="J2008" s="188"/>
    </row>
    <row r="2009" spans="10:10" x14ac:dyDescent="0.3">
      <c r="J2009" s="188"/>
    </row>
    <row r="2010" spans="10:10" x14ac:dyDescent="0.3">
      <c r="J2010" s="188"/>
    </row>
    <row r="2011" spans="10:10" x14ac:dyDescent="0.3">
      <c r="J2011" s="188"/>
    </row>
    <row r="2012" spans="10:10" x14ac:dyDescent="0.3">
      <c r="J2012" s="188"/>
    </row>
    <row r="2013" spans="10:10" x14ac:dyDescent="0.3">
      <c r="J2013" s="188"/>
    </row>
    <row r="2014" spans="10:10" x14ac:dyDescent="0.3">
      <c r="J2014" s="188"/>
    </row>
    <row r="2015" spans="10:10" x14ac:dyDescent="0.3">
      <c r="J2015" s="188"/>
    </row>
    <row r="2016" spans="10:10" x14ac:dyDescent="0.3">
      <c r="J2016" s="188"/>
    </row>
    <row r="2017" spans="10:10" x14ac:dyDescent="0.3">
      <c r="J2017" s="188"/>
    </row>
    <row r="2018" spans="10:10" x14ac:dyDescent="0.3">
      <c r="J2018" s="188"/>
    </row>
    <row r="2019" spans="10:10" x14ac:dyDescent="0.3">
      <c r="J2019" s="188"/>
    </row>
    <row r="2020" spans="10:10" x14ac:dyDescent="0.3">
      <c r="J2020" s="188"/>
    </row>
    <row r="2021" spans="10:10" x14ac:dyDescent="0.3">
      <c r="J2021" s="188"/>
    </row>
    <row r="2022" spans="10:10" x14ac:dyDescent="0.3">
      <c r="J2022" s="188"/>
    </row>
    <row r="2023" spans="10:10" x14ac:dyDescent="0.3">
      <c r="J2023" s="188"/>
    </row>
    <row r="2024" spans="10:10" x14ac:dyDescent="0.3">
      <c r="J2024" s="188"/>
    </row>
    <row r="2025" spans="10:10" x14ac:dyDescent="0.3">
      <c r="J2025" s="188"/>
    </row>
    <row r="2026" spans="10:10" x14ac:dyDescent="0.3">
      <c r="J2026" s="188"/>
    </row>
    <row r="2027" spans="10:10" x14ac:dyDescent="0.3">
      <c r="J2027" s="188"/>
    </row>
    <row r="2028" spans="10:10" x14ac:dyDescent="0.3">
      <c r="J2028" s="188"/>
    </row>
    <row r="2029" spans="10:10" x14ac:dyDescent="0.3">
      <c r="J2029" s="188"/>
    </row>
    <row r="2030" spans="10:10" x14ac:dyDescent="0.3">
      <c r="J2030" s="188"/>
    </row>
    <row r="2031" spans="10:10" x14ac:dyDescent="0.3">
      <c r="J2031" s="188"/>
    </row>
    <row r="2032" spans="10:10" x14ac:dyDescent="0.3">
      <c r="J2032" s="188"/>
    </row>
    <row r="2033" spans="10:10" x14ac:dyDescent="0.3">
      <c r="J2033" s="188"/>
    </row>
    <row r="2034" spans="10:10" x14ac:dyDescent="0.3">
      <c r="J2034" s="188"/>
    </row>
    <row r="2035" spans="10:10" x14ac:dyDescent="0.3">
      <c r="J2035" s="188"/>
    </row>
    <row r="2036" spans="10:10" x14ac:dyDescent="0.3">
      <c r="J2036" s="188"/>
    </row>
    <row r="2037" spans="10:10" x14ac:dyDescent="0.3">
      <c r="J2037" s="188"/>
    </row>
    <row r="2038" spans="10:10" x14ac:dyDescent="0.3">
      <c r="J2038" s="188"/>
    </row>
    <row r="2039" spans="10:10" x14ac:dyDescent="0.3">
      <c r="J2039" s="188"/>
    </row>
    <row r="2040" spans="10:10" x14ac:dyDescent="0.3">
      <c r="J2040" s="188"/>
    </row>
    <row r="2041" spans="10:10" x14ac:dyDescent="0.3">
      <c r="J2041" s="188"/>
    </row>
    <row r="2042" spans="10:10" x14ac:dyDescent="0.3">
      <c r="J2042" s="188"/>
    </row>
    <row r="2043" spans="10:10" x14ac:dyDescent="0.3">
      <c r="J2043" s="188"/>
    </row>
    <row r="2044" spans="10:10" x14ac:dyDescent="0.3">
      <c r="J2044" s="188"/>
    </row>
    <row r="2045" spans="10:10" x14ac:dyDescent="0.3">
      <c r="J2045" s="188"/>
    </row>
    <row r="2046" spans="10:10" x14ac:dyDescent="0.3">
      <c r="J2046" s="188"/>
    </row>
    <row r="2047" spans="10:10" x14ac:dyDescent="0.3">
      <c r="J2047" s="188"/>
    </row>
    <row r="2048" spans="10:10" x14ac:dyDescent="0.3">
      <c r="J2048" s="188"/>
    </row>
    <row r="2049" spans="10:10" x14ac:dyDescent="0.3">
      <c r="J2049" s="188"/>
    </row>
    <row r="2050" spans="10:10" x14ac:dyDescent="0.3">
      <c r="J2050" s="188"/>
    </row>
    <row r="2051" spans="10:10" x14ac:dyDescent="0.3">
      <c r="J2051" s="188"/>
    </row>
    <row r="2052" spans="10:10" x14ac:dyDescent="0.3">
      <c r="J2052" s="188"/>
    </row>
    <row r="2053" spans="10:10" x14ac:dyDescent="0.3">
      <c r="J2053" s="188"/>
    </row>
    <row r="2054" spans="10:10" x14ac:dyDescent="0.3">
      <c r="J2054" s="188"/>
    </row>
    <row r="2055" spans="10:10" x14ac:dyDescent="0.3">
      <c r="J2055" s="188"/>
    </row>
    <row r="2056" spans="10:10" x14ac:dyDescent="0.3">
      <c r="J2056" s="188"/>
    </row>
    <row r="2057" spans="10:10" x14ac:dyDescent="0.3">
      <c r="J2057" s="188"/>
    </row>
    <row r="2058" spans="10:10" x14ac:dyDescent="0.3">
      <c r="J2058" s="188"/>
    </row>
    <row r="2059" spans="10:10" x14ac:dyDescent="0.3">
      <c r="J2059" s="188"/>
    </row>
    <row r="2060" spans="10:10" x14ac:dyDescent="0.3">
      <c r="J2060" s="188"/>
    </row>
    <row r="2061" spans="10:10" x14ac:dyDescent="0.3">
      <c r="J2061" s="188"/>
    </row>
    <row r="2062" spans="10:10" x14ac:dyDescent="0.3">
      <c r="J2062" s="188"/>
    </row>
    <row r="2063" spans="10:10" x14ac:dyDescent="0.3">
      <c r="J2063" s="188"/>
    </row>
    <row r="2064" spans="10:10" x14ac:dyDescent="0.3">
      <c r="J2064" s="188"/>
    </row>
    <row r="2065" spans="10:10" x14ac:dyDescent="0.3">
      <c r="J2065" s="188"/>
    </row>
    <row r="2066" spans="10:10" x14ac:dyDescent="0.3">
      <c r="J2066" s="188"/>
    </row>
    <row r="2067" spans="10:10" x14ac:dyDescent="0.3">
      <c r="J2067" s="188"/>
    </row>
    <row r="2068" spans="10:10" x14ac:dyDescent="0.3">
      <c r="J2068" s="188"/>
    </row>
    <row r="2069" spans="10:10" x14ac:dyDescent="0.3">
      <c r="J2069" s="188"/>
    </row>
    <row r="2070" spans="10:10" x14ac:dyDescent="0.3">
      <c r="J2070" s="188"/>
    </row>
    <row r="2071" spans="10:10" x14ac:dyDescent="0.3">
      <c r="J2071" s="188"/>
    </row>
    <row r="2072" spans="10:10" x14ac:dyDescent="0.3">
      <c r="J2072" s="188"/>
    </row>
    <row r="2073" spans="10:10" x14ac:dyDescent="0.3">
      <c r="J2073" s="188"/>
    </row>
    <row r="2074" spans="10:10" x14ac:dyDescent="0.3">
      <c r="J2074" s="188"/>
    </row>
    <row r="2075" spans="10:10" x14ac:dyDescent="0.3">
      <c r="J2075" s="188"/>
    </row>
    <row r="2076" spans="10:10" x14ac:dyDescent="0.3">
      <c r="J2076" s="188"/>
    </row>
    <row r="2077" spans="10:10" x14ac:dyDescent="0.3">
      <c r="J2077" s="188"/>
    </row>
    <row r="2078" spans="10:10" x14ac:dyDescent="0.3">
      <c r="J2078" s="188"/>
    </row>
    <row r="2079" spans="10:10" x14ac:dyDescent="0.3">
      <c r="J2079" s="188"/>
    </row>
    <row r="2080" spans="10:10" x14ac:dyDescent="0.3">
      <c r="J2080" s="188"/>
    </row>
    <row r="2081" spans="10:10" x14ac:dyDescent="0.3">
      <c r="J2081" s="188"/>
    </row>
    <row r="2082" spans="10:10" x14ac:dyDescent="0.3">
      <c r="J2082" s="188"/>
    </row>
    <row r="2083" spans="10:10" x14ac:dyDescent="0.3">
      <c r="J2083" s="188"/>
    </row>
    <row r="2084" spans="10:10" x14ac:dyDescent="0.3">
      <c r="J2084" s="188"/>
    </row>
    <row r="2085" spans="10:10" x14ac:dyDescent="0.3">
      <c r="J2085" s="188"/>
    </row>
    <row r="2086" spans="10:10" x14ac:dyDescent="0.3">
      <c r="J2086" s="188"/>
    </row>
    <row r="2087" spans="10:10" x14ac:dyDescent="0.3">
      <c r="J2087" s="188"/>
    </row>
    <row r="2088" spans="10:10" x14ac:dyDescent="0.3">
      <c r="J2088" s="188"/>
    </row>
    <row r="2089" spans="10:10" x14ac:dyDescent="0.3">
      <c r="J2089" s="188"/>
    </row>
    <row r="2090" spans="10:10" x14ac:dyDescent="0.3">
      <c r="J2090" s="188"/>
    </row>
    <row r="2091" spans="10:10" x14ac:dyDescent="0.3">
      <c r="J2091" s="188"/>
    </row>
    <row r="2092" spans="10:10" x14ac:dyDescent="0.3">
      <c r="J2092" s="188"/>
    </row>
    <row r="2093" spans="10:10" x14ac:dyDescent="0.3">
      <c r="J2093" s="188"/>
    </row>
    <row r="2094" spans="10:10" x14ac:dyDescent="0.3">
      <c r="J2094" s="188"/>
    </row>
    <row r="2095" spans="10:10" x14ac:dyDescent="0.3">
      <c r="J2095" s="188"/>
    </row>
    <row r="2096" spans="10:10" x14ac:dyDescent="0.3">
      <c r="J2096" s="188"/>
    </row>
    <row r="2097" spans="10:10" x14ac:dyDescent="0.3">
      <c r="J2097" s="188"/>
    </row>
    <row r="2098" spans="10:10" x14ac:dyDescent="0.3">
      <c r="J2098" s="188"/>
    </row>
    <row r="2099" spans="10:10" x14ac:dyDescent="0.3">
      <c r="J2099" s="188"/>
    </row>
    <row r="2100" spans="10:10" x14ac:dyDescent="0.3">
      <c r="J2100" s="188"/>
    </row>
    <row r="2101" spans="10:10" x14ac:dyDescent="0.3">
      <c r="J2101" s="188"/>
    </row>
    <row r="2102" spans="10:10" x14ac:dyDescent="0.3">
      <c r="J2102" s="188"/>
    </row>
    <row r="2103" spans="10:10" x14ac:dyDescent="0.3">
      <c r="J2103" s="188"/>
    </row>
    <row r="2104" spans="10:10" x14ac:dyDescent="0.3">
      <c r="J2104" s="188"/>
    </row>
    <row r="2105" spans="10:10" x14ac:dyDescent="0.3">
      <c r="J2105" s="188"/>
    </row>
    <row r="2106" spans="10:10" x14ac:dyDescent="0.3">
      <c r="J2106" s="188"/>
    </row>
    <row r="2107" spans="10:10" x14ac:dyDescent="0.3">
      <c r="J2107" s="188"/>
    </row>
    <row r="2108" spans="10:10" x14ac:dyDescent="0.3">
      <c r="J2108" s="188"/>
    </row>
    <row r="2109" spans="10:10" x14ac:dyDescent="0.3">
      <c r="J2109" s="188"/>
    </row>
    <row r="2110" spans="10:10" x14ac:dyDescent="0.3">
      <c r="J2110" s="188"/>
    </row>
    <row r="2111" spans="10:10" x14ac:dyDescent="0.3">
      <c r="J2111" s="188"/>
    </row>
    <row r="2112" spans="10:10" x14ac:dyDescent="0.3">
      <c r="J2112" s="188"/>
    </row>
    <row r="2113" spans="10:10" x14ac:dyDescent="0.3">
      <c r="J2113" s="188"/>
    </row>
    <row r="2114" spans="10:10" x14ac:dyDescent="0.3">
      <c r="J2114" s="188"/>
    </row>
    <row r="2115" spans="10:10" x14ac:dyDescent="0.3">
      <c r="J2115" s="188"/>
    </row>
    <row r="2116" spans="10:10" x14ac:dyDescent="0.3">
      <c r="J2116" s="188"/>
    </row>
    <row r="2117" spans="10:10" x14ac:dyDescent="0.3">
      <c r="J2117" s="188"/>
    </row>
    <row r="2118" spans="10:10" x14ac:dyDescent="0.3">
      <c r="J2118" s="188"/>
    </row>
    <row r="2119" spans="10:10" x14ac:dyDescent="0.3">
      <c r="J2119" s="188"/>
    </row>
    <row r="2120" spans="10:10" x14ac:dyDescent="0.3">
      <c r="J2120" s="188"/>
    </row>
    <row r="2121" spans="10:10" x14ac:dyDescent="0.3">
      <c r="J2121" s="188"/>
    </row>
    <row r="2122" spans="10:10" x14ac:dyDescent="0.3">
      <c r="J2122" s="188"/>
    </row>
    <row r="2123" spans="10:10" x14ac:dyDescent="0.3">
      <c r="J2123" s="188"/>
    </row>
    <row r="2124" spans="10:10" x14ac:dyDescent="0.3">
      <c r="J2124" s="188"/>
    </row>
    <row r="2125" spans="10:10" x14ac:dyDescent="0.3">
      <c r="J2125" s="188"/>
    </row>
    <row r="2126" spans="10:10" x14ac:dyDescent="0.3">
      <c r="J2126" s="188"/>
    </row>
    <row r="2127" spans="10:10" x14ac:dyDescent="0.3">
      <c r="J2127" s="188"/>
    </row>
    <row r="2128" spans="10:10" x14ac:dyDescent="0.3">
      <c r="J2128" s="188"/>
    </row>
    <row r="2129" spans="10:10" x14ac:dyDescent="0.3">
      <c r="J2129" s="188"/>
    </row>
    <row r="2130" spans="10:10" x14ac:dyDescent="0.3">
      <c r="J2130" s="188"/>
    </row>
    <row r="2131" spans="10:10" x14ac:dyDescent="0.3">
      <c r="J2131" s="188"/>
    </row>
    <row r="2132" spans="10:10" x14ac:dyDescent="0.3">
      <c r="J2132" s="188"/>
    </row>
    <row r="2133" spans="10:10" x14ac:dyDescent="0.3">
      <c r="J2133" s="188"/>
    </row>
    <row r="2134" spans="10:10" x14ac:dyDescent="0.3">
      <c r="J2134" s="188"/>
    </row>
    <row r="2135" spans="10:10" x14ac:dyDescent="0.3">
      <c r="J2135" s="188"/>
    </row>
    <row r="2136" spans="10:10" x14ac:dyDescent="0.3">
      <c r="J2136" s="188"/>
    </row>
    <row r="2137" spans="10:10" x14ac:dyDescent="0.3">
      <c r="J2137" s="188"/>
    </row>
    <row r="2138" spans="10:10" x14ac:dyDescent="0.3">
      <c r="J2138" s="188"/>
    </row>
    <row r="2139" spans="10:10" x14ac:dyDescent="0.3">
      <c r="J2139" s="188"/>
    </row>
    <row r="2140" spans="10:10" x14ac:dyDescent="0.3">
      <c r="J2140" s="188"/>
    </row>
    <row r="2141" spans="10:10" x14ac:dyDescent="0.3">
      <c r="J2141" s="188"/>
    </row>
    <row r="2142" spans="10:10" x14ac:dyDescent="0.3">
      <c r="J2142" s="188"/>
    </row>
    <row r="2143" spans="10:10" x14ac:dyDescent="0.3">
      <c r="J2143" s="188"/>
    </row>
    <row r="2144" spans="10:10" x14ac:dyDescent="0.3">
      <c r="J2144" s="188"/>
    </row>
    <row r="2145" spans="10:10" x14ac:dyDescent="0.3">
      <c r="J2145" s="188"/>
    </row>
    <row r="2146" spans="10:10" x14ac:dyDescent="0.3">
      <c r="J2146" s="188"/>
    </row>
    <row r="2147" spans="10:10" x14ac:dyDescent="0.3">
      <c r="J2147" s="188"/>
    </row>
    <row r="2148" spans="10:10" x14ac:dyDescent="0.3">
      <c r="J2148" s="188"/>
    </row>
    <row r="2149" spans="10:10" x14ac:dyDescent="0.3">
      <c r="J2149" s="188"/>
    </row>
    <row r="2150" spans="10:10" x14ac:dyDescent="0.3">
      <c r="J2150" s="188"/>
    </row>
    <row r="2151" spans="10:10" x14ac:dyDescent="0.3">
      <c r="J2151" s="188"/>
    </row>
    <row r="2152" spans="10:10" x14ac:dyDescent="0.3">
      <c r="J2152" s="188"/>
    </row>
    <row r="2153" spans="10:10" x14ac:dyDescent="0.3">
      <c r="J2153" s="188"/>
    </row>
    <row r="2154" spans="10:10" x14ac:dyDescent="0.3">
      <c r="J2154" s="188"/>
    </row>
    <row r="2155" spans="10:10" x14ac:dyDescent="0.3">
      <c r="J2155" s="188"/>
    </row>
    <row r="2156" spans="10:10" x14ac:dyDescent="0.3">
      <c r="J2156" s="188"/>
    </row>
    <row r="2157" spans="10:10" x14ac:dyDescent="0.3">
      <c r="J2157" s="188"/>
    </row>
    <row r="2158" spans="10:10" x14ac:dyDescent="0.3">
      <c r="J2158" s="188"/>
    </row>
    <row r="2159" spans="10:10" x14ac:dyDescent="0.3">
      <c r="J2159" s="188"/>
    </row>
    <row r="2160" spans="10:10" x14ac:dyDescent="0.3">
      <c r="J2160" s="188"/>
    </row>
    <row r="2161" spans="10:10" x14ac:dyDescent="0.3">
      <c r="J2161" s="188"/>
    </row>
    <row r="2162" spans="10:10" x14ac:dyDescent="0.3">
      <c r="J2162" s="188"/>
    </row>
    <row r="2163" spans="10:10" x14ac:dyDescent="0.3">
      <c r="J2163" s="188"/>
    </row>
    <row r="2164" spans="10:10" x14ac:dyDescent="0.3">
      <c r="J2164" s="188"/>
    </row>
    <row r="2165" spans="10:10" x14ac:dyDescent="0.3">
      <c r="J2165" s="188"/>
    </row>
    <row r="2166" spans="10:10" x14ac:dyDescent="0.3">
      <c r="J2166" s="188"/>
    </row>
    <row r="2167" spans="10:10" x14ac:dyDescent="0.3">
      <c r="J2167" s="188"/>
    </row>
    <row r="2168" spans="10:10" x14ac:dyDescent="0.3">
      <c r="J2168" s="188"/>
    </row>
    <row r="2169" spans="10:10" x14ac:dyDescent="0.3">
      <c r="J2169" s="188"/>
    </row>
    <row r="2170" spans="10:10" x14ac:dyDescent="0.3">
      <c r="J2170" s="188"/>
    </row>
    <row r="2171" spans="10:10" x14ac:dyDescent="0.3">
      <c r="J2171" s="188"/>
    </row>
    <row r="2172" spans="10:10" x14ac:dyDescent="0.3">
      <c r="J2172" s="188"/>
    </row>
    <row r="2173" spans="10:10" x14ac:dyDescent="0.3">
      <c r="J2173" s="188"/>
    </row>
    <row r="2174" spans="10:10" x14ac:dyDescent="0.3">
      <c r="J2174" s="188"/>
    </row>
    <row r="2175" spans="10:10" x14ac:dyDescent="0.3">
      <c r="J2175" s="188"/>
    </row>
    <row r="2176" spans="10:10" x14ac:dyDescent="0.3">
      <c r="J2176" s="188"/>
    </row>
    <row r="2177" spans="10:10" x14ac:dyDescent="0.3">
      <c r="J2177" s="188"/>
    </row>
    <row r="2178" spans="10:10" x14ac:dyDescent="0.3">
      <c r="J2178" s="188"/>
    </row>
    <row r="2179" spans="10:10" x14ac:dyDescent="0.3">
      <c r="J2179" s="188"/>
    </row>
    <row r="2180" spans="10:10" x14ac:dyDescent="0.3">
      <c r="J2180" s="188"/>
    </row>
    <row r="2181" spans="10:10" x14ac:dyDescent="0.3">
      <c r="J2181" s="188"/>
    </row>
    <row r="2182" spans="10:10" x14ac:dyDescent="0.3">
      <c r="J2182" s="188"/>
    </row>
    <row r="2183" spans="10:10" x14ac:dyDescent="0.3">
      <c r="J2183" s="188"/>
    </row>
    <row r="2184" spans="10:10" x14ac:dyDescent="0.3">
      <c r="J2184" s="188"/>
    </row>
    <row r="2185" spans="10:10" x14ac:dyDescent="0.3">
      <c r="J2185" s="188"/>
    </row>
    <row r="2186" spans="10:10" x14ac:dyDescent="0.3">
      <c r="J2186" s="188"/>
    </row>
    <row r="2187" spans="10:10" x14ac:dyDescent="0.3">
      <c r="J2187" s="188"/>
    </row>
    <row r="2188" spans="10:10" x14ac:dyDescent="0.3">
      <c r="J2188" s="188"/>
    </row>
    <row r="2189" spans="10:10" x14ac:dyDescent="0.3">
      <c r="J2189" s="188"/>
    </row>
    <row r="2190" spans="10:10" x14ac:dyDescent="0.3">
      <c r="J2190" s="188"/>
    </row>
    <row r="2191" spans="10:10" x14ac:dyDescent="0.3">
      <c r="J2191" s="188"/>
    </row>
    <row r="2192" spans="10:10" x14ac:dyDescent="0.3">
      <c r="J2192" s="188"/>
    </row>
    <row r="2193" spans="10:10" x14ac:dyDescent="0.3">
      <c r="J2193" s="188"/>
    </row>
    <row r="2194" spans="10:10" x14ac:dyDescent="0.3">
      <c r="J2194" s="188"/>
    </row>
    <row r="2195" spans="10:10" x14ac:dyDescent="0.3">
      <c r="J2195" s="188"/>
    </row>
    <row r="2196" spans="10:10" x14ac:dyDescent="0.3">
      <c r="J2196" s="188"/>
    </row>
    <row r="2197" spans="10:10" x14ac:dyDescent="0.3">
      <c r="J2197" s="188"/>
    </row>
    <row r="2198" spans="10:10" x14ac:dyDescent="0.3">
      <c r="J2198" s="188"/>
    </row>
    <row r="2199" spans="10:10" x14ac:dyDescent="0.3">
      <c r="J2199" s="188"/>
    </row>
    <row r="2200" spans="10:10" x14ac:dyDescent="0.3">
      <c r="J2200" s="188"/>
    </row>
    <row r="2201" spans="10:10" x14ac:dyDescent="0.3">
      <c r="J2201" s="188"/>
    </row>
    <row r="2202" spans="10:10" x14ac:dyDescent="0.3">
      <c r="J2202" s="188"/>
    </row>
    <row r="2203" spans="10:10" x14ac:dyDescent="0.3">
      <c r="J2203" s="188"/>
    </row>
    <row r="2204" spans="10:10" x14ac:dyDescent="0.3">
      <c r="J2204" s="188"/>
    </row>
    <row r="2205" spans="10:10" x14ac:dyDescent="0.3">
      <c r="J2205" s="188"/>
    </row>
    <row r="2206" spans="10:10" x14ac:dyDescent="0.3">
      <c r="J2206" s="188"/>
    </row>
    <row r="2207" spans="10:10" x14ac:dyDescent="0.3">
      <c r="J2207" s="188"/>
    </row>
    <row r="2208" spans="10:10" x14ac:dyDescent="0.3">
      <c r="J2208" s="188"/>
    </row>
    <row r="2209" spans="10:10" x14ac:dyDescent="0.3">
      <c r="J2209" s="188"/>
    </row>
    <row r="2210" spans="10:10" x14ac:dyDescent="0.3">
      <c r="J2210" s="188"/>
    </row>
    <row r="2211" spans="10:10" x14ac:dyDescent="0.3">
      <c r="J2211" s="188"/>
    </row>
    <row r="2212" spans="10:10" x14ac:dyDescent="0.3">
      <c r="J2212" s="188"/>
    </row>
    <row r="2213" spans="10:10" x14ac:dyDescent="0.3">
      <c r="J2213" s="188"/>
    </row>
    <row r="2214" spans="10:10" x14ac:dyDescent="0.3">
      <c r="J2214" s="188"/>
    </row>
    <row r="2215" spans="10:10" x14ac:dyDescent="0.3">
      <c r="J2215" s="188"/>
    </row>
    <row r="2216" spans="10:10" x14ac:dyDescent="0.3">
      <c r="J2216" s="188"/>
    </row>
    <row r="2217" spans="10:10" x14ac:dyDescent="0.3">
      <c r="J2217" s="188"/>
    </row>
    <row r="2218" spans="10:10" x14ac:dyDescent="0.3">
      <c r="J2218" s="188"/>
    </row>
    <row r="2219" spans="10:10" x14ac:dyDescent="0.3">
      <c r="J2219" s="188"/>
    </row>
    <row r="2220" spans="10:10" x14ac:dyDescent="0.3">
      <c r="J2220" s="188"/>
    </row>
    <row r="2221" spans="10:10" x14ac:dyDescent="0.3">
      <c r="J2221" s="188"/>
    </row>
    <row r="2222" spans="10:10" x14ac:dyDescent="0.3">
      <c r="J2222" s="188"/>
    </row>
    <row r="2223" spans="10:10" x14ac:dyDescent="0.3">
      <c r="J2223" s="188"/>
    </row>
    <row r="2224" spans="10:10" x14ac:dyDescent="0.3">
      <c r="J2224" s="188"/>
    </row>
    <row r="2225" spans="10:10" x14ac:dyDescent="0.3">
      <c r="J2225" s="188"/>
    </row>
    <row r="2226" spans="10:10" x14ac:dyDescent="0.3">
      <c r="J2226" s="188"/>
    </row>
    <row r="2227" spans="10:10" x14ac:dyDescent="0.3">
      <c r="J2227" s="188"/>
    </row>
    <row r="2228" spans="10:10" x14ac:dyDescent="0.3">
      <c r="J2228" s="188"/>
    </row>
    <row r="2229" spans="10:10" x14ac:dyDescent="0.3">
      <c r="J2229" s="188"/>
    </row>
    <row r="2230" spans="10:10" x14ac:dyDescent="0.3">
      <c r="J2230" s="188"/>
    </row>
    <row r="2231" spans="10:10" x14ac:dyDescent="0.3">
      <c r="J2231" s="188"/>
    </row>
    <row r="2232" spans="10:10" x14ac:dyDescent="0.3">
      <c r="J2232" s="188"/>
    </row>
    <row r="2233" spans="10:10" x14ac:dyDescent="0.3">
      <c r="J2233" s="188"/>
    </row>
    <row r="2234" spans="10:10" x14ac:dyDescent="0.3">
      <c r="J2234" s="188"/>
    </row>
    <row r="2235" spans="10:10" x14ac:dyDescent="0.3">
      <c r="J2235" s="188"/>
    </row>
    <row r="2236" spans="10:10" x14ac:dyDescent="0.3">
      <c r="J2236" s="188"/>
    </row>
    <row r="2237" spans="10:10" x14ac:dyDescent="0.3">
      <c r="J2237" s="188"/>
    </row>
    <row r="2238" spans="10:10" x14ac:dyDescent="0.3">
      <c r="J2238" s="188"/>
    </row>
    <row r="2239" spans="10:10" x14ac:dyDescent="0.3">
      <c r="J2239" s="188"/>
    </row>
    <row r="2240" spans="10:10" x14ac:dyDescent="0.3">
      <c r="J2240" s="188"/>
    </row>
    <row r="2241" spans="10:10" x14ac:dyDescent="0.3">
      <c r="J2241" s="188"/>
    </row>
    <row r="2242" spans="10:10" x14ac:dyDescent="0.3">
      <c r="J2242" s="188"/>
    </row>
    <row r="2243" spans="10:10" x14ac:dyDescent="0.3">
      <c r="J2243" s="188"/>
    </row>
    <row r="2244" spans="10:10" x14ac:dyDescent="0.3">
      <c r="J2244" s="188"/>
    </row>
    <row r="2245" spans="10:10" x14ac:dyDescent="0.3">
      <c r="J2245" s="188"/>
    </row>
    <row r="2246" spans="10:10" x14ac:dyDescent="0.3">
      <c r="J2246" s="188"/>
    </row>
    <row r="2247" spans="10:10" x14ac:dyDescent="0.3">
      <c r="J2247" s="188"/>
    </row>
    <row r="2248" spans="10:10" x14ac:dyDescent="0.3">
      <c r="J2248" s="188"/>
    </row>
    <row r="2249" spans="10:10" x14ac:dyDescent="0.3">
      <c r="J2249" s="188"/>
    </row>
    <row r="2250" spans="10:10" x14ac:dyDescent="0.3">
      <c r="J2250" s="188"/>
    </row>
    <row r="2251" spans="10:10" x14ac:dyDescent="0.3">
      <c r="J2251" s="188"/>
    </row>
    <row r="2252" spans="10:10" x14ac:dyDescent="0.3">
      <c r="J2252" s="188"/>
    </row>
    <row r="2253" spans="10:10" x14ac:dyDescent="0.3">
      <c r="J2253" s="188"/>
    </row>
    <row r="2254" spans="10:10" x14ac:dyDescent="0.3">
      <c r="J2254" s="188"/>
    </row>
    <row r="2255" spans="10:10" x14ac:dyDescent="0.3">
      <c r="J2255" s="188"/>
    </row>
    <row r="2256" spans="10:10" x14ac:dyDescent="0.3">
      <c r="J2256" s="188"/>
    </row>
    <row r="2257" spans="10:10" x14ac:dyDescent="0.3">
      <c r="J2257" s="188"/>
    </row>
    <row r="2258" spans="10:10" x14ac:dyDescent="0.3">
      <c r="J2258" s="188"/>
    </row>
    <row r="2259" spans="10:10" x14ac:dyDescent="0.3">
      <c r="J2259" s="188"/>
    </row>
    <row r="2260" spans="10:10" x14ac:dyDescent="0.3">
      <c r="J2260" s="188"/>
    </row>
    <row r="2261" spans="10:10" x14ac:dyDescent="0.3">
      <c r="J2261" s="188"/>
    </row>
    <row r="2262" spans="10:10" x14ac:dyDescent="0.3">
      <c r="J2262" s="188"/>
    </row>
    <row r="2263" spans="10:10" x14ac:dyDescent="0.3">
      <c r="J2263" s="188"/>
    </row>
    <row r="2264" spans="10:10" x14ac:dyDescent="0.3">
      <c r="J2264" s="188"/>
    </row>
    <row r="2265" spans="10:10" x14ac:dyDescent="0.3">
      <c r="J2265" s="188"/>
    </row>
    <row r="2266" spans="10:10" x14ac:dyDescent="0.3">
      <c r="J2266" s="188"/>
    </row>
    <row r="2267" spans="10:10" x14ac:dyDescent="0.3">
      <c r="J2267" s="188"/>
    </row>
    <row r="2268" spans="10:10" x14ac:dyDescent="0.3">
      <c r="J2268" s="188"/>
    </row>
    <row r="2269" spans="10:10" x14ac:dyDescent="0.3">
      <c r="J2269" s="188"/>
    </row>
    <row r="2270" spans="10:10" x14ac:dyDescent="0.3">
      <c r="J2270" s="188"/>
    </row>
    <row r="2271" spans="10:10" x14ac:dyDescent="0.3">
      <c r="J2271" s="188"/>
    </row>
    <row r="2272" spans="10:10" x14ac:dyDescent="0.3">
      <c r="J2272" s="188"/>
    </row>
    <row r="2273" spans="10:10" x14ac:dyDescent="0.3">
      <c r="J2273" s="188"/>
    </row>
    <row r="2274" spans="10:10" x14ac:dyDescent="0.3">
      <c r="J2274" s="188"/>
    </row>
    <row r="2275" spans="10:10" x14ac:dyDescent="0.3">
      <c r="J2275" s="188"/>
    </row>
    <row r="2276" spans="10:10" x14ac:dyDescent="0.3">
      <c r="J2276" s="188"/>
    </row>
    <row r="2277" spans="10:10" x14ac:dyDescent="0.3">
      <c r="J2277" s="188"/>
    </row>
    <row r="2278" spans="10:10" x14ac:dyDescent="0.3">
      <c r="J2278" s="188"/>
    </row>
    <row r="2279" spans="10:10" x14ac:dyDescent="0.3">
      <c r="J2279" s="188"/>
    </row>
    <row r="2280" spans="10:10" x14ac:dyDescent="0.3">
      <c r="J2280" s="188"/>
    </row>
    <row r="2281" spans="10:10" x14ac:dyDescent="0.3">
      <c r="J2281" s="188"/>
    </row>
    <row r="2282" spans="10:10" x14ac:dyDescent="0.3">
      <c r="J2282" s="188"/>
    </row>
    <row r="2283" spans="10:10" x14ac:dyDescent="0.3">
      <c r="J2283" s="188"/>
    </row>
    <row r="2284" spans="10:10" x14ac:dyDescent="0.3">
      <c r="J2284" s="188"/>
    </row>
    <row r="2285" spans="10:10" x14ac:dyDescent="0.3">
      <c r="J2285" s="188"/>
    </row>
    <row r="2286" spans="10:10" x14ac:dyDescent="0.3">
      <c r="J2286" s="188"/>
    </row>
    <row r="2287" spans="10:10" x14ac:dyDescent="0.3">
      <c r="J2287" s="188"/>
    </row>
    <row r="2288" spans="10:10" x14ac:dyDescent="0.3">
      <c r="J2288" s="188"/>
    </row>
    <row r="2289" spans="10:10" x14ac:dyDescent="0.3">
      <c r="J2289" s="188"/>
    </row>
    <row r="2290" spans="10:10" x14ac:dyDescent="0.3">
      <c r="J2290" s="188"/>
    </row>
    <row r="2291" spans="10:10" x14ac:dyDescent="0.3">
      <c r="J2291" s="188"/>
    </row>
    <row r="2292" spans="10:10" x14ac:dyDescent="0.3">
      <c r="J2292" s="188"/>
    </row>
    <row r="2293" spans="10:10" x14ac:dyDescent="0.3">
      <c r="J2293" s="188"/>
    </row>
    <row r="2294" spans="10:10" x14ac:dyDescent="0.3">
      <c r="J2294" s="188"/>
    </row>
    <row r="2295" spans="10:10" x14ac:dyDescent="0.3">
      <c r="J2295" s="188"/>
    </row>
    <row r="2296" spans="10:10" x14ac:dyDescent="0.3">
      <c r="J2296" s="188"/>
    </row>
    <row r="2297" spans="10:10" x14ac:dyDescent="0.3">
      <c r="J2297" s="188"/>
    </row>
    <row r="2298" spans="10:10" x14ac:dyDescent="0.3">
      <c r="J2298" s="188"/>
    </row>
    <row r="2299" spans="10:10" x14ac:dyDescent="0.3">
      <c r="J2299" s="188"/>
    </row>
    <row r="2300" spans="10:10" x14ac:dyDescent="0.3">
      <c r="J2300" s="188"/>
    </row>
    <row r="2301" spans="10:10" x14ac:dyDescent="0.3">
      <c r="J2301" s="188"/>
    </row>
    <row r="2302" spans="10:10" x14ac:dyDescent="0.3">
      <c r="J2302" s="188"/>
    </row>
    <row r="2303" spans="10:10" x14ac:dyDescent="0.3">
      <c r="J2303" s="188"/>
    </row>
    <row r="2304" spans="10:10" x14ac:dyDescent="0.3">
      <c r="J2304" s="188"/>
    </row>
    <row r="2305" spans="10:10" x14ac:dyDescent="0.3">
      <c r="J2305" s="188"/>
    </row>
    <row r="2306" spans="10:10" x14ac:dyDescent="0.3">
      <c r="J2306" s="188"/>
    </row>
    <row r="2307" spans="10:10" x14ac:dyDescent="0.3">
      <c r="J2307" s="188"/>
    </row>
    <row r="2308" spans="10:10" x14ac:dyDescent="0.3">
      <c r="J2308" s="188"/>
    </row>
    <row r="2309" spans="10:10" x14ac:dyDescent="0.3">
      <c r="J2309" s="188"/>
    </row>
    <row r="2310" spans="10:10" x14ac:dyDescent="0.3">
      <c r="J2310" s="188"/>
    </row>
    <row r="2311" spans="10:10" x14ac:dyDescent="0.3">
      <c r="J2311" s="188"/>
    </row>
    <row r="2312" spans="10:10" x14ac:dyDescent="0.3">
      <c r="J2312" s="188"/>
    </row>
    <row r="2313" spans="10:10" x14ac:dyDescent="0.3">
      <c r="J2313" s="188"/>
    </row>
    <row r="2314" spans="10:10" x14ac:dyDescent="0.3">
      <c r="J2314" s="188"/>
    </row>
    <row r="2315" spans="10:10" x14ac:dyDescent="0.3">
      <c r="J2315" s="188"/>
    </row>
    <row r="2316" spans="10:10" x14ac:dyDescent="0.3">
      <c r="J2316" s="188"/>
    </row>
    <row r="2317" spans="10:10" x14ac:dyDescent="0.3">
      <c r="J2317" s="188"/>
    </row>
    <row r="2318" spans="10:10" x14ac:dyDescent="0.3">
      <c r="J2318" s="188"/>
    </row>
    <row r="2319" spans="10:10" x14ac:dyDescent="0.3">
      <c r="J2319" s="188"/>
    </row>
    <row r="2320" spans="10:10" x14ac:dyDescent="0.3">
      <c r="J2320" s="188"/>
    </row>
    <row r="2321" spans="10:10" x14ac:dyDescent="0.3">
      <c r="J2321" s="188"/>
    </row>
    <row r="2322" spans="10:10" x14ac:dyDescent="0.3">
      <c r="J2322" s="188"/>
    </row>
    <row r="2323" spans="10:10" x14ac:dyDescent="0.3">
      <c r="J2323" s="188"/>
    </row>
    <row r="2324" spans="10:10" x14ac:dyDescent="0.3">
      <c r="J2324" s="188"/>
    </row>
    <row r="2325" spans="10:10" x14ac:dyDescent="0.3">
      <c r="J2325" s="188"/>
    </row>
    <row r="2326" spans="10:10" x14ac:dyDescent="0.3">
      <c r="J2326" s="188"/>
    </row>
    <row r="2327" spans="10:10" x14ac:dyDescent="0.3">
      <c r="J2327" s="188"/>
    </row>
    <row r="2328" spans="10:10" x14ac:dyDescent="0.3">
      <c r="J2328" s="188"/>
    </row>
    <row r="2329" spans="10:10" x14ac:dyDescent="0.3">
      <c r="J2329" s="188"/>
    </row>
    <row r="2330" spans="10:10" x14ac:dyDescent="0.3">
      <c r="J2330" s="188"/>
    </row>
    <row r="2331" spans="10:10" x14ac:dyDescent="0.3">
      <c r="J2331" s="188"/>
    </row>
    <row r="2332" spans="10:10" x14ac:dyDescent="0.3">
      <c r="J2332" s="188"/>
    </row>
    <row r="2333" spans="10:10" x14ac:dyDescent="0.3">
      <c r="J2333" s="188"/>
    </row>
    <row r="2334" spans="10:10" x14ac:dyDescent="0.3">
      <c r="J2334" s="188"/>
    </row>
    <row r="2335" spans="10:10" x14ac:dyDescent="0.3">
      <c r="J2335" s="188"/>
    </row>
    <row r="2336" spans="10:10" x14ac:dyDescent="0.3">
      <c r="J2336" s="188"/>
    </row>
    <row r="2337" spans="10:10" x14ac:dyDescent="0.3">
      <c r="J2337" s="188"/>
    </row>
    <row r="2338" spans="10:10" x14ac:dyDescent="0.3">
      <c r="J2338" s="188"/>
    </row>
    <row r="2339" spans="10:10" x14ac:dyDescent="0.3">
      <c r="J2339" s="188"/>
    </row>
    <row r="2340" spans="10:10" x14ac:dyDescent="0.3">
      <c r="J2340" s="188"/>
    </row>
    <row r="2341" spans="10:10" x14ac:dyDescent="0.3">
      <c r="J2341" s="188"/>
    </row>
    <row r="2342" spans="10:10" x14ac:dyDescent="0.3">
      <c r="J2342" s="188"/>
    </row>
    <row r="2343" spans="10:10" x14ac:dyDescent="0.3">
      <c r="J2343" s="188"/>
    </row>
    <row r="2344" spans="10:10" x14ac:dyDescent="0.3">
      <c r="J2344" s="188"/>
    </row>
    <row r="2345" spans="10:10" x14ac:dyDescent="0.3">
      <c r="J2345" s="188"/>
    </row>
    <row r="2346" spans="10:10" x14ac:dyDescent="0.3">
      <c r="J2346" s="188"/>
    </row>
    <row r="2347" spans="10:10" x14ac:dyDescent="0.3">
      <c r="J2347" s="188"/>
    </row>
    <row r="2348" spans="10:10" x14ac:dyDescent="0.3">
      <c r="J2348" s="188"/>
    </row>
    <row r="2349" spans="10:10" x14ac:dyDescent="0.3">
      <c r="J2349" s="188"/>
    </row>
    <row r="2350" spans="10:10" x14ac:dyDescent="0.3">
      <c r="J2350" s="188"/>
    </row>
    <row r="2351" spans="10:10" x14ac:dyDescent="0.3">
      <c r="J2351" s="188"/>
    </row>
    <row r="2352" spans="10:10" x14ac:dyDescent="0.3">
      <c r="J2352" s="188"/>
    </row>
    <row r="2353" spans="10:10" x14ac:dyDescent="0.3">
      <c r="J2353" s="188"/>
    </row>
    <row r="2354" spans="10:10" x14ac:dyDescent="0.3">
      <c r="J2354" s="188"/>
    </row>
    <row r="2355" spans="10:10" x14ac:dyDescent="0.3">
      <c r="J2355" s="188"/>
    </row>
    <row r="2356" spans="10:10" x14ac:dyDescent="0.3">
      <c r="J2356" s="188"/>
    </row>
    <row r="2357" spans="10:10" x14ac:dyDescent="0.3">
      <c r="J2357" s="188"/>
    </row>
    <row r="2358" spans="10:10" x14ac:dyDescent="0.3">
      <c r="J2358" s="188"/>
    </row>
    <row r="2359" spans="10:10" x14ac:dyDescent="0.3">
      <c r="J2359" s="188"/>
    </row>
    <row r="2360" spans="10:10" x14ac:dyDescent="0.3">
      <c r="J2360" s="188"/>
    </row>
    <row r="2361" spans="10:10" x14ac:dyDescent="0.3">
      <c r="J2361" s="188"/>
    </row>
    <row r="2362" spans="10:10" x14ac:dyDescent="0.3">
      <c r="J2362" s="188"/>
    </row>
    <row r="2363" spans="10:10" x14ac:dyDescent="0.3">
      <c r="J2363" s="188"/>
    </row>
    <row r="2364" spans="10:10" x14ac:dyDescent="0.3">
      <c r="J2364" s="188"/>
    </row>
    <row r="2365" spans="10:10" x14ac:dyDescent="0.3">
      <c r="J2365" s="188"/>
    </row>
    <row r="2366" spans="10:10" x14ac:dyDescent="0.3">
      <c r="J2366" s="188"/>
    </row>
    <row r="2367" spans="10:10" x14ac:dyDescent="0.3">
      <c r="J2367" s="188"/>
    </row>
    <row r="2368" spans="10:10" x14ac:dyDescent="0.3">
      <c r="J2368" s="188"/>
    </row>
    <row r="2369" spans="10:10" x14ac:dyDescent="0.3">
      <c r="J2369" s="188"/>
    </row>
    <row r="2370" spans="10:10" x14ac:dyDescent="0.3">
      <c r="J2370" s="188"/>
    </row>
    <row r="2371" spans="10:10" x14ac:dyDescent="0.3">
      <c r="J2371" s="188"/>
    </row>
    <row r="2372" spans="10:10" x14ac:dyDescent="0.3">
      <c r="J2372" s="188"/>
    </row>
    <row r="2373" spans="10:10" x14ac:dyDescent="0.3">
      <c r="J2373" s="188"/>
    </row>
    <row r="2374" spans="10:10" x14ac:dyDescent="0.3">
      <c r="J2374" s="188"/>
    </row>
    <row r="2375" spans="10:10" x14ac:dyDescent="0.3">
      <c r="J2375" s="188"/>
    </row>
    <row r="2376" spans="10:10" x14ac:dyDescent="0.3">
      <c r="J2376" s="188"/>
    </row>
    <row r="2377" spans="10:10" x14ac:dyDescent="0.3">
      <c r="J2377" s="188"/>
    </row>
    <row r="2378" spans="10:10" x14ac:dyDescent="0.3">
      <c r="J2378" s="188"/>
    </row>
    <row r="2379" spans="10:10" x14ac:dyDescent="0.3">
      <c r="J2379" s="188"/>
    </row>
    <row r="2380" spans="10:10" x14ac:dyDescent="0.3">
      <c r="J2380" s="188"/>
    </row>
    <row r="2381" spans="10:10" x14ac:dyDescent="0.3">
      <c r="J2381" s="188"/>
    </row>
    <row r="2382" spans="10:10" x14ac:dyDescent="0.3">
      <c r="J2382" s="188"/>
    </row>
    <row r="2383" spans="10:10" x14ac:dyDescent="0.3">
      <c r="J2383" s="188"/>
    </row>
    <row r="2384" spans="10:10" x14ac:dyDescent="0.3">
      <c r="J2384" s="188"/>
    </row>
    <row r="2385" spans="10:10" x14ac:dyDescent="0.3">
      <c r="J2385" s="188"/>
    </row>
    <row r="2386" spans="10:10" x14ac:dyDescent="0.3">
      <c r="J2386" s="188"/>
    </row>
    <row r="2387" spans="10:10" x14ac:dyDescent="0.3">
      <c r="J2387" s="188"/>
    </row>
    <row r="2388" spans="10:10" x14ac:dyDescent="0.3">
      <c r="J2388" s="188"/>
    </row>
    <row r="2389" spans="10:10" x14ac:dyDescent="0.3">
      <c r="J2389" s="188"/>
    </row>
    <row r="2390" spans="10:10" x14ac:dyDescent="0.3">
      <c r="J2390" s="188"/>
    </row>
    <row r="2391" spans="10:10" x14ac:dyDescent="0.3">
      <c r="J2391" s="188"/>
    </row>
    <row r="2392" spans="10:10" x14ac:dyDescent="0.3">
      <c r="J2392" s="188"/>
    </row>
    <row r="2393" spans="10:10" x14ac:dyDescent="0.3">
      <c r="J2393" s="188"/>
    </row>
    <row r="2394" spans="10:10" x14ac:dyDescent="0.3">
      <c r="J2394" s="188"/>
    </row>
    <row r="2395" spans="10:10" x14ac:dyDescent="0.3">
      <c r="J2395" s="188"/>
    </row>
    <row r="2396" spans="10:10" x14ac:dyDescent="0.3">
      <c r="J2396" s="188"/>
    </row>
    <row r="2397" spans="10:10" x14ac:dyDescent="0.3">
      <c r="J2397" s="188"/>
    </row>
    <row r="2398" spans="10:10" x14ac:dyDescent="0.3">
      <c r="J2398" s="188"/>
    </row>
    <row r="2399" spans="10:10" x14ac:dyDescent="0.3">
      <c r="J2399" s="188"/>
    </row>
    <row r="2400" spans="10:10" x14ac:dyDescent="0.3">
      <c r="J2400" s="188"/>
    </row>
    <row r="2401" spans="10:10" x14ac:dyDescent="0.3">
      <c r="J2401" s="188"/>
    </row>
    <row r="2402" spans="10:10" x14ac:dyDescent="0.3">
      <c r="J2402" s="188"/>
    </row>
    <row r="2403" spans="10:10" x14ac:dyDescent="0.3">
      <c r="J2403" s="188"/>
    </row>
    <row r="2404" spans="10:10" x14ac:dyDescent="0.3">
      <c r="J2404" s="188"/>
    </row>
    <row r="2405" spans="10:10" x14ac:dyDescent="0.3">
      <c r="J2405" s="188"/>
    </row>
    <row r="2406" spans="10:10" x14ac:dyDescent="0.3">
      <c r="J2406" s="188"/>
    </row>
    <row r="2407" spans="10:10" x14ac:dyDescent="0.3">
      <c r="J2407" s="188"/>
    </row>
    <row r="2408" spans="10:10" x14ac:dyDescent="0.3">
      <c r="J2408" s="188"/>
    </row>
    <row r="2409" spans="10:10" x14ac:dyDescent="0.3">
      <c r="J2409" s="188"/>
    </row>
    <row r="2410" spans="10:10" x14ac:dyDescent="0.3">
      <c r="J2410" s="188"/>
    </row>
    <row r="2411" spans="10:10" x14ac:dyDescent="0.3">
      <c r="J2411" s="188"/>
    </row>
    <row r="2412" spans="10:10" x14ac:dyDescent="0.3">
      <c r="J2412" s="188"/>
    </row>
    <row r="2413" spans="10:10" x14ac:dyDescent="0.3">
      <c r="J2413" s="188"/>
    </row>
    <row r="2414" spans="10:10" x14ac:dyDescent="0.3">
      <c r="J2414" s="188"/>
    </row>
    <row r="2415" spans="10:10" x14ac:dyDescent="0.3">
      <c r="J2415" s="188"/>
    </row>
    <row r="2416" spans="10:10" x14ac:dyDescent="0.3">
      <c r="J2416" s="188"/>
    </row>
    <row r="2417" spans="10:10" x14ac:dyDescent="0.3">
      <c r="J2417" s="188"/>
    </row>
    <row r="2418" spans="10:10" x14ac:dyDescent="0.3">
      <c r="J2418" s="188"/>
    </row>
    <row r="2419" spans="10:10" x14ac:dyDescent="0.3">
      <c r="J2419" s="188"/>
    </row>
    <row r="2420" spans="10:10" x14ac:dyDescent="0.3">
      <c r="J2420" s="188"/>
    </row>
    <row r="2421" spans="10:10" x14ac:dyDescent="0.3">
      <c r="J2421" s="188"/>
    </row>
    <row r="2422" spans="10:10" x14ac:dyDescent="0.3">
      <c r="J2422" s="188"/>
    </row>
    <row r="2423" spans="10:10" x14ac:dyDescent="0.3">
      <c r="J2423" s="188"/>
    </row>
    <row r="2424" spans="10:10" x14ac:dyDescent="0.3">
      <c r="J2424" s="188"/>
    </row>
    <row r="2425" spans="10:10" x14ac:dyDescent="0.3">
      <c r="J2425" s="188"/>
    </row>
    <row r="2426" spans="10:10" x14ac:dyDescent="0.3">
      <c r="J2426" s="188"/>
    </row>
    <row r="2427" spans="10:10" x14ac:dyDescent="0.3">
      <c r="J2427" s="188"/>
    </row>
    <row r="2428" spans="10:10" x14ac:dyDescent="0.3">
      <c r="J2428" s="188"/>
    </row>
    <row r="2429" spans="10:10" x14ac:dyDescent="0.3">
      <c r="J2429" s="188"/>
    </row>
    <row r="2430" spans="10:10" x14ac:dyDescent="0.3">
      <c r="J2430" s="188"/>
    </row>
    <row r="2431" spans="10:10" x14ac:dyDescent="0.3">
      <c r="J2431" s="188"/>
    </row>
    <row r="2432" spans="10:10" x14ac:dyDescent="0.3">
      <c r="J2432" s="188"/>
    </row>
    <row r="2433" spans="10:10" x14ac:dyDescent="0.3">
      <c r="J2433" s="188"/>
    </row>
    <row r="2434" spans="10:10" x14ac:dyDescent="0.3">
      <c r="J2434" s="188"/>
    </row>
    <row r="2435" spans="10:10" x14ac:dyDescent="0.3">
      <c r="J2435" s="188"/>
    </row>
    <row r="2436" spans="10:10" x14ac:dyDescent="0.3">
      <c r="J2436" s="188"/>
    </row>
    <row r="2437" spans="10:10" x14ac:dyDescent="0.3">
      <c r="J2437" s="188"/>
    </row>
    <row r="2438" spans="10:10" x14ac:dyDescent="0.3">
      <c r="J2438" s="188"/>
    </row>
    <row r="2439" spans="10:10" x14ac:dyDescent="0.3">
      <c r="J2439" s="188"/>
    </row>
    <row r="2440" spans="10:10" x14ac:dyDescent="0.3">
      <c r="J2440" s="188"/>
    </row>
    <row r="2441" spans="10:10" x14ac:dyDescent="0.3">
      <c r="J2441" s="188"/>
    </row>
    <row r="2442" spans="10:10" x14ac:dyDescent="0.3">
      <c r="J2442" s="188"/>
    </row>
    <row r="2443" spans="10:10" x14ac:dyDescent="0.3">
      <c r="J2443" s="188"/>
    </row>
    <row r="2444" spans="10:10" x14ac:dyDescent="0.3">
      <c r="J2444" s="188"/>
    </row>
    <row r="2445" spans="10:10" x14ac:dyDescent="0.3">
      <c r="J2445" s="188"/>
    </row>
    <row r="2446" spans="10:10" x14ac:dyDescent="0.3">
      <c r="J2446" s="188"/>
    </row>
    <row r="2447" spans="10:10" x14ac:dyDescent="0.3">
      <c r="J2447" s="188"/>
    </row>
    <row r="2448" spans="10:10" x14ac:dyDescent="0.3">
      <c r="J2448" s="188"/>
    </row>
    <row r="2449" spans="10:10" x14ac:dyDescent="0.3">
      <c r="J2449" s="188"/>
    </row>
    <row r="2450" spans="10:10" x14ac:dyDescent="0.3">
      <c r="J2450" s="188"/>
    </row>
    <row r="2451" spans="10:10" x14ac:dyDescent="0.3">
      <c r="J2451" s="188"/>
    </row>
    <row r="2452" spans="10:10" x14ac:dyDescent="0.3">
      <c r="J2452" s="188"/>
    </row>
    <row r="2453" spans="10:10" x14ac:dyDescent="0.3">
      <c r="J2453" s="188"/>
    </row>
    <row r="2454" spans="10:10" x14ac:dyDescent="0.3">
      <c r="J2454" s="188"/>
    </row>
    <row r="2455" spans="10:10" x14ac:dyDescent="0.3">
      <c r="J2455" s="188"/>
    </row>
    <row r="2456" spans="10:10" x14ac:dyDescent="0.3">
      <c r="J2456" s="188"/>
    </row>
    <row r="2457" spans="10:10" x14ac:dyDescent="0.3">
      <c r="J2457" s="188"/>
    </row>
    <row r="2458" spans="10:10" x14ac:dyDescent="0.3">
      <c r="J2458" s="188"/>
    </row>
    <row r="2459" spans="10:10" x14ac:dyDescent="0.3">
      <c r="J2459" s="188"/>
    </row>
    <row r="2460" spans="10:10" x14ac:dyDescent="0.3">
      <c r="J2460" s="188"/>
    </row>
    <row r="2461" spans="10:10" x14ac:dyDescent="0.3">
      <c r="J2461" s="188"/>
    </row>
    <row r="2462" spans="10:10" x14ac:dyDescent="0.3">
      <c r="J2462" s="188"/>
    </row>
    <row r="2463" spans="10:10" x14ac:dyDescent="0.3">
      <c r="J2463" s="188"/>
    </row>
    <row r="2464" spans="10:10" x14ac:dyDescent="0.3">
      <c r="J2464" s="188"/>
    </row>
    <row r="2465" spans="10:10" x14ac:dyDescent="0.3">
      <c r="J2465" s="188"/>
    </row>
    <row r="2466" spans="10:10" x14ac:dyDescent="0.3">
      <c r="J2466" s="188"/>
    </row>
    <row r="2467" spans="10:10" x14ac:dyDescent="0.3">
      <c r="J2467" s="188"/>
    </row>
    <row r="2468" spans="10:10" x14ac:dyDescent="0.3">
      <c r="J2468" s="188"/>
    </row>
    <row r="2469" spans="10:10" x14ac:dyDescent="0.3">
      <c r="J2469" s="188"/>
    </row>
    <row r="2470" spans="10:10" x14ac:dyDescent="0.3">
      <c r="J2470" s="188"/>
    </row>
    <row r="2471" spans="10:10" x14ac:dyDescent="0.3">
      <c r="J2471" s="188"/>
    </row>
    <row r="2472" spans="10:10" x14ac:dyDescent="0.3">
      <c r="J2472" s="188"/>
    </row>
    <row r="2473" spans="10:10" x14ac:dyDescent="0.3">
      <c r="J2473" s="188"/>
    </row>
    <row r="2474" spans="10:10" x14ac:dyDescent="0.3">
      <c r="J2474" s="188"/>
    </row>
    <row r="2475" spans="10:10" x14ac:dyDescent="0.3">
      <c r="J2475" s="188"/>
    </row>
    <row r="2476" spans="10:10" x14ac:dyDescent="0.3">
      <c r="J2476" s="188"/>
    </row>
    <row r="2477" spans="10:10" x14ac:dyDescent="0.3">
      <c r="J2477" s="188"/>
    </row>
    <row r="2478" spans="10:10" x14ac:dyDescent="0.3">
      <c r="J2478" s="188"/>
    </row>
    <row r="2479" spans="10:10" x14ac:dyDescent="0.3">
      <c r="J2479" s="188"/>
    </row>
    <row r="2480" spans="10:10" x14ac:dyDescent="0.3">
      <c r="J2480" s="188"/>
    </row>
    <row r="2481" spans="10:10" x14ac:dyDescent="0.3">
      <c r="J2481" s="188"/>
    </row>
    <row r="2482" spans="10:10" x14ac:dyDescent="0.3">
      <c r="J2482" s="188"/>
    </row>
    <row r="2483" spans="10:10" x14ac:dyDescent="0.3">
      <c r="J2483" s="188"/>
    </row>
    <row r="2484" spans="10:10" x14ac:dyDescent="0.3">
      <c r="J2484" s="188"/>
    </row>
    <row r="2485" spans="10:10" x14ac:dyDescent="0.3">
      <c r="J2485" s="188"/>
    </row>
    <row r="2486" spans="10:10" x14ac:dyDescent="0.3">
      <c r="J2486" s="188"/>
    </row>
    <row r="2487" spans="10:10" x14ac:dyDescent="0.3">
      <c r="J2487" s="188"/>
    </row>
    <row r="2488" spans="10:10" x14ac:dyDescent="0.3">
      <c r="J2488" s="188"/>
    </row>
    <row r="2489" spans="10:10" x14ac:dyDescent="0.3">
      <c r="J2489" s="188"/>
    </row>
    <row r="2490" spans="10:10" x14ac:dyDescent="0.3">
      <c r="J2490" s="188"/>
    </row>
    <row r="2491" spans="10:10" x14ac:dyDescent="0.3">
      <c r="J2491" s="188"/>
    </row>
    <row r="2492" spans="10:10" x14ac:dyDescent="0.3">
      <c r="J2492" s="188"/>
    </row>
    <row r="2493" spans="10:10" x14ac:dyDescent="0.3">
      <c r="J2493" s="188"/>
    </row>
    <row r="2494" spans="10:10" x14ac:dyDescent="0.3">
      <c r="J2494" s="188"/>
    </row>
    <row r="2495" spans="10:10" x14ac:dyDescent="0.3">
      <c r="J2495" s="188"/>
    </row>
    <row r="2496" spans="10:10" x14ac:dyDescent="0.3">
      <c r="J2496" s="188"/>
    </row>
    <row r="2497" spans="10:10" x14ac:dyDescent="0.3">
      <c r="J2497" s="188"/>
    </row>
    <row r="2498" spans="10:10" x14ac:dyDescent="0.3">
      <c r="J2498" s="188"/>
    </row>
    <row r="2499" spans="10:10" x14ac:dyDescent="0.3">
      <c r="J2499" s="188"/>
    </row>
    <row r="2500" spans="10:10" x14ac:dyDescent="0.3">
      <c r="J2500" s="188"/>
    </row>
    <row r="2501" spans="10:10" x14ac:dyDescent="0.3">
      <c r="J2501" s="188"/>
    </row>
    <row r="2502" spans="10:10" x14ac:dyDescent="0.3">
      <c r="J2502" s="188"/>
    </row>
    <row r="2503" spans="10:10" x14ac:dyDescent="0.3">
      <c r="J2503" s="188"/>
    </row>
    <row r="2504" spans="10:10" x14ac:dyDescent="0.3">
      <c r="J2504" s="188"/>
    </row>
    <row r="2505" spans="10:10" x14ac:dyDescent="0.3">
      <c r="J2505" s="188"/>
    </row>
    <row r="2506" spans="10:10" x14ac:dyDescent="0.3">
      <c r="J2506" s="188"/>
    </row>
    <row r="2507" spans="10:10" x14ac:dyDescent="0.3">
      <c r="J2507" s="188"/>
    </row>
    <row r="2508" spans="10:10" x14ac:dyDescent="0.3">
      <c r="J2508" s="188"/>
    </row>
    <row r="2509" spans="10:10" x14ac:dyDescent="0.3">
      <c r="J2509" s="188"/>
    </row>
    <row r="2510" spans="10:10" x14ac:dyDescent="0.3">
      <c r="J2510" s="188"/>
    </row>
    <row r="2511" spans="10:10" x14ac:dyDescent="0.3">
      <c r="J2511" s="188"/>
    </row>
    <row r="2512" spans="10:10" x14ac:dyDescent="0.3">
      <c r="J2512" s="188"/>
    </row>
    <row r="2513" spans="10:10" x14ac:dyDescent="0.3">
      <c r="J2513" s="188"/>
    </row>
    <row r="2514" spans="10:10" x14ac:dyDescent="0.3">
      <c r="J2514" s="188"/>
    </row>
    <row r="2515" spans="10:10" x14ac:dyDescent="0.3">
      <c r="J2515" s="188"/>
    </row>
    <row r="2516" spans="10:10" x14ac:dyDescent="0.3">
      <c r="J2516" s="188"/>
    </row>
    <row r="2517" spans="10:10" x14ac:dyDescent="0.3">
      <c r="J2517" s="188"/>
    </row>
    <row r="2518" spans="10:10" x14ac:dyDescent="0.3">
      <c r="J2518" s="188"/>
    </row>
    <row r="2519" spans="10:10" x14ac:dyDescent="0.3">
      <c r="J2519" s="188"/>
    </row>
    <row r="2520" spans="10:10" x14ac:dyDescent="0.3">
      <c r="J2520" s="188"/>
    </row>
    <row r="2521" spans="10:10" x14ac:dyDescent="0.3">
      <c r="J2521" s="188"/>
    </row>
    <row r="2522" spans="10:10" x14ac:dyDescent="0.3">
      <c r="J2522" s="188"/>
    </row>
    <row r="2523" spans="10:10" x14ac:dyDescent="0.3">
      <c r="J2523" s="188"/>
    </row>
    <row r="2524" spans="10:10" x14ac:dyDescent="0.3">
      <c r="J2524" s="188"/>
    </row>
    <row r="2525" spans="10:10" x14ac:dyDescent="0.3">
      <c r="J2525" s="188"/>
    </row>
    <row r="2526" spans="10:10" x14ac:dyDescent="0.3">
      <c r="J2526" s="188"/>
    </row>
    <row r="2527" spans="10:10" x14ac:dyDescent="0.3">
      <c r="J2527" s="188"/>
    </row>
    <row r="2528" spans="10:10" x14ac:dyDescent="0.3">
      <c r="J2528" s="188"/>
    </row>
    <row r="2529" spans="10:10" x14ac:dyDescent="0.3">
      <c r="J2529" s="188"/>
    </row>
    <row r="2530" spans="10:10" x14ac:dyDescent="0.3">
      <c r="J2530" s="188"/>
    </row>
    <row r="2531" spans="10:10" x14ac:dyDescent="0.3">
      <c r="J2531" s="188"/>
    </row>
    <row r="2532" spans="10:10" x14ac:dyDescent="0.3">
      <c r="J2532" s="188"/>
    </row>
    <row r="2533" spans="10:10" x14ac:dyDescent="0.3">
      <c r="J2533" s="188"/>
    </row>
    <row r="2534" spans="10:10" x14ac:dyDescent="0.3">
      <c r="J2534" s="188"/>
    </row>
    <row r="2535" spans="10:10" x14ac:dyDescent="0.3">
      <c r="J2535" s="188"/>
    </row>
    <row r="2536" spans="10:10" x14ac:dyDescent="0.3">
      <c r="J2536" s="188"/>
    </row>
    <row r="2537" spans="10:10" x14ac:dyDescent="0.3">
      <c r="J2537" s="188"/>
    </row>
    <row r="2538" spans="10:10" x14ac:dyDescent="0.3">
      <c r="J2538" s="188"/>
    </row>
    <row r="2539" spans="10:10" x14ac:dyDescent="0.3">
      <c r="J2539" s="188"/>
    </row>
    <row r="2540" spans="10:10" x14ac:dyDescent="0.3">
      <c r="J2540" s="188"/>
    </row>
    <row r="2541" spans="10:10" x14ac:dyDescent="0.3">
      <c r="J2541" s="188"/>
    </row>
    <row r="2542" spans="10:10" x14ac:dyDescent="0.3">
      <c r="J2542" s="188"/>
    </row>
    <row r="2543" spans="10:10" x14ac:dyDescent="0.3">
      <c r="J2543" s="188"/>
    </row>
    <row r="2544" spans="10:10" x14ac:dyDescent="0.3">
      <c r="J2544" s="188"/>
    </row>
    <row r="2545" spans="10:10" x14ac:dyDescent="0.3">
      <c r="J2545" s="188"/>
    </row>
    <row r="2546" spans="10:10" x14ac:dyDescent="0.3">
      <c r="J2546" s="188"/>
    </row>
    <row r="2547" spans="10:10" x14ac:dyDescent="0.3">
      <c r="J2547" s="188"/>
    </row>
    <row r="2548" spans="10:10" x14ac:dyDescent="0.3">
      <c r="J2548" s="188"/>
    </row>
    <row r="2549" spans="10:10" x14ac:dyDescent="0.3">
      <c r="J2549" s="188"/>
    </row>
    <row r="2550" spans="10:10" x14ac:dyDescent="0.3">
      <c r="J2550" s="188"/>
    </row>
    <row r="2551" spans="10:10" x14ac:dyDescent="0.3">
      <c r="J2551" s="188"/>
    </row>
    <row r="2552" spans="10:10" x14ac:dyDescent="0.3">
      <c r="J2552" s="188"/>
    </row>
    <row r="2553" spans="10:10" x14ac:dyDescent="0.3">
      <c r="J2553" s="188"/>
    </row>
    <row r="2554" spans="10:10" x14ac:dyDescent="0.3">
      <c r="J2554" s="188"/>
    </row>
    <row r="2555" spans="10:10" x14ac:dyDescent="0.3">
      <c r="J2555" s="188"/>
    </row>
    <row r="2556" spans="10:10" x14ac:dyDescent="0.3">
      <c r="J2556" s="188"/>
    </row>
    <row r="2557" spans="10:10" x14ac:dyDescent="0.3">
      <c r="J2557" s="188"/>
    </row>
    <row r="2558" spans="10:10" x14ac:dyDescent="0.3">
      <c r="J2558" s="188"/>
    </row>
    <row r="2559" spans="10:10" x14ac:dyDescent="0.3">
      <c r="J2559" s="188"/>
    </row>
    <row r="2560" spans="10:10" x14ac:dyDescent="0.3">
      <c r="J2560" s="188"/>
    </row>
    <row r="2561" spans="10:10" x14ac:dyDescent="0.3">
      <c r="J2561" s="188"/>
    </row>
    <row r="2562" spans="10:10" x14ac:dyDescent="0.3">
      <c r="J2562" s="188"/>
    </row>
    <row r="2563" spans="10:10" x14ac:dyDescent="0.3">
      <c r="J2563" s="188"/>
    </row>
    <row r="2564" spans="10:10" x14ac:dyDescent="0.3">
      <c r="J2564" s="188"/>
    </row>
    <row r="2565" spans="10:10" x14ac:dyDescent="0.3">
      <c r="J2565" s="188"/>
    </row>
    <row r="2566" spans="10:10" x14ac:dyDescent="0.3">
      <c r="J2566" s="188"/>
    </row>
    <row r="2567" spans="10:10" x14ac:dyDescent="0.3">
      <c r="J2567" s="188"/>
    </row>
    <row r="2568" spans="10:10" x14ac:dyDescent="0.3">
      <c r="J2568" s="188"/>
    </row>
    <row r="2569" spans="10:10" x14ac:dyDescent="0.3">
      <c r="J2569" s="188"/>
    </row>
    <row r="2570" spans="10:10" x14ac:dyDescent="0.3">
      <c r="J2570" s="188"/>
    </row>
    <row r="2571" spans="10:10" x14ac:dyDescent="0.3">
      <c r="J2571" s="188"/>
    </row>
    <row r="2572" spans="10:10" x14ac:dyDescent="0.3">
      <c r="J2572" s="188"/>
    </row>
    <row r="2573" spans="10:10" x14ac:dyDescent="0.3">
      <c r="J2573" s="188"/>
    </row>
    <row r="2574" spans="10:10" x14ac:dyDescent="0.3">
      <c r="J2574" s="188"/>
    </row>
    <row r="2575" spans="10:10" x14ac:dyDescent="0.3">
      <c r="J2575" s="188"/>
    </row>
    <row r="2576" spans="10:10" x14ac:dyDescent="0.3">
      <c r="J2576" s="188"/>
    </row>
    <row r="2577" spans="10:10" x14ac:dyDescent="0.3">
      <c r="J2577" s="188"/>
    </row>
    <row r="2578" spans="10:10" x14ac:dyDescent="0.3">
      <c r="J2578" s="188"/>
    </row>
    <row r="2579" spans="10:10" x14ac:dyDescent="0.3">
      <c r="J2579" s="188"/>
    </row>
    <row r="2580" spans="10:10" x14ac:dyDescent="0.3">
      <c r="J2580" s="188"/>
    </row>
    <row r="2581" spans="10:10" x14ac:dyDescent="0.3">
      <c r="J2581" s="188"/>
    </row>
    <row r="2582" spans="10:10" x14ac:dyDescent="0.3">
      <c r="J2582" s="188"/>
    </row>
    <row r="2583" spans="10:10" x14ac:dyDescent="0.3">
      <c r="J2583" s="188"/>
    </row>
    <row r="2584" spans="10:10" x14ac:dyDescent="0.3">
      <c r="J2584" s="188"/>
    </row>
    <row r="2585" spans="10:10" x14ac:dyDescent="0.3">
      <c r="J2585" s="188"/>
    </row>
    <row r="2586" spans="10:10" x14ac:dyDescent="0.3">
      <c r="J2586" s="188"/>
    </row>
    <row r="2587" spans="10:10" x14ac:dyDescent="0.3">
      <c r="J2587" s="188"/>
    </row>
    <row r="2588" spans="10:10" x14ac:dyDescent="0.3">
      <c r="J2588" s="188"/>
    </row>
    <row r="2589" spans="10:10" x14ac:dyDescent="0.3">
      <c r="J2589" s="188"/>
    </row>
    <row r="2590" spans="10:10" x14ac:dyDescent="0.3">
      <c r="J2590" s="188"/>
    </row>
    <row r="2591" spans="10:10" x14ac:dyDescent="0.3">
      <c r="J2591" s="188"/>
    </row>
    <row r="2592" spans="10:10" x14ac:dyDescent="0.3">
      <c r="J2592" s="188"/>
    </row>
    <row r="2593" spans="10:10" x14ac:dyDescent="0.3">
      <c r="J2593" s="188"/>
    </row>
    <row r="2594" spans="10:10" x14ac:dyDescent="0.3">
      <c r="J2594" s="188"/>
    </row>
    <row r="2595" spans="10:10" x14ac:dyDescent="0.3">
      <c r="J2595" s="188"/>
    </row>
    <row r="2596" spans="10:10" x14ac:dyDescent="0.3">
      <c r="J2596" s="188"/>
    </row>
    <row r="2597" spans="10:10" x14ac:dyDescent="0.3">
      <c r="J2597" s="188"/>
    </row>
    <row r="2598" spans="10:10" x14ac:dyDescent="0.3">
      <c r="J2598" s="188"/>
    </row>
    <row r="2599" spans="10:10" x14ac:dyDescent="0.3">
      <c r="J2599" s="188"/>
    </row>
    <row r="2600" spans="10:10" x14ac:dyDescent="0.3">
      <c r="J2600" s="188"/>
    </row>
    <row r="2601" spans="10:10" x14ac:dyDescent="0.3">
      <c r="J2601" s="188"/>
    </row>
    <row r="2602" spans="10:10" x14ac:dyDescent="0.3">
      <c r="J2602" s="188"/>
    </row>
    <row r="2603" spans="10:10" x14ac:dyDescent="0.3">
      <c r="J2603" s="188"/>
    </row>
    <row r="2604" spans="10:10" x14ac:dyDescent="0.3">
      <c r="J2604" s="188"/>
    </row>
    <row r="2605" spans="10:10" x14ac:dyDescent="0.3">
      <c r="J2605" s="188"/>
    </row>
    <row r="2606" spans="10:10" x14ac:dyDescent="0.3">
      <c r="J2606" s="188"/>
    </row>
    <row r="2607" spans="10:10" x14ac:dyDescent="0.3">
      <c r="J2607" s="188"/>
    </row>
    <row r="2608" spans="10:10" x14ac:dyDescent="0.3">
      <c r="J2608" s="188"/>
    </row>
    <row r="2609" spans="10:10" x14ac:dyDescent="0.3">
      <c r="J2609" s="188"/>
    </row>
    <row r="2610" spans="10:10" x14ac:dyDescent="0.3">
      <c r="J2610" s="188"/>
    </row>
    <row r="2611" spans="10:10" x14ac:dyDescent="0.3">
      <c r="J2611" s="188"/>
    </row>
    <row r="2612" spans="10:10" x14ac:dyDescent="0.3">
      <c r="J2612" s="188"/>
    </row>
    <row r="2613" spans="10:10" x14ac:dyDescent="0.3">
      <c r="J2613" s="188"/>
    </row>
    <row r="2614" spans="10:10" x14ac:dyDescent="0.3">
      <c r="J2614" s="188"/>
    </row>
    <row r="2615" spans="10:10" x14ac:dyDescent="0.3">
      <c r="J2615" s="188"/>
    </row>
    <row r="2616" spans="10:10" x14ac:dyDescent="0.3">
      <c r="J2616" s="188"/>
    </row>
    <row r="2617" spans="10:10" x14ac:dyDescent="0.3">
      <c r="J2617" s="188"/>
    </row>
    <row r="2618" spans="10:10" x14ac:dyDescent="0.3">
      <c r="J2618" s="188"/>
    </row>
    <row r="2619" spans="10:10" x14ac:dyDescent="0.3">
      <c r="J2619" s="188"/>
    </row>
    <row r="2620" spans="10:10" x14ac:dyDescent="0.3">
      <c r="J2620" s="188"/>
    </row>
    <row r="2621" spans="10:10" x14ac:dyDescent="0.3">
      <c r="J2621" s="188"/>
    </row>
    <row r="2622" spans="10:10" x14ac:dyDescent="0.3">
      <c r="J2622" s="188"/>
    </row>
    <row r="2623" spans="10:10" x14ac:dyDescent="0.3">
      <c r="J2623" s="188"/>
    </row>
    <row r="2624" spans="10:10" x14ac:dyDescent="0.3">
      <c r="J2624" s="188"/>
    </row>
    <row r="2625" spans="10:10" x14ac:dyDescent="0.3">
      <c r="J2625" s="188"/>
    </row>
    <row r="2626" spans="10:10" x14ac:dyDescent="0.3">
      <c r="J2626" s="188"/>
    </row>
    <row r="2627" spans="10:10" x14ac:dyDescent="0.3">
      <c r="J2627" s="188"/>
    </row>
    <row r="2628" spans="10:10" x14ac:dyDescent="0.3">
      <c r="J2628" s="188"/>
    </row>
    <row r="2629" spans="10:10" x14ac:dyDescent="0.3">
      <c r="J2629" s="188"/>
    </row>
    <row r="2630" spans="10:10" x14ac:dyDescent="0.3">
      <c r="J2630" s="188"/>
    </row>
    <row r="2631" spans="10:10" x14ac:dyDescent="0.3">
      <c r="J2631" s="188"/>
    </row>
    <row r="2632" spans="10:10" x14ac:dyDescent="0.3">
      <c r="J2632" s="188"/>
    </row>
    <row r="2633" spans="10:10" x14ac:dyDescent="0.3">
      <c r="J2633" s="188"/>
    </row>
    <row r="2634" spans="10:10" x14ac:dyDescent="0.3">
      <c r="J2634" s="188"/>
    </row>
    <row r="2635" spans="10:10" x14ac:dyDescent="0.3">
      <c r="J2635" s="188"/>
    </row>
    <row r="2636" spans="10:10" x14ac:dyDescent="0.3">
      <c r="J2636" s="188"/>
    </row>
    <row r="2637" spans="10:10" x14ac:dyDescent="0.3">
      <c r="J2637" s="188"/>
    </row>
    <row r="2638" spans="10:10" x14ac:dyDescent="0.3">
      <c r="J2638" s="188"/>
    </row>
    <row r="2639" spans="10:10" x14ac:dyDescent="0.3">
      <c r="J2639" s="188"/>
    </row>
    <row r="2640" spans="10:10" x14ac:dyDescent="0.3">
      <c r="J2640" s="188"/>
    </row>
    <row r="2641" spans="10:10" x14ac:dyDescent="0.3">
      <c r="J2641" s="188"/>
    </row>
    <row r="2642" spans="10:10" x14ac:dyDescent="0.3">
      <c r="J2642" s="188"/>
    </row>
    <row r="2643" spans="10:10" x14ac:dyDescent="0.3">
      <c r="J2643" s="188"/>
    </row>
    <row r="2644" spans="10:10" x14ac:dyDescent="0.3">
      <c r="J2644" s="188"/>
    </row>
    <row r="2645" spans="10:10" x14ac:dyDescent="0.3">
      <c r="J2645" s="188"/>
    </row>
    <row r="2646" spans="10:10" x14ac:dyDescent="0.3">
      <c r="J2646" s="188"/>
    </row>
    <row r="2647" spans="10:10" x14ac:dyDescent="0.3">
      <c r="J2647" s="188"/>
    </row>
    <row r="2648" spans="10:10" x14ac:dyDescent="0.3">
      <c r="J2648" s="188"/>
    </row>
    <row r="2649" spans="10:10" x14ac:dyDescent="0.3">
      <c r="J2649" s="188"/>
    </row>
    <row r="2650" spans="10:10" x14ac:dyDescent="0.3">
      <c r="J2650" s="188"/>
    </row>
    <row r="2651" spans="10:10" x14ac:dyDescent="0.3">
      <c r="J2651" s="188"/>
    </row>
    <row r="2652" spans="10:10" x14ac:dyDescent="0.3">
      <c r="J2652" s="188"/>
    </row>
    <row r="2653" spans="10:10" x14ac:dyDescent="0.3">
      <c r="J2653" s="188"/>
    </row>
    <row r="2654" spans="10:10" x14ac:dyDescent="0.3">
      <c r="J2654" s="188"/>
    </row>
    <row r="2655" spans="10:10" x14ac:dyDescent="0.3">
      <c r="J2655" s="188"/>
    </row>
    <row r="2656" spans="10:10" x14ac:dyDescent="0.3">
      <c r="J2656" s="188"/>
    </row>
    <row r="2657" spans="10:10" x14ac:dyDescent="0.3">
      <c r="J2657" s="188"/>
    </row>
    <row r="2658" spans="10:10" x14ac:dyDescent="0.3">
      <c r="J2658" s="188"/>
    </row>
    <row r="2659" spans="10:10" x14ac:dyDescent="0.3">
      <c r="J2659" s="188"/>
    </row>
    <row r="2660" spans="10:10" x14ac:dyDescent="0.3">
      <c r="J2660" s="188"/>
    </row>
    <row r="2661" spans="10:10" x14ac:dyDescent="0.3">
      <c r="J2661" s="188"/>
    </row>
    <row r="2662" spans="10:10" x14ac:dyDescent="0.3">
      <c r="J2662" s="188"/>
    </row>
    <row r="2663" spans="10:10" x14ac:dyDescent="0.3">
      <c r="J2663" s="188"/>
    </row>
    <row r="2664" spans="10:10" x14ac:dyDescent="0.3">
      <c r="J2664" s="188"/>
    </row>
    <row r="2665" spans="10:10" x14ac:dyDescent="0.3">
      <c r="J2665" s="188"/>
    </row>
    <row r="2666" spans="10:10" x14ac:dyDescent="0.3">
      <c r="J2666" s="188"/>
    </row>
    <row r="2667" spans="10:10" x14ac:dyDescent="0.3">
      <c r="J2667" s="188"/>
    </row>
    <row r="2668" spans="10:10" x14ac:dyDescent="0.3">
      <c r="J2668" s="188"/>
    </row>
    <row r="2669" spans="10:10" x14ac:dyDescent="0.3">
      <c r="J2669" s="188"/>
    </row>
    <row r="2670" spans="10:10" x14ac:dyDescent="0.3">
      <c r="J2670" s="188"/>
    </row>
    <row r="2671" spans="10:10" x14ac:dyDescent="0.3">
      <c r="J2671" s="188"/>
    </row>
    <row r="2672" spans="10:10" x14ac:dyDescent="0.3">
      <c r="J2672" s="188"/>
    </row>
    <row r="2673" spans="10:10" x14ac:dyDescent="0.3">
      <c r="J2673" s="188"/>
    </row>
    <row r="2674" spans="10:10" x14ac:dyDescent="0.3">
      <c r="J2674" s="188"/>
    </row>
    <row r="2675" spans="10:10" x14ac:dyDescent="0.3">
      <c r="J2675" s="188"/>
    </row>
    <row r="2676" spans="10:10" x14ac:dyDescent="0.3">
      <c r="J2676" s="188"/>
    </row>
    <row r="2677" spans="10:10" x14ac:dyDescent="0.3">
      <c r="J2677" s="188"/>
    </row>
    <row r="2678" spans="10:10" x14ac:dyDescent="0.3">
      <c r="J2678" s="188"/>
    </row>
    <row r="2679" spans="10:10" x14ac:dyDescent="0.3">
      <c r="J2679" s="188"/>
    </row>
    <row r="2680" spans="10:10" x14ac:dyDescent="0.3">
      <c r="J2680" s="188"/>
    </row>
    <row r="2681" spans="10:10" x14ac:dyDescent="0.3">
      <c r="J2681" s="188"/>
    </row>
    <row r="2682" spans="10:10" x14ac:dyDescent="0.3">
      <c r="J2682" s="188"/>
    </row>
    <row r="2683" spans="10:10" x14ac:dyDescent="0.3">
      <c r="J2683" s="188"/>
    </row>
    <row r="2684" spans="10:10" x14ac:dyDescent="0.3">
      <c r="J2684" s="188"/>
    </row>
    <row r="2685" spans="10:10" x14ac:dyDescent="0.3">
      <c r="J2685" s="188"/>
    </row>
    <row r="2686" spans="10:10" x14ac:dyDescent="0.3">
      <c r="J2686" s="188"/>
    </row>
    <row r="2687" spans="10:10" x14ac:dyDescent="0.3">
      <c r="J2687" s="188"/>
    </row>
    <row r="2688" spans="10:10" x14ac:dyDescent="0.3">
      <c r="J2688" s="188"/>
    </row>
    <row r="2689" spans="10:10" x14ac:dyDescent="0.3">
      <c r="J2689" s="188"/>
    </row>
    <row r="2690" spans="10:10" x14ac:dyDescent="0.3">
      <c r="J2690" s="188"/>
    </row>
    <row r="2691" spans="10:10" x14ac:dyDescent="0.3">
      <c r="J2691" s="188"/>
    </row>
    <row r="2692" spans="10:10" x14ac:dyDescent="0.3">
      <c r="J2692" s="188"/>
    </row>
    <row r="2693" spans="10:10" x14ac:dyDescent="0.3">
      <c r="J2693" s="188"/>
    </row>
    <row r="2694" spans="10:10" x14ac:dyDescent="0.3">
      <c r="J2694" s="188"/>
    </row>
    <row r="2695" spans="10:10" x14ac:dyDescent="0.3">
      <c r="J2695" s="188"/>
    </row>
    <row r="2696" spans="10:10" x14ac:dyDescent="0.3">
      <c r="J2696" s="188"/>
    </row>
    <row r="2697" spans="10:10" x14ac:dyDescent="0.3">
      <c r="J2697" s="188"/>
    </row>
    <row r="2698" spans="10:10" x14ac:dyDescent="0.3">
      <c r="J2698" s="188"/>
    </row>
    <row r="2699" spans="10:10" x14ac:dyDescent="0.3">
      <c r="J2699" s="188"/>
    </row>
    <row r="2700" spans="10:10" x14ac:dyDescent="0.3">
      <c r="J2700" s="188"/>
    </row>
    <row r="2701" spans="10:10" x14ac:dyDescent="0.3">
      <c r="J2701" s="188"/>
    </row>
    <row r="2702" spans="10:10" x14ac:dyDescent="0.3">
      <c r="J2702" s="188"/>
    </row>
    <row r="2703" spans="10:10" x14ac:dyDescent="0.3">
      <c r="J2703" s="188"/>
    </row>
    <row r="2704" spans="10:10" x14ac:dyDescent="0.3">
      <c r="J2704" s="188"/>
    </row>
    <row r="2705" spans="10:10" x14ac:dyDescent="0.3">
      <c r="J2705" s="188"/>
    </row>
    <row r="2706" spans="10:10" x14ac:dyDescent="0.3">
      <c r="J2706" s="188"/>
    </row>
    <row r="2707" spans="10:10" x14ac:dyDescent="0.3">
      <c r="J2707" s="188"/>
    </row>
    <row r="2708" spans="10:10" x14ac:dyDescent="0.3">
      <c r="J2708" s="188"/>
    </row>
    <row r="2709" spans="10:10" x14ac:dyDescent="0.3">
      <c r="J2709" s="188"/>
    </row>
    <row r="2710" spans="10:10" x14ac:dyDescent="0.3">
      <c r="J2710" s="188"/>
    </row>
    <row r="2711" spans="10:10" x14ac:dyDescent="0.3">
      <c r="J2711" s="188"/>
    </row>
    <row r="2712" spans="10:10" x14ac:dyDescent="0.3">
      <c r="J2712" s="188"/>
    </row>
    <row r="2713" spans="10:10" x14ac:dyDescent="0.3">
      <c r="J2713" s="188"/>
    </row>
    <row r="2714" spans="10:10" x14ac:dyDescent="0.3">
      <c r="J2714" s="188"/>
    </row>
    <row r="2715" spans="10:10" x14ac:dyDescent="0.3">
      <c r="J2715" s="188"/>
    </row>
    <row r="2716" spans="10:10" x14ac:dyDescent="0.3">
      <c r="J2716" s="188"/>
    </row>
    <row r="2717" spans="10:10" x14ac:dyDescent="0.3">
      <c r="J2717" s="188"/>
    </row>
    <row r="2718" spans="10:10" x14ac:dyDescent="0.3">
      <c r="J2718" s="188"/>
    </row>
    <row r="2719" spans="10:10" x14ac:dyDescent="0.3">
      <c r="J2719" s="188"/>
    </row>
    <row r="2720" spans="10:10" x14ac:dyDescent="0.3">
      <c r="J2720" s="188"/>
    </row>
    <row r="2721" spans="10:10" x14ac:dyDescent="0.3">
      <c r="J2721" s="188"/>
    </row>
    <row r="2722" spans="10:10" x14ac:dyDescent="0.3">
      <c r="J2722" s="188"/>
    </row>
    <row r="2723" spans="10:10" x14ac:dyDescent="0.3">
      <c r="J2723" s="188"/>
    </row>
    <row r="2724" spans="10:10" x14ac:dyDescent="0.3">
      <c r="J2724" s="188"/>
    </row>
    <row r="2725" spans="10:10" x14ac:dyDescent="0.3">
      <c r="J2725" s="188"/>
    </row>
    <row r="2726" spans="10:10" x14ac:dyDescent="0.3">
      <c r="J2726" s="188"/>
    </row>
    <row r="2727" spans="10:10" x14ac:dyDescent="0.3">
      <c r="J2727" s="188"/>
    </row>
    <row r="2728" spans="10:10" x14ac:dyDescent="0.3">
      <c r="J2728" s="188"/>
    </row>
    <row r="2729" spans="10:10" x14ac:dyDescent="0.3">
      <c r="J2729" s="188"/>
    </row>
    <row r="2730" spans="10:10" x14ac:dyDescent="0.3">
      <c r="J2730" s="188"/>
    </row>
    <row r="2731" spans="10:10" x14ac:dyDescent="0.3">
      <c r="J2731" s="188"/>
    </row>
    <row r="2732" spans="10:10" x14ac:dyDescent="0.3">
      <c r="J2732" s="188"/>
    </row>
    <row r="2733" spans="10:10" x14ac:dyDescent="0.3">
      <c r="J2733" s="188"/>
    </row>
    <row r="2734" spans="10:10" x14ac:dyDescent="0.3">
      <c r="J2734" s="188"/>
    </row>
    <row r="2735" spans="10:10" x14ac:dyDescent="0.3">
      <c r="J2735" s="188"/>
    </row>
    <row r="2736" spans="10:10" x14ac:dyDescent="0.3">
      <c r="J2736" s="188"/>
    </row>
    <row r="2737" spans="10:10" x14ac:dyDescent="0.3">
      <c r="J2737" s="188"/>
    </row>
    <row r="2738" spans="10:10" x14ac:dyDescent="0.3">
      <c r="J2738" s="188"/>
    </row>
    <row r="2739" spans="10:10" x14ac:dyDescent="0.3">
      <c r="J2739" s="188"/>
    </row>
    <row r="2740" spans="10:10" x14ac:dyDescent="0.3">
      <c r="J2740" s="188"/>
    </row>
    <row r="2741" spans="10:10" x14ac:dyDescent="0.3">
      <c r="J2741" s="188"/>
    </row>
    <row r="2742" spans="10:10" x14ac:dyDescent="0.3">
      <c r="J2742" s="188"/>
    </row>
    <row r="2743" spans="10:10" x14ac:dyDescent="0.3">
      <c r="J2743" s="188"/>
    </row>
    <row r="2744" spans="10:10" x14ac:dyDescent="0.3">
      <c r="J2744" s="188"/>
    </row>
    <row r="2745" spans="10:10" x14ac:dyDescent="0.3">
      <c r="J2745" s="188"/>
    </row>
    <row r="2746" spans="10:10" x14ac:dyDescent="0.3">
      <c r="J2746" s="188"/>
    </row>
    <row r="2747" spans="10:10" x14ac:dyDescent="0.3">
      <c r="J2747" s="188"/>
    </row>
    <row r="2748" spans="10:10" x14ac:dyDescent="0.3">
      <c r="J2748" s="188"/>
    </row>
    <row r="2749" spans="10:10" x14ac:dyDescent="0.3">
      <c r="J2749" s="188"/>
    </row>
    <row r="2750" spans="10:10" x14ac:dyDescent="0.3">
      <c r="J2750" s="188"/>
    </row>
    <row r="2751" spans="10:10" x14ac:dyDescent="0.3">
      <c r="J2751" s="188"/>
    </row>
    <row r="2752" spans="10:10" x14ac:dyDescent="0.3">
      <c r="J2752" s="188"/>
    </row>
    <row r="2753" spans="10:10" x14ac:dyDescent="0.3">
      <c r="J2753" s="188"/>
    </row>
    <row r="2754" spans="10:10" x14ac:dyDescent="0.3">
      <c r="J2754" s="188"/>
    </row>
    <row r="2755" spans="10:10" x14ac:dyDescent="0.3">
      <c r="J2755" s="188"/>
    </row>
    <row r="2756" spans="10:10" x14ac:dyDescent="0.3">
      <c r="J2756" s="188"/>
    </row>
    <row r="2757" spans="10:10" x14ac:dyDescent="0.3">
      <c r="J2757" s="188"/>
    </row>
    <row r="2758" spans="10:10" x14ac:dyDescent="0.3">
      <c r="J2758" s="188"/>
    </row>
    <row r="2759" spans="10:10" x14ac:dyDescent="0.3">
      <c r="J2759" s="188"/>
    </row>
    <row r="2760" spans="10:10" x14ac:dyDescent="0.3">
      <c r="J2760" s="188"/>
    </row>
    <row r="2761" spans="10:10" x14ac:dyDescent="0.3">
      <c r="J2761" s="188"/>
    </row>
    <row r="2762" spans="10:10" x14ac:dyDescent="0.3">
      <c r="J2762" s="188"/>
    </row>
    <row r="2763" spans="10:10" x14ac:dyDescent="0.3">
      <c r="J2763" s="188"/>
    </row>
    <row r="2764" spans="10:10" x14ac:dyDescent="0.3">
      <c r="J2764" s="188"/>
    </row>
    <row r="2765" spans="10:10" x14ac:dyDescent="0.3">
      <c r="J2765" s="188"/>
    </row>
    <row r="2766" spans="10:10" x14ac:dyDescent="0.3">
      <c r="J2766" s="188"/>
    </row>
    <row r="2767" spans="10:10" x14ac:dyDescent="0.3">
      <c r="J2767" s="188"/>
    </row>
    <row r="2768" spans="10:10" x14ac:dyDescent="0.3">
      <c r="J2768" s="188"/>
    </row>
    <row r="2769" spans="10:10" x14ac:dyDescent="0.3">
      <c r="J2769" s="188"/>
    </row>
    <row r="2770" spans="10:10" x14ac:dyDescent="0.3">
      <c r="J2770" s="188"/>
    </row>
    <row r="2771" spans="10:10" x14ac:dyDescent="0.3">
      <c r="J2771" s="188"/>
    </row>
    <row r="2772" spans="10:10" x14ac:dyDescent="0.3">
      <c r="J2772" s="188"/>
    </row>
    <row r="2773" spans="10:10" x14ac:dyDescent="0.3">
      <c r="J2773" s="188"/>
    </row>
    <row r="2774" spans="10:10" x14ac:dyDescent="0.3">
      <c r="J2774" s="188"/>
    </row>
    <row r="2775" spans="10:10" x14ac:dyDescent="0.3">
      <c r="J2775" s="188"/>
    </row>
    <row r="2776" spans="10:10" x14ac:dyDescent="0.3">
      <c r="J2776" s="188"/>
    </row>
    <row r="2777" spans="10:10" x14ac:dyDescent="0.3">
      <c r="J2777" s="188"/>
    </row>
    <row r="2778" spans="10:10" x14ac:dyDescent="0.3">
      <c r="J2778" s="188"/>
    </row>
    <row r="2779" spans="10:10" x14ac:dyDescent="0.3">
      <c r="J2779" s="188"/>
    </row>
    <row r="2780" spans="10:10" x14ac:dyDescent="0.3">
      <c r="J2780" s="188"/>
    </row>
    <row r="2781" spans="10:10" x14ac:dyDescent="0.3">
      <c r="J2781" s="188"/>
    </row>
    <row r="2782" spans="10:10" x14ac:dyDescent="0.3">
      <c r="J2782" s="188"/>
    </row>
    <row r="2783" spans="10:10" x14ac:dyDescent="0.3">
      <c r="J2783" s="188"/>
    </row>
    <row r="2784" spans="10:10" x14ac:dyDescent="0.3">
      <c r="J2784" s="188"/>
    </row>
    <row r="2785" spans="10:10" x14ac:dyDescent="0.3">
      <c r="J2785" s="188"/>
    </row>
    <row r="2786" spans="10:10" x14ac:dyDescent="0.3">
      <c r="J2786" s="188"/>
    </row>
    <row r="2787" spans="10:10" x14ac:dyDescent="0.3">
      <c r="J2787" s="188"/>
    </row>
    <row r="2788" spans="10:10" x14ac:dyDescent="0.3">
      <c r="J2788" s="188"/>
    </row>
    <row r="2789" spans="10:10" x14ac:dyDescent="0.3">
      <c r="J2789" s="188"/>
    </row>
    <row r="2790" spans="10:10" x14ac:dyDescent="0.3">
      <c r="J2790" s="188"/>
    </row>
    <row r="2791" spans="10:10" x14ac:dyDescent="0.3">
      <c r="J2791" s="188"/>
    </row>
    <row r="2792" spans="10:10" x14ac:dyDescent="0.3">
      <c r="J2792" s="188"/>
    </row>
    <row r="2793" spans="10:10" x14ac:dyDescent="0.3">
      <c r="J2793" s="188"/>
    </row>
    <row r="2794" spans="10:10" x14ac:dyDescent="0.3">
      <c r="J2794" s="188"/>
    </row>
    <row r="2795" spans="10:10" x14ac:dyDescent="0.3">
      <c r="J2795" s="188"/>
    </row>
    <row r="2796" spans="10:10" x14ac:dyDescent="0.3">
      <c r="J2796" s="188"/>
    </row>
    <row r="2797" spans="10:10" x14ac:dyDescent="0.3">
      <c r="J2797" s="188"/>
    </row>
    <row r="2798" spans="10:10" x14ac:dyDescent="0.3">
      <c r="J2798" s="188"/>
    </row>
    <row r="2799" spans="10:10" x14ac:dyDescent="0.3">
      <c r="J2799" s="188"/>
    </row>
    <row r="2800" spans="10:10" x14ac:dyDescent="0.3">
      <c r="J2800" s="188"/>
    </row>
    <row r="2801" spans="10:10" x14ac:dyDescent="0.3">
      <c r="J2801" s="188"/>
    </row>
    <row r="2802" spans="10:10" x14ac:dyDescent="0.3">
      <c r="J2802" s="188"/>
    </row>
    <row r="2803" spans="10:10" x14ac:dyDescent="0.3">
      <c r="J2803" s="188"/>
    </row>
    <row r="2804" spans="10:10" x14ac:dyDescent="0.3">
      <c r="J2804" s="188"/>
    </row>
    <row r="2805" spans="10:10" x14ac:dyDescent="0.3">
      <c r="J2805" s="188"/>
    </row>
    <row r="2806" spans="10:10" x14ac:dyDescent="0.3">
      <c r="J2806" s="188"/>
    </row>
    <row r="2807" spans="10:10" x14ac:dyDescent="0.3">
      <c r="J2807" s="188"/>
    </row>
    <row r="2808" spans="10:10" x14ac:dyDescent="0.3">
      <c r="J2808" s="188"/>
    </row>
    <row r="2809" spans="10:10" x14ac:dyDescent="0.3">
      <c r="J2809" s="188"/>
    </row>
    <row r="2810" spans="10:10" x14ac:dyDescent="0.3">
      <c r="J2810" s="188"/>
    </row>
    <row r="2811" spans="10:10" x14ac:dyDescent="0.3">
      <c r="J2811" s="188"/>
    </row>
    <row r="2812" spans="10:10" x14ac:dyDescent="0.3">
      <c r="J2812" s="188"/>
    </row>
    <row r="2813" spans="10:10" x14ac:dyDescent="0.3">
      <c r="J2813" s="188"/>
    </row>
    <row r="2814" spans="10:10" x14ac:dyDescent="0.3">
      <c r="J2814" s="188"/>
    </row>
    <row r="2815" spans="10:10" x14ac:dyDescent="0.3">
      <c r="J2815" s="188"/>
    </row>
    <row r="2816" spans="10:10" x14ac:dyDescent="0.3">
      <c r="J2816" s="188"/>
    </row>
    <row r="2817" spans="10:10" x14ac:dyDescent="0.3">
      <c r="J2817" s="188"/>
    </row>
    <row r="2818" spans="10:10" x14ac:dyDescent="0.3">
      <c r="J2818" s="188"/>
    </row>
    <row r="2819" spans="10:10" x14ac:dyDescent="0.3">
      <c r="J2819" s="188"/>
    </row>
    <row r="2820" spans="10:10" x14ac:dyDescent="0.3">
      <c r="J2820" s="188"/>
    </row>
    <row r="2821" spans="10:10" x14ac:dyDescent="0.3">
      <c r="J2821" s="188"/>
    </row>
    <row r="2822" spans="10:10" x14ac:dyDescent="0.3">
      <c r="J2822" s="188"/>
    </row>
    <row r="2823" spans="10:10" x14ac:dyDescent="0.3">
      <c r="J2823" s="188"/>
    </row>
    <row r="2824" spans="10:10" x14ac:dyDescent="0.3">
      <c r="J2824" s="188"/>
    </row>
    <row r="2825" spans="10:10" x14ac:dyDescent="0.3">
      <c r="J2825" s="188"/>
    </row>
    <row r="2826" spans="10:10" x14ac:dyDescent="0.3">
      <c r="J2826" s="188"/>
    </row>
    <row r="2827" spans="10:10" x14ac:dyDescent="0.3">
      <c r="J2827" s="188"/>
    </row>
    <row r="2828" spans="10:10" x14ac:dyDescent="0.3">
      <c r="J2828" s="188"/>
    </row>
    <row r="2829" spans="10:10" x14ac:dyDescent="0.3">
      <c r="J2829" s="188"/>
    </row>
    <row r="2830" spans="10:10" x14ac:dyDescent="0.3">
      <c r="J2830" s="188"/>
    </row>
    <row r="2831" spans="10:10" x14ac:dyDescent="0.3">
      <c r="J2831" s="188"/>
    </row>
    <row r="2832" spans="10:10" x14ac:dyDescent="0.3">
      <c r="J2832" s="188"/>
    </row>
    <row r="2833" spans="10:10" x14ac:dyDescent="0.3">
      <c r="J2833" s="188"/>
    </row>
    <row r="2834" spans="10:10" x14ac:dyDescent="0.3">
      <c r="J2834" s="188"/>
    </row>
    <row r="2835" spans="10:10" x14ac:dyDescent="0.3">
      <c r="J2835" s="188"/>
    </row>
    <row r="2836" spans="10:10" x14ac:dyDescent="0.3">
      <c r="J2836" s="188"/>
    </row>
    <row r="2837" spans="10:10" x14ac:dyDescent="0.3">
      <c r="J2837" s="188"/>
    </row>
    <row r="2838" spans="10:10" x14ac:dyDescent="0.3">
      <c r="J2838" s="188"/>
    </row>
    <row r="2839" spans="10:10" x14ac:dyDescent="0.3">
      <c r="J2839" s="188"/>
    </row>
    <row r="2840" spans="10:10" x14ac:dyDescent="0.3">
      <c r="J2840" s="188"/>
    </row>
    <row r="2841" spans="10:10" x14ac:dyDescent="0.3">
      <c r="J2841" s="188"/>
    </row>
    <row r="2842" spans="10:10" x14ac:dyDescent="0.3">
      <c r="J2842" s="188"/>
    </row>
    <row r="2843" spans="10:10" x14ac:dyDescent="0.3">
      <c r="J2843" s="188"/>
    </row>
    <row r="2844" spans="10:10" x14ac:dyDescent="0.3">
      <c r="J2844" s="188"/>
    </row>
    <row r="2845" spans="10:10" x14ac:dyDescent="0.3">
      <c r="J2845" s="188"/>
    </row>
    <row r="2846" spans="10:10" x14ac:dyDescent="0.3">
      <c r="J2846" s="188"/>
    </row>
    <row r="2847" spans="10:10" x14ac:dyDescent="0.3">
      <c r="J2847" s="188"/>
    </row>
    <row r="2848" spans="10:10" x14ac:dyDescent="0.3">
      <c r="J2848" s="188"/>
    </row>
    <row r="2849" spans="10:10" x14ac:dyDescent="0.3">
      <c r="J2849" s="188"/>
    </row>
    <row r="2850" spans="10:10" x14ac:dyDescent="0.3">
      <c r="J2850" s="188"/>
    </row>
    <row r="2851" spans="10:10" x14ac:dyDescent="0.3">
      <c r="J2851" s="188"/>
    </row>
    <row r="2852" spans="10:10" x14ac:dyDescent="0.3">
      <c r="J2852" s="188"/>
    </row>
    <row r="2853" spans="10:10" x14ac:dyDescent="0.3">
      <c r="J2853" s="188"/>
    </row>
    <row r="2854" spans="10:10" x14ac:dyDescent="0.3">
      <c r="J2854" s="188"/>
    </row>
    <row r="2855" spans="10:10" x14ac:dyDescent="0.3">
      <c r="J2855" s="188"/>
    </row>
    <row r="2856" spans="10:10" x14ac:dyDescent="0.3">
      <c r="J2856" s="188"/>
    </row>
    <row r="2857" spans="10:10" x14ac:dyDescent="0.3">
      <c r="J2857" s="188"/>
    </row>
    <row r="2858" spans="10:10" x14ac:dyDescent="0.3">
      <c r="J2858" s="188"/>
    </row>
    <row r="2859" spans="10:10" x14ac:dyDescent="0.3">
      <c r="J2859" s="188"/>
    </row>
    <row r="2860" spans="10:10" x14ac:dyDescent="0.3">
      <c r="J2860" s="188"/>
    </row>
    <row r="2861" spans="10:10" x14ac:dyDescent="0.3">
      <c r="J2861" s="188"/>
    </row>
    <row r="2862" spans="10:10" x14ac:dyDescent="0.3">
      <c r="J2862" s="188"/>
    </row>
    <row r="2863" spans="10:10" x14ac:dyDescent="0.3">
      <c r="J2863" s="188"/>
    </row>
    <row r="2864" spans="10:10" x14ac:dyDescent="0.3">
      <c r="J2864" s="188"/>
    </row>
    <row r="2865" spans="10:10" x14ac:dyDescent="0.3">
      <c r="J2865" s="188"/>
    </row>
    <row r="2866" spans="10:10" x14ac:dyDescent="0.3">
      <c r="J2866" s="188"/>
    </row>
    <row r="2867" spans="10:10" x14ac:dyDescent="0.3">
      <c r="J2867" s="188"/>
    </row>
    <row r="2868" spans="10:10" x14ac:dyDescent="0.3">
      <c r="J2868" s="188"/>
    </row>
    <row r="2869" spans="10:10" x14ac:dyDescent="0.3">
      <c r="J2869" s="188"/>
    </row>
    <row r="2870" spans="10:10" x14ac:dyDescent="0.3">
      <c r="J2870" s="188"/>
    </row>
    <row r="2871" spans="10:10" x14ac:dyDescent="0.3">
      <c r="J2871" s="188"/>
    </row>
    <row r="2872" spans="10:10" x14ac:dyDescent="0.3">
      <c r="J2872" s="188"/>
    </row>
    <row r="2873" spans="10:10" x14ac:dyDescent="0.3">
      <c r="J2873" s="188"/>
    </row>
    <row r="2874" spans="10:10" x14ac:dyDescent="0.3">
      <c r="J2874" s="188"/>
    </row>
    <row r="2875" spans="10:10" x14ac:dyDescent="0.3">
      <c r="J2875" s="188"/>
    </row>
    <row r="2876" spans="10:10" x14ac:dyDescent="0.3">
      <c r="J2876" s="188"/>
    </row>
    <row r="2877" spans="10:10" x14ac:dyDescent="0.3">
      <c r="J2877" s="188"/>
    </row>
    <row r="2878" spans="10:10" x14ac:dyDescent="0.3">
      <c r="J2878" s="188"/>
    </row>
    <row r="2879" spans="10:10" x14ac:dyDescent="0.3">
      <c r="J2879" s="188"/>
    </row>
    <row r="2880" spans="10:10" x14ac:dyDescent="0.3">
      <c r="J2880" s="188"/>
    </row>
    <row r="2881" spans="10:10" x14ac:dyDescent="0.3">
      <c r="J2881" s="188"/>
    </row>
    <row r="2882" spans="10:10" x14ac:dyDescent="0.3">
      <c r="J2882" s="188"/>
    </row>
    <row r="2883" spans="10:10" x14ac:dyDescent="0.3">
      <c r="J2883" s="188"/>
    </row>
    <row r="2884" spans="10:10" x14ac:dyDescent="0.3">
      <c r="J2884" s="188"/>
    </row>
    <row r="2885" spans="10:10" x14ac:dyDescent="0.3">
      <c r="J2885" s="188"/>
    </row>
    <row r="2886" spans="10:10" x14ac:dyDescent="0.3">
      <c r="J2886" s="188"/>
    </row>
    <row r="2887" spans="10:10" x14ac:dyDescent="0.3">
      <c r="J2887" s="188"/>
    </row>
    <row r="2888" spans="10:10" x14ac:dyDescent="0.3">
      <c r="J2888" s="188"/>
    </row>
    <row r="2889" spans="10:10" x14ac:dyDescent="0.3">
      <c r="J2889" s="188"/>
    </row>
    <row r="2890" spans="10:10" x14ac:dyDescent="0.3">
      <c r="J2890" s="188"/>
    </row>
    <row r="2891" spans="10:10" x14ac:dyDescent="0.3">
      <c r="J2891" s="188"/>
    </row>
    <row r="2892" spans="10:10" x14ac:dyDescent="0.3">
      <c r="J2892" s="188"/>
    </row>
    <row r="2893" spans="10:10" x14ac:dyDescent="0.3">
      <c r="J2893" s="188"/>
    </row>
    <row r="2894" spans="10:10" x14ac:dyDescent="0.3">
      <c r="J2894" s="188"/>
    </row>
    <row r="2895" spans="10:10" x14ac:dyDescent="0.3">
      <c r="J2895" s="188"/>
    </row>
    <row r="2896" spans="10:10" x14ac:dyDescent="0.3">
      <c r="J2896" s="188"/>
    </row>
    <row r="2897" spans="10:10" x14ac:dyDescent="0.3">
      <c r="J2897" s="188"/>
    </row>
    <row r="2898" spans="10:10" x14ac:dyDescent="0.3">
      <c r="J2898" s="188"/>
    </row>
    <row r="2899" spans="10:10" x14ac:dyDescent="0.3">
      <c r="J2899" s="188"/>
    </row>
    <row r="2900" spans="10:10" x14ac:dyDescent="0.3">
      <c r="J2900" s="188"/>
    </row>
    <row r="2901" spans="10:10" x14ac:dyDescent="0.3">
      <c r="J2901" s="188"/>
    </row>
    <row r="2902" spans="10:10" x14ac:dyDescent="0.3">
      <c r="J2902" s="188"/>
    </row>
    <row r="2903" spans="10:10" x14ac:dyDescent="0.3">
      <c r="J2903" s="188"/>
    </row>
    <row r="2904" spans="10:10" x14ac:dyDescent="0.3">
      <c r="J2904" s="188"/>
    </row>
    <row r="2905" spans="10:10" x14ac:dyDescent="0.3">
      <c r="J2905" s="188"/>
    </row>
    <row r="2906" spans="10:10" x14ac:dyDescent="0.3">
      <c r="J2906" s="188"/>
    </row>
    <row r="2907" spans="10:10" x14ac:dyDescent="0.3">
      <c r="J2907" s="188"/>
    </row>
    <row r="2908" spans="10:10" x14ac:dyDescent="0.3">
      <c r="J2908" s="188"/>
    </row>
    <row r="2909" spans="10:10" x14ac:dyDescent="0.3">
      <c r="J2909" s="188"/>
    </row>
    <row r="2910" spans="10:10" x14ac:dyDescent="0.3">
      <c r="J2910" s="188"/>
    </row>
    <row r="2911" spans="10:10" x14ac:dyDescent="0.3">
      <c r="J2911" s="188"/>
    </row>
    <row r="2912" spans="10:10" x14ac:dyDescent="0.3">
      <c r="J2912" s="188"/>
    </row>
    <row r="2913" spans="10:10" x14ac:dyDescent="0.3">
      <c r="J2913" s="188"/>
    </row>
    <row r="2914" spans="10:10" x14ac:dyDescent="0.3">
      <c r="J2914" s="188"/>
    </row>
    <row r="2915" spans="10:10" x14ac:dyDescent="0.3">
      <c r="J2915" s="188"/>
    </row>
    <row r="2916" spans="10:10" x14ac:dyDescent="0.3">
      <c r="J2916" s="188"/>
    </row>
    <row r="2917" spans="10:10" x14ac:dyDescent="0.3">
      <c r="J2917" s="188"/>
    </row>
    <row r="2918" spans="10:10" x14ac:dyDescent="0.3">
      <c r="J2918" s="188"/>
    </row>
    <row r="2919" spans="10:10" x14ac:dyDescent="0.3">
      <c r="J2919" s="188"/>
    </row>
    <row r="2920" spans="10:10" x14ac:dyDescent="0.3">
      <c r="J2920" s="188"/>
    </row>
    <row r="2921" spans="10:10" x14ac:dyDescent="0.3">
      <c r="J2921" s="188"/>
    </row>
    <row r="2922" spans="10:10" x14ac:dyDescent="0.3">
      <c r="J2922" s="188"/>
    </row>
    <row r="2923" spans="10:10" x14ac:dyDescent="0.3">
      <c r="J2923" s="188"/>
    </row>
    <row r="2924" spans="10:10" x14ac:dyDescent="0.3">
      <c r="J2924" s="188"/>
    </row>
    <row r="2925" spans="10:10" x14ac:dyDescent="0.3">
      <c r="J2925" s="188"/>
    </row>
    <row r="2926" spans="10:10" x14ac:dyDescent="0.3">
      <c r="J2926" s="188"/>
    </row>
    <row r="2927" spans="10:10" x14ac:dyDescent="0.3">
      <c r="J2927" s="188"/>
    </row>
    <row r="2928" spans="10:10" x14ac:dyDescent="0.3">
      <c r="J2928" s="188"/>
    </row>
    <row r="2929" spans="10:10" x14ac:dyDescent="0.3">
      <c r="J2929" s="188"/>
    </row>
    <row r="2930" spans="10:10" x14ac:dyDescent="0.3">
      <c r="J2930" s="188"/>
    </row>
    <row r="2931" spans="10:10" x14ac:dyDescent="0.3">
      <c r="J2931" s="188"/>
    </row>
    <row r="2932" spans="10:10" x14ac:dyDescent="0.3">
      <c r="J2932" s="188"/>
    </row>
    <row r="2933" spans="10:10" x14ac:dyDescent="0.3">
      <c r="J2933" s="188"/>
    </row>
    <row r="2934" spans="10:10" x14ac:dyDescent="0.3">
      <c r="J2934" s="188"/>
    </row>
    <row r="2935" spans="10:10" x14ac:dyDescent="0.3">
      <c r="J2935" s="188"/>
    </row>
    <row r="2936" spans="10:10" x14ac:dyDescent="0.3">
      <c r="J2936" s="188"/>
    </row>
    <row r="2937" spans="10:10" x14ac:dyDescent="0.3">
      <c r="J2937" s="188"/>
    </row>
    <row r="2938" spans="10:10" x14ac:dyDescent="0.3">
      <c r="J2938" s="188"/>
    </row>
    <row r="2939" spans="10:10" x14ac:dyDescent="0.3">
      <c r="J2939" s="188"/>
    </row>
    <row r="2940" spans="10:10" x14ac:dyDescent="0.3">
      <c r="J2940" s="188"/>
    </row>
    <row r="2941" spans="10:10" x14ac:dyDescent="0.3">
      <c r="J2941" s="188"/>
    </row>
    <row r="2942" spans="10:10" x14ac:dyDescent="0.3">
      <c r="J2942" s="188"/>
    </row>
    <row r="2943" spans="10:10" x14ac:dyDescent="0.3">
      <c r="J2943" s="188"/>
    </row>
    <row r="2944" spans="10:10" x14ac:dyDescent="0.3">
      <c r="J2944" s="188"/>
    </row>
    <row r="2945" spans="10:10" x14ac:dyDescent="0.3">
      <c r="J2945" s="188"/>
    </row>
    <row r="2946" spans="10:10" x14ac:dyDescent="0.3">
      <c r="J2946" s="188"/>
    </row>
    <row r="2947" spans="10:10" x14ac:dyDescent="0.3">
      <c r="J2947" s="188"/>
    </row>
    <row r="2948" spans="10:10" x14ac:dyDescent="0.3">
      <c r="J2948" s="188"/>
    </row>
    <row r="2949" spans="10:10" x14ac:dyDescent="0.3">
      <c r="J2949" s="188"/>
    </row>
    <row r="2950" spans="10:10" x14ac:dyDescent="0.3">
      <c r="J2950" s="188"/>
    </row>
    <row r="2951" spans="10:10" x14ac:dyDescent="0.3">
      <c r="J2951" s="188"/>
    </row>
    <row r="2952" spans="10:10" x14ac:dyDescent="0.3">
      <c r="J2952" s="188"/>
    </row>
    <row r="2953" spans="10:10" x14ac:dyDescent="0.3">
      <c r="J2953" s="188"/>
    </row>
    <row r="2954" spans="10:10" x14ac:dyDescent="0.3">
      <c r="J2954" s="188"/>
    </row>
    <row r="2955" spans="10:10" x14ac:dyDescent="0.3">
      <c r="J2955" s="188"/>
    </row>
    <row r="2956" spans="10:10" x14ac:dyDescent="0.3">
      <c r="J2956" s="188"/>
    </row>
    <row r="2957" spans="10:10" x14ac:dyDescent="0.3">
      <c r="J2957" s="188"/>
    </row>
    <row r="2958" spans="10:10" x14ac:dyDescent="0.3">
      <c r="J2958" s="188"/>
    </row>
    <row r="2959" spans="10:10" x14ac:dyDescent="0.3">
      <c r="J2959" s="188"/>
    </row>
    <row r="2960" spans="10:10" x14ac:dyDescent="0.3">
      <c r="J2960" s="188"/>
    </row>
    <row r="2961" spans="10:10" x14ac:dyDescent="0.3">
      <c r="J2961" s="188"/>
    </row>
    <row r="2962" spans="10:10" x14ac:dyDescent="0.3">
      <c r="J2962" s="188"/>
    </row>
    <row r="2963" spans="10:10" x14ac:dyDescent="0.3">
      <c r="J2963" s="188"/>
    </row>
    <row r="2964" spans="10:10" x14ac:dyDescent="0.3">
      <c r="J2964" s="188"/>
    </row>
    <row r="2965" spans="10:10" x14ac:dyDescent="0.3">
      <c r="J2965" s="188"/>
    </row>
    <row r="2966" spans="10:10" x14ac:dyDescent="0.3">
      <c r="J2966" s="188"/>
    </row>
    <row r="2967" spans="10:10" x14ac:dyDescent="0.3">
      <c r="J2967" s="188"/>
    </row>
    <row r="2968" spans="10:10" x14ac:dyDescent="0.3">
      <c r="J2968" s="188"/>
    </row>
    <row r="2969" spans="10:10" x14ac:dyDescent="0.3">
      <c r="J2969" s="188"/>
    </row>
    <row r="2970" spans="10:10" x14ac:dyDescent="0.3">
      <c r="J2970" s="188"/>
    </row>
    <row r="2971" spans="10:10" x14ac:dyDescent="0.3">
      <c r="J2971" s="188"/>
    </row>
    <row r="2972" spans="10:10" x14ac:dyDescent="0.3">
      <c r="J2972" s="188"/>
    </row>
    <row r="2973" spans="10:10" x14ac:dyDescent="0.3">
      <c r="J2973" s="188"/>
    </row>
    <row r="2974" spans="10:10" x14ac:dyDescent="0.3">
      <c r="J2974" s="188"/>
    </row>
    <row r="2975" spans="10:10" x14ac:dyDescent="0.3">
      <c r="J2975" s="188"/>
    </row>
    <row r="2976" spans="10:10" x14ac:dyDescent="0.3">
      <c r="J2976" s="188"/>
    </row>
    <row r="2977" spans="10:10" x14ac:dyDescent="0.3">
      <c r="J2977" s="188"/>
    </row>
    <row r="2978" spans="10:10" x14ac:dyDescent="0.3">
      <c r="J2978" s="188"/>
    </row>
    <row r="2979" spans="10:10" x14ac:dyDescent="0.3">
      <c r="J2979" s="188"/>
    </row>
    <row r="2980" spans="10:10" x14ac:dyDescent="0.3">
      <c r="J2980" s="188"/>
    </row>
    <row r="2981" spans="10:10" x14ac:dyDescent="0.3">
      <c r="J2981" s="188"/>
    </row>
    <row r="2982" spans="10:10" x14ac:dyDescent="0.3">
      <c r="J2982" s="188"/>
    </row>
    <row r="2983" spans="10:10" x14ac:dyDescent="0.3">
      <c r="J2983" s="188"/>
    </row>
    <row r="2984" spans="10:10" x14ac:dyDescent="0.3">
      <c r="J2984" s="188"/>
    </row>
    <row r="2985" spans="10:10" x14ac:dyDescent="0.3">
      <c r="J2985" s="188"/>
    </row>
    <row r="2986" spans="10:10" x14ac:dyDescent="0.3">
      <c r="J2986" s="188"/>
    </row>
    <row r="2987" spans="10:10" x14ac:dyDescent="0.3">
      <c r="J2987" s="188"/>
    </row>
    <row r="2988" spans="10:10" x14ac:dyDescent="0.3">
      <c r="J2988" s="188"/>
    </row>
    <row r="2989" spans="10:10" x14ac:dyDescent="0.3">
      <c r="J2989" s="188"/>
    </row>
    <row r="2990" spans="10:10" x14ac:dyDescent="0.3">
      <c r="J2990" s="188"/>
    </row>
    <row r="2991" spans="10:10" x14ac:dyDescent="0.3">
      <c r="J2991" s="188"/>
    </row>
    <row r="2992" spans="10:10" x14ac:dyDescent="0.3">
      <c r="J2992" s="188"/>
    </row>
    <row r="2993" spans="10:10" x14ac:dyDescent="0.3">
      <c r="J2993" s="188"/>
    </row>
    <row r="2994" spans="10:10" x14ac:dyDescent="0.3">
      <c r="J2994" s="188"/>
    </row>
    <row r="2995" spans="10:10" x14ac:dyDescent="0.3">
      <c r="J2995" s="188"/>
    </row>
    <row r="2996" spans="10:10" x14ac:dyDescent="0.3">
      <c r="J2996" s="188"/>
    </row>
    <row r="2997" spans="10:10" x14ac:dyDescent="0.3">
      <c r="J2997" s="188"/>
    </row>
    <row r="2998" spans="10:10" x14ac:dyDescent="0.3">
      <c r="J2998" s="188"/>
    </row>
    <row r="2999" spans="10:10" x14ac:dyDescent="0.3">
      <c r="J2999" s="188"/>
    </row>
    <row r="3000" spans="10:10" x14ac:dyDescent="0.3">
      <c r="J3000" s="188"/>
    </row>
    <row r="3001" spans="10:10" x14ac:dyDescent="0.3">
      <c r="J3001" s="188"/>
    </row>
    <row r="3002" spans="10:10" x14ac:dyDescent="0.3">
      <c r="J3002" s="188"/>
    </row>
    <row r="3003" spans="10:10" x14ac:dyDescent="0.3">
      <c r="J3003" s="188"/>
    </row>
    <row r="3004" spans="10:10" x14ac:dyDescent="0.3">
      <c r="J3004" s="188"/>
    </row>
    <row r="3005" spans="10:10" x14ac:dyDescent="0.3">
      <c r="J3005" s="188"/>
    </row>
    <row r="3006" spans="10:10" x14ac:dyDescent="0.3">
      <c r="J3006" s="188"/>
    </row>
    <row r="3007" spans="10:10" x14ac:dyDescent="0.3">
      <c r="J3007" s="188"/>
    </row>
    <row r="3008" spans="10:10" x14ac:dyDescent="0.3">
      <c r="J3008" s="188"/>
    </row>
    <row r="3009" spans="10:10" x14ac:dyDescent="0.3">
      <c r="J3009" s="188"/>
    </row>
    <row r="3010" spans="10:10" x14ac:dyDescent="0.3">
      <c r="J3010" s="188"/>
    </row>
    <row r="3011" spans="10:10" x14ac:dyDescent="0.3">
      <c r="J3011" s="188"/>
    </row>
    <row r="3012" spans="10:10" x14ac:dyDescent="0.3">
      <c r="J3012" s="188"/>
    </row>
    <row r="3013" spans="10:10" x14ac:dyDescent="0.3">
      <c r="J3013" s="188"/>
    </row>
    <row r="3014" spans="10:10" x14ac:dyDescent="0.3">
      <c r="J3014" s="188"/>
    </row>
    <row r="3015" spans="10:10" x14ac:dyDescent="0.3">
      <c r="J3015" s="188"/>
    </row>
    <row r="3016" spans="10:10" x14ac:dyDescent="0.3">
      <c r="J3016" s="188"/>
    </row>
    <row r="3017" spans="10:10" x14ac:dyDescent="0.3">
      <c r="J3017" s="188"/>
    </row>
    <row r="3018" spans="10:10" x14ac:dyDescent="0.3">
      <c r="J3018" s="188"/>
    </row>
    <row r="3019" spans="10:10" x14ac:dyDescent="0.3">
      <c r="J3019" s="188"/>
    </row>
    <row r="3020" spans="10:10" x14ac:dyDescent="0.3">
      <c r="J3020" s="188"/>
    </row>
    <row r="3021" spans="10:10" x14ac:dyDescent="0.3">
      <c r="J3021" s="188"/>
    </row>
    <row r="3022" spans="10:10" x14ac:dyDescent="0.3">
      <c r="J3022" s="188"/>
    </row>
    <row r="3023" spans="10:10" x14ac:dyDescent="0.3">
      <c r="J3023" s="188"/>
    </row>
    <row r="3024" spans="10:10" x14ac:dyDescent="0.3">
      <c r="J3024" s="188"/>
    </row>
    <row r="3025" spans="10:10" x14ac:dyDescent="0.3">
      <c r="J3025" s="188"/>
    </row>
    <row r="3026" spans="10:10" x14ac:dyDescent="0.3">
      <c r="J3026" s="188"/>
    </row>
    <row r="3027" spans="10:10" x14ac:dyDescent="0.3">
      <c r="J3027" s="188"/>
    </row>
    <row r="3028" spans="10:10" x14ac:dyDescent="0.3">
      <c r="J3028" s="188"/>
    </row>
    <row r="3029" spans="10:10" x14ac:dyDescent="0.3">
      <c r="J3029" s="188"/>
    </row>
    <row r="3030" spans="10:10" x14ac:dyDescent="0.3">
      <c r="J3030" s="188"/>
    </row>
    <row r="3031" spans="10:10" x14ac:dyDescent="0.3">
      <c r="J3031" s="188"/>
    </row>
    <row r="3032" spans="10:10" x14ac:dyDescent="0.3">
      <c r="J3032" s="188"/>
    </row>
    <row r="3033" spans="10:10" x14ac:dyDescent="0.3">
      <c r="J3033" s="188"/>
    </row>
    <row r="3034" spans="10:10" x14ac:dyDescent="0.3">
      <c r="J3034" s="188"/>
    </row>
    <row r="3035" spans="10:10" x14ac:dyDescent="0.3">
      <c r="J3035" s="188"/>
    </row>
    <row r="3036" spans="10:10" x14ac:dyDescent="0.3">
      <c r="J3036" s="188"/>
    </row>
    <row r="3037" spans="10:10" x14ac:dyDescent="0.3">
      <c r="J3037" s="188"/>
    </row>
    <row r="3038" spans="10:10" x14ac:dyDescent="0.3">
      <c r="J3038" s="188"/>
    </row>
    <row r="3039" spans="10:10" x14ac:dyDescent="0.3">
      <c r="J3039" s="188"/>
    </row>
    <row r="3040" spans="10:10" x14ac:dyDescent="0.3">
      <c r="J3040" s="188"/>
    </row>
    <row r="3041" spans="10:10" x14ac:dyDescent="0.3">
      <c r="J3041" s="188"/>
    </row>
    <row r="3042" spans="10:10" x14ac:dyDescent="0.3">
      <c r="J3042" s="188"/>
    </row>
    <row r="3043" spans="10:10" x14ac:dyDescent="0.3">
      <c r="J3043" s="188"/>
    </row>
    <row r="3044" spans="10:10" x14ac:dyDescent="0.3">
      <c r="J3044" s="188"/>
    </row>
    <row r="3045" spans="10:10" x14ac:dyDescent="0.3">
      <c r="J3045" s="188"/>
    </row>
    <row r="3046" spans="10:10" x14ac:dyDescent="0.3">
      <c r="J3046" s="188"/>
    </row>
    <row r="3047" spans="10:10" x14ac:dyDescent="0.3">
      <c r="J3047" s="188"/>
    </row>
    <row r="3048" spans="10:10" x14ac:dyDescent="0.3">
      <c r="J3048" s="188"/>
    </row>
    <row r="3049" spans="10:10" x14ac:dyDescent="0.3">
      <c r="J3049" s="188"/>
    </row>
    <row r="3050" spans="10:10" x14ac:dyDescent="0.3">
      <c r="J3050" s="188"/>
    </row>
    <row r="3051" spans="10:10" x14ac:dyDescent="0.3">
      <c r="J3051" s="188"/>
    </row>
    <row r="3052" spans="10:10" x14ac:dyDescent="0.3">
      <c r="J3052" s="188"/>
    </row>
    <row r="3053" spans="10:10" x14ac:dyDescent="0.3">
      <c r="J3053" s="188"/>
    </row>
    <row r="3054" spans="10:10" x14ac:dyDescent="0.3">
      <c r="J3054" s="188"/>
    </row>
    <row r="3055" spans="10:10" x14ac:dyDescent="0.3">
      <c r="J3055" s="188"/>
    </row>
    <row r="3056" spans="10:10" x14ac:dyDescent="0.3">
      <c r="J3056" s="188"/>
    </row>
    <row r="3057" spans="10:10" x14ac:dyDescent="0.3">
      <c r="J3057" s="188"/>
    </row>
    <row r="3058" spans="10:10" x14ac:dyDescent="0.3">
      <c r="J3058" s="188"/>
    </row>
    <row r="3059" spans="10:10" x14ac:dyDescent="0.3">
      <c r="J3059" s="188"/>
    </row>
    <row r="3060" spans="10:10" x14ac:dyDescent="0.3">
      <c r="J3060" s="188"/>
    </row>
    <row r="3061" spans="10:10" x14ac:dyDescent="0.3">
      <c r="J3061" s="188"/>
    </row>
    <row r="3062" spans="10:10" x14ac:dyDescent="0.3">
      <c r="J3062" s="188"/>
    </row>
    <row r="3063" spans="10:10" x14ac:dyDescent="0.3">
      <c r="J3063" s="188"/>
    </row>
    <row r="3064" spans="10:10" x14ac:dyDescent="0.3">
      <c r="J3064" s="188"/>
    </row>
    <row r="3065" spans="10:10" x14ac:dyDescent="0.3">
      <c r="J3065" s="188"/>
    </row>
    <row r="3066" spans="10:10" x14ac:dyDescent="0.3">
      <c r="J3066" s="188"/>
    </row>
    <row r="3067" spans="10:10" x14ac:dyDescent="0.3">
      <c r="J3067" s="188"/>
    </row>
    <row r="3068" spans="10:10" x14ac:dyDescent="0.3">
      <c r="J3068" s="188"/>
    </row>
    <row r="3069" spans="10:10" x14ac:dyDescent="0.3">
      <c r="J3069" s="188"/>
    </row>
    <row r="3070" spans="10:10" x14ac:dyDescent="0.3">
      <c r="J3070" s="188"/>
    </row>
    <row r="3071" spans="10:10" x14ac:dyDescent="0.3">
      <c r="J3071" s="188"/>
    </row>
    <row r="3072" spans="10:10" x14ac:dyDescent="0.3">
      <c r="J3072" s="188"/>
    </row>
    <row r="3073" spans="10:10" x14ac:dyDescent="0.3">
      <c r="J3073" s="188"/>
    </row>
    <row r="3074" spans="10:10" x14ac:dyDescent="0.3">
      <c r="J3074" s="188"/>
    </row>
    <row r="3075" spans="10:10" x14ac:dyDescent="0.3">
      <c r="J3075" s="188"/>
    </row>
    <row r="3076" spans="10:10" x14ac:dyDescent="0.3">
      <c r="J3076" s="188"/>
    </row>
    <row r="3077" spans="10:10" x14ac:dyDescent="0.3">
      <c r="J3077" s="188"/>
    </row>
    <row r="3078" spans="10:10" x14ac:dyDescent="0.3">
      <c r="J3078" s="188"/>
    </row>
    <row r="3079" spans="10:10" x14ac:dyDescent="0.3">
      <c r="J3079" s="188"/>
    </row>
    <row r="3080" spans="10:10" x14ac:dyDescent="0.3">
      <c r="J3080" s="188"/>
    </row>
    <row r="3081" spans="10:10" x14ac:dyDescent="0.3">
      <c r="J3081" s="188"/>
    </row>
    <row r="3082" spans="10:10" x14ac:dyDescent="0.3">
      <c r="J3082" s="188"/>
    </row>
    <row r="3083" spans="10:10" x14ac:dyDescent="0.3">
      <c r="J3083" s="188"/>
    </row>
    <row r="3084" spans="10:10" x14ac:dyDescent="0.3">
      <c r="J3084" s="188"/>
    </row>
    <row r="3085" spans="10:10" x14ac:dyDescent="0.3">
      <c r="J3085" s="188"/>
    </row>
    <row r="3086" spans="10:10" x14ac:dyDescent="0.3">
      <c r="J3086" s="188"/>
    </row>
    <row r="3087" spans="10:10" x14ac:dyDescent="0.3">
      <c r="J3087" s="188"/>
    </row>
    <row r="3088" spans="10:10" x14ac:dyDescent="0.3">
      <c r="J3088" s="188"/>
    </row>
    <row r="3089" spans="10:10" x14ac:dyDescent="0.3">
      <c r="J3089" s="188"/>
    </row>
    <row r="3090" spans="10:10" x14ac:dyDescent="0.3">
      <c r="J3090" s="188"/>
    </row>
    <row r="3091" spans="10:10" x14ac:dyDescent="0.3">
      <c r="J3091" s="188"/>
    </row>
    <row r="3092" spans="10:10" x14ac:dyDescent="0.3">
      <c r="J3092" s="188"/>
    </row>
    <row r="3093" spans="10:10" x14ac:dyDescent="0.3">
      <c r="J3093" s="188"/>
    </row>
    <row r="3094" spans="10:10" x14ac:dyDescent="0.3">
      <c r="J3094" s="188"/>
    </row>
    <row r="3095" spans="10:10" x14ac:dyDescent="0.3">
      <c r="J3095" s="188"/>
    </row>
    <row r="3096" spans="10:10" x14ac:dyDescent="0.3">
      <c r="J3096" s="188"/>
    </row>
    <row r="3097" spans="10:10" x14ac:dyDescent="0.3">
      <c r="J3097" s="188"/>
    </row>
    <row r="3098" spans="10:10" x14ac:dyDescent="0.3">
      <c r="J3098" s="188"/>
    </row>
    <row r="3099" spans="10:10" x14ac:dyDescent="0.3">
      <c r="J3099" s="188"/>
    </row>
    <row r="3100" spans="10:10" x14ac:dyDescent="0.3">
      <c r="J3100" s="188"/>
    </row>
    <row r="3101" spans="10:10" x14ac:dyDescent="0.3">
      <c r="J3101" s="188"/>
    </row>
    <row r="3102" spans="10:10" x14ac:dyDescent="0.3">
      <c r="J3102" s="188"/>
    </row>
    <row r="3103" spans="10:10" x14ac:dyDescent="0.3">
      <c r="J3103" s="188"/>
    </row>
    <row r="3104" spans="10:10" x14ac:dyDescent="0.3">
      <c r="J3104" s="188"/>
    </row>
    <row r="3105" spans="10:10" x14ac:dyDescent="0.3">
      <c r="J3105" s="188"/>
    </row>
    <row r="3106" spans="10:10" x14ac:dyDescent="0.3">
      <c r="J3106" s="188"/>
    </row>
    <row r="3107" spans="10:10" x14ac:dyDescent="0.3">
      <c r="J3107" s="188"/>
    </row>
    <row r="3108" spans="10:10" x14ac:dyDescent="0.3">
      <c r="J3108" s="188"/>
    </row>
    <row r="3109" spans="10:10" x14ac:dyDescent="0.3">
      <c r="J3109" s="188"/>
    </row>
    <row r="3110" spans="10:10" x14ac:dyDescent="0.3">
      <c r="J3110" s="188"/>
    </row>
    <row r="3111" spans="10:10" x14ac:dyDescent="0.3">
      <c r="J3111" s="188"/>
    </row>
    <row r="3112" spans="10:10" x14ac:dyDescent="0.3">
      <c r="J3112" s="188"/>
    </row>
    <row r="3113" spans="10:10" x14ac:dyDescent="0.3">
      <c r="J3113" s="188"/>
    </row>
    <row r="3114" spans="10:10" x14ac:dyDescent="0.3">
      <c r="J3114" s="188"/>
    </row>
    <row r="3115" spans="10:10" x14ac:dyDescent="0.3">
      <c r="J3115" s="188"/>
    </row>
    <row r="3116" spans="10:10" x14ac:dyDescent="0.3">
      <c r="J3116" s="188"/>
    </row>
    <row r="3117" spans="10:10" x14ac:dyDescent="0.3">
      <c r="J3117" s="188"/>
    </row>
    <row r="3118" spans="10:10" x14ac:dyDescent="0.3">
      <c r="J3118" s="188"/>
    </row>
    <row r="3119" spans="10:10" x14ac:dyDescent="0.3">
      <c r="J3119" s="188"/>
    </row>
    <row r="3120" spans="10:10" x14ac:dyDescent="0.3">
      <c r="J3120" s="188"/>
    </row>
    <row r="3121" spans="10:10" x14ac:dyDescent="0.3">
      <c r="J3121" s="188"/>
    </row>
    <row r="3122" spans="10:10" x14ac:dyDescent="0.3">
      <c r="J3122" s="188"/>
    </row>
    <row r="3123" spans="10:10" x14ac:dyDescent="0.3">
      <c r="J3123" s="188"/>
    </row>
    <row r="3124" spans="10:10" x14ac:dyDescent="0.3">
      <c r="J3124" s="188"/>
    </row>
    <row r="3125" spans="10:10" x14ac:dyDescent="0.3">
      <c r="J3125" s="188"/>
    </row>
    <row r="3126" spans="10:10" x14ac:dyDescent="0.3">
      <c r="J3126" s="188"/>
    </row>
    <row r="3127" spans="10:10" x14ac:dyDescent="0.3">
      <c r="J3127" s="188"/>
    </row>
    <row r="3128" spans="10:10" x14ac:dyDescent="0.3">
      <c r="J3128" s="188"/>
    </row>
    <row r="3129" spans="10:10" x14ac:dyDescent="0.3">
      <c r="J3129" s="188"/>
    </row>
    <row r="3130" spans="10:10" x14ac:dyDescent="0.3">
      <c r="J3130" s="188"/>
    </row>
    <row r="3131" spans="10:10" x14ac:dyDescent="0.3">
      <c r="J3131" s="188"/>
    </row>
    <row r="3132" spans="10:10" x14ac:dyDescent="0.3">
      <c r="J3132" s="188"/>
    </row>
    <row r="3133" spans="10:10" x14ac:dyDescent="0.3">
      <c r="J3133" s="188"/>
    </row>
    <row r="3134" spans="10:10" x14ac:dyDescent="0.3">
      <c r="J3134" s="188"/>
    </row>
    <row r="3135" spans="10:10" x14ac:dyDescent="0.3">
      <c r="J3135" s="188"/>
    </row>
    <row r="3136" spans="10:10" x14ac:dyDescent="0.3">
      <c r="J3136" s="188"/>
    </row>
    <row r="3137" spans="10:10" x14ac:dyDescent="0.3">
      <c r="J3137" s="188"/>
    </row>
    <row r="3138" spans="10:10" x14ac:dyDescent="0.3">
      <c r="J3138" s="188"/>
    </row>
    <row r="3139" spans="10:10" x14ac:dyDescent="0.3">
      <c r="J3139" s="188"/>
    </row>
    <row r="3140" spans="10:10" x14ac:dyDescent="0.3">
      <c r="J3140" s="188"/>
    </row>
    <row r="3141" spans="10:10" x14ac:dyDescent="0.3">
      <c r="J3141" s="188"/>
    </row>
    <row r="3142" spans="10:10" x14ac:dyDescent="0.3">
      <c r="J3142" s="188"/>
    </row>
    <row r="3143" spans="10:10" x14ac:dyDescent="0.3">
      <c r="J3143" s="188"/>
    </row>
    <row r="3144" spans="10:10" x14ac:dyDescent="0.3">
      <c r="J3144" s="188"/>
    </row>
    <row r="3145" spans="10:10" x14ac:dyDescent="0.3">
      <c r="J3145" s="188"/>
    </row>
    <row r="3146" spans="10:10" x14ac:dyDescent="0.3">
      <c r="J3146" s="188"/>
    </row>
    <row r="3147" spans="10:10" x14ac:dyDescent="0.3">
      <c r="J3147" s="188"/>
    </row>
    <row r="3148" spans="10:10" x14ac:dyDescent="0.3">
      <c r="J3148" s="188"/>
    </row>
    <row r="3149" spans="10:10" x14ac:dyDescent="0.3">
      <c r="J3149" s="188"/>
    </row>
    <row r="3150" spans="10:10" x14ac:dyDescent="0.3">
      <c r="J3150" s="188"/>
    </row>
    <row r="3151" spans="10:10" x14ac:dyDescent="0.3">
      <c r="J3151" s="188"/>
    </row>
    <row r="3152" spans="10:10" x14ac:dyDescent="0.3">
      <c r="J3152" s="188"/>
    </row>
    <row r="3153" spans="10:10" x14ac:dyDescent="0.3">
      <c r="J3153" s="188"/>
    </row>
    <row r="3154" spans="10:10" x14ac:dyDescent="0.3">
      <c r="J3154" s="188"/>
    </row>
    <row r="3155" spans="10:10" x14ac:dyDescent="0.3">
      <c r="J3155" s="188"/>
    </row>
    <row r="3156" spans="10:10" x14ac:dyDescent="0.3">
      <c r="J3156" s="188"/>
    </row>
    <row r="3157" spans="10:10" x14ac:dyDescent="0.3">
      <c r="J3157" s="188"/>
    </row>
    <row r="3158" spans="10:10" x14ac:dyDescent="0.3">
      <c r="J3158" s="188"/>
    </row>
    <row r="3159" spans="10:10" x14ac:dyDescent="0.3">
      <c r="J3159" s="188"/>
    </row>
    <row r="3160" spans="10:10" x14ac:dyDescent="0.3">
      <c r="J3160" s="188"/>
    </row>
    <row r="3161" spans="10:10" x14ac:dyDescent="0.3">
      <c r="J3161" s="188"/>
    </row>
    <row r="3162" spans="10:10" x14ac:dyDescent="0.3">
      <c r="J3162" s="188"/>
    </row>
    <row r="3163" spans="10:10" x14ac:dyDescent="0.3">
      <c r="J3163" s="188"/>
    </row>
    <row r="3164" spans="10:10" x14ac:dyDescent="0.3">
      <c r="J3164" s="188"/>
    </row>
    <row r="3165" spans="10:10" x14ac:dyDescent="0.3">
      <c r="J3165" s="188"/>
    </row>
    <row r="3166" spans="10:10" x14ac:dyDescent="0.3">
      <c r="J3166" s="188"/>
    </row>
    <row r="3167" spans="10:10" x14ac:dyDescent="0.3">
      <c r="J3167" s="188"/>
    </row>
    <row r="3168" spans="10:10" x14ac:dyDescent="0.3">
      <c r="J3168" s="188"/>
    </row>
    <row r="3169" spans="10:10" x14ac:dyDescent="0.3">
      <c r="J3169" s="188"/>
    </row>
    <row r="3170" spans="10:10" x14ac:dyDescent="0.3">
      <c r="J3170" s="188"/>
    </row>
    <row r="3171" spans="10:10" x14ac:dyDescent="0.3">
      <c r="J3171" s="188"/>
    </row>
    <row r="3172" spans="10:10" x14ac:dyDescent="0.3">
      <c r="J3172" s="188"/>
    </row>
    <row r="3173" spans="10:10" x14ac:dyDescent="0.3">
      <c r="J3173" s="188"/>
    </row>
    <row r="3174" spans="10:10" x14ac:dyDescent="0.3">
      <c r="J3174" s="188"/>
    </row>
    <row r="3175" spans="10:10" x14ac:dyDescent="0.3">
      <c r="J3175" s="188"/>
    </row>
    <row r="3176" spans="10:10" x14ac:dyDescent="0.3">
      <c r="J3176" s="188"/>
    </row>
    <row r="3177" spans="10:10" x14ac:dyDescent="0.3">
      <c r="J3177" s="188"/>
    </row>
    <row r="3178" spans="10:10" x14ac:dyDescent="0.3">
      <c r="J3178" s="188"/>
    </row>
    <row r="3179" spans="10:10" x14ac:dyDescent="0.3">
      <c r="J3179" s="188"/>
    </row>
    <row r="3180" spans="10:10" x14ac:dyDescent="0.3">
      <c r="J3180" s="188"/>
    </row>
    <row r="3181" spans="10:10" x14ac:dyDescent="0.3">
      <c r="J3181" s="188"/>
    </row>
    <row r="3182" spans="10:10" x14ac:dyDescent="0.3">
      <c r="J3182" s="188"/>
    </row>
    <row r="3183" spans="10:10" x14ac:dyDescent="0.3">
      <c r="J3183" s="188"/>
    </row>
    <row r="3184" spans="10:10" x14ac:dyDescent="0.3">
      <c r="J3184" s="188"/>
    </row>
    <row r="3185" spans="10:10" x14ac:dyDescent="0.3">
      <c r="J3185" s="188"/>
    </row>
    <row r="3186" spans="10:10" x14ac:dyDescent="0.3">
      <c r="J3186" s="188"/>
    </row>
    <row r="3187" spans="10:10" x14ac:dyDescent="0.3">
      <c r="J3187" s="188"/>
    </row>
    <row r="3188" spans="10:10" x14ac:dyDescent="0.3">
      <c r="J3188" s="188"/>
    </row>
    <row r="3189" spans="10:10" x14ac:dyDescent="0.3">
      <c r="J3189" s="188"/>
    </row>
    <row r="3190" spans="10:10" x14ac:dyDescent="0.3">
      <c r="J3190" s="188"/>
    </row>
    <row r="3191" spans="10:10" x14ac:dyDescent="0.3">
      <c r="J3191" s="188"/>
    </row>
    <row r="3192" spans="10:10" x14ac:dyDescent="0.3">
      <c r="J3192" s="188"/>
    </row>
    <row r="3193" spans="10:10" x14ac:dyDescent="0.3">
      <c r="J3193" s="188"/>
    </row>
    <row r="3194" spans="10:10" x14ac:dyDescent="0.3">
      <c r="J3194" s="188"/>
    </row>
    <row r="3195" spans="10:10" x14ac:dyDescent="0.3">
      <c r="J3195" s="188"/>
    </row>
    <row r="3196" spans="10:10" x14ac:dyDescent="0.3">
      <c r="J3196" s="188"/>
    </row>
    <row r="3197" spans="10:10" x14ac:dyDescent="0.3">
      <c r="J3197" s="188"/>
    </row>
    <row r="3198" spans="10:10" x14ac:dyDescent="0.3">
      <c r="J3198" s="188"/>
    </row>
    <row r="3199" spans="10:10" x14ac:dyDescent="0.3">
      <c r="J3199" s="188"/>
    </row>
    <row r="3200" spans="10:10" x14ac:dyDescent="0.3">
      <c r="J3200" s="188"/>
    </row>
    <row r="3201" spans="10:10" x14ac:dyDescent="0.3">
      <c r="J3201" s="188"/>
    </row>
    <row r="3202" spans="10:10" x14ac:dyDescent="0.3">
      <c r="J3202" s="188"/>
    </row>
    <row r="3203" spans="10:10" x14ac:dyDescent="0.3">
      <c r="J3203" s="188"/>
    </row>
    <row r="3204" spans="10:10" x14ac:dyDescent="0.3">
      <c r="J3204" s="188"/>
    </row>
    <row r="3205" spans="10:10" x14ac:dyDescent="0.3">
      <c r="J3205" s="188"/>
    </row>
    <row r="3206" spans="10:10" x14ac:dyDescent="0.3">
      <c r="J3206" s="188"/>
    </row>
    <row r="3207" spans="10:10" x14ac:dyDescent="0.3">
      <c r="J3207" s="188"/>
    </row>
    <row r="3208" spans="10:10" x14ac:dyDescent="0.3">
      <c r="J3208" s="188"/>
    </row>
    <row r="3209" spans="10:10" x14ac:dyDescent="0.3">
      <c r="J3209" s="188"/>
    </row>
    <row r="3210" spans="10:10" x14ac:dyDescent="0.3">
      <c r="J3210" s="188"/>
    </row>
    <row r="3211" spans="10:10" x14ac:dyDescent="0.3">
      <c r="J3211" s="188"/>
    </row>
    <row r="3212" spans="10:10" x14ac:dyDescent="0.3">
      <c r="J3212" s="188"/>
    </row>
    <row r="3213" spans="10:10" x14ac:dyDescent="0.3">
      <c r="J3213" s="188"/>
    </row>
    <row r="3214" spans="10:10" x14ac:dyDescent="0.3">
      <c r="J3214" s="188"/>
    </row>
    <row r="3215" spans="10:10" x14ac:dyDescent="0.3">
      <c r="J3215" s="188"/>
    </row>
    <row r="3216" spans="10:10" x14ac:dyDescent="0.3">
      <c r="J3216" s="188"/>
    </row>
    <row r="3217" spans="10:10" x14ac:dyDescent="0.3">
      <c r="J3217" s="188"/>
    </row>
    <row r="3218" spans="10:10" x14ac:dyDescent="0.3">
      <c r="J3218" s="188"/>
    </row>
    <row r="3219" spans="10:10" x14ac:dyDescent="0.3">
      <c r="J3219" s="188"/>
    </row>
    <row r="3220" spans="10:10" x14ac:dyDescent="0.3">
      <c r="J3220" s="188"/>
    </row>
    <row r="3221" spans="10:10" x14ac:dyDescent="0.3">
      <c r="J3221" s="188"/>
    </row>
    <row r="3222" spans="10:10" x14ac:dyDescent="0.3">
      <c r="J3222" s="188"/>
    </row>
    <row r="3223" spans="10:10" x14ac:dyDescent="0.3">
      <c r="J3223" s="188"/>
    </row>
    <row r="3224" spans="10:10" x14ac:dyDescent="0.3">
      <c r="J3224" s="188"/>
    </row>
    <row r="3225" spans="10:10" x14ac:dyDescent="0.3">
      <c r="J3225" s="188"/>
    </row>
    <row r="3226" spans="10:10" x14ac:dyDescent="0.3">
      <c r="J3226" s="188"/>
    </row>
    <row r="3227" spans="10:10" x14ac:dyDescent="0.3">
      <c r="J3227" s="188"/>
    </row>
    <row r="3228" spans="10:10" x14ac:dyDescent="0.3">
      <c r="J3228" s="188"/>
    </row>
    <row r="3229" spans="10:10" x14ac:dyDescent="0.3">
      <c r="J3229" s="188"/>
    </row>
    <row r="3230" spans="10:10" x14ac:dyDescent="0.3">
      <c r="J3230" s="188"/>
    </row>
    <row r="3231" spans="10:10" x14ac:dyDescent="0.3">
      <c r="J3231" s="188"/>
    </row>
    <row r="3232" spans="10:10" x14ac:dyDescent="0.3">
      <c r="J3232" s="188"/>
    </row>
    <row r="3233" spans="10:10" x14ac:dyDescent="0.3">
      <c r="J3233" s="188"/>
    </row>
    <row r="3234" spans="10:10" x14ac:dyDescent="0.3">
      <c r="J3234" s="188"/>
    </row>
    <row r="3235" spans="10:10" x14ac:dyDescent="0.3">
      <c r="J3235" s="188"/>
    </row>
    <row r="3236" spans="10:10" x14ac:dyDescent="0.3">
      <c r="J3236" s="188"/>
    </row>
    <row r="3237" spans="10:10" x14ac:dyDescent="0.3">
      <c r="J3237" s="188"/>
    </row>
    <row r="3238" spans="10:10" x14ac:dyDescent="0.3">
      <c r="J3238" s="188"/>
    </row>
    <row r="3239" spans="10:10" x14ac:dyDescent="0.3">
      <c r="J3239" s="188"/>
    </row>
    <row r="3240" spans="10:10" x14ac:dyDescent="0.3">
      <c r="J3240" s="188"/>
    </row>
    <row r="3241" spans="10:10" x14ac:dyDescent="0.3">
      <c r="J3241" s="188"/>
    </row>
    <row r="3242" spans="10:10" x14ac:dyDescent="0.3">
      <c r="J3242" s="188"/>
    </row>
    <row r="3243" spans="10:10" x14ac:dyDescent="0.3">
      <c r="J3243" s="188"/>
    </row>
    <row r="3244" spans="10:10" x14ac:dyDescent="0.3">
      <c r="J3244" s="188"/>
    </row>
    <row r="3245" spans="10:10" x14ac:dyDescent="0.3">
      <c r="J3245" s="188"/>
    </row>
    <row r="3246" spans="10:10" x14ac:dyDescent="0.3">
      <c r="J3246" s="188"/>
    </row>
    <row r="3247" spans="10:10" x14ac:dyDescent="0.3">
      <c r="J3247" s="188"/>
    </row>
    <row r="3248" spans="10:10" x14ac:dyDescent="0.3">
      <c r="J3248" s="188"/>
    </row>
    <row r="3249" spans="10:10" x14ac:dyDescent="0.3">
      <c r="J3249" s="188"/>
    </row>
    <row r="3250" spans="10:10" x14ac:dyDescent="0.3">
      <c r="J3250" s="188"/>
    </row>
    <row r="3251" spans="10:10" x14ac:dyDescent="0.3">
      <c r="J3251" s="188"/>
    </row>
    <row r="3252" spans="10:10" x14ac:dyDescent="0.3">
      <c r="J3252" s="188"/>
    </row>
    <row r="3253" spans="10:10" x14ac:dyDescent="0.3">
      <c r="J3253" s="188"/>
    </row>
    <row r="3254" spans="10:10" x14ac:dyDescent="0.3">
      <c r="J3254" s="188"/>
    </row>
    <row r="3255" spans="10:10" x14ac:dyDescent="0.3">
      <c r="J3255" s="188"/>
    </row>
    <row r="3256" spans="10:10" x14ac:dyDescent="0.3">
      <c r="J3256" s="188"/>
    </row>
    <row r="3257" spans="10:10" x14ac:dyDescent="0.3">
      <c r="J3257" s="188"/>
    </row>
    <row r="3258" spans="10:10" x14ac:dyDescent="0.3">
      <c r="J3258" s="188"/>
    </row>
    <row r="3259" spans="10:10" x14ac:dyDescent="0.3">
      <c r="J3259" s="188"/>
    </row>
    <row r="3260" spans="10:10" x14ac:dyDescent="0.3">
      <c r="J3260" s="188"/>
    </row>
    <row r="3261" spans="10:10" x14ac:dyDescent="0.3">
      <c r="J3261" s="188"/>
    </row>
    <row r="3262" spans="10:10" x14ac:dyDescent="0.3">
      <c r="J3262" s="188"/>
    </row>
    <row r="3263" spans="10:10" x14ac:dyDescent="0.3">
      <c r="J3263" s="188"/>
    </row>
    <row r="3264" spans="10:10" x14ac:dyDescent="0.3">
      <c r="J3264" s="188"/>
    </row>
    <row r="3265" spans="10:10" x14ac:dyDescent="0.3">
      <c r="J3265" s="188"/>
    </row>
    <row r="3266" spans="10:10" x14ac:dyDescent="0.3">
      <c r="J3266" s="188"/>
    </row>
    <row r="3267" spans="10:10" x14ac:dyDescent="0.3">
      <c r="J3267" s="188"/>
    </row>
    <row r="3268" spans="10:10" x14ac:dyDescent="0.3">
      <c r="J3268" s="188"/>
    </row>
    <row r="3269" spans="10:10" x14ac:dyDescent="0.3">
      <c r="J3269" s="188"/>
    </row>
    <row r="3270" spans="10:10" x14ac:dyDescent="0.3">
      <c r="J3270" s="188"/>
    </row>
    <row r="3271" spans="10:10" x14ac:dyDescent="0.3">
      <c r="J3271" s="188"/>
    </row>
    <row r="3272" spans="10:10" x14ac:dyDescent="0.3">
      <c r="J3272" s="188"/>
    </row>
    <row r="3273" spans="10:10" x14ac:dyDescent="0.3">
      <c r="J3273" s="188"/>
    </row>
    <row r="3274" spans="10:10" x14ac:dyDescent="0.3">
      <c r="J3274" s="188"/>
    </row>
    <row r="3275" spans="10:10" x14ac:dyDescent="0.3">
      <c r="J3275" s="188"/>
    </row>
    <row r="3276" spans="10:10" x14ac:dyDescent="0.3">
      <c r="J3276" s="188"/>
    </row>
    <row r="3277" spans="10:10" x14ac:dyDescent="0.3">
      <c r="J3277" s="188"/>
    </row>
    <row r="3278" spans="10:10" x14ac:dyDescent="0.3">
      <c r="J3278" s="188"/>
    </row>
    <row r="3279" spans="10:10" x14ac:dyDescent="0.3">
      <c r="J3279" s="188"/>
    </row>
    <row r="3280" spans="10:10" x14ac:dyDescent="0.3">
      <c r="J3280" s="188"/>
    </row>
    <row r="3281" spans="10:10" x14ac:dyDescent="0.3">
      <c r="J3281" s="188"/>
    </row>
    <row r="3282" spans="10:10" x14ac:dyDescent="0.3">
      <c r="J3282" s="188"/>
    </row>
    <row r="3283" spans="10:10" x14ac:dyDescent="0.3">
      <c r="J3283" s="188"/>
    </row>
    <row r="3284" spans="10:10" x14ac:dyDescent="0.3">
      <c r="J3284" s="188"/>
    </row>
    <row r="3285" spans="10:10" x14ac:dyDescent="0.3">
      <c r="J3285" s="188"/>
    </row>
    <row r="3286" spans="10:10" x14ac:dyDescent="0.3">
      <c r="J3286" s="188"/>
    </row>
    <row r="3287" spans="10:10" x14ac:dyDescent="0.3">
      <c r="J3287" s="188"/>
    </row>
    <row r="3288" spans="10:10" x14ac:dyDescent="0.3">
      <c r="J3288" s="188"/>
    </row>
    <row r="3289" spans="10:10" x14ac:dyDescent="0.3">
      <c r="J3289" s="188"/>
    </row>
    <row r="3290" spans="10:10" x14ac:dyDescent="0.3">
      <c r="J3290" s="188"/>
    </row>
    <row r="3291" spans="10:10" x14ac:dyDescent="0.3">
      <c r="J3291" s="188"/>
    </row>
    <row r="3292" spans="10:10" x14ac:dyDescent="0.3">
      <c r="J3292" s="188"/>
    </row>
    <row r="3293" spans="10:10" x14ac:dyDescent="0.3">
      <c r="J3293" s="188"/>
    </row>
    <row r="3294" spans="10:10" x14ac:dyDescent="0.3">
      <c r="J3294" s="188"/>
    </row>
    <row r="3295" spans="10:10" x14ac:dyDescent="0.3">
      <c r="J3295" s="188"/>
    </row>
    <row r="3296" spans="10:10" x14ac:dyDescent="0.3">
      <c r="J3296" s="188"/>
    </row>
    <row r="3297" spans="10:10" x14ac:dyDescent="0.3">
      <c r="J3297" s="188"/>
    </row>
    <row r="3298" spans="10:10" x14ac:dyDescent="0.3">
      <c r="J3298" s="188"/>
    </row>
    <row r="3299" spans="10:10" x14ac:dyDescent="0.3">
      <c r="J3299" s="188"/>
    </row>
    <row r="3300" spans="10:10" x14ac:dyDescent="0.3">
      <c r="J3300" s="188"/>
    </row>
    <row r="3301" spans="10:10" x14ac:dyDescent="0.3">
      <c r="J3301" s="188"/>
    </row>
    <row r="3302" spans="10:10" x14ac:dyDescent="0.3">
      <c r="J3302" s="188"/>
    </row>
    <row r="3303" spans="10:10" x14ac:dyDescent="0.3">
      <c r="J3303" s="188"/>
    </row>
    <row r="3304" spans="10:10" x14ac:dyDescent="0.3">
      <c r="J3304" s="188"/>
    </row>
    <row r="3305" spans="10:10" x14ac:dyDescent="0.3">
      <c r="J3305" s="188"/>
    </row>
    <row r="3306" spans="10:10" x14ac:dyDescent="0.3">
      <c r="J3306" s="188"/>
    </row>
    <row r="3307" spans="10:10" x14ac:dyDescent="0.3">
      <c r="J3307" s="188"/>
    </row>
    <row r="3308" spans="10:10" x14ac:dyDescent="0.3">
      <c r="J3308" s="188"/>
    </row>
    <row r="3309" spans="10:10" x14ac:dyDescent="0.3">
      <c r="J3309" s="188"/>
    </row>
    <row r="3310" spans="10:10" x14ac:dyDescent="0.3">
      <c r="J3310" s="188"/>
    </row>
    <row r="3311" spans="10:10" x14ac:dyDescent="0.3">
      <c r="J3311" s="188"/>
    </row>
    <row r="3312" spans="10:10" x14ac:dyDescent="0.3">
      <c r="J3312" s="188"/>
    </row>
    <row r="3313" spans="10:10" x14ac:dyDescent="0.3">
      <c r="J3313" s="188"/>
    </row>
    <row r="3314" spans="10:10" x14ac:dyDescent="0.3">
      <c r="J3314" s="188"/>
    </row>
    <row r="3315" spans="10:10" x14ac:dyDescent="0.3">
      <c r="J3315" s="188"/>
    </row>
    <row r="3316" spans="10:10" x14ac:dyDescent="0.3">
      <c r="J3316" s="188"/>
    </row>
    <row r="3317" spans="10:10" x14ac:dyDescent="0.3">
      <c r="J3317" s="188"/>
    </row>
    <row r="3318" spans="10:10" x14ac:dyDescent="0.3">
      <c r="J3318" s="188"/>
    </row>
    <row r="3319" spans="10:10" x14ac:dyDescent="0.3">
      <c r="J3319" s="188"/>
    </row>
    <row r="3320" spans="10:10" x14ac:dyDescent="0.3">
      <c r="J3320" s="188"/>
    </row>
    <row r="3321" spans="10:10" x14ac:dyDescent="0.3">
      <c r="J3321" s="188"/>
    </row>
    <row r="3322" spans="10:10" x14ac:dyDescent="0.3">
      <c r="J3322" s="188"/>
    </row>
    <row r="3323" spans="10:10" x14ac:dyDescent="0.3">
      <c r="J3323" s="188"/>
    </row>
    <row r="3324" spans="10:10" x14ac:dyDescent="0.3">
      <c r="J3324" s="188"/>
    </row>
    <row r="3325" spans="10:10" x14ac:dyDescent="0.3">
      <c r="J3325" s="188"/>
    </row>
    <row r="3326" spans="10:10" x14ac:dyDescent="0.3">
      <c r="J3326" s="188"/>
    </row>
    <row r="3327" spans="10:10" x14ac:dyDescent="0.3">
      <c r="J3327" s="188"/>
    </row>
    <row r="3328" spans="10:10" x14ac:dyDescent="0.3">
      <c r="J3328" s="188"/>
    </row>
    <row r="3329" spans="10:10" x14ac:dyDescent="0.3">
      <c r="J3329" s="188"/>
    </row>
    <row r="3330" spans="10:10" x14ac:dyDescent="0.3">
      <c r="J3330" s="188"/>
    </row>
    <row r="3331" spans="10:10" x14ac:dyDescent="0.3">
      <c r="J3331" s="188"/>
    </row>
    <row r="3332" spans="10:10" x14ac:dyDescent="0.3">
      <c r="J3332" s="188"/>
    </row>
    <row r="3333" spans="10:10" x14ac:dyDescent="0.3">
      <c r="J3333" s="188"/>
    </row>
    <row r="3334" spans="10:10" x14ac:dyDescent="0.3">
      <c r="J3334" s="188"/>
    </row>
    <row r="3335" spans="10:10" x14ac:dyDescent="0.3">
      <c r="J3335" s="188"/>
    </row>
    <row r="3336" spans="10:10" x14ac:dyDescent="0.3">
      <c r="J3336" s="188"/>
    </row>
    <row r="3337" spans="10:10" x14ac:dyDescent="0.3">
      <c r="J3337" s="188"/>
    </row>
    <row r="3338" spans="10:10" x14ac:dyDescent="0.3">
      <c r="J3338" s="188"/>
    </row>
    <row r="3339" spans="10:10" x14ac:dyDescent="0.3">
      <c r="J3339" s="188"/>
    </row>
    <row r="3340" spans="10:10" x14ac:dyDescent="0.3">
      <c r="J3340" s="188"/>
    </row>
    <row r="3341" spans="10:10" x14ac:dyDescent="0.3">
      <c r="J3341" s="188"/>
    </row>
    <row r="3342" spans="10:10" x14ac:dyDescent="0.3">
      <c r="J3342" s="188"/>
    </row>
    <row r="3343" spans="10:10" x14ac:dyDescent="0.3">
      <c r="J3343" s="188"/>
    </row>
    <row r="3344" spans="10:10" x14ac:dyDescent="0.3">
      <c r="J3344" s="188"/>
    </row>
    <row r="3345" spans="10:10" x14ac:dyDescent="0.3">
      <c r="J3345" s="188"/>
    </row>
    <row r="3346" spans="10:10" x14ac:dyDescent="0.3">
      <c r="J3346" s="188"/>
    </row>
    <row r="3347" spans="10:10" x14ac:dyDescent="0.3">
      <c r="J3347" s="188"/>
    </row>
    <row r="3348" spans="10:10" x14ac:dyDescent="0.3">
      <c r="J3348" s="188"/>
    </row>
    <row r="3349" spans="10:10" x14ac:dyDescent="0.3">
      <c r="J3349" s="188"/>
    </row>
    <row r="3350" spans="10:10" x14ac:dyDescent="0.3">
      <c r="J3350" s="188"/>
    </row>
    <row r="3351" spans="10:10" x14ac:dyDescent="0.3">
      <c r="J3351" s="188"/>
    </row>
    <row r="3352" spans="10:10" x14ac:dyDescent="0.3">
      <c r="J3352" s="188"/>
    </row>
    <row r="3353" spans="10:10" x14ac:dyDescent="0.3">
      <c r="J3353" s="188"/>
    </row>
    <row r="3354" spans="10:10" x14ac:dyDescent="0.3">
      <c r="J3354" s="188"/>
    </row>
    <row r="3355" spans="10:10" x14ac:dyDescent="0.3">
      <c r="J3355" s="188"/>
    </row>
    <row r="3356" spans="10:10" x14ac:dyDescent="0.3">
      <c r="J3356" s="188"/>
    </row>
    <row r="3357" spans="10:10" x14ac:dyDescent="0.3">
      <c r="J3357" s="188"/>
    </row>
    <row r="3358" spans="10:10" x14ac:dyDescent="0.3">
      <c r="J3358" s="188"/>
    </row>
    <row r="3359" spans="10:10" x14ac:dyDescent="0.3">
      <c r="J3359" s="188"/>
    </row>
    <row r="3360" spans="10:10" x14ac:dyDescent="0.3">
      <c r="J3360" s="188"/>
    </row>
    <row r="3361" spans="10:10" x14ac:dyDescent="0.3">
      <c r="J3361" s="188"/>
    </row>
    <row r="3362" spans="10:10" x14ac:dyDescent="0.3">
      <c r="J3362" s="188"/>
    </row>
    <row r="3363" spans="10:10" x14ac:dyDescent="0.3">
      <c r="J3363" s="188"/>
    </row>
    <row r="3364" spans="10:10" x14ac:dyDescent="0.3">
      <c r="J3364" s="188"/>
    </row>
    <row r="3365" spans="10:10" x14ac:dyDescent="0.3">
      <c r="J3365" s="188"/>
    </row>
    <row r="3366" spans="10:10" x14ac:dyDescent="0.3">
      <c r="J3366" s="188"/>
    </row>
    <row r="3367" spans="10:10" x14ac:dyDescent="0.3">
      <c r="J3367" s="188"/>
    </row>
    <row r="3368" spans="10:10" x14ac:dyDescent="0.3">
      <c r="J3368" s="188"/>
    </row>
    <row r="3369" spans="10:10" x14ac:dyDescent="0.3">
      <c r="J3369" s="188"/>
    </row>
    <row r="3370" spans="10:10" x14ac:dyDescent="0.3">
      <c r="J3370" s="188"/>
    </row>
    <row r="3371" spans="10:10" x14ac:dyDescent="0.3">
      <c r="J3371" s="188"/>
    </row>
    <row r="3372" spans="10:10" x14ac:dyDescent="0.3">
      <c r="J3372" s="188"/>
    </row>
    <row r="3373" spans="10:10" x14ac:dyDescent="0.3">
      <c r="J3373" s="188"/>
    </row>
    <row r="3374" spans="10:10" x14ac:dyDescent="0.3">
      <c r="J3374" s="188"/>
    </row>
    <row r="3375" spans="10:10" x14ac:dyDescent="0.3">
      <c r="J3375" s="188"/>
    </row>
    <row r="3376" spans="10:10" x14ac:dyDescent="0.3">
      <c r="J3376" s="188"/>
    </row>
    <row r="3377" spans="10:10" x14ac:dyDescent="0.3">
      <c r="J3377" s="188"/>
    </row>
    <row r="3378" spans="10:10" x14ac:dyDescent="0.3">
      <c r="J3378" s="188"/>
    </row>
    <row r="3379" spans="10:10" x14ac:dyDescent="0.3">
      <c r="J3379" s="188"/>
    </row>
    <row r="3380" spans="10:10" x14ac:dyDescent="0.3">
      <c r="J3380" s="188"/>
    </row>
    <row r="3381" spans="10:10" x14ac:dyDescent="0.3">
      <c r="J3381" s="188"/>
    </row>
    <row r="3382" spans="10:10" x14ac:dyDescent="0.3">
      <c r="J3382" s="188"/>
    </row>
    <row r="3383" spans="10:10" x14ac:dyDescent="0.3">
      <c r="J3383" s="188"/>
    </row>
    <row r="3384" spans="10:10" x14ac:dyDescent="0.3">
      <c r="J3384" s="188"/>
    </row>
    <row r="3385" spans="10:10" x14ac:dyDescent="0.3">
      <c r="J3385" s="188"/>
    </row>
    <row r="3386" spans="10:10" x14ac:dyDescent="0.3">
      <c r="J3386" s="188"/>
    </row>
    <row r="3387" spans="10:10" x14ac:dyDescent="0.3">
      <c r="J3387" s="188"/>
    </row>
    <row r="3388" spans="10:10" x14ac:dyDescent="0.3">
      <c r="J3388" s="188"/>
    </row>
    <row r="3389" spans="10:10" x14ac:dyDescent="0.3">
      <c r="J3389" s="188"/>
    </row>
    <row r="3390" spans="10:10" x14ac:dyDescent="0.3">
      <c r="J3390" s="188"/>
    </row>
    <row r="3391" spans="10:10" x14ac:dyDescent="0.3">
      <c r="J3391" s="188"/>
    </row>
    <row r="3392" spans="10:10" x14ac:dyDescent="0.3">
      <c r="J3392" s="188"/>
    </row>
    <row r="3393" spans="10:10" x14ac:dyDescent="0.3">
      <c r="J3393" s="188"/>
    </row>
    <row r="3394" spans="10:10" x14ac:dyDescent="0.3">
      <c r="J3394" s="188"/>
    </row>
    <row r="3395" spans="10:10" x14ac:dyDescent="0.3">
      <c r="J3395" s="188"/>
    </row>
    <row r="3396" spans="10:10" x14ac:dyDescent="0.3">
      <c r="J3396" s="188"/>
    </row>
    <row r="3397" spans="10:10" x14ac:dyDescent="0.3">
      <c r="J3397" s="188"/>
    </row>
    <row r="3398" spans="10:10" x14ac:dyDescent="0.3">
      <c r="J3398" s="188"/>
    </row>
    <row r="3399" spans="10:10" x14ac:dyDescent="0.3">
      <c r="J3399" s="188"/>
    </row>
    <row r="3400" spans="10:10" x14ac:dyDescent="0.3">
      <c r="J3400" s="188"/>
    </row>
    <row r="3401" spans="10:10" x14ac:dyDescent="0.3">
      <c r="J3401" s="188"/>
    </row>
    <row r="3402" spans="10:10" x14ac:dyDescent="0.3">
      <c r="J3402" s="188"/>
    </row>
    <row r="3403" spans="10:10" x14ac:dyDescent="0.3">
      <c r="J3403" s="188"/>
    </row>
    <row r="3404" spans="10:10" x14ac:dyDescent="0.3">
      <c r="J3404" s="188"/>
    </row>
    <row r="3405" spans="10:10" x14ac:dyDescent="0.3">
      <c r="J3405" s="188"/>
    </row>
    <row r="3406" spans="10:10" x14ac:dyDescent="0.3">
      <c r="J3406" s="188"/>
    </row>
    <row r="3407" spans="10:10" x14ac:dyDescent="0.3">
      <c r="J3407" s="188"/>
    </row>
    <row r="3408" spans="10:10" x14ac:dyDescent="0.3">
      <c r="J3408" s="188"/>
    </row>
    <row r="3409" spans="10:10" x14ac:dyDescent="0.3">
      <c r="J3409" s="188"/>
    </row>
    <row r="3410" spans="10:10" x14ac:dyDescent="0.3">
      <c r="J3410" s="188"/>
    </row>
    <row r="3411" spans="10:10" x14ac:dyDescent="0.3">
      <c r="J3411" s="188"/>
    </row>
    <row r="3412" spans="10:10" x14ac:dyDescent="0.3">
      <c r="J3412" s="188"/>
    </row>
    <row r="3413" spans="10:10" x14ac:dyDescent="0.3">
      <c r="J3413" s="188"/>
    </row>
    <row r="3414" spans="10:10" x14ac:dyDescent="0.3">
      <c r="J3414" s="188"/>
    </row>
    <row r="3415" spans="10:10" x14ac:dyDescent="0.3">
      <c r="J3415" s="188"/>
    </row>
    <row r="3416" spans="10:10" x14ac:dyDescent="0.3">
      <c r="J3416" s="188"/>
    </row>
    <row r="3417" spans="10:10" x14ac:dyDescent="0.3">
      <c r="J3417" s="188"/>
    </row>
    <row r="3418" spans="10:10" x14ac:dyDescent="0.3">
      <c r="J3418" s="188"/>
    </row>
    <row r="3419" spans="10:10" x14ac:dyDescent="0.3">
      <c r="J3419" s="188"/>
    </row>
    <row r="3420" spans="10:10" x14ac:dyDescent="0.3">
      <c r="J3420" s="188"/>
    </row>
    <row r="3421" spans="10:10" x14ac:dyDescent="0.3">
      <c r="J3421" s="188"/>
    </row>
    <row r="3422" spans="10:10" x14ac:dyDescent="0.3">
      <c r="J3422" s="188"/>
    </row>
    <row r="3423" spans="10:10" x14ac:dyDescent="0.3">
      <c r="J3423" s="188"/>
    </row>
    <row r="3424" spans="10:10" x14ac:dyDescent="0.3">
      <c r="J3424" s="188"/>
    </row>
    <row r="3425" spans="10:10" x14ac:dyDescent="0.3">
      <c r="J3425" s="188"/>
    </row>
    <row r="3426" spans="10:10" x14ac:dyDescent="0.3">
      <c r="J3426" s="188"/>
    </row>
    <row r="3427" spans="10:10" x14ac:dyDescent="0.3">
      <c r="J3427" s="188"/>
    </row>
    <row r="3428" spans="10:10" x14ac:dyDescent="0.3">
      <c r="J3428" s="188"/>
    </row>
    <row r="3429" spans="10:10" x14ac:dyDescent="0.3">
      <c r="J3429" s="188"/>
    </row>
    <row r="3430" spans="10:10" x14ac:dyDescent="0.3">
      <c r="J3430" s="188"/>
    </row>
    <row r="3431" spans="10:10" x14ac:dyDescent="0.3">
      <c r="J3431" s="188"/>
    </row>
    <row r="3432" spans="10:10" x14ac:dyDescent="0.3">
      <c r="J3432" s="188"/>
    </row>
    <row r="3433" spans="10:10" x14ac:dyDescent="0.3">
      <c r="J3433" s="188"/>
    </row>
    <row r="3434" spans="10:10" x14ac:dyDescent="0.3">
      <c r="J3434" s="188"/>
    </row>
    <row r="3435" spans="10:10" x14ac:dyDescent="0.3">
      <c r="J3435" s="188"/>
    </row>
    <row r="3436" spans="10:10" x14ac:dyDescent="0.3">
      <c r="J3436" s="188"/>
    </row>
    <row r="3437" spans="10:10" x14ac:dyDescent="0.3">
      <c r="J3437" s="188"/>
    </row>
    <row r="3438" spans="10:10" x14ac:dyDescent="0.3">
      <c r="J3438" s="188"/>
    </row>
    <row r="3439" spans="10:10" x14ac:dyDescent="0.3">
      <c r="J3439" s="188"/>
    </row>
    <row r="3440" spans="10:10" x14ac:dyDescent="0.3">
      <c r="J3440" s="188"/>
    </row>
    <row r="3441" spans="10:10" x14ac:dyDescent="0.3">
      <c r="J3441" s="188"/>
    </row>
    <row r="3442" spans="10:10" x14ac:dyDescent="0.3">
      <c r="J3442" s="188"/>
    </row>
    <row r="3443" spans="10:10" x14ac:dyDescent="0.3">
      <c r="J3443" s="188"/>
    </row>
    <row r="3444" spans="10:10" x14ac:dyDescent="0.3">
      <c r="J3444" s="188"/>
    </row>
    <row r="3445" spans="10:10" x14ac:dyDescent="0.3">
      <c r="J3445" s="188"/>
    </row>
    <row r="3446" spans="10:10" x14ac:dyDescent="0.3">
      <c r="J3446" s="188"/>
    </row>
    <row r="3447" spans="10:10" x14ac:dyDescent="0.3">
      <c r="J3447" s="188"/>
    </row>
    <row r="3448" spans="10:10" x14ac:dyDescent="0.3">
      <c r="J3448" s="188"/>
    </row>
    <row r="3449" spans="10:10" x14ac:dyDescent="0.3">
      <c r="J3449" s="188"/>
    </row>
    <row r="3450" spans="10:10" x14ac:dyDescent="0.3">
      <c r="J3450" s="188"/>
    </row>
    <row r="3451" spans="10:10" x14ac:dyDescent="0.3">
      <c r="J3451" s="188"/>
    </row>
    <row r="3452" spans="10:10" x14ac:dyDescent="0.3">
      <c r="J3452" s="188"/>
    </row>
    <row r="3453" spans="10:10" x14ac:dyDescent="0.3">
      <c r="J3453" s="188"/>
    </row>
    <row r="3454" spans="10:10" x14ac:dyDescent="0.3">
      <c r="J3454" s="188"/>
    </row>
    <row r="3455" spans="10:10" x14ac:dyDescent="0.3">
      <c r="J3455" s="188"/>
    </row>
    <row r="3456" spans="10:10" x14ac:dyDescent="0.3">
      <c r="J3456" s="188"/>
    </row>
    <row r="3457" spans="10:10" x14ac:dyDescent="0.3">
      <c r="J3457" s="188"/>
    </row>
    <row r="3458" spans="10:10" x14ac:dyDescent="0.3">
      <c r="J3458" s="188"/>
    </row>
    <row r="3459" spans="10:10" x14ac:dyDescent="0.3">
      <c r="J3459" s="188"/>
    </row>
    <row r="3460" spans="10:10" x14ac:dyDescent="0.3">
      <c r="J3460" s="188"/>
    </row>
    <row r="3461" spans="10:10" x14ac:dyDescent="0.3">
      <c r="J3461" s="188"/>
    </row>
    <row r="3462" spans="10:10" x14ac:dyDescent="0.3">
      <c r="J3462" s="188"/>
    </row>
    <row r="3463" spans="10:10" x14ac:dyDescent="0.3">
      <c r="J3463" s="188"/>
    </row>
    <row r="3464" spans="10:10" x14ac:dyDescent="0.3">
      <c r="J3464" s="188"/>
    </row>
    <row r="3465" spans="10:10" x14ac:dyDescent="0.3">
      <c r="J3465" s="188"/>
    </row>
    <row r="3466" spans="10:10" x14ac:dyDescent="0.3">
      <c r="J3466" s="188"/>
    </row>
    <row r="3467" spans="10:10" x14ac:dyDescent="0.3">
      <c r="J3467" s="188"/>
    </row>
    <row r="3468" spans="10:10" x14ac:dyDescent="0.3">
      <c r="J3468" s="188"/>
    </row>
    <row r="3469" spans="10:10" x14ac:dyDescent="0.3">
      <c r="J3469" s="188"/>
    </row>
    <row r="3470" spans="10:10" x14ac:dyDescent="0.3">
      <c r="J3470" s="188"/>
    </row>
    <row r="3471" spans="10:10" x14ac:dyDescent="0.3">
      <c r="J3471" s="188"/>
    </row>
    <row r="3472" spans="10:10" x14ac:dyDescent="0.3">
      <c r="J3472" s="188"/>
    </row>
    <row r="3473" spans="10:10" x14ac:dyDescent="0.3">
      <c r="J3473" s="188"/>
    </row>
    <row r="3474" spans="10:10" x14ac:dyDescent="0.3">
      <c r="J3474" s="188"/>
    </row>
    <row r="3475" spans="10:10" x14ac:dyDescent="0.3">
      <c r="J3475" s="188"/>
    </row>
    <row r="3476" spans="10:10" x14ac:dyDescent="0.3">
      <c r="J3476" s="188"/>
    </row>
    <row r="3477" spans="10:10" x14ac:dyDescent="0.3">
      <c r="J3477" s="188"/>
    </row>
    <row r="3478" spans="10:10" x14ac:dyDescent="0.3">
      <c r="J3478" s="188"/>
    </row>
    <row r="3479" spans="10:10" x14ac:dyDescent="0.3">
      <c r="J3479" s="188"/>
    </row>
    <row r="3480" spans="10:10" x14ac:dyDescent="0.3">
      <c r="J3480" s="188"/>
    </row>
    <row r="3481" spans="10:10" x14ac:dyDescent="0.3">
      <c r="J3481" s="188"/>
    </row>
    <row r="3482" spans="10:10" x14ac:dyDescent="0.3">
      <c r="J3482" s="188"/>
    </row>
    <row r="3483" spans="10:10" x14ac:dyDescent="0.3">
      <c r="J3483" s="188"/>
    </row>
    <row r="3484" spans="10:10" x14ac:dyDescent="0.3">
      <c r="J3484" s="188"/>
    </row>
    <row r="3485" spans="10:10" x14ac:dyDescent="0.3">
      <c r="J3485" s="188"/>
    </row>
    <row r="3486" spans="10:10" x14ac:dyDescent="0.3">
      <c r="J3486" s="188"/>
    </row>
    <row r="3487" spans="10:10" x14ac:dyDescent="0.3">
      <c r="J3487" s="188"/>
    </row>
    <row r="3488" spans="10:10" x14ac:dyDescent="0.3">
      <c r="J3488" s="188"/>
    </row>
    <row r="3489" spans="10:10" x14ac:dyDescent="0.3">
      <c r="J3489" s="188"/>
    </row>
    <row r="3490" spans="10:10" x14ac:dyDescent="0.3">
      <c r="J3490" s="188"/>
    </row>
    <row r="3491" spans="10:10" x14ac:dyDescent="0.3">
      <c r="J3491" s="188"/>
    </row>
    <row r="3492" spans="10:10" x14ac:dyDescent="0.3">
      <c r="J3492" s="188"/>
    </row>
    <row r="3493" spans="10:10" x14ac:dyDescent="0.3">
      <c r="J3493" s="188"/>
    </row>
    <row r="3494" spans="10:10" x14ac:dyDescent="0.3">
      <c r="J3494" s="188"/>
    </row>
    <row r="3495" spans="10:10" x14ac:dyDescent="0.3">
      <c r="J3495" s="188"/>
    </row>
    <row r="3496" spans="10:10" x14ac:dyDescent="0.3">
      <c r="J3496" s="188"/>
    </row>
    <row r="3497" spans="10:10" x14ac:dyDescent="0.3">
      <c r="J3497" s="188"/>
    </row>
    <row r="3498" spans="10:10" x14ac:dyDescent="0.3">
      <c r="J3498" s="188"/>
    </row>
    <row r="3499" spans="10:10" x14ac:dyDescent="0.3">
      <c r="J3499" s="188"/>
    </row>
    <row r="3500" spans="10:10" x14ac:dyDescent="0.3">
      <c r="J3500" s="188"/>
    </row>
    <row r="3501" spans="10:10" x14ac:dyDescent="0.3">
      <c r="J3501" s="188"/>
    </row>
    <row r="3502" spans="10:10" x14ac:dyDescent="0.3">
      <c r="J3502" s="188"/>
    </row>
    <row r="3503" spans="10:10" x14ac:dyDescent="0.3">
      <c r="J3503" s="188"/>
    </row>
    <row r="3504" spans="10:10" x14ac:dyDescent="0.3">
      <c r="J3504" s="188"/>
    </row>
    <row r="3505" spans="10:10" x14ac:dyDescent="0.3">
      <c r="J3505" s="188"/>
    </row>
    <row r="3506" spans="10:10" x14ac:dyDescent="0.3">
      <c r="J3506" s="188"/>
    </row>
    <row r="3507" spans="10:10" x14ac:dyDescent="0.3">
      <c r="J3507" s="188"/>
    </row>
    <row r="3508" spans="10:10" x14ac:dyDescent="0.3">
      <c r="J3508" s="188"/>
    </row>
    <row r="3509" spans="10:10" x14ac:dyDescent="0.3">
      <c r="J3509" s="188"/>
    </row>
    <row r="3510" spans="10:10" x14ac:dyDescent="0.3">
      <c r="J3510" s="188"/>
    </row>
    <row r="3511" spans="10:10" x14ac:dyDescent="0.3">
      <c r="J3511" s="188"/>
    </row>
    <row r="3512" spans="10:10" x14ac:dyDescent="0.3">
      <c r="J3512" s="188"/>
    </row>
    <row r="3513" spans="10:10" x14ac:dyDescent="0.3">
      <c r="J3513" s="188"/>
    </row>
    <row r="3514" spans="10:10" x14ac:dyDescent="0.3">
      <c r="J3514" s="188"/>
    </row>
    <row r="3515" spans="10:10" x14ac:dyDescent="0.3">
      <c r="J3515" s="188"/>
    </row>
    <row r="3516" spans="10:10" x14ac:dyDescent="0.3">
      <c r="J3516" s="188"/>
    </row>
    <row r="3517" spans="10:10" x14ac:dyDescent="0.3">
      <c r="J3517" s="188"/>
    </row>
    <row r="3518" spans="10:10" x14ac:dyDescent="0.3">
      <c r="J3518" s="188"/>
    </row>
    <row r="3519" spans="10:10" x14ac:dyDescent="0.3">
      <c r="J3519" s="188"/>
    </row>
    <row r="3520" spans="10:10" x14ac:dyDescent="0.3">
      <c r="J3520" s="188"/>
    </row>
    <row r="3521" spans="10:10" x14ac:dyDescent="0.3">
      <c r="J3521" s="188"/>
    </row>
    <row r="3522" spans="10:10" x14ac:dyDescent="0.3">
      <c r="J3522" s="188"/>
    </row>
    <row r="3523" spans="10:10" x14ac:dyDescent="0.3">
      <c r="J3523" s="188"/>
    </row>
    <row r="3524" spans="10:10" x14ac:dyDescent="0.3">
      <c r="J3524" s="188"/>
    </row>
    <row r="3525" spans="10:10" x14ac:dyDescent="0.3">
      <c r="J3525" s="188"/>
    </row>
    <row r="3526" spans="10:10" x14ac:dyDescent="0.3">
      <c r="J3526" s="188"/>
    </row>
    <row r="3527" spans="10:10" x14ac:dyDescent="0.3">
      <c r="J3527" s="188"/>
    </row>
    <row r="3528" spans="10:10" x14ac:dyDescent="0.3">
      <c r="J3528" s="188"/>
    </row>
    <row r="3529" spans="10:10" x14ac:dyDescent="0.3">
      <c r="J3529" s="188"/>
    </row>
    <row r="3530" spans="10:10" x14ac:dyDescent="0.3">
      <c r="J3530" s="188"/>
    </row>
    <row r="3531" spans="10:10" x14ac:dyDescent="0.3">
      <c r="J3531" s="188"/>
    </row>
    <row r="3532" spans="10:10" x14ac:dyDescent="0.3">
      <c r="J3532" s="188"/>
    </row>
    <row r="3533" spans="10:10" x14ac:dyDescent="0.3">
      <c r="J3533" s="188"/>
    </row>
    <row r="3534" spans="10:10" x14ac:dyDescent="0.3">
      <c r="J3534" s="188"/>
    </row>
    <row r="3535" spans="10:10" x14ac:dyDescent="0.3">
      <c r="J3535" s="188"/>
    </row>
    <row r="3536" spans="10:10" x14ac:dyDescent="0.3">
      <c r="J3536" s="188"/>
    </row>
    <row r="3537" spans="10:10" x14ac:dyDescent="0.3">
      <c r="J3537" s="188"/>
    </row>
    <row r="3538" spans="10:10" x14ac:dyDescent="0.3">
      <c r="J3538" s="188"/>
    </row>
    <row r="3539" spans="10:10" x14ac:dyDescent="0.3">
      <c r="J3539" s="188"/>
    </row>
    <row r="3540" spans="10:10" x14ac:dyDescent="0.3">
      <c r="J3540" s="188"/>
    </row>
    <row r="3541" spans="10:10" x14ac:dyDescent="0.3">
      <c r="J3541" s="188"/>
    </row>
    <row r="3542" spans="10:10" x14ac:dyDescent="0.3">
      <c r="J3542" s="188"/>
    </row>
    <row r="3543" spans="10:10" x14ac:dyDescent="0.3">
      <c r="J3543" s="188"/>
    </row>
    <row r="3544" spans="10:10" x14ac:dyDescent="0.3">
      <c r="J3544" s="188"/>
    </row>
    <row r="3545" spans="10:10" x14ac:dyDescent="0.3">
      <c r="J3545" s="188"/>
    </row>
    <row r="3546" spans="10:10" x14ac:dyDescent="0.3">
      <c r="J3546" s="188"/>
    </row>
    <row r="3547" spans="10:10" x14ac:dyDescent="0.3">
      <c r="J3547" s="188"/>
    </row>
    <row r="3548" spans="10:10" x14ac:dyDescent="0.3">
      <c r="J3548" s="188"/>
    </row>
    <row r="3549" spans="10:10" x14ac:dyDescent="0.3">
      <c r="J3549" s="188"/>
    </row>
    <row r="3550" spans="10:10" x14ac:dyDescent="0.3">
      <c r="J3550" s="188"/>
    </row>
    <row r="3551" spans="10:10" x14ac:dyDescent="0.3">
      <c r="J3551" s="188"/>
    </row>
    <row r="3552" spans="10:10" x14ac:dyDescent="0.3">
      <c r="J3552" s="188"/>
    </row>
    <row r="3553" spans="10:10" x14ac:dyDescent="0.3">
      <c r="J3553" s="188"/>
    </row>
    <row r="3554" spans="10:10" x14ac:dyDescent="0.3">
      <c r="J3554" s="188"/>
    </row>
    <row r="3555" spans="10:10" x14ac:dyDescent="0.3">
      <c r="J3555" s="188"/>
    </row>
    <row r="3556" spans="10:10" x14ac:dyDescent="0.3">
      <c r="J3556" s="188"/>
    </row>
    <row r="3557" spans="10:10" x14ac:dyDescent="0.3">
      <c r="J3557" s="188"/>
    </row>
    <row r="3558" spans="10:10" x14ac:dyDescent="0.3">
      <c r="J3558" s="188"/>
    </row>
    <row r="3559" spans="10:10" x14ac:dyDescent="0.3">
      <c r="J3559" s="188"/>
    </row>
    <row r="3560" spans="10:10" x14ac:dyDescent="0.3">
      <c r="J3560" s="188"/>
    </row>
    <row r="3561" spans="10:10" x14ac:dyDescent="0.3">
      <c r="J3561" s="188"/>
    </row>
    <row r="3562" spans="10:10" x14ac:dyDescent="0.3">
      <c r="J3562" s="188"/>
    </row>
    <row r="3563" spans="10:10" x14ac:dyDescent="0.3">
      <c r="J3563" s="188"/>
    </row>
    <row r="3564" spans="10:10" x14ac:dyDescent="0.3">
      <c r="J3564" s="188"/>
    </row>
    <row r="3565" spans="10:10" x14ac:dyDescent="0.3">
      <c r="J3565" s="188"/>
    </row>
    <row r="3566" spans="10:10" x14ac:dyDescent="0.3">
      <c r="J3566" s="188"/>
    </row>
    <row r="3567" spans="10:10" x14ac:dyDescent="0.3">
      <c r="J3567" s="188"/>
    </row>
    <row r="3568" spans="10:10" x14ac:dyDescent="0.3">
      <c r="J3568" s="188"/>
    </row>
    <row r="3569" spans="10:10" x14ac:dyDescent="0.3">
      <c r="J3569" s="188"/>
    </row>
    <row r="3570" spans="10:10" x14ac:dyDescent="0.3">
      <c r="J3570" s="188"/>
    </row>
    <row r="3571" spans="10:10" x14ac:dyDescent="0.3">
      <c r="J3571" s="188"/>
    </row>
    <row r="3572" spans="10:10" x14ac:dyDescent="0.3">
      <c r="J3572" s="188"/>
    </row>
    <row r="3573" spans="10:10" x14ac:dyDescent="0.3">
      <c r="J3573" s="188"/>
    </row>
    <row r="3574" spans="10:10" x14ac:dyDescent="0.3">
      <c r="J3574" s="188"/>
    </row>
    <row r="3575" spans="10:10" x14ac:dyDescent="0.3">
      <c r="J3575" s="188"/>
    </row>
    <row r="3576" spans="10:10" x14ac:dyDescent="0.3">
      <c r="J3576" s="188"/>
    </row>
    <row r="3577" spans="10:10" x14ac:dyDescent="0.3">
      <c r="J3577" s="188"/>
    </row>
    <row r="3578" spans="10:10" x14ac:dyDescent="0.3">
      <c r="J3578" s="188"/>
    </row>
    <row r="3579" spans="10:10" x14ac:dyDescent="0.3">
      <c r="J3579" s="188"/>
    </row>
    <row r="3580" spans="10:10" x14ac:dyDescent="0.3">
      <c r="J3580" s="188"/>
    </row>
    <row r="3581" spans="10:10" x14ac:dyDescent="0.3">
      <c r="J3581" s="188"/>
    </row>
    <row r="3582" spans="10:10" x14ac:dyDescent="0.3">
      <c r="J3582" s="188"/>
    </row>
    <row r="3583" spans="10:10" x14ac:dyDescent="0.3">
      <c r="J3583" s="188"/>
    </row>
    <row r="3584" spans="10:10" x14ac:dyDescent="0.3">
      <c r="J3584" s="188"/>
    </row>
    <row r="3585" spans="10:10" x14ac:dyDescent="0.3">
      <c r="J3585" s="188"/>
    </row>
    <row r="3586" spans="10:10" x14ac:dyDescent="0.3">
      <c r="J3586" s="188"/>
    </row>
    <row r="3587" spans="10:10" x14ac:dyDescent="0.3">
      <c r="J3587" s="188"/>
    </row>
    <row r="3588" spans="10:10" x14ac:dyDescent="0.3">
      <c r="J3588" s="18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E4C1E-CCC2-485A-8F88-A817E71ECB27}">
  <sheetPr codeName="Sheet7"/>
  <dimension ref="A1:AK3588"/>
  <sheetViews>
    <sheetView workbookViewId="0">
      <selection activeCell="K10" sqref="K10"/>
    </sheetView>
  </sheetViews>
  <sheetFormatPr defaultRowHeight="14.4" x14ac:dyDescent="0.3"/>
  <cols>
    <col min="2" max="2" width="28.109375" bestFit="1" customWidth="1"/>
    <col min="3" max="3" width="14.5546875" bestFit="1" customWidth="1"/>
    <col min="7" max="7" width="24.5546875" bestFit="1" customWidth="1"/>
    <col min="8" max="8" width="13.6640625" bestFit="1" customWidth="1"/>
    <col min="9" max="9" width="14.109375" bestFit="1" customWidth="1"/>
    <col min="10" max="10" width="9.44140625" bestFit="1" customWidth="1"/>
    <col min="11" max="11" width="16.109375" bestFit="1" customWidth="1"/>
    <col min="12" max="12" width="13.6640625" bestFit="1" customWidth="1"/>
    <col min="13" max="13" width="22.6640625" bestFit="1" customWidth="1"/>
    <col min="15" max="15" width="14.109375" customWidth="1"/>
  </cols>
  <sheetData>
    <row r="1" spans="1:37" x14ac:dyDescent="0.3">
      <c r="A1" t="s">
        <v>41</v>
      </c>
      <c r="B1" t="s">
        <v>42</v>
      </c>
      <c r="C1" t="s">
        <v>43</v>
      </c>
      <c r="D1" t="s">
        <v>44</v>
      </c>
      <c r="E1" t="s">
        <v>48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  <c r="L1" t="s">
        <v>51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63</v>
      </c>
      <c r="Y1" t="s">
        <v>64</v>
      </c>
      <c r="Z1" t="s">
        <v>65</v>
      </c>
      <c r="AA1" t="s">
        <v>66</v>
      </c>
      <c r="AB1" t="s">
        <v>67</v>
      </c>
      <c r="AC1" t="s">
        <v>68</v>
      </c>
      <c r="AD1" t="s">
        <v>69</v>
      </c>
      <c r="AE1" t="s">
        <v>70</v>
      </c>
      <c r="AF1" t="s">
        <v>71</v>
      </c>
      <c r="AG1" t="s">
        <v>72</v>
      </c>
      <c r="AH1" t="s">
        <v>73</v>
      </c>
      <c r="AI1" t="s">
        <v>74</v>
      </c>
      <c r="AJ1" t="s">
        <v>75</v>
      </c>
      <c r="AK1" t="s">
        <v>76</v>
      </c>
    </row>
    <row r="2" spans="1:37" x14ac:dyDescent="0.3">
      <c r="A2">
        <v>4450</v>
      </c>
      <c r="B2" t="s">
        <v>77</v>
      </c>
      <c r="D2" t="s">
        <v>78</v>
      </c>
      <c r="E2">
        <v>99999999</v>
      </c>
      <c r="F2">
        <v>11111111</v>
      </c>
      <c r="G2">
        <v>1111111111</v>
      </c>
      <c r="H2" t="s">
        <v>3571</v>
      </c>
      <c r="I2">
        <v>99999999</v>
      </c>
      <c r="J2" s="188">
        <v>45237</v>
      </c>
      <c r="K2" t="s">
        <v>3571</v>
      </c>
      <c r="L2" t="s">
        <v>3571</v>
      </c>
      <c r="M2" t="s">
        <v>79</v>
      </c>
      <c r="N2" t="s">
        <v>80</v>
      </c>
      <c r="O2" t="s">
        <v>81</v>
      </c>
      <c r="Q2" t="s">
        <v>82</v>
      </c>
      <c r="R2">
        <v>36</v>
      </c>
      <c r="S2">
        <v>3.6</v>
      </c>
      <c r="T2">
        <v>0</v>
      </c>
      <c r="U2">
        <v>1</v>
      </c>
      <c r="V2">
        <v>1</v>
      </c>
      <c r="W2">
        <v>0</v>
      </c>
      <c r="X2">
        <v>36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</row>
    <row r="3" spans="1:37" x14ac:dyDescent="0.3">
      <c r="A3">
        <v>4450</v>
      </c>
      <c r="B3" t="s">
        <v>77</v>
      </c>
      <c r="D3" t="s">
        <v>83</v>
      </c>
      <c r="E3">
        <v>99999999</v>
      </c>
      <c r="F3">
        <v>11111111</v>
      </c>
      <c r="G3">
        <v>1111111111</v>
      </c>
      <c r="H3" t="s">
        <v>3572</v>
      </c>
      <c r="I3">
        <v>99999999</v>
      </c>
      <c r="J3" s="188">
        <v>45237</v>
      </c>
      <c r="K3" t="s">
        <v>3572</v>
      </c>
      <c r="L3" t="s">
        <v>3572</v>
      </c>
      <c r="M3" t="s">
        <v>84</v>
      </c>
      <c r="N3" t="s">
        <v>85</v>
      </c>
      <c r="O3" t="s">
        <v>86</v>
      </c>
      <c r="Q3" t="s">
        <v>82</v>
      </c>
      <c r="R3">
        <v>22</v>
      </c>
      <c r="S3">
        <v>515.02</v>
      </c>
      <c r="T3">
        <v>1</v>
      </c>
      <c r="U3">
        <v>22</v>
      </c>
      <c r="V3">
        <v>1</v>
      </c>
      <c r="W3">
        <v>0</v>
      </c>
      <c r="X3">
        <v>0</v>
      </c>
      <c r="Y3">
        <v>0</v>
      </c>
      <c r="Z3">
        <v>0</v>
      </c>
      <c r="AA3">
        <v>22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</row>
    <row r="4" spans="1:37" x14ac:dyDescent="0.3">
      <c r="A4">
        <v>4450</v>
      </c>
      <c r="B4" t="s">
        <v>77</v>
      </c>
      <c r="D4" t="s">
        <v>78</v>
      </c>
      <c r="E4">
        <v>99999999</v>
      </c>
      <c r="F4">
        <v>11111111</v>
      </c>
      <c r="G4">
        <v>1111111111</v>
      </c>
      <c r="H4" t="s">
        <v>3573</v>
      </c>
      <c r="I4">
        <v>99999999</v>
      </c>
      <c r="J4" s="188">
        <v>45237</v>
      </c>
      <c r="K4" t="s">
        <v>3573</v>
      </c>
      <c r="L4" t="s">
        <v>3573</v>
      </c>
      <c r="M4" t="s">
        <v>87</v>
      </c>
      <c r="N4" t="s">
        <v>88</v>
      </c>
      <c r="O4" t="s">
        <v>89</v>
      </c>
      <c r="Q4" t="s">
        <v>82</v>
      </c>
      <c r="R4">
        <v>2</v>
      </c>
      <c r="S4">
        <v>22.2</v>
      </c>
      <c r="T4">
        <v>0</v>
      </c>
      <c r="U4">
        <v>2</v>
      </c>
      <c r="V4">
        <v>1</v>
      </c>
      <c r="W4">
        <v>0</v>
      </c>
      <c r="X4">
        <v>0</v>
      </c>
      <c r="Y4">
        <v>0</v>
      </c>
      <c r="Z4">
        <v>0</v>
      </c>
      <c r="AA4">
        <v>2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</row>
    <row r="5" spans="1:37" x14ac:dyDescent="0.3">
      <c r="A5">
        <v>4450</v>
      </c>
      <c r="B5" t="s">
        <v>77</v>
      </c>
      <c r="D5" t="s">
        <v>78</v>
      </c>
      <c r="E5">
        <v>99999999</v>
      </c>
      <c r="F5">
        <v>11111111</v>
      </c>
      <c r="G5">
        <v>1111111111</v>
      </c>
      <c r="H5" t="s">
        <v>3574</v>
      </c>
      <c r="I5">
        <v>99999999</v>
      </c>
      <c r="J5" s="188">
        <v>45238</v>
      </c>
      <c r="K5" t="s">
        <v>3574</v>
      </c>
      <c r="L5" t="s">
        <v>3574</v>
      </c>
      <c r="M5" t="s">
        <v>90</v>
      </c>
      <c r="N5" t="s">
        <v>91</v>
      </c>
      <c r="O5" t="s">
        <v>92</v>
      </c>
      <c r="Q5" t="s">
        <v>93</v>
      </c>
      <c r="R5">
        <v>120</v>
      </c>
      <c r="S5">
        <v>12</v>
      </c>
      <c r="T5">
        <v>0</v>
      </c>
      <c r="U5">
        <v>2</v>
      </c>
      <c r="V5">
        <v>2</v>
      </c>
      <c r="W5">
        <v>0</v>
      </c>
      <c r="X5">
        <v>120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</row>
    <row r="6" spans="1:37" x14ac:dyDescent="0.3">
      <c r="A6">
        <v>4450</v>
      </c>
      <c r="B6" t="s">
        <v>77</v>
      </c>
      <c r="D6" t="s">
        <v>94</v>
      </c>
      <c r="E6">
        <v>99999999</v>
      </c>
      <c r="F6">
        <v>11111111</v>
      </c>
      <c r="G6">
        <v>1111111111</v>
      </c>
      <c r="H6" t="s">
        <v>3575</v>
      </c>
      <c r="I6">
        <v>99999999</v>
      </c>
      <c r="J6" s="188">
        <v>45237</v>
      </c>
      <c r="K6" t="s">
        <v>3575</v>
      </c>
      <c r="L6" t="s">
        <v>3575</v>
      </c>
      <c r="M6" t="s">
        <v>95</v>
      </c>
      <c r="N6" t="s">
        <v>91</v>
      </c>
      <c r="O6">
        <v>85027</v>
      </c>
      <c r="Q6" t="s">
        <v>93</v>
      </c>
      <c r="R6">
        <v>26</v>
      </c>
      <c r="S6">
        <v>12</v>
      </c>
      <c r="T6">
        <v>0</v>
      </c>
      <c r="U6">
        <v>1</v>
      </c>
      <c r="V6">
        <v>3</v>
      </c>
      <c r="W6">
        <v>0</v>
      </c>
      <c r="X6">
        <v>26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</row>
    <row r="7" spans="1:37" x14ac:dyDescent="0.3">
      <c r="A7">
        <v>4450</v>
      </c>
      <c r="B7" t="s">
        <v>77</v>
      </c>
      <c r="D7" t="s">
        <v>94</v>
      </c>
      <c r="E7">
        <v>99999999</v>
      </c>
      <c r="F7">
        <v>11111111</v>
      </c>
      <c r="G7">
        <v>1111111111</v>
      </c>
      <c r="H7" t="s">
        <v>3576</v>
      </c>
      <c r="I7">
        <v>99999999</v>
      </c>
      <c r="J7" s="188">
        <v>45238</v>
      </c>
      <c r="K7" t="s">
        <v>3576</v>
      </c>
      <c r="L7" t="s">
        <v>3576</v>
      </c>
      <c r="M7" t="s">
        <v>96</v>
      </c>
      <c r="N7" t="s">
        <v>97</v>
      </c>
      <c r="O7">
        <v>98204</v>
      </c>
      <c r="Q7" t="s">
        <v>93</v>
      </c>
      <c r="R7">
        <v>48</v>
      </c>
      <c r="S7">
        <v>4.8</v>
      </c>
      <c r="T7">
        <v>0</v>
      </c>
      <c r="U7">
        <v>1</v>
      </c>
      <c r="V7">
        <v>1</v>
      </c>
      <c r="W7">
        <v>0</v>
      </c>
      <c r="X7">
        <v>48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</row>
    <row r="8" spans="1:37" x14ac:dyDescent="0.3">
      <c r="A8">
        <v>4450</v>
      </c>
      <c r="B8" t="s">
        <v>77</v>
      </c>
      <c r="D8" t="s">
        <v>78</v>
      </c>
      <c r="E8">
        <v>99999999</v>
      </c>
      <c r="F8">
        <v>11111111</v>
      </c>
      <c r="G8">
        <v>1111111111</v>
      </c>
      <c r="H8" t="s">
        <v>3577</v>
      </c>
      <c r="I8">
        <v>99999999</v>
      </c>
      <c r="J8" s="188">
        <v>45238</v>
      </c>
      <c r="K8" t="s">
        <v>3577</v>
      </c>
      <c r="L8" t="s">
        <v>3577</v>
      </c>
      <c r="M8" t="s">
        <v>98</v>
      </c>
      <c r="N8" t="s">
        <v>99</v>
      </c>
      <c r="O8" t="s">
        <v>100</v>
      </c>
      <c r="Q8" t="s">
        <v>82</v>
      </c>
      <c r="R8">
        <v>14</v>
      </c>
      <c r="S8">
        <v>42.3</v>
      </c>
      <c r="T8">
        <v>0</v>
      </c>
      <c r="U8">
        <v>1</v>
      </c>
      <c r="V8">
        <v>2</v>
      </c>
      <c r="W8">
        <v>0</v>
      </c>
      <c r="X8">
        <v>0</v>
      </c>
      <c r="Y8">
        <v>0</v>
      </c>
      <c r="Z8">
        <v>9</v>
      </c>
      <c r="AA8">
        <v>0</v>
      </c>
      <c r="AB8">
        <v>0</v>
      </c>
      <c r="AC8">
        <v>0</v>
      </c>
      <c r="AD8">
        <v>5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</row>
    <row r="9" spans="1:37" x14ac:dyDescent="0.3">
      <c r="A9">
        <v>4450</v>
      </c>
      <c r="B9" t="s">
        <v>77</v>
      </c>
      <c r="D9" t="s">
        <v>78</v>
      </c>
      <c r="E9">
        <v>99999999</v>
      </c>
      <c r="F9">
        <v>11111111</v>
      </c>
      <c r="G9">
        <v>1111111111</v>
      </c>
      <c r="H9" t="s">
        <v>3578</v>
      </c>
      <c r="I9">
        <v>99999999</v>
      </c>
      <c r="J9" s="188">
        <v>45238</v>
      </c>
      <c r="K9" t="s">
        <v>3578</v>
      </c>
      <c r="L9" t="s">
        <v>3578</v>
      </c>
      <c r="M9" t="s">
        <v>101</v>
      </c>
      <c r="N9" t="s">
        <v>97</v>
      </c>
      <c r="O9" t="s">
        <v>102</v>
      </c>
      <c r="Q9" t="s">
        <v>93</v>
      </c>
      <c r="R9">
        <v>1</v>
      </c>
      <c r="S9">
        <v>1.5</v>
      </c>
      <c r="T9">
        <v>0</v>
      </c>
      <c r="U9">
        <v>1</v>
      </c>
      <c r="V9">
        <v>1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</row>
    <row r="10" spans="1:37" x14ac:dyDescent="0.3">
      <c r="A10">
        <v>4450</v>
      </c>
      <c r="B10" t="s">
        <v>77</v>
      </c>
      <c r="D10" t="s">
        <v>78</v>
      </c>
      <c r="E10">
        <v>99999999</v>
      </c>
      <c r="F10">
        <v>11111111</v>
      </c>
      <c r="G10">
        <v>1111111111</v>
      </c>
      <c r="H10" t="s">
        <v>3579</v>
      </c>
      <c r="I10">
        <v>99999999</v>
      </c>
      <c r="J10" s="188">
        <v>45238</v>
      </c>
      <c r="K10" t="s">
        <v>3579</v>
      </c>
      <c r="L10" t="s">
        <v>3579</v>
      </c>
      <c r="M10" t="s">
        <v>103</v>
      </c>
      <c r="N10" t="s">
        <v>104</v>
      </c>
      <c r="O10">
        <v>83605</v>
      </c>
      <c r="Q10" t="s">
        <v>93</v>
      </c>
      <c r="R10">
        <v>72</v>
      </c>
      <c r="S10">
        <v>10.08</v>
      </c>
      <c r="T10">
        <v>0</v>
      </c>
      <c r="U10">
        <v>1</v>
      </c>
      <c r="V10">
        <v>1</v>
      </c>
      <c r="W10">
        <v>0</v>
      </c>
      <c r="X10">
        <v>72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</row>
    <row r="11" spans="1:37" x14ac:dyDescent="0.3">
      <c r="A11">
        <v>4450</v>
      </c>
      <c r="B11" t="s">
        <v>77</v>
      </c>
      <c r="D11" t="s">
        <v>78</v>
      </c>
      <c r="E11">
        <v>99999999</v>
      </c>
      <c r="F11">
        <v>11111111</v>
      </c>
      <c r="G11">
        <v>1111111111</v>
      </c>
      <c r="H11" t="s">
        <v>3580</v>
      </c>
      <c r="I11">
        <v>99999999</v>
      </c>
      <c r="J11" s="188">
        <v>45236</v>
      </c>
      <c r="K11" t="s">
        <v>3580</v>
      </c>
      <c r="L11" t="s">
        <v>3580</v>
      </c>
      <c r="M11" t="s">
        <v>98</v>
      </c>
      <c r="N11" t="s">
        <v>99</v>
      </c>
      <c r="O11" t="s">
        <v>105</v>
      </c>
      <c r="Q11" t="s">
        <v>82</v>
      </c>
      <c r="R11">
        <v>600</v>
      </c>
      <c r="S11">
        <v>60</v>
      </c>
      <c r="T11">
        <v>0</v>
      </c>
      <c r="U11">
        <v>5</v>
      </c>
      <c r="V11">
        <v>1</v>
      </c>
      <c r="W11">
        <v>0</v>
      </c>
      <c r="X11">
        <v>0</v>
      </c>
      <c r="Y11">
        <v>0</v>
      </c>
      <c r="Z11">
        <v>0</v>
      </c>
      <c r="AA11">
        <v>5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</row>
    <row r="12" spans="1:37" x14ac:dyDescent="0.3">
      <c r="A12">
        <v>4450</v>
      </c>
      <c r="B12" t="s">
        <v>77</v>
      </c>
      <c r="D12" t="s">
        <v>78</v>
      </c>
      <c r="E12">
        <v>99999999</v>
      </c>
      <c r="F12">
        <v>11111111</v>
      </c>
      <c r="G12">
        <v>1111111111</v>
      </c>
      <c r="H12" t="s">
        <v>3581</v>
      </c>
      <c r="I12">
        <v>99999999</v>
      </c>
      <c r="J12" s="188">
        <v>45236</v>
      </c>
      <c r="K12" t="s">
        <v>3581</v>
      </c>
      <c r="L12" t="s">
        <v>3581</v>
      </c>
      <c r="M12" t="s">
        <v>106</v>
      </c>
      <c r="N12" t="s">
        <v>99</v>
      </c>
      <c r="O12">
        <v>91746</v>
      </c>
      <c r="Q12" t="s">
        <v>82</v>
      </c>
      <c r="R12">
        <v>96</v>
      </c>
      <c r="S12">
        <v>253.2</v>
      </c>
      <c r="T12">
        <v>0</v>
      </c>
      <c r="U12">
        <v>11</v>
      </c>
      <c r="V12">
        <v>5</v>
      </c>
      <c r="W12">
        <v>0</v>
      </c>
      <c r="X12">
        <v>0</v>
      </c>
      <c r="Y12">
        <v>0</v>
      </c>
      <c r="Z12">
        <v>0</v>
      </c>
      <c r="AA12">
        <v>10</v>
      </c>
      <c r="AB12">
        <v>0</v>
      </c>
      <c r="AC12">
        <v>0</v>
      </c>
      <c r="AD12">
        <v>12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</row>
    <row r="13" spans="1:37" x14ac:dyDescent="0.3">
      <c r="A13">
        <v>4450</v>
      </c>
      <c r="B13" t="s">
        <v>77</v>
      </c>
      <c r="D13" t="s">
        <v>78</v>
      </c>
      <c r="E13">
        <v>99999999</v>
      </c>
      <c r="F13">
        <v>11111111</v>
      </c>
      <c r="G13">
        <v>1111111111</v>
      </c>
      <c r="H13" t="s">
        <v>3582</v>
      </c>
      <c r="I13">
        <v>99999999</v>
      </c>
      <c r="J13" s="188">
        <v>45236</v>
      </c>
      <c r="K13" t="s">
        <v>3582</v>
      </c>
      <c r="L13" t="s">
        <v>3582</v>
      </c>
      <c r="M13" t="s">
        <v>107</v>
      </c>
      <c r="N13" t="s">
        <v>91</v>
      </c>
      <c r="O13">
        <v>85540</v>
      </c>
      <c r="Q13" t="s">
        <v>82</v>
      </c>
      <c r="R13">
        <v>24</v>
      </c>
      <c r="S13">
        <v>134.4</v>
      </c>
      <c r="T13">
        <v>0</v>
      </c>
      <c r="U13">
        <v>4</v>
      </c>
      <c r="V13">
        <v>4</v>
      </c>
      <c r="W13">
        <v>0</v>
      </c>
      <c r="X13">
        <v>0</v>
      </c>
      <c r="Y13">
        <v>0</v>
      </c>
      <c r="Z13">
        <v>0</v>
      </c>
      <c r="AA13">
        <v>4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</row>
    <row r="14" spans="1:37" x14ac:dyDescent="0.3">
      <c r="A14">
        <v>4450</v>
      </c>
      <c r="B14" t="s">
        <v>77</v>
      </c>
      <c r="D14" t="s">
        <v>78</v>
      </c>
      <c r="E14">
        <v>99999999</v>
      </c>
      <c r="F14">
        <v>11111111</v>
      </c>
      <c r="G14">
        <v>1111111111</v>
      </c>
      <c r="H14" t="s">
        <v>3583</v>
      </c>
      <c r="I14">
        <v>99999999</v>
      </c>
      <c r="J14" s="188">
        <v>45236</v>
      </c>
      <c r="K14" t="s">
        <v>3583</v>
      </c>
      <c r="L14" t="s">
        <v>3583</v>
      </c>
      <c r="M14" t="s">
        <v>108</v>
      </c>
      <c r="N14" t="s">
        <v>99</v>
      </c>
      <c r="O14">
        <v>95330</v>
      </c>
      <c r="Q14" t="s">
        <v>93</v>
      </c>
      <c r="R14">
        <v>4</v>
      </c>
      <c r="S14">
        <v>12.2</v>
      </c>
      <c r="T14">
        <v>0</v>
      </c>
      <c r="U14">
        <v>1</v>
      </c>
      <c r="V14">
        <v>2</v>
      </c>
      <c r="W14">
        <v>0</v>
      </c>
      <c r="X14">
        <v>0</v>
      </c>
      <c r="Y14">
        <v>0</v>
      </c>
      <c r="Z14">
        <v>4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</row>
    <row r="15" spans="1:37" x14ac:dyDescent="0.3">
      <c r="A15">
        <v>4450</v>
      </c>
      <c r="B15" t="s">
        <v>77</v>
      </c>
      <c r="D15" t="s">
        <v>78</v>
      </c>
      <c r="E15">
        <v>99999999</v>
      </c>
      <c r="F15">
        <v>11111111</v>
      </c>
      <c r="G15">
        <v>1111111111</v>
      </c>
      <c r="H15" t="s">
        <v>3584</v>
      </c>
      <c r="I15">
        <v>99999999</v>
      </c>
      <c r="J15" s="188">
        <v>45237</v>
      </c>
      <c r="K15" t="s">
        <v>3584</v>
      </c>
      <c r="L15" t="s">
        <v>3584</v>
      </c>
      <c r="M15" t="s">
        <v>109</v>
      </c>
      <c r="N15" t="s">
        <v>99</v>
      </c>
      <c r="O15">
        <v>92881</v>
      </c>
      <c r="Q15" t="s">
        <v>82</v>
      </c>
      <c r="R15">
        <v>24</v>
      </c>
      <c r="S15">
        <v>2.4</v>
      </c>
      <c r="T15">
        <v>0</v>
      </c>
      <c r="U15">
        <v>1</v>
      </c>
      <c r="V15">
        <v>1</v>
      </c>
      <c r="W15">
        <v>0</v>
      </c>
      <c r="X15">
        <v>24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</row>
    <row r="16" spans="1:37" x14ac:dyDescent="0.3">
      <c r="A16">
        <v>4450</v>
      </c>
      <c r="B16" t="s">
        <v>77</v>
      </c>
      <c r="D16" t="s">
        <v>78</v>
      </c>
      <c r="E16">
        <v>99999999</v>
      </c>
      <c r="F16">
        <v>11111111</v>
      </c>
      <c r="G16">
        <v>1111111111</v>
      </c>
      <c r="H16" t="s">
        <v>3585</v>
      </c>
      <c r="I16">
        <v>99999999</v>
      </c>
      <c r="J16" s="188">
        <v>45237</v>
      </c>
      <c r="K16" t="s">
        <v>3585</v>
      </c>
      <c r="L16" t="s">
        <v>3585</v>
      </c>
      <c r="M16" t="s">
        <v>110</v>
      </c>
      <c r="N16" t="s">
        <v>99</v>
      </c>
      <c r="O16">
        <v>94544</v>
      </c>
      <c r="Q16" t="s">
        <v>82</v>
      </c>
      <c r="R16">
        <v>185</v>
      </c>
      <c r="S16">
        <v>59.5</v>
      </c>
      <c r="T16">
        <v>0</v>
      </c>
      <c r="U16">
        <v>5</v>
      </c>
      <c r="V16">
        <v>2</v>
      </c>
      <c r="W16">
        <v>0</v>
      </c>
      <c r="X16">
        <v>0</v>
      </c>
      <c r="Y16">
        <v>0</v>
      </c>
      <c r="Z16">
        <v>5</v>
      </c>
      <c r="AA16">
        <v>4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</row>
    <row r="17" spans="1:37" x14ac:dyDescent="0.3">
      <c r="A17">
        <v>4450</v>
      </c>
      <c r="B17" t="s">
        <v>77</v>
      </c>
      <c r="D17" t="s">
        <v>78</v>
      </c>
      <c r="E17">
        <v>99999999</v>
      </c>
      <c r="F17">
        <v>11111111</v>
      </c>
      <c r="G17">
        <v>1111111111</v>
      </c>
      <c r="H17" t="s">
        <v>3586</v>
      </c>
      <c r="I17">
        <v>99999999</v>
      </c>
      <c r="J17" s="188">
        <v>45237</v>
      </c>
      <c r="K17" t="s">
        <v>3586</v>
      </c>
      <c r="L17" t="s">
        <v>3586</v>
      </c>
      <c r="M17" t="s">
        <v>111</v>
      </c>
      <c r="N17" t="s">
        <v>97</v>
      </c>
      <c r="O17" t="s">
        <v>112</v>
      </c>
      <c r="Q17" t="s">
        <v>82</v>
      </c>
      <c r="R17">
        <v>1</v>
      </c>
      <c r="S17">
        <v>1.3</v>
      </c>
      <c r="T17">
        <v>0</v>
      </c>
      <c r="U17">
        <v>1</v>
      </c>
      <c r="V17">
        <v>1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</row>
    <row r="18" spans="1:37" x14ac:dyDescent="0.3">
      <c r="A18">
        <v>4450</v>
      </c>
      <c r="B18" t="s">
        <v>77</v>
      </c>
      <c r="D18" t="s">
        <v>78</v>
      </c>
      <c r="E18">
        <v>99999999</v>
      </c>
      <c r="F18">
        <v>11111111</v>
      </c>
      <c r="G18">
        <v>1111111111</v>
      </c>
      <c r="H18" t="s">
        <v>3587</v>
      </c>
      <c r="I18">
        <v>99999999</v>
      </c>
      <c r="J18" s="188">
        <v>45237</v>
      </c>
      <c r="K18" t="s">
        <v>3587</v>
      </c>
      <c r="L18" t="s">
        <v>3587</v>
      </c>
      <c r="M18" t="s">
        <v>113</v>
      </c>
      <c r="N18" t="s">
        <v>88</v>
      </c>
      <c r="O18" t="s">
        <v>114</v>
      </c>
      <c r="Q18" t="s">
        <v>82</v>
      </c>
      <c r="R18">
        <v>6</v>
      </c>
      <c r="S18">
        <v>8.2200000000000006</v>
      </c>
      <c r="T18">
        <v>0</v>
      </c>
      <c r="U18">
        <v>1</v>
      </c>
      <c r="V18">
        <v>1</v>
      </c>
      <c r="W18">
        <v>0</v>
      </c>
      <c r="X18">
        <v>0</v>
      </c>
      <c r="Y18">
        <v>0</v>
      </c>
      <c r="Z18">
        <v>6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</row>
    <row r="19" spans="1:37" x14ac:dyDescent="0.3">
      <c r="A19">
        <v>4450</v>
      </c>
      <c r="B19" t="s">
        <v>77</v>
      </c>
      <c r="D19" t="s">
        <v>78</v>
      </c>
      <c r="E19">
        <v>99999999</v>
      </c>
      <c r="F19">
        <v>11111111</v>
      </c>
      <c r="G19">
        <v>1111111111</v>
      </c>
      <c r="H19" t="s">
        <v>3588</v>
      </c>
      <c r="I19">
        <v>99999999</v>
      </c>
      <c r="J19" s="188">
        <v>45237</v>
      </c>
      <c r="K19" t="s">
        <v>3588</v>
      </c>
      <c r="L19" t="s">
        <v>3588</v>
      </c>
      <c r="M19" t="s">
        <v>115</v>
      </c>
      <c r="N19" t="s">
        <v>99</v>
      </c>
      <c r="O19">
        <v>95757</v>
      </c>
      <c r="Q19" t="s">
        <v>93</v>
      </c>
      <c r="R19">
        <v>6</v>
      </c>
      <c r="S19">
        <v>17.399999999999999</v>
      </c>
      <c r="T19">
        <v>0</v>
      </c>
      <c r="U19">
        <v>1</v>
      </c>
      <c r="V19">
        <v>1</v>
      </c>
      <c r="W19">
        <v>0</v>
      </c>
      <c r="X19">
        <v>0</v>
      </c>
      <c r="Y19">
        <v>0</v>
      </c>
      <c r="Z19">
        <v>6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</row>
    <row r="20" spans="1:37" x14ac:dyDescent="0.3">
      <c r="A20">
        <v>4450</v>
      </c>
      <c r="B20" t="s">
        <v>77</v>
      </c>
      <c r="D20" t="s">
        <v>78</v>
      </c>
      <c r="E20">
        <v>99999999</v>
      </c>
      <c r="F20">
        <v>11111111</v>
      </c>
      <c r="G20">
        <v>1111111111</v>
      </c>
      <c r="H20" t="s">
        <v>3589</v>
      </c>
      <c r="I20">
        <v>99999999</v>
      </c>
      <c r="J20" s="188">
        <v>45237</v>
      </c>
      <c r="K20" t="s">
        <v>3589</v>
      </c>
      <c r="L20" t="s">
        <v>3589</v>
      </c>
      <c r="M20" t="s">
        <v>116</v>
      </c>
      <c r="N20" t="s">
        <v>99</v>
      </c>
      <c r="O20">
        <v>94587</v>
      </c>
      <c r="Q20" t="s">
        <v>93</v>
      </c>
      <c r="R20">
        <v>26</v>
      </c>
      <c r="S20">
        <v>11</v>
      </c>
      <c r="T20">
        <v>0</v>
      </c>
      <c r="U20">
        <v>1</v>
      </c>
      <c r="V20">
        <v>2</v>
      </c>
      <c r="W20">
        <v>0</v>
      </c>
      <c r="X20">
        <v>24</v>
      </c>
      <c r="Y20">
        <v>0</v>
      </c>
      <c r="Z20">
        <v>2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</row>
    <row r="21" spans="1:37" x14ac:dyDescent="0.3">
      <c r="A21">
        <v>4450</v>
      </c>
      <c r="B21" t="s">
        <v>77</v>
      </c>
      <c r="D21" t="s">
        <v>78</v>
      </c>
      <c r="E21">
        <v>99999999</v>
      </c>
      <c r="F21">
        <v>11111111</v>
      </c>
      <c r="G21">
        <v>1111111111</v>
      </c>
      <c r="H21" t="s">
        <v>3590</v>
      </c>
      <c r="I21">
        <v>99999999</v>
      </c>
      <c r="J21" s="188">
        <v>45237</v>
      </c>
      <c r="K21" t="s">
        <v>3590</v>
      </c>
      <c r="L21" t="s">
        <v>3590</v>
      </c>
      <c r="M21" t="s">
        <v>117</v>
      </c>
      <c r="N21" t="s">
        <v>118</v>
      </c>
      <c r="O21" t="s">
        <v>119</v>
      </c>
      <c r="Q21" t="s">
        <v>82</v>
      </c>
      <c r="R21">
        <v>1</v>
      </c>
      <c r="S21">
        <v>13.5</v>
      </c>
      <c r="T21">
        <v>0</v>
      </c>
      <c r="U21">
        <v>1</v>
      </c>
      <c r="V21">
        <v>1</v>
      </c>
      <c r="W21">
        <v>0</v>
      </c>
      <c r="X21">
        <v>0</v>
      </c>
      <c r="Y21">
        <v>0</v>
      </c>
      <c r="Z21">
        <v>0</v>
      </c>
      <c r="AA21">
        <v>1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</row>
    <row r="22" spans="1:37" x14ac:dyDescent="0.3">
      <c r="A22">
        <v>4450</v>
      </c>
      <c r="B22" t="s">
        <v>77</v>
      </c>
      <c r="D22" t="s">
        <v>78</v>
      </c>
      <c r="E22">
        <v>99999999</v>
      </c>
      <c r="F22">
        <v>11111111</v>
      </c>
      <c r="G22">
        <v>1111111111</v>
      </c>
      <c r="H22" t="s">
        <v>3591</v>
      </c>
      <c r="I22">
        <v>99999999</v>
      </c>
      <c r="J22" s="188">
        <v>45238</v>
      </c>
      <c r="K22" t="s">
        <v>3591</v>
      </c>
      <c r="L22" t="s">
        <v>3591</v>
      </c>
      <c r="M22" t="s">
        <v>120</v>
      </c>
      <c r="N22" t="s">
        <v>99</v>
      </c>
      <c r="O22">
        <v>91733</v>
      </c>
      <c r="Q22" t="s">
        <v>82</v>
      </c>
      <c r="R22">
        <v>24</v>
      </c>
      <c r="S22">
        <v>74.64</v>
      </c>
      <c r="T22">
        <v>0</v>
      </c>
      <c r="U22">
        <v>2</v>
      </c>
      <c r="V22">
        <v>1</v>
      </c>
      <c r="W22">
        <v>0</v>
      </c>
      <c r="X22">
        <v>0</v>
      </c>
      <c r="Y22">
        <v>0</v>
      </c>
      <c r="Z22">
        <v>0</v>
      </c>
      <c r="AA22">
        <v>2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</row>
    <row r="23" spans="1:37" x14ac:dyDescent="0.3">
      <c r="A23">
        <v>4450</v>
      </c>
      <c r="B23" t="s">
        <v>77</v>
      </c>
      <c r="D23" t="s">
        <v>78</v>
      </c>
      <c r="E23">
        <v>99999999</v>
      </c>
      <c r="F23">
        <v>11111111</v>
      </c>
      <c r="G23">
        <v>1111111111</v>
      </c>
      <c r="H23" t="s">
        <v>3592</v>
      </c>
      <c r="I23">
        <v>99999999</v>
      </c>
      <c r="J23" s="188">
        <v>45238</v>
      </c>
      <c r="K23" t="s">
        <v>3592</v>
      </c>
      <c r="L23" t="s">
        <v>3592</v>
      </c>
      <c r="M23" t="s">
        <v>106</v>
      </c>
      <c r="N23" t="s">
        <v>99</v>
      </c>
      <c r="O23">
        <v>91746</v>
      </c>
      <c r="Q23" t="s">
        <v>82</v>
      </c>
      <c r="R23">
        <v>25</v>
      </c>
      <c r="S23">
        <v>32.5</v>
      </c>
      <c r="T23">
        <v>0</v>
      </c>
      <c r="U23">
        <v>1</v>
      </c>
      <c r="V23">
        <v>1</v>
      </c>
      <c r="W23">
        <v>0</v>
      </c>
      <c r="X23">
        <v>0</v>
      </c>
      <c r="Y23">
        <v>0</v>
      </c>
      <c r="Z23">
        <v>0</v>
      </c>
      <c r="AA23">
        <v>1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</row>
    <row r="24" spans="1:37" x14ac:dyDescent="0.3">
      <c r="A24">
        <v>4450</v>
      </c>
      <c r="B24" t="s">
        <v>77</v>
      </c>
      <c r="D24" t="s">
        <v>78</v>
      </c>
      <c r="E24">
        <v>99999999</v>
      </c>
      <c r="F24">
        <v>11111111</v>
      </c>
      <c r="G24">
        <v>1111111111</v>
      </c>
      <c r="H24" t="s">
        <v>3593</v>
      </c>
      <c r="I24">
        <v>99999999</v>
      </c>
      <c r="J24" s="188">
        <v>45238</v>
      </c>
      <c r="K24" t="s">
        <v>3593</v>
      </c>
      <c r="L24" t="s">
        <v>3593</v>
      </c>
      <c r="M24" t="s">
        <v>121</v>
      </c>
      <c r="N24" t="s">
        <v>122</v>
      </c>
      <c r="O24">
        <v>87113</v>
      </c>
      <c r="Q24" t="s">
        <v>93</v>
      </c>
      <c r="R24">
        <v>8</v>
      </c>
      <c r="S24">
        <v>30.1</v>
      </c>
      <c r="T24">
        <v>0</v>
      </c>
      <c r="U24">
        <v>1</v>
      </c>
      <c r="V24">
        <v>2</v>
      </c>
      <c r="W24">
        <v>0</v>
      </c>
      <c r="X24">
        <v>0</v>
      </c>
      <c r="Y24">
        <v>0</v>
      </c>
      <c r="Z24">
        <v>8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</row>
    <row r="25" spans="1:37" x14ac:dyDescent="0.3">
      <c r="A25">
        <v>4450</v>
      </c>
      <c r="B25" t="s">
        <v>77</v>
      </c>
      <c r="D25" t="s">
        <v>78</v>
      </c>
      <c r="E25">
        <v>99999999</v>
      </c>
      <c r="F25">
        <v>11111111</v>
      </c>
      <c r="G25">
        <v>1111111111</v>
      </c>
      <c r="H25" t="s">
        <v>3594</v>
      </c>
      <c r="I25">
        <v>99999999</v>
      </c>
      <c r="J25" s="188">
        <v>45236</v>
      </c>
      <c r="K25" t="s">
        <v>3594</v>
      </c>
      <c r="L25" t="s">
        <v>3594</v>
      </c>
      <c r="M25" t="s">
        <v>123</v>
      </c>
      <c r="N25" t="s">
        <v>104</v>
      </c>
      <c r="O25">
        <v>83501</v>
      </c>
      <c r="Q25" t="s">
        <v>124</v>
      </c>
      <c r="R25">
        <v>4</v>
      </c>
      <c r="S25">
        <v>11.92</v>
      </c>
      <c r="T25">
        <v>0</v>
      </c>
      <c r="U25">
        <v>1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4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</row>
    <row r="26" spans="1:37" x14ac:dyDescent="0.3">
      <c r="A26">
        <v>4450</v>
      </c>
      <c r="B26" t="s">
        <v>77</v>
      </c>
      <c r="D26" t="s">
        <v>78</v>
      </c>
      <c r="E26">
        <v>99999999</v>
      </c>
      <c r="F26">
        <v>11111111</v>
      </c>
      <c r="G26">
        <v>1111111111</v>
      </c>
      <c r="H26" t="s">
        <v>3595</v>
      </c>
      <c r="I26">
        <v>99999999</v>
      </c>
      <c r="J26" s="188">
        <v>45236</v>
      </c>
      <c r="K26" t="s">
        <v>3595</v>
      </c>
      <c r="L26" t="s">
        <v>3595</v>
      </c>
      <c r="M26" t="s">
        <v>113</v>
      </c>
      <c r="N26" t="s">
        <v>125</v>
      </c>
      <c r="O26">
        <v>49201</v>
      </c>
      <c r="Q26" t="s">
        <v>82</v>
      </c>
      <c r="R26">
        <v>1</v>
      </c>
      <c r="S26">
        <v>13.5</v>
      </c>
      <c r="T26">
        <v>0</v>
      </c>
      <c r="U26">
        <v>1</v>
      </c>
      <c r="V26">
        <v>1</v>
      </c>
      <c r="W26">
        <v>0</v>
      </c>
      <c r="X26">
        <v>0</v>
      </c>
      <c r="Y26">
        <v>0</v>
      </c>
      <c r="Z26">
        <v>0</v>
      </c>
      <c r="AA26">
        <v>1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</row>
    <row r="27" spans="1:37" x14ac:dyDescent="0.3">
      <c r="A27">
        <v>4450</v>
      </c>
      <c r="B27" t="s">
        <v>77</v>
      </c>
      <c r="D27" t="s">
        <v>78</v>
      </c>
      <c r="E27">
        <v>99999999</v>
      </c>
      <c r="F27">
        <v>11111111</v>
      </c>
      <c r="G27">
        <v>1111111111</v>
      </c>
      <c r="H27" t="s">
        <v>3596</v>
      </c>
      <c r="I27">
        <v>99999999</v>
      </c>
      <c r="J27" s="188">
        <v>45236</v>
      </c>
      <c r="K27" t="s">
        <v>3596</v>
      </c>
      <c r="L27" t="s">
        <v>3596</v>
      </c>
      <c r="M27" t="s">
        <v>126</v>
      </c>
      <c r="N27" t="s">
        <v>104</v>
      </c>
      <c r="O27">
        <v>83402</v>
      </c>
      <c r="Q27" t="s">
        <v>93</v>
      </c>
      <c r="R27">
        <v>6</v>
      </c>
      <c r="S27">
        <v>13.6</v>
      </c>
      <c r="T27">
        <v>0</v>
      </c>
      <c r="U27">
        <v>1</v>
      </c>
      <c r="V27">
        <v>3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6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</row>
    <row r="28" spans="1:37" x14ac:dyDescent="0.3">
      <c r="A28">
        <v>4450</v>
      </c>
      <c r="B28" t="s">
        <v>77</v>
      </c>
      <c r="D28" t="s">
        <v>78</v>
      </c>
      <c r="E28">
        <v>99999999</v>
      </c>
      <c r="F28">
        <v>11111111</v>
      </c>
      <c r="G28">
        <v>1111111111</v>
      </c>
      <c r="H28" t="s">
        <v>3597</v>
      </c>
      <c r="I28">
        <v>99999999</v>
      </c>
      <c r="J28" s="188">
        <v>45237</v>
      </c>
      <c r="K28" t="s">
        <v>3597</v>
      </c>
      <c r="L28" t="s">
        <v>3597</v>
      </c>
      <c r="M28" t="s">
        <v>127</v>
      </c>
      <c r="N28" t="s">
        <v>99</v>
      </c>
      <c r="O28">
        <v>93535</v>
      </c>
      <c r="Q28" t="s">
        <v>93</v>
      </c>
      <c r="R28">
        <v>2</v>
      </c>
      <c r="S28">
        <v>12.2</v>
      </c>
      <c r="T28">
        <v>0</v>
      </c>
      <c r="U28">
        <v>1</v>
      </c>
      <c r="V28">
        <v>1</v>
      </c>
      <c r="W28">
        <v>0</v>
      </c>
      <c r="X28">
        <v>0</v>
      </c>
      <c r="Y28">
        <v>0</v>
      </c>
      <c r="Z28">
        <v>2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</row>
    <row r="29" spans="1:37" x14ac:dyDescent="0.3">
      <c r="A29">
        <v>4450</v>
      </c>
      <c r="B29" t="s">
        <v>77</v>
      </c>
      <c r="D29" t="s">
        <v>94</v>
      </c>
      <c r="E29">
        <v>99999999</v>
      </c>
      <c r="F29">
        <v>11111111</v>
      </c>
      <c r="G29">
        <v>1111111111</v>
      </c>
      <c r="H29" t="s">
        <v>3598</v>
      </c>
      <c r="I29">
        <v>99999999</v>
      </c>
      <c r="J29" s="188">
        <v>45237</v>
      </c>
      <c r="K29" t="s">
        <v>3598</v>
      </c>
      <c r="L29" t="s">
        <v>3598</v>
      </c>
      <c r="M29" t="s">
        <v>128</v>
      </c>
      <c r="N29" t="s">
        <v>85</v>
      </c>
      <c r="O29">
        <v>89521</v>
      </c>
      <c r="Q29" t="s">
        <v>93</v>
      </c>
      <c r="R29">
        <v>7</v>
      </c>
      <c r="S29">
        <v>28.1</v>
      </c>
      <c r="T29">
        <v>0</v>
      </c>
      <c r="U29">
        <v>2</v>
      </c>
      <c r="V29">
        <v>2</v>
      </c>
      <c r="W29">
        <v>0</v>
      </c>
      <c r="X29">
        <v>0</v>
      </c>
      <c r="Y29">
        <v>0</v>
      </c>
      <c r="Z29">
        <v>6</v>
      </c>
      <c r="AA29">
        <v>1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</row>
    <row r="30" spans="1:37" x14ac:dyDescent="0.3">
      <c r="A30">
        <v>4450</v>
      </c>
      <c r="B30" t="s">
        <v>77</v>
      </c>
      <c r="D30" t="s">
        <v>94</v>
      </c>
      <c r="E30">
        <v>99999999</v>
      </c>
      <c r="F30">
        <v>11111111</v>
      </c>
      <c r="G30">
        <v>1111111111</v>
      </c>
      <c r="H30" t="s">
        <v>3599</v>
      </c>
      <c r="I30">
        <v>99999999</v>
      </c>
      <c r="J30" s="188">
        <v>45237</v>
      </c>
      <c r="K30" t="s">
        <v>3599</v>
      </c>
      <c r="L30" t="s">
        <v>3599</v>
      </c>
      <c r="M30" t="s">
        <v>129</v>
      </c>
      <c r="N30" t="s">
        <v>130</v>
      </c>
      <c r="O30">
        <v>80524</v>
      </c>
      <c r="Q30" t="s">
        <v>93</v>
      </c>
      <c r="R30">
        <v>4</v>
      </c>
      <c r="S30">
        <v>16.399999999999999</v>
      </c>
      <c r="T30">
        <v>0</v>
      </c>
      <c r="U30">
        <v>1</v>
      </c>
      <c r="V30">
        <v>2</v>
      </c>
      <c r="W30">
        <v>0</v>
      </c>
      <c r="X30">
        <v>0</v>
      </c>
      <c r="Y30">
        <v>0</v>
      </c>
      <c r="Z30">
        <v>4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</row>
    <row r="31" spans="1:37" x14ac:dyDescent="0.3">
      <c r="A31">
        <v>4450</v>
      </c>
      <c r="B31" t="s">
        <v>77</v>
      </c>
      <c r="D31" t="s">
        <v>78</v>
      </c>
      <c r="E31">
        <v>99999999</v>
      </c>
      <c r="F31">
        <v>11111111</v>
      </c>
      <c r="G31">
        <v>1111111111</v>
      </c>
      <c r="H31" t="s">
        <v>3600</v>
      </c>
      <c r="I31">
        <v>99999999</v>
      </c>
      <c r="J31" s="188">
        <v>45237</v>
      </c>
      <c r="K31" t="s">
        <v>3600</v>
      </c>
      <c r="L31" t="s">
        <v>3600</v>
      </c>
      <c r="M31" t="s">
        <v>131</v>
      </c>
      <c r="N31" t="s">
        <v>99</v>
      </c>
      <c r="O31">
        <v>95206</v>
      </c>
      <c r="Q31" t="s">
        <v>93</v>
      </c>
      <c r="R31">
        <v>4</v>
      </c>
      <c r="S31">
        <v>15.2</v>
      </c>
      <c r="T31">
        <v>0</v>
      </c>
      <c r="U31">
        <v>1</v>
      </c>
      <c r="V31">
        <v>1</v>
      </c>
      <c r="W31">
        <v>0</v>
      </c>
      <c r="X31">
        <v>0</v>
      </c>
      <c r="Y31">
        <v>0</v>
      </c>
      <c r="Z31">
        <v>4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</row>
    <row r="32" spans="1:37" x14ac:dyDescent="0.3">
      <c r="A32">
        <v>4450</v>
      </c>
      <c r="B32" t="s">
        <v>77</v>
      </c>
      <c r="D32" t="s">
        <v>78</v>
      </c>
      <c r="E32">
        <v>99999999</v>
      </c>
      <c r="F32">
        <v>11111111</v>
      </c>
      <c r="G32">
        <v>1111111111</v>
      </c>
      <c r="H32" t="s">
        <v>3601</v>
      </c>
      <c r="I32">
        <v>99999999</v>
      </c>
      <c r="J32" s="188">
        <v>45238</v>
      </c>
      <c r="K32" t="s">
        <v>3601</v>
      </c>
      <c r="L32" t="s">
        <v>3601</v>
      </c>
      <c r="M32" t="s">
        <v>132</v>
      </c>
      <c r="N32" t="s">
        <v>99</v>
      </c>
      <c r="O32">
        <v>94536</v>
      </c>
      <c r="Q32" t="s">
        <v>82</v>
      </c>
      <c r="R32">
        <v>240</v>
      </c>
      <c r="S32">
        <v>24</v>
      </c>
      <c r="T32">
        <v>0</v>
      </c>
      <c r="U32">
        <v>2</v>
      </c>
      <c r="V32">
        <v>1</v>
      </c>
      <c r="W32">
        <v>0</v>
      </c>
      <c r="X32">
        <v>0</v>
      </c>
      <c r="Y32">
        <v>0</v>
      </c>
      <c r="Z32">
        <v>0</v>
      </c>
      <c r="AA32">
        <v>2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</row>
    <row r="33" spans="1:37" x14ac:dyDescent="0.3">
      <c r="A33">
        <v>4450</v>
      </c>
      <c r="B33" t="s">
        <v>77</v>
      </c>
      <c r="D33" t="s">
        <v>78</v>
      </c>
      <c r="E33">
        <v>99999999</v>
      </c>
      <c r="F33">
        <v>11111111</v>
      </c>
      <c r="G33">
        <v>1111111111</v>
      </c>
      <c r="H33" t="s">
        <v>3602</v>
      </c>
      <c r="I33">
        <v>99999999</v>
      </c>
      <c r="J33" s="188">
        <v>45238</v>
      </c>
      <c r="K33" t="s">
        <v>3602</v>
      </c>
      <c r="L33" t="s">
        <v>3602</v>
      </c>
      <c r="M33" t="s">
        <v>133</v>
      </c>
      <c r="N33" t="s">
        <v>99</v>
      </c>
      <c r="O33">
        <v>93551</v>
      </c>
      <c r="Q33" t="s">
        <v>93</v>
      </c>
      <c r="R33">
        <v>10</v>
      </c>
      <c r="S33">
        <v>22</v>
      </c>
      <c r="T33">
        <v>0</v>
      </c>
      <c r="U33">
        <v>1</v>
      </c>
      <c r="V33">
        <v>1</v>
      </c>
      <c r="W33">
        <v>0</v>
      </c>
      <c r="X33">
        <v>0</v>
      </c>
      <c r="Y33">
        <v>0</v>
      </c>
      <c r="Z33">
        <v>10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</row>
    <row r="34" spans="1:37" x14ac:dyDescent="0.3">
      <c r="A34">
        <v>4450</v>
      </c>
      <c r="B34" t="s">
        <v>77</v>
      </c>
      <c r="D34" t="s">
        <v>78</v>
      </c>
      <c r="E34">
        <v>99999999</v>
      </c>
      <c r="F34">
        <v>11111111</v>
      </c>
      <c r="G34">
        <v>1111111111</v>
      </c>
      <c r="H34" t="s">
        <v>3603</v>
      </c>
      <c r="I34">
        <v>99999999</v>
      </c>
      <c r="J34" s="188">
        <v>45238</v>
      </c>
      <c r="K34" t="s">
        <v>3603</v>
      </c>
      <c r="L34" t="s">
        <v>3603</v>
      </c>
      <c r="M34" t="s">
        <v>98</v>
      </c>
      <c r="N34" t="s">
        <v>99</v>
      </c>
      <c r="O34" t="s">
        <v>105</v>
      </c>
      <c r="Q34" t="s">
        <v>82</v>
      </c>
      <c r="R34">
        <v>40</v>
      </c>
      <c r="S34">
        <v>224</v>
      </c>
      <c r="T34">
        <v>0</v>
      </c>
      <c r="U34">
        <v>6</v>
      </c>
      <c r="V34">
        <v>2</v>
      </c>
      <c r="W34">
        <v>0</v>
      </c>
      <c r="X34">
        <v>0</v>
      </c>
      <c r="Y34">
        <v>0</v>
      </c>
      <c r="Z34">
        <v>0</v>
      </c>
      <c r="AA34">
        <v>6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</row>
    <row r="35" spans="1:37" x14ac:dyDescent="0.3">
      <c r="A35">
        <v>4450</v>
      </c>
      <c r="B35" t="s">
        <v>77</v>
      </c>
      <c r="D35" t="s">
        <v>78</v>
      </c>
      <c r="E35">
        <v>99999999</v>
      </c>
      <c r="F35">
        <v>11111111</v>
      </c>
      <c r="G35">
        <v>1111111111</v>
      </c>
      <c r="H35" t="s">
        <v>3604</v>
      </c>
      <c r="I35">
        <v>99999999</v>
      </c>
      <c r="J35" s="188">
        <v>45238</v>
      </c>
      <c r="K35" t="s">
        <v>3604</v>
      </c>
      <c r="L35" t="s">
        <v>3604</v>
      </c>
      <c r="M35" t="s">
        <v>134</v>
      </c>
      <c r="N35" t="s">
        <v>135</v>
      </c>
      <c r="O35" t="s">
        <v>136</v>
      </c>
      <c r="Q35" t="s">
        <v>82</v>
      </c>
      <c r="R35">
        <v>21</v>
      </c>
      <c r="S35">
        <v>108</v>
      </c>
      <c r="T35">
        <v>0</v>
      </c>
      <c r="U35">
        <v>4</v>
      </c>
      <c r="V35">
        <v>2</v>
      </c>
      <c r="W35">
        <v>0</v>
      </c>
      <c r="X35">
        <v>0</v>
      </c>
      <c r="Y35">
        <v>0</v>
      </c>
      <c r="Z35">
        <v>3</v>
      </c>
      <c r="AA35">
        <v>3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</row>
    <row r="36" spans="1:37" x14ac:dyDescent="0.3">
      <c r="A36">
        <v>4450</v>
      </c>
      <c r="B36" t="s">
        <v>77</v>
      </c>
      <c r="D36" t="s">
        <v>78</v>
      </c>
      <c r="E36">
        <v>99999999</v>
      </c>
      <c r="F36">
        <v>11111111</v>
      </c>
      <c r="G36">
        <v>1111111111</v>
      </c>
      <c r="H36" t="s">
        <v>3605</v>
      </c>
      <c r="I36">
        <v>99999999</v>
      </c>
      <c r="J36" s="188">
        <v>45238</v>
      </c>
      <c r="K36" t="s">
        <v>3605</v>
      </c>
      <c r="L36" t="s">
        <v>3605</v>
      </c>
      <c r="M36" t="s">
        <v>137</v>
      </c>
      <c r="N36" t="s">
        <v>99</v>
      </c>
      <c r="O36">
        <v>94565</v>
      </c>
      <c r="Q36" t="s">
        <v>93</v>
      </c>
      <c r="R36">
        <v>12</v>
      </c>
      <c r="S36">
        <v>15.6</v>
      </c>
      <c r="T36">
        <v>0</v>
      </c>
      <c r="U36">
        <v>1</v>
      </c>
      <c r="V36">
        <v>1</v>
      </c>
      <c r="W36">
        <v>0</v>
      </c>
      <c r="X36">
        <v>0</v>
      </c>
      <c r="Y36">
        <v>0</v>
      </c>
      <c r="Z36">
        <v>0</v>
      </c>
      <c r="AA36">
        <v>1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</row>
    <row r="37" spans="1:37" x14ac:dyDescent="0.3">
      <c r="A37">
        <v>4450</v>
      </c>
      <c r="B37" t="s">
        <v>77</v>
      </c>
      <c r="D37" t="s">
        <v>94</v>
      </c>
      <c r="E37">
        <v>99999999</v>
      </c>
      <c r="F37">
        <v>11111111</v>
      </c>
      <c r="G37">
        <v>1111111111</v>
      </c>
      <c r="H37" t="s">
        <v>3606</v>
      </c>
      <c r="I37">
        <v>99999999</v>
      </c>
      <c r="J37" s="188">
        <v>45236</v>
      </c>
      <c r="K37" t="s">
        <v>3606</v>
      </c>
      <c r="L37" t="s">
        <v>3606</v>
      </c>
      <c r="M37" t="s">
        <v>139</v>
      </c>
      <c r="N37" t="s">
        <v>97</v>
      </c>
      <c r="O37">
        <v>98323</v>
      </c>
      <c r="Q37" t="s">
        <v>93</v>
      </c>
      <c r="R37">
        <v>1</v>
      </c>
      <c r="S37">
        <v>3.6</v>
      </c>
      <c r="T37">
        <v>0</v>
      </c>
      <c r="U37">
        <v>1</v>
      </c>
      <c r="V37">
        <v>1</v>
      </c>
      <c r="W37">
        <v>0</v>
      </c>
      <c r="X37">
        <v>0</v>
      </c>
      <c r="Y37">
        <v>0</v>
      </c>
      <c r="Z37">
        <v>1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1:37" x14ac:dyDescent="0.3">
      <c r="A38">
        <v>4450</v>
      </c>
      <c r="B38" t="s">
        <v>77</v>
      </c>
      <c r="D38" t="s">
        <v>78</v>
      </c>
      <c r="E38">
        <v>99999999</v>
      </c>
      <c r="F38">
        <v>11111111</v>
      </c>
      <c r="G38">
        <v>1111111111</v>
      </c>
      <c r="H38" t="s">
        <v>3607</v>
      </c>
      <c r="I38">
        <v>99999999</v>
      </c>
      <c r="J38" s="188">
        <v>45236</v>
      </c>
      <c r="K38" t="s">
        <v>3607</v>
      </c>
      <c r="L38" t="s">
        <v>3607</v>
      </c>
      <c r="M38" t="s">
        <v>84</v>
      </c>
      <c r="N38" t="s">
        <v>85</v>
      </c>
      <c r="O38" t="s">
        <v>86</v>
      </c>
      <c r="Q38" t="s">
        <v>93</v>
      </c>
      <c r="R38">
        <v>3</v>
      </c>
      <c r="S38">
        <v>10.199999999999999</v>
      </c>
      <c r="T38">
        <v>0</v>
      </c>
      <c r="U38">
        <v>1</v>
      </c>
      <c r="V38">
        <v>1</v>
      </c>
      <c r="W38">
        <v>0</v>
      </c>
      <c r="X38">
        <v>0</v>
      </c>
      <c r="Y38">
        <v>0</v>
      </c>
      <c r="Z38">
        <v>3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</row>
    <row r="39" spans="1:37" x14ac:dyDescent="0.3">
      <c r="A39">
        <v>4450</v>
      </c>
      <c r="B39" t="s">
        <v>77</v>
      </c>
      <c r="D39" t="s">
        <v>78</v>
      </c>
      <c r="E39">
        <v>99999999</v>
      </c>
      <c r="F39">
        <v>11111111</v>
      </c>
      <c r="G39">
        <v>1111111111</v>
      </c>
      <c r="H39" t="s">
        <v>3608</v>
      </c>
      <c r="I39">
        <v>99999999</v>
      </c>
      <c r="J39" s="188">
        <v>45236</v>
      </c>
      <c r="K39" t="s">
        <v>3608</v>
      </c>
      <c r="L39" t="s">
        <v>3608</v>
      </c>
      <c r="M39" t="s">
        <v>140</v>
      </c>
      <c r="N39" t="s">
        <v>141</v>
      </c>
      <c r="O39">
        <v>33811</v>
      </c>
      <c r="Q39" t="s">
        <v>82</v>
      </c>
      <c r="R39">
        <v>4</v>
      </c>
      <c r="S39">
        <v>0.84</v>
      </c>
      <c r="T39">
        <v>0</v>
      </c>
      <c r="U39">
        <v>1</v>
      </c>
      <c r="V39">
        <v>1</v>
      </c>
      <c r="W39">
        <v>0</v>
      </c>
      <c r="X39">
        <v>4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</row>
    <row r="40" spans="1:37" x14ac:dyDescent="0.3">
      <c r="A40">
        <v>4450</v>
      </c>
      <c r="B40" t="s">
        <v>77</v>
      </c>
      <c r="D40" t="s">
        <v>78</v>
      </c>
      <c r="E40">
        <v>99999999</v>
      </c>
      <c r="F40">
        <v>11111111</v>
      </c>
      <c r="G40">
        <v>1111111111</v>
      </c>
      <c r="H40" t="s">
        <v>3609</v>
      </c>
      <c r="I40">
        <v>99999999</v>
      </c>
      <c r="J40" s="188">
        <v>45236</v>
      </c>
      <c r="K40" t="s">
        <v>3609</v>
      </c>
      <c r="L40" t="s">
        <v>3609</v>
      </c>
      <c r="M40" t="s">
        <v>142</v>
      </c>
      <c r="N40" t="s">
        <v>97</v>
      </c>
      <c r="O40">
        <v>99202</v>
      </c>
      <c r="Q40" t="s">
        <v>82</v>
      </c>
      <c r="R40">
        <v>29</v>
      </c>
      <c r="S40">
        <v>109</v>
      </c>
      <c r="T40">
        <v>0</v>
      </c>
      <c r="U40">
        <v>3</v>
      </c>
      <c r="V40">
        <v>5</v>
      </c>
      <c r="W40">
        <v>0</v>
      </c>
      <c r="X40">
        <v>0</v>
      </c>
      <c r="Y40">
        <v>0</v>
      </c>
      <c r="Z40">
        <v>9</v>
      </c>
      <c r="AA40">
        <v>2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</row>
    <row r="41" spans="1:37" x14ac:dyDescent="0.3">
      <c r="A41">
        <v>4450</v>
      </c>
      <c r="B41" t="s">
        <v>77</v>
      </c>
      <c r="D41" t="s">
        <v>78</v>
      </c>
      <c r="E41">
        <v>99999999</v>
      </c>
      <c r="F41">
        <v>11111111</v>
      </c>
      <c r="G41">
        <v>1111111111</v>
      </c>
      <c r="H41" t="s">
        <v>3610</v>
      </c>
      <c r="I41">
        <v>99999999</v>
      </c>
      <c r="J41" s="188">
        <v>45236</v>
      </c>
      <c r="K41" t="s">
        <v>3610</v>
      </c>
      <c r="L41" t="s">
        <v>3610</v>
      </c>
      <c r="M41" t="s">
        <v>143</v>
      </c>
      <c r="N41" t="s">
        <v>144</v>
      </c>
      <c r="O41">
        <v>72762</v>
      </c>
      <c r="Q41" t="s">
        <v>82</v>
      </c>
      <c r="R41">
        <v>16</v>
      </c>
      <c r="S41">
        <v>14.4</v>
      </c>
      <c r="T41">
        <v>0</v>
      </c>
      <c r="U41">
        <v>1</v>
      </c>
      <c r="V41">
        <v>1</v>
      </c>
      <c r="W41">
        <v>0</v>
      </c>
      <c r="X41">
        <v>0</v>
      </c>
      <c r="Y41">
        <v>0</v>
      </c>
      <c r="Z41">
        <v>0</v>
      </c>
      <c r="AA41">
        <v>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</row>
    <row r="42" spans="1:37" x14ac:dyDescent="0.3">
      <c r="A42">
        <v>4450</v>
      </c>
      <c r="B42" t="s">
        <v>77</v>
      </c>
      <c r="D42" t="s">
        <v>78</v>
      </c>
      <c r="E42">
        <v>99999999</v>
      </c>
      <c r="F42">
        <v>11111111</v>
      </c>
      <c r="G42">
        <v>1111111111</v>
      </c>
      <c r="H42" t="s">
        <v>3611</v>
      </c>
      <c r="I42">
        <v>99999999</v>
      </c>
      <c r="J42" s="188">
        <v>45236</v>
      </c>
      <c r="K42" t="s">
        <v>3611</v>
      </c>
      <c r="L42" t="s">
        <v>3611</v>
      </c>
      <c r="M42" t="s">
        <v>145</v>
      </c>
      <c r="N42" t="s">
        <v>99</v>
      </c>
      <c r="O42" t="s">
        <v>146</v>
      </c>
      <c r="Q42" t="s">
        <v>93</v>
      </c>
      <c r="R42">
        <v>12</v>
      </c>
      <c r="S42">
        <v>1.2</v>
      </c>
      <c r="T42">
        <v>0</v>
      </c>
      <c r="U42">
        <v>1</v>
      </c>
      <c r="V42">
        <v>1</v>
      </c>
      <c r="W42">
        <v>0</v>
      </c>
      <c r="X42">
        <v>12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</row>
    <row r="43" spans="1:37" x14ac:dyDescent="0.3">
      <c r="A43">
        <v>4450</v>
      </c>
      <c r="B43" t="s">
        <v>77</v>
      </c>
      <c r="D43" t="s">
        <v>78</v>
      </c>
      <c r="E43">
        <v>99999999</v>
      </c>
      <c r="F43">
        <v>11111111</v>
      </c>
      <c r="G43">
        <v>1111111111</v>
      </c>
      <c r="H43" t="s">
        <v>3612</v>
      </c>
      <c r="I43">
        <v>99999999</v>
      </c>
      <c r="J43" s="188">
        <v>45238</v>
      </c>
      <c r="K43" t="s">
        <v>3612</v>
      </c>
      <c r="L43" t="s">
        <v>3612</v>
      </c>
      <c r="M43" t="s">
        <v>147</v>
      </c>
      <c r="N43" t="s">
        <v>99</v>
      </c>
      <c r="O43">
        <v>93291</v>
      </c>
      <c r="Q43" t="s">
        <v>82</v>
      </c>
      <c r="R43">
        <v>150</v>
      </c>
      <c r="S43">
        <v>304.8</v>
      </c>
      <c r="T43">
        <v>0</v>
      </c>
      <c r="U43">
        <v>13</v>
      </c>
      <c r="V43">
        <v>5</v>
      </c>
      <c r="W43">
        <v>0</v>
      </c>
      <c r="X43">
        <v>0</v>
      </c>
      <c r="Y43">
        <v>0</v>
      </c>
      <c r="Z43">
        <v>6</v>
      </c>
      <c r="AA43">
        <v>12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</row>
    <row r="44" spans="1:37" x14ac:dyDescent="0.3">
      <c r="A44">
        <v>4450</v>
      </c>
      <c r="B44" t="s">
        <v>77</v>
      </c>
      <c r="D44" t="s">
        <v>94</v>
      </c>
      <c r="E44">
        <v>99999999</v>
      </c>
      <c r="F44">
        <v>11111111</v>
      </c>
      <c r="G44">
        <v>1111111111</v>
      </c>
      <c r="H44" t="s">
        <v>3613</v>
      </c>
      <c r="I44">
        <v>99999999</v>
      </c>
      <c r="J44" s="188">
        <v>45238</v>
      </c>
      <c r="K44" t="s">
        <v>3613</v>
      </c>
      <c r="L44" t="s">
        <v>3613</v>
      </c>
      <c r="M44" t="s">
        <v>148</v>
      </c>
      <c r="N44" t="s">
        <v>97</v>
      </c>
      <c r="O44">
        <v>98188</v>
      </c>
      <c r="Q44" t="s">
        <v>93</v>
      </c>
      <c r="R44">
        <v>11</v>
      </c>
      <c r="S44">
        <v>62.68</v>
      </c>
      <c r="T44">
        <v>0</v>
      </c>
      <c r="U44">
        <v>4</v>
      </c>
      <c r="V44">
        <v>7</v>
      </c>
      <c r="W44">
        <v>0</v>
      </c>
      <c r="X44">
        <v>0</v>
      </c>
      <c r="Y44">
        <v>0</v>
      </c>
      <c r="Z44">
        <v>8</v>
      </c>
      <c r="AA44">
        <v>3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</row>
    <row r="45" spans="1:37" x14ac:dyDescent="0.3">
      <c r="A45">
        <v>4450</v>
      </c>
      <c r="B45" t="s">
        <v>77</v>
      </c>
      <c r="D45" t="s">
        <v>78</v>
      </c>
      <c r="E45">
        <v>99999999</v>
      </c>
      <c r="F45">
        <v>11111111</v>
      </c>
      <c r="G45">
        <v>1111111111</v>
      </c>
      <c r="H45" t="s">
        <v>3614</v>
      </c>
      <c r="I45">
        <v>99999999</v>
      </c>
      <c r="J45" s="188">
        <v>45237</v>
      </c>
      <c r="K45" t="s">
        <v>3614</v>
      </c>
      <c r="L45" t="s">
        <v>3614</v>
      </c>
      <c r="M45" t="s">
        <v>149</v>
      </c>
      <c r="N45" t="s">
        <v>99</v>
      </c>
      <c r="O45">
        <v>93725</v>
      </c>
      <c r="Q45" t="s">
        <v>82</v>
      </c>
      <c r="R45">
        <v>425</v>
      </c>
      <c r="S45">
        <v>64.81</v>
      </c>
      <c r="T45">
        <v>0</v>
      </c>
      <c r="U45">
        <v>4</v>
      </c>
      <c r="V45">
        <v>4</v>
      </c>
      <c r="W45">
        <v>0</v>
      </c>
      <c r="X45">
        <v>36</v>
      </c>
      <c r="Y45">
        <v>0</v>
      </c>
      <c r="Z45">
        <v>1</v>
      </c>
      <c r="AA45">
        <v>3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</row>
    <row r="46" spans="1:37" x14ac:dyDescent="0.3">
      <c r="A46">
        <v>4450</v>
      </c>
      <c r="B46" t="s">
        <v>77</v>
      </c>
      <c r="D46" t="s">
        <v>78</v>
      </c>
      <c r="E46">
        <v>99999999</v>
      </c>
      <c r="F46">
        <v>11111111</v>
      </c>
      <c r="G46">
        <v>1111111111</v>
      </c>
      <c r="H46" t="s">
        <v>3615</v>
      </c>
      <c r="I46">
        <v>99999999</v>
      </c>
      <c r="J46" s="188">
        <v>45237</v>
      </c>
      <c r="K46" t="s">
        <v>3615</v>
      </c>
      <c r="L46" t="s">
        <v>3615</v>
      </c>
      <c r="M46" t="s">
        <v>150</v>
      </c>
      <c r="N46" t="s">
        <v>151</v>
      </c>
      <c r="O46">
        <v>27610</v>
      </c>
      <c r="Q46" t="s">
        <v>82</v>
      </c>
      <c r="R46">
        <v>1</v>
      </c>
      <c r="S46">
        <v>13.5</v>
      </c>
      <c r="T46">
        <v>0</v>
      </c>
      <c r="U46">
        <v>1</v>
      </c>
      <c r="V46">
        <v>1</v>
      </c>
      <c r="W46">
        <v>0</v>
      </c>
      <c r="X46">
        <v>0</v>
      </c>
      <c r="Y46">
        <v>0</v>
      </c>
      <c r="Z46">
        <v>0</v>
      </c>
      <c r="AA46">
        <v>1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</row>
    <row r="47" spans="1:37" x14ac:dyDescent="0.3">
      <c r="A47">
        <v>4450</v>
      </c>
      <c r="B47" t="s">
        <v>77</v>
      </c>
      <c r="D47" t="s">
        <v>78</v>
      </c>
      <c r="E47">
        <v>99999999</v>
      </c>
      <c r="F47">
        <v>11111111</v>
      </c>
      <c r="G47">
        <v>1111111111</v>
      </c>
      <c r="H47" t="s">
        <v>3616</v>
      </c>
      <c r="I47">
        <v>99999999</v>
      </c>
      <c r="J47" s="188">
        <v>45237</v>
      </c>
      <c r="K47" t="s">
        <v>3616</v>
      </c>
      <c r="L47" t="s">
        <v>3616</v>
      </c>
      <c r="M47" t="s">
        <v>152</v>
      </c>
      <c r="N47" t="s">
        <v>141</v>
      </c>
      <c r="O47" t="s">
        <v>153</v>
      </c>
      <c r="Q47" t="s">
        <v>82</v>
      </c>
      <c r="R47">
        <v>3</v>
      </c>
      <c r="S47">
        <v>11.11</v>
      </c>
      <c r="T47">
        <v>0</v>
      </c>
      <c r="U47">
        <v>1</v>
      </c>
      <c r="V47">
        <v>2</v>
      </c>
      <c r="W47">
        <v>0</v>
      </c>
      <c r="X47">
        <v>1</v>
      </c>
      <c r="Y47">
        <v>0</v>
      </c>
      <c r="Z47">
        <v>2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</row>
    <row r="48" spans="1:37" x14ac:dyDescent="0.3">
      <c r="A48">
        <v>4450</v>
      </c>
      <c r="B48" t="s">
        <v>77</v>
      </c>
      <c r="D48" t="s">
        <v>78</v>
      </c>
      <c r="E48">
        <v>99999999</v>
      </c>
      <c r="F48">
        <v>11111111</v>
      </c>
      <c r="G48">
        <v>1111111111</v>
      </c>
      <c r="H48" t="s">
        <v>3617</v>
      </c>
      <c r="I48">
        <v>99999999</v>
      </c>
      <c r="J48" s="188">
        <v>45237</v>
      </c>
      <c r="K48" t="s">
        <v>3617</v>
      </c>
      <c r="L48" t="s">
        <v>3617</v>
      </c>
      <c r="M48" t="s">
        <v>154</v>
      </c>
      <c r="N48" t="s">
        <v>130</v>
      </c>
      <c r="O48">
        <v>80631</v>
      </c>
      <c r="Q48" t="s">
        <v>82</v>
      </c>
      <c r="R48">
        <v>6</v>
      </c>
      <c r="S48">
        <v>19</v>
      </c>
      <c r="T48">
        <v>0</v>
      </c>
      <c r="U48">
        <v>1</v>
      </c>
      <c r="V48">
        <v>3</v>
      </c>
      <c r="W48">
        <v>0</v>
      </c>
      <c r="X48">
        <v>0</v>
      </c>
      <c r="Y48">
        <v>0</v>
      </c>
      <c r="Z48">
        <v>6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</row>
    <row r="49" spans="1:37" x14ac:dyDescent="0.3">
      <c r="A49">
        <v>4450</v>
      </c>
      <c r="B49" t="s">
        <v>77</v>
      </c>
      <c r="D49" t="s">
        <v>94</v>
      </c>
      <c r="E49">
        <v>99999999</v>
      </c>
      <c r="F49">
        <v>11111111</v>
      </c>
      <c r="G49">
        <v>1111111111</v>
      </c>
      <c r="H49" t="s">
        <v>3618</v>
      </c>
      <c r="I49">
        <v>99999999</v>
      </c>
      <c r="J49" s="188">
        <v>45237</v>
      </c>
      <c r="K49" t="s">
        <v>3618</v>
      </c>
      <c r="L49" t="s">
        <v>3618</v>
      </c>
      <c r="M49" t="s">
        <v>155</v>
      </c>
      <c r="N49" t="s">
        <v>99</v>
      </c>
      <c r="O49">
        <v>92154</v>
      </c>
      <c r="Q49" t="s">
        <v>93</v>
      </c>
      <c r="R49">
        <v>1</v>
      </c>
      <c r="S49">
        <v>5.9</v>
      </c>
      <c r="T49">
        <v>0</v>
      </c>
      <c r="U49">
        <v>1</v>
      </c>
      <c r="V49">
        <v>1</v>
      </c>
      <c r="W49">
        <v>0</v>
      </c>
      <c r="X49">
        <v>0</v>
      </c>
      <c r="Y49">
        <v>0</v>
      </c>
      <c r="Z49">
        <v>1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</row>
    <row r="50" spans="1:37" x14ac:dyDescent="0.3">
      <c r="A50">
        <v>4450</v>
      </c>
      <c r="B50" t="s">
        <v>77</v>
      </c>
      <c r="D50" t="s">
        <v>83</v>
      </c>
      <c r="E50">
        <v>99999999</v>
      </c>
      <c r="F50">
        <v>11111111</v>
      </c>
      <c r="G50">
        <v>1111111111</v>
      </c>
      <c r="H50" t="s">
        <v>3619</v>
      </c>
      <c r="I50">
        <v>99999999</v>
      </c>
      <c r="J50" s="188">
        <v>45237</v>
      </c>
      <c r="K50" t="s">
        <v>3619</v>
      </c>
      <c r="L50" t="s">
        <v>3619</v>
      </c>
      <c r="M50" t="s">
        <v>156</v>
      </c>
      <c r="N50" t="s">
        <v>85</v>
      </c>
      <c r="O50" t="s">
        <v>157</v>
      </c>
      <c r="Q50" t="s">
        <v>82</v>
      </c>
      <c r="R50">
        <v>3312</v>
      </c>
      <c r="S50">
        <v>804.96799999999996</v>
      </c>
      <c r="T50">
        <v>2</v>
      </c>
      <c r="U50">
        <v>39</v>
      </c>
      <c r="V50">
        <v>22</v>
      </c>
      <c r="W50">
        <v>0</v>
      </c>
      <c r="X50">
        <v>96</v>
      </c>
      <c r="Y50">
        <v>0</v>
      </c>
      <c r="Z50">
        <v>21</v>
      </c>
      <c r="AA50">
        <v>36</v>
      </c>
      <c r="AB50">
        <v>0</v>
      </c>
      <c r="AC50">
        <v>0</v>
      </c>
      <c r="AD50">
        <v>29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</row>
    <row r="51" spans="1:37" x14ac:dyDescent="0.3">
      <c r="A51">
        <v>4450</v>
      </c>
      <c r="B51" t="s">
        <v>77</v>
      </c>
      <c r="D51" t="s">
        <v>78</v>
      </c>
      <c r="E51">
        <v>99999999</v>
      </c>
      <c r="F51">
        <v>11111111</v>
      </c>
      <c r="G51">
        <v>1111111111</v>
      </c>
      <c r="H51" t="s">
        <v>3620</v>
      </c>
      <c r="I51">
        <v>99999999</v>
      </c>
      <c r="J51" s="188">
        <v>45237</v>
      </c>
      <c r="K51" t="s">
        <v>3620</v>
      </c>
      <c r="L51" t="s">
        <v>3620</v>
      </c>
      <c r="M51" t="s">
        <v>158</v>
      </c>
      <c r="N51" t="s">
        <v>118</v>
      </c>
      <c r="O51">
        <v>17538</v>
      </c>
      <c r="Q51" t="s">
        <v>93</v>
      </c>
      <c r="R51">
        <v>16</v>
      </c>
      <c r="S51">
        <v>14.4</v>
      </c>
      <c r="T51">
        <v>0</v>
      </c>
      <c r="U51">
        <v>1</v>
      </c>
      <c r="V51">
        <v>1</v>
      </c>
      <c r="W51">
        <v>0</v>
      </c>
      <c r="X51">
        <v>0</v>
      </c>
      <c r="Y51">
        <v>0</v>
      </c>
      <c r="Z51">
        <v>0</v>
      </c>
      <c r="AA51">
        <v>1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</row>
    <row r="52" spans="1:37" x14ac:dyDescent="0.3">
      <c r="A52">
        <v>4450</v>
      </c>
      <c r="B52" t="s">
        <v>77</v>
      </c>
      <c r="D52" t="s">
        <v>78</v>
      </c>
      <c r="E52">
        <v>99999999</v>
      </c>
      <c r="F52">
        <v>11111111</v>
      </c>
      <c r="G52">
        <v>1111111111</v>
      </c>
      <c r="H52" t="s">
        <v>3621</v>
      </c>
      <c r="I52">
        <v>99999999</v>
      </c>
      <c r="J52" s="188">
        <v>45237</v>
      </c>
      <c r="K52" t="s">
        <v>3621</v>
      </c>
      <c r="L52" t="s">
        <v>3621</v>
      </c>
      <c r="M52" t="s">
        <v>159</v>
      </c>
      <c r="N52" t="s">
        <v>99</v>
      </c>
      <c r="O52">
        <v>95304</v>
      </c>
      <c r="Q52" t="s">
        <v>82</v>
      </c>
      <c r="R52">
        <v>99</v>
      </c>
      <c r="S52">
        <v>75.599999999999994</v>
      </c>
      <c r="T52">
        <v>0</v>
      </c>
      <c r="U52">
        <v>3</v>
      </c>
      <c r="V52">
        <v>5</v>
      </c>
      <c r="W52">
        <v>0</v>
      </c>
      <c r="X52">
        <v>72</v>
      </c>
      <c r="Y52">
        <v>0</v>
      </c>
      <c r="Z52">
        <v>3</v>
      </c>
      <c r="AA52">
        <v>2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</row>
    <row r="53" spans="1:37" x14ac:dyDescent="0.3">
      <c r="A53">
        <v>4450</v>
      </c>
      <c r="B53" t="s">
        <v>77</v>
      </c>
      <c r="D53" t="s">
        <v>78</v>
      </c>
      <c r="E53">
        <v>99999999</v>
      </c>
      <c r="F53">
        <v>11111111</v>
      </c>
      <c r="G53">
        <v>1111111111</v>
      </c>
      <c r="H53" t="s">
        <v>3622</v>
      </c>
      <c r="I53">
        <v>99999999</v>
      </c>
      <c r="J53" s="188">
        <v>45238</v>
      </c>
      <c r="K53" t="s">
        <v>3622</v>
      </c>
      <c r="L53" t="s">
        <v>3622</v>
      </c>
      <c r="M53" t="s">
        <v>160</v>
      </c>
      <c r="N53" t="s">
        <v>161</v>
      </c>
      <c r="O53" t="s">
        <v>162</v>
      </c>
      <c r="Q53" t="s">
        <v>82</v>
      </c>
      <c r="R53">
        <v>24</v>
      </c>
      <c r="S53">
        <v>2.4</v>
      </c>
      <c r="T53">
        <v>0</v>
      </c>
      <c r="U53">
        <v>1</v>
      </c>
      <c r="V53">
        <v>1</v>
      </c>
      <c r="W53">
        <v>0</v>
      </c>
      <c r="X53">
        <v>24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</row>
    <row r="54" spans="1:37" x14ac:dyDescent="0.3">
      <c r="A54">
        <v>4450</v>
      </c>
      <c r="B54" t="s">
        <v>77</v>
      </c>
      <c r="D54" t="s">
        <v>78</v>
      </c>
      <c r="E54">
        <v>99999999</v>
      </c>
      <c r="F54">
        <v>11111111</v>
      </c>
      <c r="G54">
        <v>1111111111</v>
      </c>
      <c r="H54" t="s">
        <v>3623</v>
      </c>
      <c r="I54">
        <v>99999999</v>
      </c>
      <c r="J54" s="188">
        <v>45236</v>
      </c>
      <c r="K54" t="s">
        <v>3623</v>
      </c>
      <c r="L54" t="s">
        <v>3623</v>
      </c>
      <c r="M54" t="s">
        <v>128</v>
      </c>
      <c r="N54" t="s">
        <v>85</v>
      </c>
      <c r="O54">
        <v>89506</v>
      </c>
      <c r="Q54" t="s">
        <v>82</v>
      </c>
      <c r="R54">
        <v>749</v>
      </c>
      <c r="S54">
        <v>137.80000000000001</v>
      </c>
      <c r="T54">
        <v>0</v>
      </c>
      <c r="U54">
        <v>6</v>
      </c>
      <c r="V54">
        <v>6</v>
      </c>
      <c r="W54">
        <v>0</v>
      </c>
      <c r="X54">
        <v>0</v>
      </c>
      <c r="Y54">
        <v>0</v>
      </c>
      <c r="Z54">
        <v>5</v>
      </c>
      <c r="AA54">
        <v>7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</row>
    <row r="55" spans="1:37" x14ac:dyDescent="0.3">
      <c r="A55">
        <v>4450</v>
      </c>
      <c r="B55" t="s">
        <v>77</v>
      </c>
      <c r="D55" t="s">
        <v>94</v>
      </c>
      <c r="E55">
        <v>99999999</v>
      </c>
      <c r="F55">
        <v>11111111</v>
      </c>
      <c r="G55">
        <v>1111111111</v>
      </c>
      <c r="H55" t="s">
        <v>3624</v>
      </c>
      <c r="I55">
        <v>99999999</v>
      </c>
      <c r="J55" s="188">
        <v>45237</v>
      </c>
      <c r="K55" t="s">
        <v>3624</v>
      </c>
      <c r="L55" t="s">
        <v>3624</v>
      </c>
      <c r="M55" t="s">
        <v>163</v>
      </c>
      <c r="N55" t="s">
        <v>164</v>
      </c>
      <c r="O55" t="s">
        <v>165</v>
      </c>
      <c r="Q55" t="s">
        <v>93</v>
      </c>
      <c r="R55">
        <v>12</v>
      </c>
      <c r="S55">
        <v>50.4</v>
      </c>
      <c r="T55">
        <v>0</v>
      </c>
      <c r="U55">
        <v>1</v>
      </c>
      <c r="V55">
        <v>1</v>
      </c>
      <c r="W55">
        <v>0</v>
      </c>
      <c r="X55">
        <v>0</v>
      </c>
      <c r="Y55">
        <v>0</v>
      </c>
      <c r="Z55">
        <v>0</v>
      </c>
      <c r="AA55">
        <v>1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</row>
    <row r="56" spans="1:37" x14ac:dyDescent="0.3">
      <c r="A56">
        <v>4450</v>
      </c>
      <c r="B56" t="s">
        <v>77</v>
      </c>
      <c r="D56" t="s">
        <v>78</v>
      </c>
      <c r="E56">
        <v>99999999</v>
      </c>
      <c r="F56">
        <v>11111111</v>
      </c>
      <c r="G56">
        <v>1111111111</v>
      </c>
      <c r="H56" t="s">
        <v>3625</v>
      </c>
      <c r="I56">
        <v>99999999</v>
      </c>
      <c r="J56" s="188">
        <v>45237</v>
      </c>
      <c r="K56" t="s">
        <v>3625</v>
      </c>
      <c r="L56" t="s">
        <v>3625</v>
      </c>
      <c r="M56" t="s">
        <v>166</v>
      </c>
      <c r="N56" t="s">
        <v>97</v>
      </c>
      <c r="O56">
        <v>99301</v>
      </c>
      <c r="Q56" t="s">
        <v>82</v>
      </c>
      <c r="R56">
        <v>12</v>
      </c>
      <c r="S56">
        <v>51</v>
      </c>
      <c r="T56">
        <v>0</v>
      </c>
      <c r="U56">
        <v>1</v>
      </c>
      <c r="V56">
        <v>2</v>
      </c>
      <c r="W56">
        <v>0</v>
      </c>
      <c r="X56">
        <v>0</v>
      </c>
      <c r="Y56">
        <v>0</v>
      </c>
      <c r="Z56">
        <v>12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</row>
    <row r="57" spans="1:37" x14ac:dyDescent="0.3">
      <c r="A57">
        <v>4450</v>
      </c>
      <c r="B57" t="s">
        <v>77</v>
      </c>
      <c r="D57" t="s">
        <v>78</v>
      </c>
      <c r="E57">
        <v>99999999</v>
      </c>
      <c r="F57">
        <v>11111111</v>
      </c>
      <c r="G57">
        <v>1111111111</v>
      </c>
      <c r="H57" t="s">
        <v>3626</v>
      </c>
      <c r="I57">
        <v>99999999</v>
      </c>
      <c r="J57" s="188">
        <v>45237</v>
      </c>
      <c r="K57" t="s">
        <v>3626</v>
      </c>
      <c r="L57" t="s">
        <v>3626</v>
      </c>
      <c r="M57" t="s">
        <v>167</v>
      </c>
      <c r="N57" t="s">
        <v>99</v>
      </c>
      <c r="O57" t="s">
        <v>168</v>
      </c>
      <c r="Q57" t="s">
        <v>93</v>
      </c>
      <c r="R57">
        <v>3</v>
      </c>
      <c r="S57">
        <v>4.03</v>
      </c>
      <c r="T57">
        <v>0</v>
      </c>
      <c r="U57">
        <v>1</v>
      </c>
      <c r="V57">
        <v>3</v>
      </c>
      <c r="W57">
        <v>0</v>
      </c>
      <c r="X57">
        <v>0</v>
      </c>
      <c r="Y57">
        <v>0</v>
      </c>
      <c r="Z57">
        <v>3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</row>
    <row r="58" spans="1:37" x14ac:dyDescent="0.3">
      <c r="A58">
        <v>4450</v>
      </c>
      <c r="B58" t="s">
        <v>77</v>
      </c>
      <c r="D58" t="s">
        <v>78</v>
      </c>
      <c r="E58">
        <v>99999999</v>
      </c>
      <c r="F58">
        <v>11111111</v>
      </c>
      <c r="G58">
        <v>1111111111</v>
      </c>
      <c r="H58" t="s">
        <v>3627</v>
      </c>
      <c r="I58">
        <v>99999999</v>
      </c>
      <c r="J58" s="188">
        <v>45237</v>
      </c>
      <c r="K58" t="s">
        <v>3627</v>
      </c>
      <c r="L58" t="s">
        <v>3627</v>
      </c>
      <c r="M58" t="s">
        <v>126</v>
      </c>
      <c r="N58" t="s">
        <v>104</v>
      </c>
      <c r="O58">
        <v>83402</v>
      </c>
      <c r="Q58" t="s">
        <v>93</v>
      </c>
      <c r="R58">
        <v>4</v>
      </c>
      <c r="S58">
        <v>49.1</v>
      </c>
      <c r="T58">
        <v>0</v>
      </c>
      <c r="U58">
        <v>4</v>
      </c>
      <c r="V58">
        <v>2</v>
      </c>
      <c r="W58">
        <v>0</v>
      </c>
      <c r="X58">
        <v>0</v>
      </c>
      <c r="Y58">
        <v>0</v>
      </c>
      <c r="Z58">
        <v>0</v>
      </c>
      <c r="AA58">
        <v>4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</row>
    <row r="59" spans="1:37" x14ac:dyDescent="0.3">
      <c r="A59">
        <v>4450</v>
      </c>
      <c r="B59" t="s">
        <v>77</v>
      </c>
      <c r="D59" t="s">
        <v>78</v>
      </c>
      <c r="E59">
        <v>99999999</v>
      </c>
      <c r="F59">
        <v>11111111</v>
      </c>
      <c r="G59">
        <v>1111111111</v>
      </c>
      <c r="H59" t="s">
        <v>3628</v>
      </c>
      <c r="I59">
        <v>99999999</v>
      </c>
      <c r="J59" s="188">
        <v>45238</v>
      </c>
      <c r="K59" t="s">
        <v>3628</v>
      </c>
      <c r="L59" t="s">
        <v>3628</v>
      </c>
      <c r="M59" t="s">
        <v>169</v>
      </c>
      <c r="N59" t="s">
        <v>99</v>
      </c>
      <c r="O59">
        <v>95358</v>
      </c>
      <c r="Q59" t="s">
        <v>93</v>
      </c>
      <c r="R59">
        <v>12</v>
      </c>
      <c r="S59">
        <v>40.799999999999997</v>
      </c>
      <c r="T59">
        <v>0</v>
      </c>
      <c r="U59">
        <v>2</v>
      </c>
      <c r="V59">
        <v>1</v>
      </c>
      <c r="W59">
        <v>0</v>
      </c>
      <c r="X59">
        <v>0</v>
      </c>
      <c r="Y59">
        <v>0</v>
      </c>
      <c r="Z59">
        <v>2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</row>
    <row r="60" spans="1:37" x14ac:dyDescent="0.3">
      <c r="A60">
        <v>4450</v>
      </c>
      <c r="B60" t="s">
        <v>77</v>
      </c>
      <c r="D60" t="s">
        <v>94</v>
      </c>
      <c r="E60">
        <v>99999999</v>
      </c>
      <c r="F60">
        <v>11111111</v>
      </c>
      <c r="G60">
        <v>1111111111</v>
      </c>
      <c r="H60" t="s">
        <v>3629</v>
      </c>
      <c r="I60">
        <v>99999999</v>
      </c>
      <c r="J60" s="188">
        <v>45238</v>
      </c>
      <c r="K60" t="s">
        <v>3629</v>
      </c>
      <c r="L60" t="s">
        <v>3629</v>
      </c>
      <c r="M60" t="s">
        <v>149</v>
      </c>
      <c r="N60" t="s">
        <v>99</v>
      </c>
      <c r="O60">
        <v>93725</v>
      </c>
      <c r="Q60" t="s">
        <v>93</v>
      </c>
      <c r="R60">
        <v>15</v>
      </c>
      <c r="S60">
        <v>43.5</v>
      </c>
      <c r="T60">
        <v>0</v>
      </c>
      <c r="U60">
        <v>2</v>
      </c>
      <c r="V60">
        <v>2</v>
      </c>
      <c r="W60">
        <v>0</v>
      </c>
      <c r="X60">
        <v>0</v>
      </c>
      <c r="Y60">
        <v>0</v>
      </c>
      <c r="Z60">
        <v>3</v>
      </c>
      <c r="AA60">
        <v>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</row>
    <row r="61" spans="1:37" x14ac:dyDescent="0.3">
      <c r="A61">
        <v>4450</v>
      </c>
      <c r="B61" t="s">
        <v>77</v>
      </c>
      <c r="D61" t="s">
        <v>78</v>
      </c>
      <c r="E61">
        <v>99999999</v>
      </c>
      <c r="F61">
        <v>11111111</v>
      </c>
      <c r="G61">
        <v>1111111111</v>
      </c>
      <c r="H61" t="s">
        <v>3630</v>
      </c>
      <c r="I61">
        <v>99999999</v>
      </c>
      <c r="J61" s="188">
        <v>45238</v>
      </c>
      <c r="K61" t="s">
        <v>3630</v>
      </c>
      <c r="L61" t="s">
        <v>3630</v>
      </c>
      <c r="M61" t="s">
        <v>170</v>
      </c>
      <c r="N61" t="s">
        <v>99</v>
      </c>
      <c r="O61">
        <v>95691</v>
      </c>
      <c r="Q61" t="s">
        <v>93</v>
      </c>
      <c r="R61">
        <v>24</v>
      </c>
      <c r="S61">
        <v>4.8</v>
      </c>
      <c r="T61">
        <v>0</v>
      </c>
      <c r="U61">
        <v>1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24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</row>
    <row r="62" spans="1:37" x14ac:dyDescent="0.3">
      <c r="A62">
        <v>4450</v>
      </c>
      <c r="B62" t="s">
        <v>77</v>
      </c>
      <c r="D62" t="s">
        <v>78</v>
      </c>
      <c r="E62">
        <v>99999999</v>
      </c>
      <c r="F62">
        <v>11111111</v>
      </c>
      <c r="G62">
        <v>1111111111</v>
      </c>
      <c r="H62" t="s">
        <v>3631</v>
      </c>
      <c r="I62">
        <v>99999999</v>
      </c>
      <c r="J62" s="188">
        <v>45236</v>
      </c>
      <c r="K62" t="s">
        <v>3631</v>
      </c>
      <c r="L62" t="s">
        <v>3631</v>
      </c>
      <c r="M62" t="s">
        <v>171</v>
      </c>
      <c r="N62" t="s">
        <v>104</v>
      </c>
      <c r="O62" t="s">
        <v>172</v>
      </c>
      <c r="Q62" t="s">
        <v>93</v>
      </c>
      <c r="R62">
        <v>6</v>
      </c>
      <c r="S62">
        <v>23.4</v>
      </c>
      <c r="T62">
        <v>0</v>
      </c>
      <c r="U62">
        <v>1</v>
      </c>
      <c r="V62">
        <v>2</v>
      </c>
      <c r="W62">
        <v>0</v>
      </c>
      <c r="X62">
        <v>0</v>
      </c>
      <c r="Y62">
        <v>0</v>
      </c>
      <c r="Z62">
        <v>6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</row>
    <row r="63" spans="1:37" x14ac:dyDescent="0.3">
      <c r="A63">
        <v>4450</v>
      </c>
      <c r="B63" t="s">
        <v>77</v>
      </c>
      <c r="D63" t="s">
        <v>78</v>
      </c>
      <c r="E63">
        <v>99999999</v>
      </c>
      <c r="F63">
        <v>11111111</v>
      </c>
      <c r="G63">
        <v>1111111111</v>
      </c>
      <c r="H63" t="s">
        <v>3632</v>
      </c>
      <c r="I63">
        <v>99999999</v>
      </c>
      <c r="J63" s="188">
        <v>45236</v>
      </c>
      <c r="K63" t="s">
        <v>3632</v>
      </c>
      <c r="L63" t="s">
        <v>3632</v>
      </c>
      <c r="M63" t="s">
        <v>173</v>
      </c>
      <c r="N63" t="s">
        <v>164</v>
      </c>
      <c r="O63">
        <v>97210</v>
      </c>
      <c r="Q63" t="s">
        <v>82</v>
      </c>
      <c r="R63">
        <v>201</v>
      </c>
      <c r="S63">
        <v>216.66</v>
      </c>
      <c r="T63">
        <v>0</v>
      </c>
      <c r="U63">
        <v>11</v>
      </c>
      <c r="V63">
        <v>3</v>
      </c>
      <c r="W63">
        <v>0</v>
      </c>
      <c r="X63">
        <v>192</v>
      </c>
      <c r="Y63">
        <v>0</v>
      </c>
      <c r="Z63">
        <v>0</v>
      </c>
      <c r="AA63">
        <v>9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</row>
    <row r="64" spans="1:37" x14ac:dyDescent="0.3">
      <c r="A64">
        <v>4450</v>
      </c>
      <c r="B64" t="s">
        <v>77</v>
      </c>
      <c r="D64" t="s">
        <v>78</v>
      </c>
      <c r="E64">
        <v>99999999</v>
      </c>
      <c r="F64">
        <v>11111111</v>
      </c>
      <c r="G64">
        <v>1111111111</v>
      </c>
      <c r="H64" t="s">
        <v>3633</v>
      </c>
      <c r="I64">
        <v>99999999</v>
      </c>
      <c r="J64" s="188">
        <v>45237</v>
      </c>
      <c r="K64" t="s">
        <v>3633</v>
      </c>
      <c r="L64" t="s">
        <v>3633</v>
      </c>
      <c r="M64" t="s">
        <v>174</v>
      </c>
      <c r="N64" t="s">
        <v>91</v>
      </c>
      <c r="O64" t="s">
        <v>175</v>
      </c>
      <c r="Q64" t="s">
        <v>82</v>
      </c>
      <c r="R64">
        <v>5</v>
      </c>
      <c r="S64">
        <v>90.32</v>
      </c>
      <c r="T64">
        <v>0</v>
      </c>
      <c r="U64">
        <v>5</v>
      </c>
      <c r="V64">
        <v>2</v>
      </c>
      <c r="W64">
        <v>0</v>
      </c>
      <c r="X64">
        <v>0</v>
      </c>
      <c r="Y64">
        <v>0</v>
      </c>
      <c r="Z64">
        <v>0</v>
      </c>
      <c r="AA64">
        <v>5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</row>
    <row r="65" spans="1:37" x14ac:dyDescent="0.3">
      <c r="A65">
        <v>4450</v>
      </c>
      <c r="B65" t="s">
        <v>77</v>
      </c>
      <c r="D65" t="s">
        <v>94</v>
      </c>
      <c r="E65">
        <v>99999999</v>
      </c>
      <c r="F65">
        <v>11111111</v>
      </c>
      <c r="G65">
        <v>1111111111</v>
      </c>
      <c r="H65" t="s">
        <v>3634</v>
      </c>
      <c r="I65">
        <v>99999999</v>
      </c>
      <c r="J65" s="188">
        <v>45237</v>
      </c>
      <c r="K65" t="s">
        <v>3634</v>
      </c>
      <c r="L65" t="s">
        <v>3634</v>
      </c>
      <c r="M65" t="s">
        <v>176</v>
      </c>
      <c r="N65" t="s">
        <v>130</v>
      </c>
      <c r="O65" t="s">
        <v>177</v>
      </c>
      <c r="Q65" t="s">
        <v>93</v>
      </c>
      <c r="R65">
        <v>2</v>
      </c>
      <c r="S65">
        <v>9</v>
      </c>
      <c r="T65">
        <v>0</v>
      </c>
      <c r="U65">
        <v>1</v>
      </c>
      <c r="V65">
        <v>1</v>
      </c>
      <c r="W65">
        <v>0</v>
      </c>
      <c r="X65">
        <v>0</v>
      </c>
      <c r="Y65">
        <v>0</v>
      </c>
      <c r="Z65">
        <v>2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</row>
    <row r="66" spans="1:37" x14ac:dyDescent="0.3">
      <c r="A66">
        <v>4450</v>
      </c>
      <c r="B66" t="s">
        <v>77</v>
      </c>
      <c r="D66" t="s">
        <v>78</v>
      </c>
      <c r="E66">
        <v>99999999</v>
      </c>
      <c r="F66">
        <v>11111111</v>
      </c>
      <c r="G66">
        <v>1111111111</v>
      </c>
      <c r="H66" t="s">
        <v>3635</v>
      </c>
      <c r="I66">
        <v>99999999</v>
      </c>
      <c r="J66" s="188">
        <v>45237</v>
      </c>
      <c r="K66" t="s">
        <v>3635</v>
      </c>
      <c r="L66" t="s">
        <v>3635</v>
      </c>
      <c r="M66" t="s">
        <v>107</v>
      </c>
      <c r="N66" t="s">
        <v>91</v>
      </c>
      <c r="O66">
        <v>85540</v>
      </c>
      <c r="Q66" t="s">
        <v>82</v>
      </c>
      <c r="R66">
        <v>32</v>
      </c>
      <c r="S66">
        <v>134.21</v>
      </c>
      <c r="T66">
        <v>0</v>
      </c>
      <c r="U66">
        <v>5</v>
      </c>
      <c r="V66">
        <v>8</v>
      </c>
      <c r="W66">
        <v>0</v>
      </c>
      <c r="X66">
        <v>0</v>
      </c>
      <c r="Y66">
        <v>0</v>
      </c>
      <c r="Z66">
        <v>7</v>
      </c>
      <c r="AA66">
        <v>4</v>
      </c>
      <c r="AB66">
        <v>0</v>
      </c>
      <c r="AC66">
        <v>0</v>
      </c>
      <c r="AD66">
        <v>1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</row>
    <row r="67" spans="1:37" x14ac:dyDescent="0.3">
      <c r="A67">
        <v>4450</v>
      </c>
      <c r="B67" t="s">
        <v>77</v>
      </c>
      <c r="D67" t="s">
        <v>78</v>
      </c>
      <c r="E67">
        <v>99999999</v>
      </c>
      <c r="F67">
        <v>11111111</v>
      </c>
      <c r="G67">
        <v>1111111111</v>
      </c>
      <c r="H67" t="s">
        <v>3636</v>
      </c>
      <c r="I67">
        <v>99999999</v>
      </c>
      <c r="J67" s="188">
        <v>45237</v>
      </c>
      <c r="K67" t="s">
        <v>3636</v>
      </c>
      <c r="L67" t="s">
        <v>3636</v>
      </c>
      <c r="M67" t="s">
        <v>178</v>
      </c>
      <c r="N67" t="s">
        <v>97</v>
      </c>
      <c r="O67" t="s">
        <v>179</v>
      </c>
      <c r="Q67" t="s">
        <v>82</v>
      </c>
      <c r="R67">
        <v>4</v>
      </c>
      <c r="S67">
        <v>31.2</v>
      </c>
      <c r="T67">
        <v>0</v>
      </c>
      <c r="U67">
        <v>1</v>
      </c>
      <c r="V67">
        <v>1</v>
      </c>
      <c r="W67">
        <v>0</v>
      </c>
      <c r="X67">
        <v>0</v>
      </c>
      <c r="Y67">
        <v>0</v>
      </c>
      <c r="Z67">
        <v>4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</row>
    <row r="68" spans="1:37" x14ac:dyDescent="0.3">
      <c r="A68">
        <v>4450</v>
      </c>
      <c r="B68" t="s">
        <v>77</v>
      </c>
      <c r="D68" t="s">
        <v>78</v>
      </c>
      <c r="E68">
        <v>99999999</v>
      </c>
      <c r="F68">
        <v>11111111</v>
      </c>
      <c r="G68">
        <v>1111111111</v>
      </c>
      <c r="H68" t="s">
        <v>3637</v>
      </c>
      <c r="I68">
        <v>99999999</v>
      </c>
      <c r="J68" s="188">
        <v>45238</v>
      </c>
      <c r="K68" t="s">
        <v>3637</v>
      </c>
      <c r="L68" t="s">
        <v>3637</v>
      </c>
      <c r="M68" t="s">
        <v>180</v>
      </c>
      <c r="N68" t="s">
        <v>130</v>
      </c>
      <c r="O68" t="s">
        <v>181</v>
      </c>
      <c r="Q68" t="s">
        <v>82</v>
      </c>
      <c r="R68">
        <v>37</v>
      </c>
      <c r="S68">
        <v>13.86</v>
      </c>
      <c r="T68">
        <v>0</v>
      </c>
      <c r="U68">
        <v>1</v>
      </c>
      <c r="V68">
        <v>4</v>
      </c>
      <c r="W68">
        <v>0</v>
      </c>
      <c r="X68">
        <v>36</v>
      </c>
      <c r="Y68">
        <v>0</v>
      </c>
      <c r="Z68">
        <v>1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</row>
    <row r="69" spans="1:37" x14ac:dyDescent="0.3">
      <c r="A69">
        <v>4450</v>
      </c>
      <c r="B69" t="s">
        <v>77</v>
      </c>
      <c r="D69" t="s">
        <v>78</v>
      </c>
      <c r="E69">
        <v>99999999</v>
      </c>
      <c r="F69">
        <v>11111111</v>
      </c>
      <c r="G69">
        <v>1111111111</v>
      </c>
      <c r="H69" t="s">
        <v>3638</v>
      </c>
      <c r="I69">
        <v>99999999</v>
      </c>
      <c r="J69" s="188">
        <v>45237</v>
      </c>
      <c r="K69" t="s">
        <v>3638</v>
      </c>
      <c r="L69" t="s">
        <v>3638</v>
      </c>
      <c r="M69" t="s">
        <v>182</v>
      </c>
      <c r="N69" t="s">
        <v>183</v>
      </c>
      <c r="O69" t="s">
        <v>184</v>
      </c>
      <c r="Q69" t="s">
        <v>82</v>
      </c>
      <c r="R69">
        <v>1</v>
      </c>
      <c r="S69">
        <v>3.4</v>
      </c>
      <c r="T69">
        <v>0</v>
      </c>
      <c r="U69">
        <v>1</v>
      </c>
      <c r="V69">
        <v>1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</row>
    <row r="70" spans="1:37" x14ac:dyDescent="0.3">
      <c r="A70">
        <v>4450</v>
      </c>
      <c r="B70" t="s">
        <v>77</v>
      </c>
      <c r="D70" t="s">
        <v>78</v>
      </c>
      <c r="E70">
        <v>99999999</v>
      </c>
      <c r="F70">
        <v>11111111</v>
      </c>
      <c r="G70">
        <v>1111111111</v>
      </c>
      <c r="H70" t="s">
        <v>3639</v>
      </c>
      <c r="I70">
        <v>99999999</v>
      </c>
      <c r="J70" s="188">
        <v>45238</v>
      </c>
      <c r="K70" t="s">
        <v>3639</v>
      </c>
      <c r="L70" t="s">
        <v>3639</v>
      </c>
      <c r="M70" t="s">
        <v>185</v>
      </c>
      <c r="N70" t="s">
        <v>186</v>
      </c>
      <c r="O70">
        <v>44706</v>
      </c>
      <c r="Q70" t="s">
        <v>82</v>
      </c>
      <c r="R70">
        <v>2</v>
      </c>
      <c r="S70">
        <v>3.8</v>
      </c>
      <c r="T70">
        <v>0</v>
      </c>
      <c r="U70">
        <v>1</v>
      </c>
      <c r="V70">
        <v>1</v>
      </c>
      <c r="W70">
        <v>0</v>
      </c>
      <c r="X70">
        <v>0</v>
      </c>
      <c r="Y70">
        <v>0</v>
      </c>
      <c r="Z70">
        <v>2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</row>
    <row r="71" spans="1:37" x14ac:dyDescent="0.3">
      <c r="A71">
        <v>4450</v>
      </c>
      <c r="B71" t="s">
        <v>77</v>
      </c>
      <c r="D71" t="s">
        <v>78</v>
      </c>
      <c r="E71">
        <v>99999999</v>
      </c>
      <c r="F71">
        <v>11111111</v>
      </c>
      <c r="G71">
        <v>1111111111</v>
      </c>
      <c r="H71" t="s">
        <v>3640</v>
      </c>
      <c r="I71">
        <v>99999999</v>
      </c>
      <c r="J71" s="188">
        <v>45236</v>
      </c>
      <c r="K71" t="s">
        <v>3640</v>
      </c>
      <c r="L71" t="s">
        <v>3640</v>
      </c>
      <c r="M71" t="s">
        <v>187</v>
      </c>
      <c r="N71" t="s">
        <v>91</v>
      </c>
      <c r="O71">
        <v>85225</v>
      </c>
      <c r="Q71" t="s">
        <v>93</v>
      </c>
      <c r="R71">
        <v>20</v>
      </c>
      <c r="S71">
        <v>32</v>
      </c>
      <c r="T71">
        <v>0</v>
      </c>
      <c r="U71">
        <v>2</v>
      </c>
      <c r="V71">
        <v>1</v>
      </c>
      <c r="W71">
        <v>0</v>
      </c>
      <c r="X71">
        <v>0</v>
      </c>
      <c r="Y71">
        <v>0</v>
      </c>
      <c r="Z71">
        <v>8</v>
      </c>
      <c r="AA71">
        <v>1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</row>
    <row r="72" spans="1:37" x14ac:dyDescent="0.3">
      <c r="A72">
        <v>4450</v>
      </c>
      <c r="B72" t="s">
        <v>77</v>
      </c>
      <c r="D72" t="s">
        <v>94</v>
      </c>
      <c r="E72">
        <v>99999999</v>
      </c>
      <c r="F72">
        <v>11111111</v>
      </c>
      <c r="G72">
        <v>1111111111</v>
      </c>
      <c r="H72" t="s">
        <v>3641</v>
      </c>
      <c r="I72">
        <v>99999999</v>
      </c>
      <c r="J72" s="188">
        <v>45238</v>
      </c>
      <c r="K72" t="s">
        <v>3641</v>
      </c>
      <c r="L72" t="s">
        <v>3641</v>
      </c>
      <c r="M72" t="s">
        <v>188</v>
      </c>
      <c r="N72" t="s">
        <v>130</v>
      </c>
      <c r="O72">
        <v>80033</v>
      </c>
      <c r="Q72" t="s">
        <v>93</v>
      </c>
      <c r="R72">
        <v>1</v>
      </c>
      <c r="S72">
        <v>2.2000000000000002</v>
      </c>
      <c r="T72">
        <v>0</v>
      </c>
      <c r="U72">
        <v>1</v>
      </c>
      <c r="V72">
        <v>1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</row>
    <row r="73" spans="1:37" x14ac:dyDescent="0.3">
      <c r="A73">
        <v>4450</v>
      </c>
      <c r="B73" t="s">
        <v>77</v>
      </c>
      <c r="D73" t="s">
        <v>78</v>
      </c>
      <c r="E73">
        <v>99999999</v>
      </c>
      <c r="F73">
        <v>11111111</v>
      </c>
      <c r="G73">
        <v>1111111111</v>
      </c>
      <c r="H73" t="s">
        <v>3642</v>
      </c>
      <c r="I73">
        <v>99999999</v>
      </c>
      <c r="J73" s="188">
        <v>45238</v>
      </c>
      <c r="K73" t="s">
        <v>3642</v>
      </c>
      <c r="L73" t="s">
        <v>3642</v>
      </c>
      <c r="M73" t="s">
        <v>189</v>
      </c>
      <c r="N73" t="s">
        <v>186</v>
      </c>
      <c r="O73">
        <v>45014</v>
      </c>
      <c r="Q73" t="s">
        <v>82</v>
      </c>
      <c r="R73">
        <v>12</v>
      </c>
      <c r="S73">
        <v>1.2</v>
      </c>
      <c r="T73">
        <v>0</v>
      </c>
      <c r="U73">
        <v>1</v>
      </c>
      <c r="V73">
        <v>1</v>
      </c>
      <c r="W73">
        <v>0</v>
      </c>
      <c r="X73">
        <v>12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</row>
    <row r="74" spans="1:37" x14ac:dyDescent="0.3">
      <c r="A74">
        <v>4450</v>
      </c>
      <c r="B74" t="s">
        <v>77</v>
      </c>
      <c r="D74" t="s">
        <v>78</v>
      </c>
      <c r="E74">
        <v>99999999</v>
      </c>
      <c r="F74">
        <v>11111111</v>
      </c>
      <c r="G74">
        <v>1111111111</v>
      </c>
      <c r="H74" t="s">
        <v>3643</v>
      </c>
      <c r="I74">
        <v>99999999</v>
      </c>
      <c r="J74" s="188">
        <v>45238</v>
      </c>
      <c r="K74" t="s">
        <v>3643</v>
      </c>
      <c r="L74" t="s">
        <v>3643</v>
      </c>
      <c r="M74" t="s">
        <v>190</v>
      </c>
      <c r="N74" t="s">
        <v>99</v>
      </c>
      <c r="O74">
        <v>91342</v>
      </c>
      <c r="Q74" t="s">
        <v>82</v>
      </c>
      <c r="R74">
        <v>250</v>
      </c>
      <c r="S74">
        <v>95</v>
      </c>
      <c r="T74">
        <v>0</v>
      </c>
      <c r="U74">
        <v>3</v>
      </c>
      <c r="V74">
        <v>2</v>
      </c>
      <c r="W74">
        <v>0</v>
      </c>
      <c r="X74">
        <v>96</v>
      </c>
      <c r="Y74">
        <v>0</v>
      </c>
      <c r="Z74">
        <v>4</v>
      </c>
      <c r="AA74">
        <v>2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</row>
    <row r="75" spans="1:37" x14ac:dyDescent="0.3">
      <c r="A75">
        <v>4450</v>
      </c>
      <c r="B75" t="s">
        <v>77</v>
      </c>
      <c r="D75" t="s">
        <v>78</v>
      </c>
      <c r="E75">
        <v>99999999</v>
      </c>
      <c r="F75">
        <v>11111111</v>
      </c>
      <c r="G75">
        <v>1111111111</v>
      </c>
      <c r="H75" t="s">
        <v>3644</v>
      </c>
      <c r="I75">
        <v>99999999</v>
      </c>
      <c r="J75" s="188">
        <v>45238</v>
      </c>
      <c r="K75" t="s">
        <v>3644</v>
      </c>
      <c r="L75" t="s">
        <v>3644</v>
      </c>
      <c r="M75" t="s">
        <v>156</v>
      </c>
      <c r="N75" t="s">
        <v>85</v>
      </c>
      <c r="O75">
        <v>89408</v>
      </c>
      <c r="Q75" t="s">
        <v>93</v>
      </c>
      <c r="R75">
        <v>24</v>
      </c>
      <c r="S75">
        <v>182.4</v>
      </c>
      <c r="T75">
        <v>0</v>
      </c>
      <c r="U75">
        <v>4</v>
      </c>
      <c r="V75">
        <v>1</v>
      </c>
      <c r="W75">
        <v>0</v>
      </c>
      <c r="X75">
        <v>0</v>
      </c>
      <c r="Y75">
        <v>0</v>
      </c>
      <c r="Z75">
        <v>0</v>
      </c>
      <c r="AA75">
        <v>4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</row>
    <row r="76" spans="1:37" x14ac:dyDescent="0.3">
      <c r="A76">
        <v>4450</v>
      </c>
      <c r="B76" t="s">
        <v>77</v>
      </c>
      <c r="D76" t="s">
        <v>78</v>
      </c>
      <c r="E76">
        <v>99999999</v>
      </c>
      <c r="F76">
        <v>11111111</v>
      </c>
      <c r="G76">
        <v>1111111111</v>
      </c>
      <c r="H76" t="s">
        <v>3645</v>
      </c>
      <c r="I76">
        <v>99999999</v>
      </c>
      <c r="J76" s="188">
        <v>45238</v>
      </c>
      <c r="K76" t="s">
        <v>3645</v>
      </c>
      <c r="L76" t="s">
        <v>3645</v>
      </c>
      <c r="M76" t="s">
        <v>191</v>
      </c>
      <c r="N76" t="s">
        <v>135</v>
      </c>
      <c r="O76">
        <v>84087</v>
      </c>
      <c r="Q76" t="s">
        <v>82</v>
      </c>
      <c r="R76">
        <v>9</v>
      </c>
      <c r="S76">
        <v>26.1</v>
      </c>
      <c r="T76">
        <v>0</v>
      </c>
      <c r="U76">
        <v>1</v>
      </c>
      <c r="V76">
        <v>1</v>
      </c>
      <c r="W76">
        <v>0</v>
      </c>
      <c r="X76">
        <v>0</v>
      </c>
      <c r="Y76">
        <v>0</v>
      </c>
      <c r="Z76">
        <v>9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</row>
    <row r="77" spans="1:37" x14ac:dyDescent="0.3">
      <c r="A77">
        <v>4450</v>
      </c>
      <c r="B77" t="s">
        <v>77</v>
      </c>
      <c r="D77" t="s">
        <v>78</v>
      </c>
      <c r="E77">
        <v>99999999</v>
      </c>
      <c r="F77">
        <v>11111111</v>
      </c>
      <c r="G77">
        <v>1111111111</v>
      </c>
      <c r="H77" t="s">
        <v>3646</v>
      </c>
      <c r="I77">
        <v>99999999</v>
      </c>
      <c r="J77" s="188">
        <v>45238</v>
      </c>
      <c r="K77" t="s">
        <v>3646</v>
      </c>
      <c r="L77" t="s">
        <v>3646</v>
      </c>
      <c r="M77" t="s">
        <v>176</v>
      </c>
      <c r="N77" t="s">
        <v>130</v>
      </c>
      <c r="O77" t="s">
        <v>192</v>
      </c>
      <c r="Q77" t="s">
        <v>93</v>
      </c>
      <c r="R77">
        <v>6</v>
      </c>
      <c r="S77">
        <v>5.8319999999999999</v>
      </c>
      <c r="T77">
        <v>0</v>
      </c>
      <c r="U77">
        <v>1</v>
      </c>
      <c r="V77">
        <v>1</v>
      </c>
      <c r="W77">
        <v>0</v>
      </c>
      <c r="X77">
        <v>0</v>
      </c>
      <c r="Y77">
        <v>0</v>
      </c>
      <c r="Z77">
        <v>6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</row>
    <row r="78" spans="1:37" x14ac:dyDescent="0.3">
      <c r="A78">
        <v>4450</v>
      </c>
      <c r="B78" t="s">
        <v>77</v>
      </c>
      <c r="D78" t="s">
        <v>78</v>
      </c>
      <c r="E78">
        <v>99999999</v>
      </c>
      <c r="F78">
        <v>11111111</v>
      </c>
      <c r="G78">
        <v>1111111111</v>
      </c>
      <c r="H78" t="s">
        <v>3647</v>
      </c>
      <c r="I78">
        <v>99999999</v>
      </c>
      <c r="J78" s="188">
        <v>45238</v>
      </c>
      <c r="K78" t="s">
        <v>3647</v>
      </c>
      <c r="L78" t="s">
        <v>3647</v>
      </c>
      <c r="M78" t="s">
        <v>193</v>
      </c>
      <c r="N78" t="s">
        <v>130</v>
      </c>
      <c r="O78">
        <v>80640</v>
      </c>
      <c r="Q78" t="s">
        <v>82</v>
      </c>
      <c r="R78">
        <v>12</v>
      </c>
      <c r="S78">
        <v>37.200000000000003</v>
      </c>
      <c r="T78">
        <v>0</v>
      </c>
      <c r="U78">
        <v>1</v>
      </c>
      <c r="V78">
        <v>1</v>
      </c>
      <c r="W78">
        <v>0</v>
      </c>
      <c r="X78">
        <v>0</v>
      </c>
      <c r="Y78">
        <v>0</v>
      </c>
      <c r="Z78">
        <v>0</v>
      </c>
      <c r="AA78">
        <v>1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</row>
    <row r="79" spans="1:37" x14ac:dyDescent="0.3">
      <c r="A79">
        <v>4450</v>
      </c>
      <c r="B79" t="s">
        <v>77</v>
      </c>
      <c r="D79" t="s">
        <v>78</v>
      </c>
      <c r="E79">
        <v>99999999</v>
      </c>
      <c r="F79">
        <v>11111111</v>
      </c>
      <c r="G79">
        <v>1111111111</v>
      </c>
      <c r="H79" t="s">
        <v>3648</v>
      </c>
      <c r="I79">
        <v>99999999</v>
      </c>
      <c r="J79" s="188">
        <v>45238</v>
      </c>
      <c r="K79" t="s">
        <v>3648</v>
      </c>
      <c r="L79" t="s">
        <v>3648</v>
      </c>
      <c r="M79" t="s">
        <v>194</v>
      </c>
      <c r="N79" t="s">
        <v>91</v>
      </c>
      <c r="O79">
        <v>85353</v>
      </c>
      <c r="Q79" t="s">
        <v>82</v>
      </c>
      <c r="R79">
        <v>6</v>
      </c>
      <c r="S79">
        <v>132.06</v>
      </c>
      <c r="T79">
        <v>0</v>
      </c>
      <c r="U79">
        <v>6</v>
      </c>
      <c r="V79">
        <v>3</v>
      </c>
      <c r="W79">
        <v>0</v>
      </c>
      <c r="X79">
        <v>0</v>
      </c>
      <c r="Y79">
        <v>0</v>
      </c>
      <c r="Z79">
        <v>0</v>
      </c>
      <c r="AA79">
        <v>6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</row>
    <row r="80" spans="1:37" x14ac:dyDescent="0.3">
      <c r="A80">
        <v>4450</v>
      </c>
      <c r="B80" t="s">
        <v>77</v>
      </c>
      <c r="D80" t="s">
        <v>94</v>
      </c>
      <c r="E80">
        <v>99999999</v>
      </c>
      <c r="F80">
        <v>11111111</v>
      </c>
      <c r="G80">
        <v>1111111111</v>
      </c>
      <c r="H80" t="s">
        <v>3649</v>
      </c>
      <c r="I80">
        <v>99999999</v>
      </c>
      <c r="J80" s="188">
        <v>45236</v>
      </c>
      <c r="K80" t="s">
        <v>3649</v>
      </c>
      <c r="L80" t="s">
        <v>3649</v>
      </c>
      <c r="M80" t="s">
        <v>195</v>
      </c>
      <c r="N80" t="s">
        <v>130</v>
      </c>
      <c r="O80">
        <v>80234</v>
      </c>
      <c r="Q80" t="s">
        <v>93</v>
      </c>
      <c r="R80">
        <v>6</v>
      </c>
      <c r="S80">
        <v>27.6</v>
      </c>
      <c r="T80">
        <v>0</v>
      </c>
      <c r="U80">
        <v>1</v>
      </c>
      <c r="V80">
        <v>1</v>
      </c>
      <c r="W80">
        <v>0</v>
      </c>
      <c r="X80">
        <v>0</v>
      </c>
      <c r="Y80">
        <v>0</v>
      </c>
      <c r="Z80">
        <v>0</v>
      </c>
      <c r="AA80">
        <v>1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</row>
    <row r="81" spans="1:37" x14ac:dyDescent="0.3">
      <c r="A81">
        <v>4450</v>
      </c>
      <c r="B81" t="s">
        <v>77</v>
      </c>
      <c r="D81" t="s">
        <v>78</v>
      </c>
      <c r="E81">
        <v>99999999</v>
      </c>
      <c r="F81">
        <v>11111111</v>
      </c>
      <c r="G81">
        <v>1111111111</v>
      </c>
      <c r="H81" t="s">
        <v>3650</v>
      </c>
      <c r="I81">
        <v>99999999</v>
      </c>
      <c r="J81" s="188">
        <v>45236</v>
      </c>
      <c r="K81" t="s">
        <v>3650</v>
      </c>
      <c r="L81" t="s">
        <v>3650</v>
      </c>
      <c r="M81" t="s">
        <v>96</v>
      </c>
      <c r="N81" t="s">
        <v>97</v>
      </c>
      <c r="O81">
        <v>98203</v>
      </c>
      <c r="Q81" t="s">
        <v>82</v>
      </c>
      <c r="R81">
        <v>1</v>
      </c>
      <c r="S81">
        <v>4.5</v>
      </c>
      <c r="T81">
        <v>0</v>
      </c>
      <c r="U81">
        <v>1</v>
      </c>
      <c r="V81">
        <v>1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</row>
    <row r="82" spans="1:37" x14ac:dyDescent="0.3">
      <c r="A82">
        <v>4450</v>
      </c>
      <c r="B82" t="s">
        <v>77</v>
      </c>
      <c r="D82" t="s">
        <v>78</v>
      </c>
      <c r="E82">
        <v>99999999</v>
      </c>
      <c r="F82">
        <v>11111111</v>
      </c>
      <c r="G82">
        <v>1111111111</v>
      </c>
      <c r="H82" t="s">
        <v>3651</v>
      </c>
      <c r="I82">
        <v>99999999</v>
      </c>
      <c r="J82" s="188">
        <v>45236</v>
      </c>
      <c r="K82" t="s">
        <v>3651</v>
      </c>
      <c r="L82" t="s">
        <v>3651</v>
      </c>
      <c r="M82" t="s">
        <v>196</v>
      </c>
      <c r="N82" t="s">
        <v>197</v>
      </c>
      <c r="O82">
        <v>77630</v>
      </c>
      <c r="Q82" t="s">
        <v>82</v>
      </c>
      <c r="R82">
        <v>1</v>
      </c>
      <c r="S82">
        <v>13.5</v>
      </c>
      <c r="T82">
        <v>0</v>
      </c>
      <c r="U82">
        <v>1</v>
      </c>
      <c r="V82">
        <v>1</v>
      </c>
      <c r="W82">
        <v>0</v>
      </c>
      <c r="X82">
        <v>0</v>
      </c>
      <c r="Y82">
        <v>0</v>
      </c>
      <c r="Z82">
        <v>0</v>
      </c>
      <c r="AA82">
        <v>1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</row>
    <row r="83" spans="1:37" x14ac:dyDescent="0.3">
      <c r="A83">
        <v>4450</v>
      </c>
      <c r="B83" t="s">
        <v>77</v>
      </c>
      <c r="D83" t="s">
        <v>78</v>
      </c>
      <c r="E83">
        <v>99999999</v>
      </c>
      <c r="F83">
        <v>11111111</v>
      </c>
      <c r="G83">
        <v>1111111111</v>
      </c>
      <c r="H83" t="s">
        <v>3652</v>
      </c>
      <c r="I83">
        <v>99999999</v>
      </c>
      <c r="J83" s="188">
        <v>45236</v>
      </c>
      <c r="K83" t="s">
        <v>3652</v>
      </c>
      <c r="L83" t="s">
        <v>3652</v>
      </c>
      <c r="M83" t="s">
        <v>95</v>
      </c>
      <c r="N83" t="s">
        <v>91</v>
      </c>
      <c r="O83">
        <v>85034</v>
      </c>
      <c r="Q83" t="s">
        <v>93</v>
      </c>
      <c r="R83">
        <v>24</v>
      </c>
      <c r="S83">
        <v>2.4</v>
      </c>
      <c r="T83">
        <v>0</v>
      </c>
      <c r="U83">
        <v>1</v>
      </c>
      <c r="V83">
        <v>1</v>
      </c>
      <c r="W83">
        <v>0</v>
      </c>
      <c r="X83">
        <v>24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</row>
    <row r="84" spans="1:37" x14ac:dyDescent="0.3">
      <c r="A84">
        <v>4450</v>
      </c>
      <c r="B84" t="s">
        <v>77</v>
      </c>
      <c r="D84" t="s">
        <v>78</v>
      </c>
      <c r="E84">
        <v>99999999</v>
      </c>
      <c r="F84">
        <v>11111111</v>
      </c>
      <c r="G84">
        <v>1111111111</v>
      </c>
      <c r="H84" t="s">
        <v>3653</v>
      </c>
      <c r="I84">
        <v>99999999</v>
      </c>
      <c r="J84" s="188">
        <v>45236</v>
      </c>
      <c r="K84" t="s">
        <v>3653</v>
      </c>
      <c r="L84" t="s">
        <v>3653</v>
      </c>
      <c r="M84" t="s">
        <v>95</v>
      </c>
      <c r="N84" t="s">
        <v>91</v>
      </c>
      <c r="O84">
        <v>85034</v>
      </c>
      <c r="Q84" t="s">
        <v>82</v>
      </c>
      <c r="R84">
        <v>192</v>
      </c>
      <c r="S84">
        <v>132</v>
      </c>
      <c r="T84">
        <v>0</v>
      </c>
      <c r="U84">
        <v>6</v>
      </c>
      <c r="V84">
        <v>4</v>
      </c>
      <c r="W84">
        <v>0</v>
      </c>
      <c r="X84">
        <v>12</v>
      </c>
      <c r="Y84">
        <v>0</v>
      </c>
      <c r="Z84">
        <v>0</v>
      </c>
      <c r="AA84">
        <v>5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</row>
    <row r="85" spans="1:37" x14ac:dyDescent="0.3">
      <c r="A85">
        <v>4450</v>
      </c>
      <c r="B85" t="s">
        <v>77</v>
      </c>
      <c r="D85" t="s">
        <v>78</v>
      </c>
      <c r="E85">
        <v>99999999</v>
      </c>
      <c r="F85">
        <v>11111111</v>
      </c>
      <c r="G85">
        <v>1111111111</v>
      </c>
      <c r="H85" t="s">
        <v>3654</v>
      </c>
      <c r="I85">
        <v>99999999</v>
      </c>
      <c r="J85" s="188">
        <v>45236</v>
      </c>
      <c r="K85" t="s">
        <v>3654</v>
      </c>
      <c r="L85" t="s">
        <v>3654</v>
      </c>
      <c r="M85" t="s">
        <v>101</v>
      </c>
      <c r="N85" t="s">
        <v>97</v>
      </c>
      <c r="O85">
        <v>98168</v>
      </c>
      <c r="Q85" t="s">
        <v>93</v>
      </c>
      <c r="R85">
        <v>60</v>
      </c>
      <c r="S85">
        <v>6</v>
      </c>
      <c r="T85">
        <v>0</v>
      </c>
      <c r="U85">
        <v>1</v>
      </c>
      <c r="V85">
        <v>1</v>
      </c>
      <c r="W85">
        <v>0</v>
      </c>
      <c r="X85">
        <v>60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</row>
    <row r="86" spans="1:37" x14ac:dyDescent="0.3">
      <c r="A86">
        <v>4450</v>
      </c>
      <c r="B86" t="s">
        <v>77</v>
      </c>
      <c r="D86" t="s">
        <v>94</v>
      </c>
      <c r="E86">
        <v>99999999</v>
      </c>
      <c r="F86">
        <v>11111111</v>
      </c>
      <c r="G86">
        <v>1111111111</v>
      </c>
      <c r="H86" t="s">
        <v>3655</v>
      </c>
      <c r="I86">
        <v>99999999</v>
      </c>
      <c r="J86" s="188">
        <v>45236</v>
      </c>
      <c r="K86" t="s">
        <v>3655</v>
      </c>
      <c r="L86" t="s">
        <v>3655</v>
      </c>
      <c r="M86" t="s">
        <v>198</v>
      </c>
      <c r="N86" t="s">
        <v>99</v>
      </c>
      <c r="O86">
        <v>95461</v>
      </c>
      <c r="Q86" t="s">
        <v>93</v>
      </c>
      <c r="R86">
        <v>1</v>
      </c>
      <c r="S86">
        <v>3.6</v>
      </c>
      <c r="T86">
        <v>0</v>
      </c>
      <c r="U86">
        <v>1</v>
      </c>
      <c r="V86">
        <v>1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</row>
    <row r="87" spans="1:37" x14ac:dyDescent="0.3">
      <c r="A87">
        <v>4450</v>
      </c>
      <c r="B87" t="s">
        <v>77</v>
      </c>
      <c r="D87" t="s">
        <v>78</v>
      </c>
      <c r="E87">
        <v>99999999</v>
      </c>
      <c r="F87">
        <v>11111111</v>
      </c>
      <c r="G87">
        <v>1111111111</v>
      </c>
      <c r="H87" t="s">
        <v>3656</v>
      </c>
      <c r="I87">
        <v>99999999</v>
      </c>
      <c r="J87" s="188">
        <v>45237</v>
      </c>
      <c r="K87" t="s">
        <v>3656</v>
      </c>
      <c r="L87" t="s">
        <v>3656</v>
      </c>
      <c r="M87" t="s">
        <v>173</v>
      </c>
      <c r="N87" t="s">
        <v>164</v>
      </c>
      <c r="O87">
        <v>97210</v>
      </c>
      <c r="Q87" t="s">
        <v>93</v>
      </c>
      <c r="R87">
        <v>2</v>
      </c>
      <c r="S87">
        <v>46.82</v>
      </c>
      <c r="T87">
        <v>0</v>
      </c>
      <c r="U87">
        <v>2</v>
      </c>
      <c r="V87">
        <v>1</v>
      </c>
      <c r="W87">
        <v>0</v>
      </c>
      <c r="X87">
        <v>0</v>
      </c>
      <c r="Y87">
        <v>0</v>
      </c>
      <c r="Z87">
        <v>0</v>
      </c>
      <c r="AA87">
        <v>2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</row>
    <row r="88" spans="1:37" x14ac:dyDescent="0.3">
      <c r="A88">
        <v>4450</v>
      </c>
      <c r="B88" t="s">
        <v>77</v>
      </c>
      <c r="D88" t="s">
        <v>78</v>
      </c>
      <c r="E88">
        <v>99999999</v>
      </c>
      <c r="F88">
        <v>11111111</v>
      </c>
      <c r="G88">
        <v>1111111111</v>
      </c>
      <c r="H88" t="s">
        <v>3657</v>
      </c>
      <c r="I88">
        <v>99999999</v>
      </c>
      <c r="J88" s="188">
        <v>45237</v>
      </c>
      <c r="K88" t="s">
        <v>3657</v>
      </c>
      <c r="L88" t="s">
        <v>3657</v>
      </c>
      <c r="M88" t="s">
        <v>131</v>
      </c>
      <c r="N88" t="s">
        <v>99</v>
      </c>
      <c r="O88" t="s">
        <v>199</v>
      </c>
      <c r="Q88" t="s">
        <v>93</v>
      </c>
      <c r="R88">
        <v>6</v>
      </c>
      <c r="S88">
        <v>11.1</v>
      </c>
      <c r="T88">
        <v>0</v>
      </c>
      <c r="U88">
        <v>1</v>
      </c>
      <c r="V88">
        <v>1</v>
      </c>
      <c r="W88">
        <v>0</v>
      </c>
      <c r="X88">
        <v>0</v>
      </c>
      <c r="Y88">
        <v>0</v>
      </c>
      <c r="Z88">
        <v>0</v>
      </c>
      <c r="AA88">
        <v>1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</row>
    <row r="89" spans="1:37" x14ac:dyDescent="0.3">
      <c r="A89">
        <v>4450</v>
      </c>
      <c r="B89" t="s">
        <v>77</v>
      </c>
      <c r="D89" t="s">
        <v>94</v>
      </c>
      <c r="E89">
        <v>99999999</v>
      </c>
      <c r="F89">
        <v>11111111</v>
      </c>
      <c r="G89">
        <v>1111111111</v>
      </c>
      <c r="H89" t="s">
        <v>3658</v>
      </c>
      <c r="I89">
        <v>99999999</v>
      </c>
      <c r="J89" s="188">
        <v>45237</v>
      </c>
      <c r="K89" t="s">
        <v>3658</v>
      </c>
      <c r="L89" t="s">
        <v>3658</v>
      </c>
      <c r="M89" t="s">
        <v>200</v>
      </c>
      <c r="N89" t="s">
        <v>201</v>
      </c>
      <c r="O89">
        <v>99517</v>
      </c>
      <c r="Q89" t="s">
        <v>93</v>
      </c>
      <c r="R89">
        <v>1</v>
      </c>
      <c r="S89">
        <v>4.0999999999999996</v>
      </c>
      <c r="T89">
        <v>0</v>
      </c>
      <c r="U89">
        <v>1</v>
      </c>
      <c r="V89">
        <v>1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</row>
    <row r="90" spans="1:37" x14ac:dyDescent="0.3">
      <c r="A90">
        <v>4450</v>
      </c>
      <c r="B90" t="s">
        <v>77</v>
      </c>
      <c r="D90" t="s">
        <v>78</v>
      </c>
      <c r="E90">
        <v>99999999</v>
      </c>
      <c r="F90">
        <v>11111111</v>
      </c>
      <c r="G90">
        <v>1111111111</v>
      </c>
      <c r="H90" t="s">
        <v>3659</v>
      </c>
      <c r="I90">
        <v>99999999</v>
      </c>
      <c r="J90" s="188">
        <v>45237</v>
      </c>
      <c r="K90" t="s">
        <v>3659</v>
      </c>
      <c r="L90" t="s">
        <v>3659</v>
      </c>
      <c r="M90" t="s">
        <v>189</v>
      </c>
      <c r="N90" t="s">
        <v>99</v>
      </c>
      <c r="O90">
        <v>94534</v>
      </c>
      <c r="Q90" t="s">
        <v>93</v>
      </c>
      <c r="R90">
        <v>27</v>
      </c>
      <c r="S90">
        <v>6.3</v>
      </c>
      <c r="T90">
        <v>0</v>
      </c>
      <c r="U90">
        <v>1</v>
      </c>
      <c r="V90">
        <v>2</v>
      </c>
      <c r="W90">
        <v>0</v>
      </c>
      <c r="X90">
        <v>24</v>
      </c>
      <c r="Y90">
        <v>0</v>
      </c>
      <c r="Z90">
        <v>3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</row>
    <row r="91" spans="1:37" x14ac:dyDescent="0.3">
      <c r="A91">
        <v>4450</v>
      </c>
      <c r="B91" t="s">
        <v>77</v>
      </c>
      <c r="D91" t="s">
        <v>78</v>
      </c>
      <c r="E91">
        <v>99999999</v>
      </c>
      <c r="F91">
        <v>11111111</v>
      </c>
      <c r="G91">
        <v>1111111111</v>
      </c>
      <c r="H91" t="s">
        <v>3660</v>
      </c>
      <c r="I91">
        <v>99999999</v>
      </c>
      <c r="J91" s="188">
        <v>45237</v>
      </c>
      <c r="K91" t="s">
        <v>3660</v>
      </c>
      <c r="L91" t="s">
        <v>3660</v>
      </c>
      <c r="M91" t="s">
        <v>98</v>
      </c>
      <c r="N91" t="s">
        <v>99</v>
      </c>
      <c r="O91" t="s">
        <v>105</v>
      </c>
      <c r="Q91" t="s">
        <v>82</v>
      </c>
      <c r="R91">
        <v>612</v>
      </c>
      <c r="S91">
        <v>61.2</v>
      </c>
      <c r="T91">
        <v>0</v>
      </c>
      <c r="U91">
        <v>5</v>
      </c>
      <c r="V91">
        <v>1</v>
      </c>
      <c r="W91">
        <v>0</v>
      </c>
      <c r="X91">
        <v>36</v>
      </c>
      <c r="Y91">
        <v>0</v>
      </c>
      <c r="Z91">
        <v>0</v>
      </c>
      <c r="AA91">
        <v>4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</row>
    <row r="92" spans="1:37" x14ac:dyDescent="0.3">
      <c r="A92">
        <v>4450</v>
      </c>
      <c r="B92" t="s">
        <v>77</v>
      </c>
      <c r="D92" t="s">
        <v>78</v>
      </c>
      <c r="E92">
        <v>99999999</v>
      </c>
      <c r="F92">
        <v>11111111</v>
      </c>
      <c r="G92">
        <v>1111111111</v>
      </c>
      <c r="H92" t="s">
        <v>3661</v>
      </c>
      <c r="I92">
        <v>99999999</v>
      </c>
      <c r="J92" s="188">
        <v>45237</v>
      </c>
      <c r="K92" t="s">
        <v>3661</v>
      </c>
      <c r="L92" t="s">
        <v>3661</v>
      </c>
      <c r="M92" t="s">
        <v>202</v>
      </c>
      <c r="N92" t="s">
        <v>135</v>
      </c>
      <c r="O92">
        <v>84115</v>
      </c>
      <c r="Q92" t="s">
        <v>82</v>
      </c>
      <c r="R92">
        <v>322</v>
      </c>
      <c r="S92">
        <v>205.88</v>
      </c>
      <c r="T92">
        <v>0</v>
      </c>
      <c r="U92">
        <v>4</v>
      </c>
      <c r="V92">
        <v>15</v>
      </c>
      <c r="W92">
        <v>0</v>
      </c>
      <c r="X92">
        <v>12</v>
      </c>
      <c r="Y92">
        <v>0</v>
      </c>
      <c r="Z92">
        <v>31</v>
      </c>
      <c r="AA92">
        <v>3</v>
      </c>
      <c r="AB92">
        <v>0</v>
      </c>
      <c r="AC92">
        <v>0</v>
      </c>
      <c r="AD92">
        <v>67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</row>
    <row r="93" spans="1:37" x14ac:dyDescent="0.3">
      <c r="A93">
        <v>4450</v>
      </c>
      <c r="B93" t="s">
        <v>77</v>
      </c>
      <c r="D93" t="s">
        <v>78</v>
      </c>
      <c r="E93">
        <v>99999999</v>
      </c>
      <c r="F93">
        <v>11111111</v>
      </c>
      <c r="G93">
        <v>1111111111</v>
      </c>
      <c r="H93" t="s">
        <v>3662</v>
      </c>
      <c r="I93">
        <v>99999999</v>
      </c>
      <c r="J93" s="188">
        <v>45238</v>
      </c>
      <c r="K93" t="s">
        <v>3662</v>
      </c>
      <c r="L93" t="s">
        <v>3662</v>
      </c>
      <c r="M93" t="s">
        <v>189</v>
      </c>
      <c r="N93" t="s">
        <v>99</v>
      </c>
      <c r="O93">
        <v>94533</v>
      </c>
      <c r="Q93" t="s">
        <v>82</v>
      </c>
      <c r="R93">
        <v>552</v>
      </c>
      <c r="S93">
        <v>55.2</v>
      </c>
      <c r="T93">
        <v>0</v>
      </c>
      <c r="U93">
        <v>5</v>
      </c>
      <c r="V93">
        <v>3</v>
      </c>
      <c r="W93">
        <v>0</v>
      </c>
      <c r="X93">
        <v>120</v>
      </c>
      <c r="Y93">
        <v>0</v>
      </c>
      <c r="Z93">
        <v>0</v>
      </c>
      <c r="AA93">
        <v>3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</row>
    <row r="94" spans="1:37" x14ac:dyDescent="0.3">
      <c r="A94">
        <v>4450</v>
      </c>
      <c r="B94" t="s">
        <v>77</v>
      </c>
      <c r="D94" t="s">
        <v>94</v>
      </c>
      <c r="E94">
        <v>99999999</v>
      </c>
      <c r="F94">
        <v>11111111</v>
      </c>
      <c r="G94">
        <v>1111111111</v>
      </c>
      <c r="H94" t="s">
        <v>3663</v>
      </c>
      <c r="I94">
        <v>99999999</v>
      </c>
      <c r="J94" s="188">
        <v>45238</v>
      </c>
      <c r="K94" t="s">
        <v>3663</v>
      </c>
      <c r="L94" t="s">
        <v>3663</v>
      </c>
      <c r="M94" t="s">
        <v>176</v>
      </c>
      <c r="N94" t="s">
        <v>130</v>
      </c>
      <c r="O94" t="s">
        <v>203</v>
      </c>
      <c r="Q94" t="s">
        <v>93</v>
      </c>
      <c r="R94">
        <v>456</v>
      </c>
      <c r="S94">
        <v>45.6</v>
      </c>
      <c r="T94">
        <v>0</v>
      </c>
      <c r="U94">
        <v>2</v>
      </c>
      <c r="V94">
        <v>2</v>
      </c>
      <c r="W94">
        <v>0</v>
      </c>
      <c r="X94">
        <v>168</v>
      </c>
      <c r="Y94">
        <v>0</v>
      </c>
      <c r="Z94">
        <v>0</v>
      </c>
      <c r="AA94">
        <v>2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</row>
    <row r="95" spans="1:37" x14ac:dyDescent="0.3">
      <c r="A95">
        <v>4450</v>
      </c>
      <c r="B95" t="s">
        <v>77</v>
      </c>
      <c r="D95" t="s">
        <v>83</v>
      </c>
      <c r="E95">
        <v>99999999</v>
      </c>
      <c r="F95">
        <v>11111111</v>
      </c>
      <c r="G95">
        <v>1111111111</v>
      </c>
      <c r="H95" t="s">
        <v>3664</v>
      </c>
      <c r="I95">
        <v>99999999</v>
      </c>
      <c r="J95" s="188">
        <v>45238</v>
      </c>
      <c r="K95" t="s">
        <v>3664</v>
      </c>
      <c r="L95" t="s">
        <v>3664</v>
      </c>
      <c r="M95" t="s">
        <v>204</v>
      </c>
      <c r="N95" t="s">
        <v>99</v>
      </c>
      <c r="O95">
        <v>90504</v>
      </c>
      <c r="Q95" t="s">
        <v>82</v>
      </c>
      <c r="R95">
        <v>2880</v>
      </c>
      <c r="S95">
        <v>288</v>
      </c>
      <c r="T95">
        <v>1</v>
      </c>
      <c r="U95">
        <v>20</v>
      </c>
      <c r="V95">
        <v>1</v>
      </c>
      <c r="W95">
        <v>0</v>
      </c>
      <c r="X95">
        <v>0</v>
      </c>
      <c r="Y95">
        <v>0</v>
      </c>
      <c r="Z95">
        <v>0</v>
      </c>
      <c r="AA95">
        <v>20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</row>
    <row r="96" spans="1:37" x14ac:dyDescent="0.3">
      <c r="A96">
        <v>4450</v>
      </c>
      <c r="B96" t="s">
        <v>77</v>
      </c>
      <c r="D96" t="s">
        <v>78</v>
      </c>
      <c r="E96">
        <v>99999999</v>
      </c>
      <c r="F96">
        <v>11111111</v>
      </c>
      <c r="G96">
        <v>1111111111</v>
      </c>
      <c r="H96" t="s">
        <v>3665</v>
      </c>
      <c r="I96">
        <v>99999999</v>
      </c>
      <c r="J96" s="188">
        <v>45238</v>
      </c>
      <c r="K96" t="s">
        <v>3665</v>
      </c>
      <c r="L96" t="s">
        <v>3665</v>
      </c>
      <c r="M96" t="s">
        <v>106</v>
      </c>
      <c r="N96" t="s">
        <v>99</v>
      </c>
      <c r="O96">
        <v>91746</v>
      </c>
      <c r="Q96" t="s">
        <v>82</v>
      </c>
      <c r="R96">
        <v>25</v>
      </c>
      <c r="S96">
        <v>100.7</v>
      </c>
      <c r="T96">
        <v>0</v>
      </c>
      <c r="U96">
        <v>4</v>
      </c>
      <c r="V96">
        <v>3</v>
      </c>
      <c r="W96">
        <v>0</v>
      </c>
      <c r="X96">
        <v>0</v>
      </c>
      <c r="Y96">
        <v>0</v>
      </c>
      <c r="Z96">
        <v>1</v>
      </c>
      <c r="AA96">
        <v>3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</row>
    <row r="97" spans="1:37" x14ac:dyDescent="0.3">
      <c r="A97">
        <v>4450</v>
      </c>
      <c r="B97" t="s">
        <v>77</v>
      </c>
      <c r="D97" t="s">
        <v>78</v>
      </c>
      <c r="E97">
        <v>99999999</v>
      </c>
      <c r="F97">
        <v>11111111</v>
      </c>
      <c r="G97">
        <v>1111111111</v>
      </c>
      <c r="H97" t="s">
        <v>3666</v>
      </c>
      <c r="I97">
        <v>99999999</v>
      </c>
      <c r="J97" s="188">
        <v>45236</v>
      </c>
      <c r="K97" t="s">
        <v>3666</v>
      </c>
      <c r="L97" t="s">
        <v>3666</v>
      </c>
      <c r="M97" t="s">
        <v>205</v>
      </c>
      <c r="N97" t="s">
        <v>206</v>
      </c>
      <c r="O97">
        <v>71302</v>
      </c>
      <c r="Q97" t="s">
        <v>82</v>
      </c>
      <c r="R97">
        <v>3</v>
      </c>
      <c r="S97">
        <v>1.59</v>
      </c>
      <c r="T97">
        <v>0</v>
      </c>
      <c r="U97">
        <v>1</v>
      </c>
      <c r="V97">
        <v>1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3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</row>
    <row r="98" spans="1:37" x14ac:dyDescent="0.3">
      <c r="A98">
        <v>4450</v>
      </c>
      <c r="B98" t="s">
        <v>77</v>
      </c>
      <c r="D98" t="s">
        <v>78</v>
      </c>
      <c r="E98">
        <v>99999999</v>
      </c>
      <c r="F98">
        <v>11111111</v>
      </c>
      <c r="G98">
        <v>1111111111</v>
      </c>
      <c r="H98" t="s">
        <v>3667</v>
      </c>
      <c r="I98">
        <v>99999999</v>
      </c>
      <c r="J98" s="188">
        <v>45236</v>
      </c>
      <c r="K98" t="s">
        <v>3667</v>
      </c>
      <c r="L98" t="s">
        <v>3667</v>
      </c>
      <c r="M98" t="s">
        <v>207</v>
      </c>
      <c r="N98" t="s">
        <v>99</v>
      </c>
      <c r="O98" t="s">
        <v>208</v>
      </c>
      <c r="Q98" t="s">
        <v>82</v>
      </c>
      <c r="R98">
        <v>24</v>
      </c>
      <c r="S98">
        <v>2.4</v>
      </c>
      <c r="T98">
        <v>0</v>
      </c>
      <c r="U98">
        <v>1</v>
      </c>
      <c r="V98">
        <v>1</v>
      </c>
      <c r="W98">
        <v>0</v>
      </c>
      <c r="X98">
        <v>24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</row>
    <row r="99" spans="1:37" x14ac:dyDescent="0.3">
      <c r="A99">
        <v>4450</v>
      </c>
      <c r="B99" t="s">
        <v>77</v>
      </c>
      <c r="D99" t="s">
        <v>94</v>
      </c>
      <c r="E99">
        <v>99999999</v>
      </c>
      <c r="F99">
        <v>11111111</v>
      </c>
      <c r="G99">
        <v>1111111111</v>
      </c>
      <c r="H99" t="s">
        <v>3668</v>
      </c>
      <c r="I99">
        <v>99999999</v>
      </c>
      <c r="J99" s="188">
        <v>45236</v>
      </c>
      <c r="K99" t="s">
        <v>3668</v>
      </c>
      <c r="L99" t="s">
        <v>3668</v>
      </c>
      <c r="M99" t="s">
        <v>209</v>
      </c>
      <c r="N99" t="s">
        <v>99</v>
      </c>
      <c r="O99">
        <v>94804</v>
      </c>
      <c r="Q99" t="s">
        <v>93</v>
      </c>
      <c r="R99">
        <v>5</v>
      </c>
      <c r="S99">
        <v>13</v>
      </c>
      <c r="T99">
        <v>0</v>
      </c>
      <c r="U99">
        <v>1</v>
      </c>
      <c r="V99">
        <v>1</v>
      </c>
      <c r="W99">
        <v>0</v>
      </c>
      <c r="X99">
        <v>0</v>
      </c>
      <c r="Y99">
        <v>0</v>
      </c>
      <c r="Z99">
        <v>5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</row>
    <row r="100" spans="1:37" x14ac:dyDescent="0.3">
      <c r="A100">
        <v>4450</v>
      </c>
      <c r="B100" t="s">
        <v>77</v>
      </c>
      <c r="D100" t="s">
        <v>78</v>
      </c>
      <c r="E100">
        <v>99999999</v>
      </c>
      <c r="F100">
        <v>11111111</v>
      </c>
      <c r="G100">
        <v>1111111111</v>
      </c>
      <c r="H100" t="s">
        <v>3669</v>
      </c>
      <c r="I100">
        <v>99999999</v>
      </c>
      <c r="J100" s="188">
        <v>45236</v>
      </c>
      <c r="K100" t="s">
        <v>3669</v>
      </c>
      <c r="L100" t="s">
        <v>3669</v>
      </c>
      <c r="M100" t="s">
        <v>210</v>
      </c>
      <c r="N100" t="s">
        <v>183</v>
      </c>
      <c r="O100">
        <v>47711</v>
      </c>
      <c r="Q100" t="s">
        <v>82</v>
      </c>
      <c r="R100">
        <v>12</v>
      </c>
      <c r="S100">
        <v>0.24</v>
      </c>
      <c r="T100">
        <v>0</v>
      </c>
      <c r="U100">
        <v>1</v>
      </c>
      <c r="V100">
        <v>1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12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</row>
    <row r="101" spans="1:37" x14ac:dyDescent="0.3">
      <c r="A101">
        <v>3740</v>
      </c>
      <c r="B101" t="s">
        <v>211</v>
      </c>
      <c r="D101" t="s">
        <v>212</v>
      </c>
      <c r="E101">
        <v>99999999</v>
      </c>
      <c r="F101">
        <v>11111111</v>
      </c>
      <c r="G101">
        <v>1111111111</v>
      </c>
      <c r="H101" t="s">
        <v>3670</v>
      </c>
      <c r="I101">
        <v>99999999</v>
      </c>
      <c r="J101" s="188">
        <v>45236</v>
      </c>
      <c r="K101" t="s">
        <v>3670</v>
      </c>
      <c r="L101" t="s">
        <v>3670</v>
      </c>
      <c r="M101" t="s">
        <v>213</v>
      </c>
      <c r="N101" t="s">
        <v>97</v>
      </c>
      <c r="O101">
        <v>98424</v>
      </c>
      <c r="P101" t="s">
        <v>214</v>
      </c>
      <c r="Q101" t="s">
        <v>130</v>
      </c>
      <c r="R101">
        <v>18594</v>
      </c>
      <c r="S101">
        <v>18594</v>
      </c>
      <c r="T101">
        <v>30</v>
      </c>
      <c r="U101">
        <v>18594</v>
      </c>
      <c r="V101">
        <v>2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18594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</row>
    <row r="102" spans="1:37" x14ac:dyDescent="0.3">
      <c r="A102">
        <v>7721</v>
      </c>
      <c r="B102" t="s">
        <v>215</v>
      </c>
      <c r="D102" t="s">
        <v>216</v>
      </c>
      <c r="E102">
        <v>99999999</v>
      </c>
      <c r="F102">
        <v>11111111</v>
      </c>
      <c r="G102">
        <v>1111111111</v>
      </c>
      <c r="H102" t="s">
        <v>3671</v>
      </c>
      <c r="I102">
        <v>99999999</v>
      </c>
      <c r="J102" s="188">
        <v>45237</v>
      </c>
      <c r="K102" t="s">
        <v>3671</v>
      </c>
      <c r="L102" t="s">
        <v>3671</v>
      </c>
      <c r="M102" t="s">
        <v>217</v>
      </c>
      <c r="N102" t="s">
        <v>186</v>
      </c>
      <c r="O102">
        <v>44839</v>
      </c>
      <c r="P102" t="s">
        <v>214</v>
      </c>
      <c r="Q102" t="s">
        <v>130</v>
      </c>
      <c r="R102">
        <v>3</v>
      </c>
      <c r="S102">
        <v>7153.86</v>
      </c>
      <c r="T102">
        <v>3</v>
      </c>
      <c r="U102">
        <v>3</v>
      </c>
      <c r="V102">
        <v>1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3</v>
      </c>
      <c r="AG102">
        <v>0</v>
      </c>
      <c r="AH102">
        <v>0</v>
      </c>
      <c r="AI102">
        <v>0</v>
      </c>
      <c r="AJ102">
        <v>0</v>
      </c>
      <c r="AK102">
        <v>0</v>
      </c>
    </row>
    <row r="103" spans="1:37" x14ac:dyDescent="0.3">
      <c r="A103">
        <v>7134</v>
      </c>
      <c r="B103" t="s">
        <v>28</v>
      </c>
      <c r="D103" t="s">
        <v>218</v>
      </c>
      <c r="E103">
        <v>99999999</v>
      </c>
      <c r="F103">
        <v>11111111</v>
      </c>
      <c r="G103">
        <v>1111111111</v>
      </c>
      <c r="H103" t="s">
        <v>3672</v>
      </c>
      <c r="I103">
        <v>99999999</v>
      </c>
      <c r="J103" s="188">
        <v>45236</v>
      </c>
      <c r="K103" t="s">
        <v>3672</v>
      </c>
      <c r="L103" t="s">
        <v>3672</v>
      </c>
      <c r="M103" t="s">
        <v>128</v>
      </c>
      <c r="N103" t="s">
        <v>85</v>
      </c>
      <c r="O103">
        <v>89512</v>
      </c>
      <c r="P103" t="s">
        <v>214</v>
      </c>
      <c r="Q103" t="s">
        <v>82</v>
      </c>
      <c r="R103">
        <v>576</v>
      </c>
      <c r="S103">
        <v>731.52</v>
      </c>
      <c r="T103">
        <v>0</v>
      </c>
      <c r="U103">
        <v>24</v>
      </c>
      <c r="V103">
        <v>1</v>
      </c>
      <c r="W103">
        <v>0</v>
      </c>
      <c r="X103">
        <v>0</v>
      </c>
      <c r="Y103">
        <v>0</v>
      </c>
      <c r="Z103">
        <v>0</v>
      </c>
      <c r="AA103">
        <v>24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</row>
    <row r="104" spans="1:37" x14ac:dyDescent="0.3">
      <c r="A104">
        <v>7979</v>
      </c>
      <c r="B104" t="s">
        <v>219</v>
      </c>
      <c r="D104" t="s">
        <v>218</v>
      </c>
      <c r="E104">
        <v>99999999</v>
      </c>
      <c r="F104">
        <v>11111111</v>
      </c>
      <c r="G104">
        <v>1111111111</v>
      </c>
      <c r="H104" t="s">
        <v>3673</v>
      </c>
      <c r="I104">
        <v>99999999</v>
      </c>
      <c r="J104" s="188">
        <v>45237</v>
      </c>
      <c r="K104" t="s">
        <v>3673</v>
      </c>
      <c r="L104" t="s">
        <v>3673</v>
      </c>
      <c r="M104" t="s">
        <v>128</v>
      </c>
      <c r="N104" t="s">
        <v>85</v>
      </c>
      <c r="O104">
        <v>89512</v>
      </c>
      <c r="P104" t="s">
        <v>214</v>
      </c>
      <c r="Q104" t="s">
        <v>82</v>
      </c>
      <c r="R104">
        <v>1</v>
      </c>
      <c r="S104">
        <v>30.3</v>
      </c>
      <c r="T104">
        <v>0</v>
      </c>
      <c r="U104">
        <v>1</v>
      </c>
      <c r="V104">
        <v>1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1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</row>
    <row r="105" spans="1:37" x14ac:dyDescent="0.3">
      <c r="A105">
        <v>7979</v>
      </c>
      <c r="B105" t="s">
        <v>219</v>
      </c>
      <c r="D105" t="s">
        <v>218</v>
      </c>
      <c r="E105">
        <v>99999999</v>
      </c>
      <c r="F105">
        <v>11111111</v>
      </c>
      <c r="G105">
        <v>1111111111</v>
      </c>
      <c r="H105" t="s">
        <v>3674</v>
      </c>
      <c r="I105">
        <v>99999999</v>
      </c>
      <c r="J105" s="188">
        <v>45238</v>
      </c>
      <c r="K105" t="s">
        <v>3674</v>
      </c>
      <c r="L105" t="s">
        <v>3674</v>
      </c>
      <c r="M105" t="s">
        <v>128</v>
      </c>
      <c r="N105" t="s">
        <v>85</v>
      </c>
      <c r="O105">
        <v>89512</v>
      </c>
      <c r="P105" t="s">
        <v>214</v>
      </c>
      <c r="Q105" t="s">
        <v>82</v>
      </c>
      <c r="R105">
        <v>1</v>
      </c>
      <c r="S105">
        <v>2.5</v>
      </c>
      <c r="T105">
        <v>0</v>
      </c>
      <c r="U105">
        <v>1</v>
      </c>
      <c r="V105">
        <v>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1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</row>
    <row r="106" spans="1:37" x14ac:dyDescent="0.3">
      <c r="A106">
        <v>7296</v>
      </c>
      <c r="B106" t="s">
        <v>220</v>
      </c>
      <c r="D106" t="s">
        <v>218</v>
      </c>
      <c r="E106">
        <v>99999999</v>
      </c>
      <c r="F106">
        <v>11111111</v>
      </c>
      <c r="G106">
        <v>1111111111</v>
      </c>
      <c r="H106" t="s">
        <v>3675</v>
      </c>
      <c r="I106">
        <v>99999999</v>
      </c>
      <c r="J106" s="188">
        <v>45238</v>
      </c>
      <c r="K106" t="s">
        <v>3675</v>
      </c>
      <c r="L106" t="s">
        <v>3675</v>
      </c>
      <c r="M106" t="s">
        <v>128</v>
      </c>
      <c r="N106" t="s">
        <v>85</v>
      </c>
      <c r="O106">
        <v>89512</v>
      </c>
      <c r="P106" t="s">
        <v>221</v>
      </c>
      <c r="Q106" t="s">
        <v>82</v>
      </c>
      <c r="R106">
        <v>261</v>
      </c>
      <c r="S106">
        <v>260.94200000000001</v>
      </c>
      <c r="T106">
        <v>0</v>
      </c>
      <c r="U106">
        <v>261</v>
      </c>
      <c r="V106">
        <v>30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261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</row>
    <row r="107" spans="1:37" x14ac:dyDescent="0.3">
      <c r="A107">
        <v>7521</v>
      </c>
      <c r="B107" t="s">
        <v>222</v>
      </c>
      <c r="D107" t="s">
        <v>223</v>
      </c>
      <c r="E107">
        <v>99999999</v>
      </c>
      <c r="F107">
        <v>11111111</v>
      </c>
      <c r="G107">
        <v>1111111111</v>
      </c>
      <c r="H107" t="s">
        <v>3676</v>
      </c>
      <c r="I107">
        <v>99999999</v>
      </c>
      <c r="J107" s="188">
        <v>45237</v>
      </c>
      <c r="K107" t="s">
        <v>3676</v>
      </c>
      <c r="L107" t="s">
        <v>3676</v>
      </c>
      <c r="M107" t="s">
        <v>98</v>
      </c>
      <c r="N107" t="s">
        <v>99</v>
      </c>
      <c r="O107">
        <v>90670</v>
      </c>
      <c r="P107" t="s">
        <v>221</v>
      </c>
      <c r="Q107" t="s">
        <v>124</v>
      </c>
      <c r="R107">
        <v>3</v>
      </c>
      <c r="S107">
        <v>287.5</v>
      </c>
      <c r="T107">
        <v>1</v>
      </c>
      <c r="U107">
        <v>3</v>
      </c>
      <c r="V107">
        <v>2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3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</row>
    <row r="108" spans="1:37" x14ac:dyDescent="0.3">
      <c r="A108">
        <v>7758</v>
      </c>
      <c r="B108" t="s">
        <v>29</v>
      </c>
      <c r="D108" t="s">
        <v>224</v>
      </c>
      <c r="E108">
        <v>99999999</v>
      </c>
      <c r="F108">
        <v>11111111</v>
      </c>
      <c r="G108">
        <v>1111111111</v>
      </c>
      <c r="H108" t="s">
        <v>3677</v>
      </c>
      <c r="I108">
        <v>99999999</v>
      </c>
      <c r="J108" s="188">
        <v>45236</v>
      </c>
      <c r="K108" t="s">
        <v>3677</v>
      </c>
      <c r="L108" t="s">
        <v>3677</v>
      </c>
      <c r="M108" t="s">
        <v>225</v>
      </c>
      <c r="N108" t="s">
        <v>226</v>
      </c>
      <c r="O108">
        <v>4619</v>
      </c>
      <c r="P108" t="s">
        <v>221</v>
      </c>
      <c r="Q108" t="s">
        <v>124</v>
      </c>
      <c r="R108">
        <v>1</v>
      </c>
      <c r="S108">
        <v>22</v>
      </c>
      <c r="T108">
        <v>0</v>
      </c>
      <c r="U108">
        <v>1</v>
      </c>
      <c r="V108">
        <v>1</v>
      </c>
      <c r="W108">
        <v>0</v>
      </c>
      <c r="X108">
        <v>0</v>
      </c>
      <c r="Y108">
        <v>0</v>
      </c>
      <c r="Z108">
        <v>0</v>
      </c>
      <c r="AA108">
        <v>1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</row>
    <row r="109" spans="1:37" x14ac:dyDescent="0.3">
      <c r="A109">
        <v>7758</v>
      </c>
      <c r="B109" t="s">
        <v>29</v>
      </c>
      <c r="D109" t="s">
        <v>224</v>
      </c>
      <c r="E109">
        <v>99999999</v>
      </c>
      <c r="F109">
        <v>11111111</v>
      </c>
      <c r="G109">
        <v>1111111111</v>
      </c>
      <c r="H109" t="s">
        <v>3678</v>
      </c>
      <c r="I109">
        <v>99999999</v>
      </c>
      <c r="J109" s="188">
        <v>45236</v>
      </c>
      <c r="K109" t="s">
        <v>3678</v>
      </c>
      <c r="L109" t="s">
        <v>3678</v>
      </c>
      <c r="M109" t="s">
        <v>227</v>
      </c>
      <c r="N109" t="s">
        <v>228</v>
      </c>
      <c r="O109">
        <v>6033</v>
      </c>
      <c r="P109" t="s">
        <v>221</v>
      </c>
      <c r="Q109" t="s">
        <v>124</v>
      </c>
      <c r="R109">
        <v>1</v>
      </c>
      <c r="S109">
        <v>23</v>
      </c>
      <c r="T109">
        <v>0</v>
      </c>
      <c r="U109">
        <v>1</v>
      </c>
      <c r="V109">
        <v>1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</row>
    <row r="110" spans="1:37" x14ac:dyDescent="0.3">
      <c r="A110">
        <v>7758</v>
      </c>
      <c r="B110" t="s">
        <v>29</v>
      </c>
      <c r="D110" t="s">
        <v>224</v>
      </c>
      <c r="E110">
        <v>99999999</v>
      </c>
      <c r="F110">
        <v>11111111</v>
      </c>
      <c r="G110">
        <v>1111111111</v>
      </c>
      <c r="H110" t="s">
        <v>3679</v>
      </c>
      <c r="I110">
        <v>99999999</v>
      </c>
      <c r="J110" s="188">
        <v>45236</v>
      </c>
      <c r="K110" t="s">
        <v>3679</v>
      </c>
      <c r="L110" t="s">
        <v>3679</v>
      </c>
      <c r="M110" t="s">
        <v>196</v>
      </c>
      <c r="N110" t="s">
        <v>99</v>
      </c>
      <c r="O110">
        <v>92869</v>
      </c>
      <c r="P110" t="s">
        <v>221</v>
      </c>
      <c r="Q110" t="s">
        <v>124</v>
      </c>
      <c r="R110">
        <v>1</v>
      </c>
      <c r="S110">
        <v>12.13</v>
      </c>
      <c r="T110">
        <v>0</v>
      </c>
      <c r="U110">
        <v>1</v>
      </c>
      <c r="V110">
        <v>1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1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</row>
    <row r="111" spans="1:37" x14ac:dyDescent="0.3">
      <c r="A111">
        <v>7758</v>
      </c>
      <c r="B111" t="s">
        <v>29</v>
      </c>
      <c r="D111" t="s">
        <v>224</v>
      </c>
      <c r="E111">
        <v>99999999</v>
      </c>
      <c r="F111">
        <v>11111111</v>
      </c>
      <c r="G111">
        <v>1111111111</v>
      </c>
      <c r="H111" t="s">
        <v>3680</v>
      </c>
      <c r="I111">
        <v>99999999</v>
      </c>
      <c r="J111" s="188">
        <v>45236</v>
      </c>
      <c r="K111" t="s">
        <v>3680</v>
      </c>
      <c r="L111" t="s">
        <v>3680</v>
      </c>
      <c r="M111" t="s">
        <v>229</v>
      </c>
      <c r="N111" t="s">
        <v>141</v>
      </c>
      <c r="O111">
        <v>33928</v>
      </c>
      <c r="P111" t="s">
        <v>221</v>
      </c>
      <c r="Q111" t="s">
        <v>124</v>
      </c>
      <c r="R111">
        <v>1</v>
      </c>
      <c r="S111">
        <v>24</v>
      </c>
      <c r="T111">
        <v>0</v>
      </c>
      <c r="U111">
        <v>1</v>
      </c>
      <c r="V111">
        <v>1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</row>
    <row r="112" spans="1:37" x14ac:dyDescent="0.3">
      <c r="A112">
        <v>7758</v>
      </c>
      <c r="B112" t="s">
        <v>29</v>
      </c>
      <c r="D112" t="s">
        <v>224</v>
      </c>
      <c r="E112">
        <v>99999999</v>
      </c>
      <c r="F112">
        <v>11111111</v>
      </c>
      <c r="G112">
        <v>1111111111</v>
      </c>
      <c r="H112" t="s">
        <v>3681</v>
      </c>
      <c r="I112">
        <v>99999999</v>
      </c>
      <c r="J112" s="188">
        <v>45236</v>
      </c>
      <c r="K112" t="s">
        <v>3681</v>
      </c>
      <c r="L112" t="s">
        <v>3681</v>
      </c>
      <c r="M112" t="s">
        <v>230</v>
      </c>
      <c r="N112" t="s">
        <v>231</v>
      </c>
      <c r="O112">
        <v>2067</v>
      </c>
      <c r="P112" t="s">
        <v>221</v>
      </c>
      <c r="Q112" t="s">
        <v>124</v>
      </c>
      <c r="R112">
        <v>1</v>
      </c>
      <c r="S112">
        <v>27.55</v>
      </c>
      <c r="T112">
        <v>0</v>
      </c>
      <c r="U112">
        <v>1</v>
      </c>
      <c r="V112">
        <v>1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1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</row>
    <row r="113" spans="1:37" x14ac:dyDescent="0.3">
      <c r="A113">
        <v>7758</v>
      </c>
      <c r="B113" t="s">
        <v>29</v>
      </c>
      <c r="D113" t="s">
        <v>224</v>
      </c>
      <c r="E113">
        <v>99999999</v>
      </c>
      <c r="F113">
        <v>11111111</v>
      </c>
      <c r="G113">
        <v>1111111111</v>
      </c>
      <c r="H113" t="s">
        <v>3682</v>
      </c>
      <c r="I113">
        <v>99999999</v>
      </c>
      <c r="J113" s="188">
        <v>45236</v>
      </c>
      <c r="K113" t="s">
        <v>3682</v>
      </c>
      <c r="L113" t="s">
        <v>3682</v>
      </c>
      <c r="M113" t="s">
        <v>232</v>
      </c>
      <c r="N113" t="s">
        <v>233</v>
      </c>
      <c r="O113">
        <v>12525</v>
      </c>
      <c r="P113" t="s">
        <v>221</v>
      </c>
      <c r="Q113" t="s">
        <v>124</v>
      </c>
      <c r="R113">
        <v>2</v>
      </c>
      <c r="S113">
        <v>16.760000000000002</v>
      </c>
      <c r="T113">
        <v>0</v>
      </c>
      <c r="U113">
        <v>2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2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</row>
    <row r="114" spans="1:37" x14ac:dyDescent="0.3">
      <c r="A114">
        <v>7864</v>
      </c>
      <c r="B114" t="s">
        <v>234</v>
      </c>
      <c r="D114" t="s">
        <v>94</v>
      </c>
      <c r="E114">
        <v>99999999</v>
      </c>
      <c r="F114">
        <v>11111111</v>
      </c>
      <c r="G114">
        <v>1111111111</v>
      </c>
      <c r="H114" t="s">
        <v>3683</v>
      </c>
      <c r="I114">
        <v>99999999</v>
      </c>
      <c r="J114" s="188">
        <v>45236</v>
      </c>
      <c r="K114" t="s">
        <v>3683</v>
      </c>
      <c r="L114" t="s">
        <v>3683</v>
      </c>
      <c r="M114" t="s">
        <v>235</v>
      </c>
      <c r="N114" t="s">
        <v>164</v>
      </c>
      <c r="O114">
        <v>97520</v>
      </c>
      <c r="P114" t="s">
        <v>221</v>
      </c>
      <c r="Q114" t="s">
        <v>124</v>
      </c>
      <c r="R114">
        <v>38</v>
      </c>
      <c r="S114">
        <v>26.324999999999999</v>
      </c>
      <c r="T114">
        <v>0</v>
      </c>
      <c r="U114">
        <v>1</v>
      </c>
      <c r="V114">
        <v>11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38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</row>
    <row r="115" spans="1:37" x14ac:dyDescent="0.3">
      <c r="A115">
        <v>7864</v>
      </c>
      <c r="B115" t="s">
        <v>234</v>
      </c>
      <c r="D115" t="s">
        <v>94</v>
      </c>
      <c r="E115">
        <v>99999999</v>
      </c>
      <c r="F115">
        <v>11111111</v>
      </c>
      <c r="G115">
        <v>1111111111</v>
      </c>
      <c r="H115" t="s">
        <v>3684</v>
      </c>
      <c r="I115">
        <v>99999999</v>
      </c>
      <c r="J115" s="188">
        <v>45236</v>
      </c>
      <c r="K115" t="s">
        <v>3684</v>
      </c>
      <c r="L115" t="s">
        <v>3684</v>
      </c>
      <c r="M115" t="s">
        <v>236</v>
      </c>
      <c r="N115" t="s">
        <v>125</v>
      </c>
      <c r="O115">
        <v>48309</v>
      </c>
      <c r="P115" t="s">
        <v>221</v>
      </c>
      <c r="Q115" t="s">
        <v>124</v>
      </c>
      <c r="R115">
        <v>90</v>
      </c>
      <c r="S115">
        <v>53.6</v>
      </c>
      <c r="T115">
        <v>0</v>
      </c>
      <c r="U115">
        <v>1</v>
      </c>
      <c r="V115">
        <v>5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90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</row>
    <row r="116" spans="1:37" x14ac:dyDescent="0.3">
      <c r="A116">
        <v>7758</v>
      </c>
      <c r="B116" t="s">
        <v>29</v>
      </c>
      <c r="D116" t="s">
        <v>224</v>
      </c>
      <c r="E116">
        <v>99999999</v>
      </c>
      <c r="F116">
        <v>11111111</v>
      </c>
      <c r="G116">
        <v>1111111111</v>
      </c>
      <c r="H116" t="s">
        <v>3685</v>
      </c>
      <c r="I116">
        <v>99999999</v>
      </c>
      <c r="J116" s="188">
        <v>45237</v>
      </c>
      <c r="K116" t="s">
        <v>3685</v>
      </c>
      <c r="L116" t="s">
        <v>3685</v>
      </c>
      <c r="M116" t="s">
        <v>237</v>
      </c>
      <c r="N116" t="s">
        <v>186</v>
      </c>
      <c r="O116">
        <v>44081</v>
      </c>
      <c r="P116" t="s">
        <v>221</v>
      </c>
      <c r="Q116" t="s">
        <v>124</v>
      </c>
      <c r="R116">
        <v>1</v>
      </c>
      <c r="S116">
        <v>22</v>
      </c>
      <c r="T116">
        <v>0</v>
      </c>
      <c r="U116">
        <v>1</v>
      </c>
      <c r="V116">
        <v>1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</row>
    <row r="117" spans="1:37" x14ac:dyDescent="0.3">
      <c r="A117">
        <v>7758</v>
      </c>
      <c r="B117" t="s">
        <v>29</v>
      </c>
      <c r="D117" t="s">
        <v>224</v>
      </c>
      <c r="E117">
        <v>99999999</v>
      </c>
      <c r="F117">
        <v>11111111</v>
      </c>
      <c r="G117">
        <v>1111111111</v>
      </c>
      <c r="H117" t="s">
        <v>3686</v>
      </c>
      <c r="I117">
        <v>99999999</v>
      </c>
      <c r="J117" s="188">
        <v>45238</v>
      </c>
      <c r="K117" t="s">
        <v>3686</v>
      </c>
      <c r="L117" t="s">
        <v>3686</v>
      </c>
      <c r="M117" t="s">
        <v>238</v>
      </c>
      <c r="N117" t="s">
        <v>239</v>
      </c>
      <c r="O117">
        <v>66208</v>
      </c>
      <c r="P117" t="s">
        <v>221</v>
      </c>
      <c r="Q117" t="s">
        <v>124</v>
      </c>
      <c r="R117">
        <v>1</v>
      </c>
      <c r="S117">
        <v>23</v>
      </c>
      <c r="T117">
        <v>0</v>
      </c>
      <c r="U117">
        <v>1</v>
      </c>
      <c r="V117">
        <v>1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</row>
    <row r="118" spans="1:37" x14ac:dyDescent="0.3">
      <c r="A118">
        <v>7758</v>
      </c>
      <c r="B118" t="s">
        <v>29</v>
      </c>
      <c r="D118" t="s">
        <v>224</v>
      </c>
      <c r="E118">
        <v>99999999</v>
      </c>
      <c r="F118">
        <v>11111111</v>
      </c>
      <c r="G118">
        <v>1111111111</v>
      </c>
      <c r="H118" t="s">
        <v>3687</v>
      </c>
      <c r="I118">
        <v>99999999</v>
      </c>
      <c r="J118" s="188">
        <v>45238</v>
      </c>
      <c r="K118" t="s">
        <v>3687</v>
      </c>
      <c r="L118" t="s">
        <v>3687</v>
      </c>
      <c r="M118" t="s">
        <v>240</v>
      </c>
      <c r="N118" t="s">
        <v>241</v>
      </c>
      <c r="O118">
        <v>60085</v>
      </c>
      <c r="P118" t="s">
        <v>221</v>
      </c>
      <c r="Q118" t="s">
        <v>124</v>
      </c>
      <c r="R118">
        <v>1</v>
      </c>
      <c r="S118">
        <v>22</v>
      </c>
      <c r="T118">
        <v>0</v>
      </c>
      <c r="U118">
        <v>1</v>
      </c>
      <c r="V118">
        <v>1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</row>
    <row r="119" spans="1:37" x14ac:dyDescent="0.3">
      <c r="A119">
        <v>7758</v>
      </c>
      <c r="B119" t="s">
        <v>29</v>
      </c>
      <c r="D119" t="s">
        <v>224</v>
      </c>
      <c r="E119">
        <v>99999999</v>
      </c>
      <c r="F119">
        <v>11111111</v>
      </c>
      <c r="G119">
        <v>1111111111</v>
      </c>
      <c r="H119" t="s">
        <v>3688</v>
      </c>
      <c r="I119">
        <v>99999999</v>
      </c>
      <c r="J119" s="188">
        <v>45238</v>
      </c>
      <c r="K119" t="s">
        <v>3688</v>
      </c>
      <c r="L119" t="s">
        <v>3688</v>
      </c>
      <c r="M119" t="s">
        <v>242</v>
      </c>
      <c r="N119" t="s">
        <v>243</v>
      </c>
      <c r="O119">
        <v>35073</v>
      </c>
      <c r="P119" t="s">
        <v>221</v>
      </c>
      <c r="Q119" t="s">
        <v>124</v>
      </c>
      <c r="R119">
        <v>1</v>
      </c>
      <c r="S119">
        <v>41.1</v>
      </c>
      <c r="T119">
        <v>0</v>
      </c>
      <c r="U119">
        <v>1</v>
      </c>
      <c r="V119">
        <v>1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</row>
    <row r="120" spans="1:37" x14ac:dyDescent="0.3">
      <c r="A120">
        <v>7758</v>
      </c>
      <c r="B120" t="s">
        <v>29</v>
      </c>
      <c r="D120" t="s">
        <v>94</v>
      </c>
      <c r="E120">
        <v>99999999</v>
      </c>
      <c r="F120">
        <v>11111111</v>
      </c>
      <c r="G120">
        <v>1111111111</v>
      </c>
      <c r="H120" t="s">
        <v>3689</v>
      </c>
      <c r="I120">
        <v>99999999</v>
      </c>
      <c r="J120" s="188">
        <v>45238</v>
      </c>
      <c r="K120" t="s">
        <v>3689</v>
      </c>
      <c r="L120" t="s">
        <v>3689</v>
      </c>
      <c r="M120" t="s">
        <v>244</v>
      </c>
      <c r="N120" t="s">
        <v>118</v>
      </c>
      <c r="O120" t="s">
        <v>245</v>
      </c>
      <c r="P120" t="s">
        <v>221</v>
      </c>
      <c r="Q120" t="s">
        <v>124</v>
      </c>
      <c r="R120">
        <v>2</v>
      </c>
      <c r="S120">
        <v>51</v>
      </c>
      <c r="T120">
        <v>0</v>
      </c>
      <c r="U120">
        <v>1</v>
      </c>
      <c r="V120">
        <v>1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</row>
    <row r="121" spans="1:37" x14ac:dyDescent="0.3">
      <c r="A121">
        <v>7864</v>
      </c>
      <c r="B121" t="s">
        <v>234</v>
      </c>
      <c r="D121" t="s">
        <v>94</v>
      </c>
      <c r="E121">
        <v>99999999</v>
      </c>
      <c r="F121">
        <v>11111111</v>
      </c>
      <c r="G121">
        <v>1111111111</v>
      </c>
      <c r="H121" t="s">
        <v>3690</v>
      </c>
      <c r="I121">
        <v>99999999</v>
      </c>
      <c r="J121" s="188">
        <v>45238</v>
      </c>
      <c r="K121" t="s">
        <v>3690</v>
      </c>
      <c r="L121" t="s">
        <v>3690</v>
      </c>
      <c r="M121" t="s">
        <v>246</v>
      </c>
      <c r="N121" t="s">
        <v>99</v>
      </c>
      <c r="O121">
        <v>94143</v>
      </c>
      <c r="P121" t="s">
        <v>221</v>
      </c>
      <c r="Q121" t="s">
        <v>124</v>
      </c>
      <c r="R121">
        <v>15</v>
      </c>
      <c r="S121">
        <v>20.222999999999999</v>
      </c>
      <c r="T121">
        <v>0</v>
      </c>
      <c r="U121">
        <v>1</v>
      </c>
      <c r="V121">
        <v>11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15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</row>
    <row r="122" spans="1:37" x14ac:dyDescent="0.3">
      <c r="A122">
        <v>7346</v>
      </c>
      <c r="B122" t="s">
        <v>247</v>
      </c>
      <c r="D122" t="s">
        <v>94</v>
      </c>
      <c r="E122">
        <v>99999999</v>
      </c>
      <c r="F122">
        <v>11111111</v>
      </c>
      <c r="G122">
        <v>1111111111</v>
      </c>
      <c r="H122" t="s">
        <v>3691</v>
      </c>
      <c r="I122">
        <v>99999999</v>
      </c>
      <c r="J122" s="188">
        <v>45237</v>
      </c>
      <c r="K122" t="s">
        <v>3691</v>
      </c>
      <c r="L122" t="s">
        <v>3691</v>
      </c>
      <c r="M122" t="s">
        <v>116</v>
      </c>
      <c r="N122" t="s">
        <v>99</v>
      </c>
      <c r="O122">
        <v>94587</v>
      </c>
      <c r="P122" t="s">
        <v>221</v>
      </c>
      <c r="Q122" t="s">
        <v>82</v>
      </c>
      <c r="R122">
        <v>14</v>
      </c>
      <c r="S122">
        <v>42</v>
      </c>
      <c r="T122">
        <v>0</v>
      </c>
      <c r="U122">
        <v>14</v>
      </c>
      <c r="V122">
        <v>1</v>
      </c>
      <c r="W122">
        <v>137.9</v>
      </c>
      <c r="X122">
        <v>0</v>
      </c>
      <c r="Y122">
        <v>0</v>
      </c>
      <c r="Z122">
        <v>0</v>
      </c>
      <c r="AA122">
        <v>14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</row>
    <row r="123" spans="1:37" x14ac:dyDescent="0.3">
      <c r="A123">
        <v>7484</v>
      </c>
      <c r="B123" t="s">
        <v>33</v>
      </c>
      <c r="D123" t="s">
        <v>248</v>
      </c>
      <c r="E123">
        <v>99999999</v>
      </c>
      <c r="F123">
        <v>11111111</v>
      </c>
      <c r="G123">
        <v>1111111111</v>
      </c>
      <c r="H123" t="s">
        <v>3692</v>
      </c>
      <c r="I123">
        <v>99999999</v>
      </c>
      <c r="J123" s="188">
        <v>45236</v>
      </c>
      <c r="K123" t="s">
        <v>3692</v>
      </c>
      <c r="L123" t="s">
        <v>3692</v>
      </c>
      <c r="M123" t="s">
        <v>249</v>
      </c>
      <c r="N123" t="s">
        <v>164</v>
      </c>
      <c r="O123">
        <v>97477</v>
      </c>
      <c r="P123" t="s">
        <v>221</v>
      </c>
      <c r="Q123" t="s">
        <v>82</v>
      </c>
      <c r="R123">
        <v>1</v>
      </c>
      <c r="S123">
        <v>47.5</v>
      </c>
      <c r="T123">
        <v>0</v>
      </c>
      <c r="U123">
        <v>1</v>
      </c>
      <c r="V123">
        <v>1</v>
      </c>
      <c r="W123">
        <v>42.17</v>
      </c>
      <c r="X123">
        <v>0</v>
      </c>
      <c r="Y123">
        <v>0</v>
      </c>
      <c r="Z123">
        <v>0</v>
      </c>
      <c r="AA123">
        <v>1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</row>
    <row r="124" spans="1:37" x14ac:dyDescent="0.3">
      <c r="A124">
        <v>7484</v>
      </c>
      <c r="B124" t="s">
        <v>33</v>
      </c>
      <c r="D124" t="s">
        <v>248</v>
      </c>
      <c r="E124">
        <v>99999999</v>
      </c>
      <c r="F124">
        <v>11111111</v>
      </c>
      <c r="G124">
        <v>1111111111</v>
      </c>
      <c r="H124" t="s">
        <v>3693</v>
      </c>
      <c r="I124">
        <v>99999999</v>
      </c>
      <c r="J124" s="188">
        <v>45238</v>
      </c>
      <c r="K124" t="s">
        <v>3693</v>
      </c>
      <c r="L124" t="s">
        <v>3693</v>
      </c>
      <c r="M124" t="s">
        <v>170</v>
      </c>
      <c r="N124" t="s">
        <v>99</v>
      </c>
      <c r="O124">
        <v>95691</v>
      </c>
      <c r="P124" t="s">
        <v>221</v>
      </c>
      <c r="Q124" t="s">
        <v>82</v>
      </c>
      <c r="R124">
        <v>1</v>
      </c>
      <c r="S124">
        <v>64.760000000000005</v>
      </c>
      <c r="T124">
        <v>0</v>
      </c>
      <c r="U124">
        <v>1</v>
      </c>
      <c r="V124">
        <v>1</v>
      </c>
      <c r="W124">
        <v>70.64</v>
      </c>
      <c r="X124">
        <v>0</v>
      </c>
      <c r="Y124">
        <v>0</v>
      </c>
      <c r="Z124">
        <v>0</v>
      </c>
      <c r="AA124">
        <v>1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</row>
    <row r="125" spans="1:37" x14ac:dyDescent="0.3">
      <c r="A125">
        <v>7758</v>
      </c>
      <c r="B125" t="s">
        <v>29</v>
      </c>
      <c r="D125" t="s">
        <v>248</v>
      </c>
      <c r="E125">
        <v>99999999</v>
      </c>
      <c r="F125">
        <v>11111111</v>
      </c>
      <c r="G125">
        <v>1111111111</v>
      </c>
      <c r="H125" t="s">
        <v>3694</v>
      </c>
      <c r="I125">
        <v>99999999</v>
      </c>
      <c r="J125" s="188">
        <v>45236</v>
      </c>
      <c r="K125" t="s">
        <v>3694</v>
      </c>
      <c r="L125" t="s">
        <v>3694</v>
      </c>
      <c r="M125" t="s">
        <v>131</v>
      </c>
      <c r="N125" t="s">
        <v>99</v>
      </c>
      <c r="O125" t="s">
        <v>250</v>
      </c>
      <c r="Q125" t="s">
        <v>124</v>
      </c>
      <c r="R125">
        <v>20</v>
      </c>
      <c r="S125">
        <v>12</v>
      </c>
      <c r="T125">
        <v>0</v>
      </c>
      <c r="U125">
        <v>1</v>
      </c>
      <c r="V125">
        <v>1</v>
      </c>
      <c r="W125">
        <v>0</v>
      </c>
      <c r="X125">
        <v>0</v>
      </c>
      <c r="Y125">
        <v>0</v>
      </c>
      <c r="Z125">
        <v>0</v>
      </c>
      <c r="AA125">
        <v>1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</row>
    <row r="126" spans="1:37" x14ac:dyDescent="0.3">
      <c r="A126">
        <v>7346</v>
      </c>
      <c r="B126" t="s">
        <v>247</v>
      </c>
      <c r="D126" t="s">
        <v>251</v>
      </c>
      <c r="E126">
        <v>99999999</v>
      </c>
      <c r="F126">
        <v>11111111</v>
      </c>
      <c r="G126">
        <v>1111111111</v>
      </c>
      <c r="H126" t="s">
        <v>3695</v>
      </c>
      <c r="I126">
        <v>99999999</v>
      </c>
      <c r="J126" s="188">
        <v>45237</v>
      </c>
      <c r="K126" t="s">
        <v>3695</v>
      </c>
      <c r="L126" t="s">
        <v>3695</v>
      </c>
      <c r="M126" t="s">
        <v>202</v>
      </c>
      <c r="N126" t="s">
        <v>135</v>
      </c>
      <c r="O126">
        <v>84104</v>
      </c>
      <c r="P126" t="s">
        <v>221</v>
      </c>
      <c r="Q126" t="s">
        <v>82</v>
      </c>
      <c r="R126">
        <v>1</v>
      </c>
      <c r="S126">
        <v>10</v>
      </c>
      <c r="T126">
        <v>0</v>
      </c>
      <c r="U126">
        <v>1</v>
      </c>
      <c r="V126">
        <v>1</v>
      </c>
      <c r="W126">
        <v>19.45</v>
      </c>
      <c r="X126">
        <v>0</v>
      </c>
      <c r="Y126">
        <v>0</v>
      </c>
      <c r="Z126">
        <v>0</v>
      </c>
      <c r="AA126">
        <v>1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</row>
    <row r="127" spans="1:37" x14ac:dyDescent="0.3">
      <c r="A127">
        <v>7979</v>
      </c>
      <c r="B127" t="s">
        <v>219</v>
      </c>
      <c r="D127" t="s">
        <v>252</v>
      </c>
      <c r="E127">
        <v>99999999</v>
      </c>
      <c r="F127">
        <v>11111111</v>
      </c>
      <c r="G127">
        <v>1111111111</v>
      </c>
      <c r="H127" t="s">
        <v>3696</v>
      </c>
      <c r="I127">
        <v>99999999</v>
      </c>
      <c r="J127" s="188">
        <v>45236</v>
      </c>
      <c r="K127" t="s">
        <v>3696</v>
      </c>
      <c r="L127" t="s">
        <v>3696</v>
      </c>
      <c r="M127" t="s">
        <v>253</v>
      </c>
      <c r="N127" t="s">
        <v>125</v>
      </c>
      <c r="O127" t="s">
        <v>254</v>
      </c>
      <c r="P127" t="s">
        <v>221</v>
      </c>
      <c r="Q127" t="s">
        <v>82</v>
      </c>
      <c r="R127">
        <v>1</v>
      </c>
      <c r="S127">
        <v>0.55000000000000004</v>
      </c>
      <c r="T127">
        <v>0</v>
      </c>
      <c r="U127">
        <v>1</v>
      </c>
      <c r="V127">
        <v>1</v>
      </c>
      <c r="W127">
        <v>135.91999999999999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1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</row>
    <row r="128" spans="1:37" x14ac:dyDescent="0.3">
      <c r="A128">
        <v>7979</v>
      </c>
      <c r="B128" t="s">
        <v>219</v>
      </c>
      <c r="D128" t="s">
        <v>252</v>
      </c>
      <c r="E128">
        <v>99999999</v>
      </c>
      <c r="F128">
        <v>11111111</v>
      </c>
      <c r="G128">
        <v>1111111111</v>
      </c>
      <c r="H128" t="s">
        <v>3697</v>
      </c>
      <c r="I128">
        <v>99999999</v>
      </c>
      <c r="J128" s="188">
        <v>45236</v>
      </c>
      <c r="K128" t="s">
        <v>3697</v>
      </c>
      <c r="L128" t="s">
        <v>3697</v>
      </c>
      <c r="M128" t="s">
        <v>255</v>
      </c>
      <c r="N128" t="s">
        <v>256</v>
      </c>
      <c r="O128" t="s">
        <v>257</v>
      </c>
      <c r="P128" t="s">
        <v>221</v>
      </c>
      <c r="Q128" t="s">
        <v>82</v>
      </c>
      <c r="R128">
        <v>5</v>
      </c>
      <c r="S128">
        <v>1.1100000000000001</v>
      </c>
      <c r="T128">
        <v>0</v>
      </c>
      <c r="U128">
        <v>1</v>
      </c>
      <c r="V128">
        <v>4</v>
      </c>
      <c r="W128">
        <v>144.51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5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</row>
    <row r="129" spans="1:37" x14ac:dyDescent="0.3">
      <c r="A129">
        <v>7979</v>
      </c>
      <c r="B129" t="s">
        <v>219</v>
      </c>
      <c r="D129" t="s">
        <v>252</v>
      </c>
      <c r="E129">
        <v>99999999</v>
      </c>
      <c r="F129">
        <v>11111111</v>
      </c>
      <c r="G129">
        <v>1111111111</v>
      </c>
      <c r="H129" t="s">
        <v>3698</v>
      </c>
      <c r="I129">
        <v>99999999</v>
      </c>
      <c r="J129" s="188">
        <v>45236</v>
      </c>
      <c r="K129" t="s">
        <v>3698</v>
      </c>
      <c r="L129" t="s">
        <v>3698</v>
      </c>
      <c r="M129" t="s">
        <v>258</v>
      </c>
      <c r="N129" t="s">
        <v>91</v>
      </c>
      <c r="O129" t="s">
        <v>259</v>
      </c>
      <c r="P129" t="s">
        <v>221</v>
      </c>
      <c r="Q129" t="s">
        <v>82</v>
      </c>
      <c r="R129">
        <v>1</v>
      </c>
      <c r="S129">
        <v>1.5</v>
      </c>
      <c r="T129">
        <v>0</v>
      </c>
      <c r="U129">
        <v>1</v>
      </c>
      <c r="V129">
        <v>1</v>
      </c>
      <c r="W129">
        <v>107.82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1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</row>
    <row r="130" spans="1:37" x14ac:dyDescent="0.3">
      <c r="A130">
        <v>7979</v>
      </c>
      <c r="B130" t="s">
        <v>219</v>
      </c>
      <c r="D130" t="s">
        <v>252</v>
      </c>
      <c r="E130">
        <v>99999999</v>
      </c>
      <c r="F130">
        <v>11111111</v>
      </c>
      <c r="G130">
        <v>1111111111</v>
      </c>
      <c r="H130" t="s">
        <v>3699</v>
      </c>
      <c r="I130">
        <v>99999999</v>
      </c>
      <c r="J130" s="188">
        <v>45236</v>
      </c>
      <c r="K130" t="s">
        <v>3699</v>
      </c>
      <c r="L130" t="s">
        <v>3699</v>
      </c>
      <c r="M130" t="s">
        <v>260</v>
      </c>
      <c r="N130" t="s">
        <v>130</v>
      </c>
      <c r="O130" t="s">
        <v>261</v>
      </c>
      <c r="P130" t="s">
        <v>221</v>
      </c>
      <c r="Q130" t="s">
        <v>82</v>
      </c>
      <c r="R130">
        <v>2</v>
      </c>
      <c r="S130">
        <v>2.25</v>
      </c>
      <c r="T130">
        <v>0</v>
      </c>
      <c r="U130">
        <v>1</v>
      </c>
      <c r="V130">
        <v>1</v>
      </c>
      <c r="W130">
        <v>130.65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2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</row>
    <row r="131" spans="1:37" x14ac:dyDescent="0.3">
      <c r="A131">
        <v>7979</v>
      </c>
      <c r="B131" t="s">
        <v>219</v>
      </c>
      <c r="D131" t="s">
        <v>252</v>
      </c>
      <c r="E131">
        <v>99999999</v>
      </c>
      <c r="F131">
        <v>11111111</v>
      </c>
      <c r="G131">
        <v>1111111111</v>
      </c>
      <c r="H131" t="s">
        <v>3700</v>
      </c>
      <c r="I131">
        <v>99999999</v>
      </c>
      <c r="J131" s="188">
        <v>45236</v>
      </c>
      <c r="K131" t="s">
        <v>3700</v>
      </c>
      <c r="L131" t="s">
        <v>3700</v>
      </c>
      <c r="M131" t="s">
        <v>262</v>
      </c>
      <c r="N131" t="s">
        <v>130</v>
      </c>
      <c r="O131" t="s">
        <v>263</v>
      </c>
      <c r="P131" t="s">
        <v>221</v>
      </c>
      <c r="Q131" t="s">
        <v>82</v>
      </c>
      <c r="R131">
        <v>2</v>
      </c>
      <c r="S131">
        <v>14.52</v>
      </c>
      <c r="T131">
        <v>0</v>
      </c>
      <c r="U131">
        <v>1</v>
      </c>
      <c r="V131">
        <v>2</v>
      </c>
      <c r="W131">
        <v>269.69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2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</row>
    <row r="132" spans="1:37" x14ac:dyDescent="0.3">
      <c r="A132">
        <v>7979</v>
      </c>
      <c r="B132" t="s">
        <v>219</v>
      </c>
      <c r="D132" t="s">
        <v>252</v>
      </c>
      <c r="E132">
        <v>99999999</v>
      </c>
      <c r="F132">
        <v>11111111</v>
      </c>
      <c r="G132">
        <v>1111111111</v>
      </c>
      <c r="H132" t="s">
        <v>3701</v>
      </c>
      <c r="I132">
        <v>99999999</v>
      </c>
      <c r="J132" s="188">
        <v>45236</v>
      </c>
      <c r="K132" t="s">
        <v>3701</v>
      </c>
      <c r="L132" t="s">
        <v>3701</v>
      </c>
      <c r="M132" t="s">
        <v>264</v>
      </c>
      <c r="N132" t="s">
        <v>265</v>
      </c>
      <c r="O132" t="s">
        <v>266</v>
      </c>
      <c r="P132" t="s">
        <v>221</v>
      </c>
      <c r="Q132" t="s">
        <v>82</v>
      </c>
      <c r="R132">
        <v>1</v>
      </c>
      <c r="S132">
        <v>0.5</v>
      </c>
      <c r="T132">
        <v>0</v>
      </c>
      <c r="U132">
        <v>1</v>
      </c>
      <c r="V132">
        <v>1</v>
      </c>
      <c r="W132">
        <v>122.36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1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</row>
    <row r="133" spans="1:37" x14ac:dyDescent="0.3">
      <c r="A133">
        <v>7979</v>
      </c>
      <c r="B133" t="s">
        <v>219</v>
      </c>
      <c r="D133" t="s">
        <v>252</v>
      </c>
      <c r="E133">
        <v>99999999</v>
      </c>
      <c r="F133">
        <v>11111111</v>
      </c>
      <c r="G133">
        <v>1111111111</v>
      </c>
      <c r="H133" t="s">
        <v>3702</v>
      </c>
      <c r="I133">
        <v>99999999</v>
      </c>
      <c r="J133" s="188">
        <v>45237</v>
      </c>
      <c r="K133" t="s">
        <v>3702</v>
      </c>
      <c r="L133" t="s">
        <v>3702</v>
      </c>
      <c r="M133" t="s">
        <v>267</v>
      </c>
      <c r="N133" t="s">
        <v>99</v>
      </c>
      <c r="O133" t="s">
        <v>268</v>
      </c>
      <c r="P133" t="s">
        <v>221</v>
      </c>
      <c r="Q133" t="s">
        <v>82</v>
      </c>
      <c r="R133">
        <v>1</v>
      </c>
      <c r="S133">
        <v>0.8</v>
      </c>
      <c r="T133">
        <v>0</v>
      </c>
      <c r="U133">
        <v>1</v>
      </c>
      <c r="V133">
        <v>1</v>
      </c>
      <c r="W133">
        <v>130.65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1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</row>
    <row r="134" spans="1:37" x14ac:dyDescent="0.3">
      <c r="A134">
        <v>7979</v>
      </c>
      <c r="B134" t="s">
        <v>219</v>
      </c>
      <c r="D134" t="s">
        <v>252</v>
      </c>
      <c r="E134">
        <v>99999999</v>
      </c>
      <c r="F134">
        <v>11111111</v>
      </c>
      <c r="G134">
        <v>1111111111</v>
      </c>
      <c r="H134" t="s">
        <v>3703</v>
      </c>
      <c r="I134">
        <v>99999999</v>
      </c>
      <c r="J134" s="188">
        <v>45238</v>
      </c>
      <c r="K134" t="s">
        <v>3703</v>
      </c>
      <c r="L134" t="s">
        <v>3703</v>
      </c>
      <c r="M134" t="s">
        <v>269</v>
      </c>
      <c r="N134" t="s">
        <v>99</v>
      </c>
      <c r="O134" t="s">
        <v>270</v>
      </c>
      <c r="P134" t="s">
        <v>221</v>
      </c>
      <c r="Q134" t="s">
        <v>82</v>
      </c>
      <c r="R134">
        <v>2</v>
      </c>
      <c r="S134">
        <v>2.17</v>
      </c>
      <c r="T134">
        <v>0</v>
      </c>
      <c r="U134">
        <v>1</v>
      </c>
      <c r="V134">
        <v>2</v>
      </c>
      <c r="W134">
        <v>109.49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2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</row>
    <row r="135" spans="1:37" x14ac:dyDescent="0.3">
      <c r="A135">
        <v>7979</v>
      </c>
      <c r="B135" t="s">
        <v>219</v>
      </c>
      <c r="D135" t="s">
        <v>252</v>
      </c>
      <c r="E135">
        <v>99999999</v>
      </c>
      <c r="F135">
        <v>11111111</v>
      </c>
      <c r="G135">
        <v>1111111111</v>
      </c>
      <c r="H135" t="s">
        <v>3704</v>
      </c>
      <c r="I135">
        <v>99999999</v>
      </c>
      <c r="J135" s="188">
        <v>45238</v>
      </c>
      <c r="K135" t="s">
        <v>3704</v>
      </c>
      <c r="L135" t="s">
        <v>3704</v>
      </c>
      <c r="M135" t="s">
        <v>271</v>
      </c>
      <c r="N135" t="s">
        <v>99</v>
      </c>
      <c r="O135" t="s">
        <v>272</v>
      </c>
      <c r="P135" t="s">
        <v>221</v>
      </c>
      <c r="Q135" t="s">
        <v>82</v>
      </c>
      <c r="R135">
        <v>2</v>
      </c>
      <c r="S135">
        <v>2.1</v>
      </c>
      <c r="T135">
        <v>0</v>
      </c>
      <c r="U135">
        <v>1</v>
      </c>
      <c r="V135">
        <v>2</v>
      </c>
      <c r="W135">
        <v>79.349999999999994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2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</row>
    <row r="136" spans="1:37" x14ac:dyDescent="0.3">
      <c r="A136">
        <v>7979</v>
      </c>
      <c r="B136" t="s">
        <v>219</v>
      </c>
      <c r="D136" t="s">
        <v>252</v>
      </c>
      <c r="E136">
        <v>99999999</v>
      </c>
      <c r="F136">
        <v>11111111</v>
      </c>
      <c r="G136">
        <v>1111111111</v>
      </c>
      <c r="H136" t="s">
        <v>3705</v>
      </c>
      <c r="I136">
        <v>99999999</v>
      </c>
      <c r="J136" s="188">
        <v>45238</v>
      </c>
      <c r="K136" t="s">
        <v>3705</v>
      </c>
      <c r="L136" t="s">
        <v>3705</v>
      </c>
      <c r="M136" t="s">
        <v>273</v>
      </c>
      <c r="N136" t="s">
        <v>164</v>
      </c>
      <c r="O136">
        <v>97540</v>
      </c>
      <c r="P136" t="s">
        <v>221</v>
      </c>
      <c r="Q136" t="s">
        <v>82</v>
      </c>
      <c r="R136">
        <v>3</v>
      </c>
      <c r="S136">
        <v>0.96</v>
      </c>
      <c r="T136">
        <v>0</v>
      </c>
      <c r="U136">
        <v>1</v>
      </c>
      <c r="V136">
        <v>1</v>
      </c>
      <c r="W136">
        <v>78.72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3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</row>
    <row r="137" spans="1:37" x14ac:dyDescent="0.3">
      <c r="A137">
        <v>7979</v>
      </c>
      <c r="B137" t="s">
        <v>219</v>
      </c>
      <c r="D137" t="s">
        <v>274</v>
      </c>
      <c r="E137">
        <v>99999999</v>
      </c>
      <c r="F137">
        <v>11111111</v>
      </c>
      <c r="G137">
        <v>1111111111</v>
      </c>
      <c r="H137" t="s">
        <v>3706</v>
      </c>
      <c r="I137">
        <v>99999999</v>
      </c>
      <c r="J137" s="188">
        <v>45236</v>
      </c>
      <c r="K137" t="s">
        <v>3706</v>
      </c>
      <c r="L137" t="s">
        <v>3706</v>
      </c>
      <c r="M137" t="s">
        <v>275</v>
      </c>
      <c r="N137" t="s">
        <v>135</v>
      </c>
      <c r="O137" t="s">
        <v>276</v>
      </c>
      <c r="P137" t="s">
        <v>221</v>
      </c>
      <c r="Q137" t="s">
        <v>82</v>
      </c>
      <c r="R137">
        <v>1</v>
      </c>
      <c r="S137">
        <v>0.1</v>
      </c>
      <c r="T137">
        <v>0</v>
      </c>
      <c r="U137">
        <v>1</v>
      </c>
      <c r="V137">
        <v>1</v>
      </c>
      <c r="W137">
        <v>36.01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</row>
    <row r="138" spans="1:37" x14ac:dyDescent="0.3">
      <c r="A138">
        <v>7979</v>
      </c>
      <c r="B138" t="s">
        <v>219</v>
      </c>
      <c r="D138" t="s">
        <v>274</v>
      </c>
      <c r="E138">
        <v>99999999</v>
      </c>
      <c r="F138">
        <v>11111111</v>
      </c>
      <c r="G138">
        <v>1111111111</v>
      </c>
      <c r="H138" t="s">
        <v>3707</v>
      </c>
      <c r="I138">
        <v>99999999</v>
      </c>
      <c r="J138" s="188">
        <v>45236</v>
      </c>
      <c r="K138" t="s">
        <v>3707</v>
      </c>
      <c r="L138" t="s">
        <v>3707</v>
      </c>
      <c r="M138" t="s">
        <v>277</v>
      </c>
      <c r="N138" t="s">
        <v>256</v>
      </c>
      <c r="O138">
        <v>96744</v>
      </c>
      <c r="P138" t="s">
        <v>221</v>
      </c>
      <c r="Q138" t="s">
        <v>82</v>
      </c>
      <c r="R138">
        <v>1</v>
      </c>
      <c r="S138">
        <v>5.4</v>
      </c>
      <c r="T138">
        <v>0</v>
      </c>
      <c r="U138">
        <v>1</v>
      </c>
      <c r="V138">
        <v>1</v>
      </c>
      <c r="W138">
        <v>113.7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</row>
    <row r="139" spans="1:37" x14ac:dyDescent="0.3">
      <c r="A139">
        <v>7979</v>
      </c>
      <c r="B139" t="s">
        <v>219</v>
      </c>
      <c r="D139" t="s">
        <v>274</v>
      </c>
      <c r="E139">
        <v>99999999</v>
      </c>
      <c r="F139">
        <v>11111111</v>
      </c>
      <c r="G139">
        <v>1111111111</v>
      </c>
      <c r="H139" t="s">
        <v>3708</v>
      </c>
      <c r="I139">
        <v>99999999</v>
      </c>
      <c r="J139" s="188">
        <v>45236</v>
      </c>
      <c r="K139" t="s">
        <v>3708</v>
      </c>
      <c r="L139" t="s">
        <v>3708</v>
      </c>
      <c r="M139" t="s">
        <v>278</v>
      </c>
      <c r="N139" t="s">
        <v>99</v>
      </c>
      <c r="O139" t="s">
        <v>279</v>
      </c>
      <c r="P139" t="s">
        <v>221</v>
      </c>
      <c r="Q139" t="s">
        <v>82</v>
      </c>
      <c r="R139">
        <v>2</v>
      </c>
      <c r="S139">
        <v>0.68</v>
      </c>
      <c r="T139">
        <v>0</v>
      </c>
      <c r="U139">
        <v>1</v>
      </c>
      <c r="V139">
        <v>1</v>
      </c>
      <c r="W139">
        <v>37.14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2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</row>
    <row r="140" spans="1:37" x14ac:dyDescent="0.3">
      <c r="A140">
        <v>7979</v>
      </c>
      <c r="B140" t="s">
        <v>219</v>
      </c>
      <c r="D140" t="s">
        <v>274</v>
      </c>
      <c r="E140">
        <v>99999999</v>
      </c>
      <c r="F140">
        <v>11111111</v>
      </c>
      <c r="G140">
        <v>1111111111</v>
      </c>
      <c r="H140" t="s">
        <v>3709</v>
      </c>
      <c r="I140">
        <v>99999999</v>
      </c>
      <c r="J140" s="188">
        <v>45236</v>
      </c>
      <c r="K140" t="s">
        <v>3709</v>
      </c>
      <c r="L140" t="s">
        <v>3709</v>
      </c>
      <c r="M140" t="s">
        <v>280</v>
      </c>
      <c r="N140" t="s">
        <v>197</v>
      </c>
      <c r="O140" t="s">
        <v>281</v>
      </c>
      <c r="P140" t="s">
        <v>221</v>
      </c>
      <c r="Q140" t="s">
        <v>82</v>
      </c>
      <c r="R140">
        <v>1</v>
      </c>
      <c r="S140">
        <v>10</v>
      </c>
      <c r="T140">
        <v>0</v>
      </c>
      <c r="U140">
        <v>1</v>
      </c>
      <c r="V140">
        <v>1</v>
      </c>
      <c r="W140">
        <v>131.25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1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</row>
    <row r="141" spans="1:37" x14ac:dyDescent="0.3">
      <c r="A141">
        <v>7979</v>
      </c>
      <c r="B141" t="s">
        <v>219</v>
      </c>
      <c r="D141" t="s">
        <v>274</v>
      </c>
      <c r="E141">
        <v>99999999</v>
      </c>
      <c r="F141">
        <v>11111111</v>
      </c>
      <c r="G141">
        <v>1111111111</v>
      </c>
      <c r="H141" t="s">
        <v>3710</v>
      </c>
      <c r="I141">
        <v>99999999</v>
      </c>
      <c r="J141" s="188">
        <v>45236</v>
      </c>
      <c r="K141" t="s">
        <v>3710</v>
      </c>
      <c r="L141" t="s">
        <v>3710</v>
      </c>
      <c r="M141" t="s">
        <v>282</v>
      </c>
      <c r="N141" t="s">
        <v>197</v>
      </c>
      <c r="O141" t="s">
        <v>283</v>
      </c>
      <c r="P141" t="s">
        <v>221</v>
      </c>
      <c r="Q141" t="s">
        <v>82</v>
      </c>
      <c r="R141">
        <v>1</v>
      </c>
      <c r="S141">
        <v>2</v>
      </c>
      <c r="T141">
        <v>0</v>
      </c>
      <c r="U141">
        <v>1</v>
      </c>
      <c r="V141">
        <v>1</v>
      </c>
      <c r="W141">
        <v>59.84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</row>
    <row r="142" spans="1:37" x14ac:dyDescent="0.3">
      <c r="A142">
        <v>7979</v>
      </c>
      <c r="B142" t="s">
        <v>219</v>
      </c>
      <c r="D142" t="s">
        <v>274</v>
      </c>
      <c r="E142">
        <v>99999999</v>
      </c>
      <c r="F142">
        <v>11111111</v>
      </c>
      <c r="G142">
        <v>1111111111</v>
      </c>
      <c r="H142" t="s">
        <v>3711</v>
      </c>
      <c r="I142">
        <v>99999999</v>
      </c>
      <c r="J142" s="188">
        <v>45236</v>
      </c>
      <c r="K142" t="s">
        <v>3711</v>
      </c>
      <c r="L142" t="s">
        <v>3711</v>
      </c>
      <c r="M142" t="s">
        <v>284</v>
      </c>
      <c r="N142" t="s">
        <v>231</v>
      </c>
      <c r="O142">
        <v>2557</v>
      </c>
      <c r="P142" t="s">
        <v>221</v>
      </c>
      <c r="Q142" t="s">
        <v>82</v>
      </c>
      <c r="R142">
        <v>1</v>
      </c>
      <c r="S142">
        <v>3</v>
      </c>
      <c r="T142">
        <v>0</v>
      </c>
      <c r="U142">
        <v>1</v>
      </c>
      <c r="V142">
        <v>1</v>
      </c>
      <c r="W142">
        <v>76.95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1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</row>
    <row r="143" spans="1:37" x14ac:dyDescent="0.3">
      <c r="A143">
        <v>7979</v>
      </c>
      <c r="B143" t="s">
        <v>219</v>
      </c>
      <c r="D143" t="s">
        <v>274</v>
      </c>
      <c r="E143">
        <v>99999999</v>
      </c>
      <c r="F143">
        <v>11111111</v>
      </c>
      <c r="G143">
        <v>1111111111</v>
      </c>
      <c r="H143" t="s">
        <v>3712</v>
      </c>
      <c r="I143">
        <v>99999999</v>
      </c>
      <c r="J143" s="188">
        <v>45236</v>
      </c>
      <c r="K143" t="s">
        <v>3712</v>
      </c>
      <c r="L143" t="s">
        <v>3712</v>
      </c>
      <c r="M143" t="s">
        <v>285</v>
      </c>
      <c r="N143" t="s">
        <v>99</v>
      </c>
      <c r="O143" t="s">
        <v>286</v>
      </c>
      <c r="P143" t="s">
        <v>221</v>
      </c>
      <c r="Q143" t="s">
        <v>82</v>
      </c>
      <c r="R143">
        <v>4</v>
      </c>
      <c r="S143">
        <v>2.2559999999999998</v>
      </c>
      <c r="T143">
        <v>0</v>
      </c>
      <c r="U143">
        <v>1</v>
      </c>
      <c r="V143">
        <v>2</v>
      </c>
      <c r="W143">
        <v>45.44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4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</row>
    <row r="144" spans="1:37" x14ac:dyDescent="0.3">
      <c r="A144">
        <v>7979</v>
      </c>
      <c r="B144" t="s">
        <v>219</v>
      </c>
      <c r="D144" t="s">
        <v>274</v>
      </c>
      <c r="E144">
        <v>99999999</v>
      </c>
      <c r="F144">
        <v>11111111</v>
      </c>
      <c r="G144">
        <v>1111111111</v>
      </c>
      <c r="H144" t="s">
        <v>3713</v>
      </c>
      <c r="I144">
        <v>99999999</v>
      </c>
      <c r="J144" s="188">
        <v>45236</v>
      </c>
      <c r="K144" t="s">
        <v>3713</v>
      </c>
      <c r="L144" t="s">
        <v>3713</v>
      </c>
      <c r="M144" t="s">
        <v>200</v>
      </c>
      <c r="N144" t="s">
        <v>201</v>
      </c>
      <c r="O144">
        <v>99501</v>
      </c>
      <c r="P144" t="s">
        <v>221</v>
      </c>
      <c r="Q144" t="s">
        <v>82</v>
      </c>
      <c r="R144">
        <v>2</v>
      </c>
      <c r="S144">
        <v>3.4</v>
      </c>
      <c r="T144">
        <v>0</v>
      </c>
      <c r="U144">
        <v>1</v>
      </c>
      <c r="V144">
        <v>2</v>
      </c>
      <c r="W144">
        <v>94.46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2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</row>
    <row r="145" spans="1:37" x14ac:dyDescent="0.3">
      <c r="A145">
        <v>7979</v>
      </c>
      <c r="B145" t="s">
        <v>219</v>
      </c>
      <c r="D145" t="s">
        <v>274</v>
      </c>
      <c r="E145">
        <v>99999999</v>
      </c>
      <c r="F145">
        <v>11111111</v>
      </c>
      <c r="G145">
        <v>1111111111</v>
      </c>
      <c r="H145" t="s">
        <v>3714</v>
      </c>
      <c r="I145">
        <v>99999999</v>
      </c>
      <c r="J145" s="188">
        <v>45236</v>
      </c>
      <c r="K145" t="s">
        <v>3714</v>
      </c>
      <c r="L145" t="s">
        <v>3714</v>
      </c>
      <c r="M145" t="s">
        <v>287</v>
      </c>
      <c r="N145" t="s">
        <v>256</v>
      </c>
      <c r="O145" t="s">
        <v>288</v>
      </c>
      <c r="P145" t="s">
        <v>221</v>
      </c>
      <c r="Q145" t="s">
        <v>82</v>
      </c>
      <c r="R145">
        <v>2</v>
      </c>
      <c r="S145">
        <v>0.65</v>
      </c>
      <c r="T145">
        <v>0</v>
      </c>
      <c r="U145">
        <v>1</v>
      </c>
      <c r="V145">
        <v>2</v>
      </c>
      <c r="W145">
        <v>118.16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2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</row>
    <row r="146" spans="1:37" x14ac:dyDescent="0.3">
      <c r="A146">
        <v>7979</v>
      </c>
      <c r="B146" t="s">
        <v>219</v>
      </c>
      <c r="D146" t="s">
        <v>274</v>
      </c>
      <c r="E146">
        <v>99999999</v>
      </c>
      <c r="F146">
        <v>11111111</v>
      </c>
      <c r="G146">
        <v>1111111111</v>
      </c>
      <c r="H146" t="s">
        <v>3715</v>
      </c>
      <c r="I146">
        <v>99999999</v>
      </c>
      <c r="J146" s="188">
        <v>45236</v>
      </c>
      <c r="K146" t="s">
        <v>3715</v>
      </c>
      <c r="L146" t="s">
        <v>3715</v>
      </c>
      <c r="M146" t="s">
        <v>200</v>
      </c>
      <c r="N146" t="s">
        <v>201</v>
      </c>
      <c r="O146" t="s">
        <v>289</v>
      </c>
      <c r="P146" t="s">
        <v>221</v>
      </c>
      <c r="Q146" t="s">
        <v>82</v>
      </c>
      <c r="R146">
        <v>1</v>
      </c>
      <c r="S146">
        <v>1.8</v>
      </c>
      <c r="T146">
        <v>0</v>
      </c>
      <c r="U146">
        <v>1</v>
      </c>
      <c r="V146">
        <v>1</v>
      </c>
      <c r="W146">
        <v>89.09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1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</row>
    <row r="147" spans="1:37" x14ac:dyDescent="0.3">
      <c r="A147">
        <v>7979</v>
      </c>
      <c r="B147" t="s">
        <v>219</v>
      </c>
      <c r="D147" t="s">
        <v>274</v>
      </c>
      <c r="E147">
        <v>99999999</v>
      </c>
      <c r="F147">
        <v>11111111</v>
      </c>
      <c r="G147">
        <v>1111111111</v>
      </c>
      <c r="H147" t="s">
        <v>3716</v>
      </c>
      <c r="I147">
        <v>99999999</v>
      </c>
      <c r="J147" s="188">
        <v>45236</v>
      </c>
      <c r="K147" t="s">
        <v>3716</v>
      </c>
      <c r="L147" t="s">
        <v>3716</v>
      </c>
      <c r="M147" t="s">
        <v>290</v>
      </c>
      <c r="N147" t="s">
        <v>141</v>
      </c>
      <c r="O147" t="s">
        <v>291</v>
      </c>
      <c r="P147" t="s">
        <v>221</v>
      </c>
      <c r="Q147" t="s">
        <v>82</v>
      </c>
      <c r="R147">
        <v>1</v>
      </c>
      <c r="S147">
        <v>0.56299999999999994</v>
      </c>
      <c r="T147">
        <v>0</v>
      </c>
      <c r="U147">
        <v>1</v>
      </c>
      <c r="V147">
        <v>1</v>
      </c>
      <c r="W147">
        <v>60.64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1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</row>
    <row r="148" spans="1:37" x14ac:dyDescent="0.3">
      <c r="A148">
        <v>7979</v>
      </c>
      <c r="B148" t="s">
        <v>219</v>
      </c>
      <c r="D148" t="s">
        <v>274</v>
      </c>
      <c r="E148">
        <v>99999999</v>
      </c>
      <c r="F148">
        <v>11111111</v>
      </c>
      <c r="G148">
        <v>1111111111</v>
      </c>
      <c r="H148" t="s">
        <v>3717</v>
      </c>
      <c r="I148">
        <v>99999999</v>
      </c>
      <c r="J148" s="188">
        <v>45236</v>
      </c>
      <c r="K148" t="s">
        <v>3717</v>
      </c>
      <c r="L148" t="s">
        <v>3717</v>
      </c>
      <c r="M148" t="s">
        <v>253</v>
      </c>
      <c r="N148" t="s">
        <v>292</v>
      </c>
      <c r="O148" t="s">
        <v>293</v>
      </c>
      <c r="P148" t="s">
        <v>221</v>
      </c>
      <c r="Q148" t="s">
        <v>82</v>
      </c>
      <c r="R148">
        <v>1</v>
      </c>
      <c r="S148">
        <v>6</v>
      </c>
      <c r="T148">
        <v>0</v>
      </c>
      <c r="U148">
        <v>1</v>
      </c>
      <c r="V148">
        <v>1</v>
      </c>
      <c r="W148">
        <v>93.99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</row>
    <row r="149" spans="1:37" x14ac:dyDescent="0.3">
      <c r="A149">
        <v>7979</v>
      </c>
      <c r="B149" t="s">
        <v>219</v>
      </c>
      <c r="D149" t="s">
        <v>274</v>
      </c>
      <c r="E149">
        <v>99999999</v>
      </c>
      <c r="F149">
        <v>11111111</v>
      </c>
      <c r="G149">
        <v>1111111111</v>
      </c>
      <c r="H149" t="s">
        <v>3718</v>
      </c>
      <c r="I149">
        <v>99999999</v>
      </c>
      <c r="J149" s="188">
        <v>45236</v>
      </c>
      <c r="K149" t="s">
        <v>3718</v>
      </c>
      <c r="L149" t="s">
        <v>3718</v>
      </c>
      <c r="M149" t="s">
        <v>294</v>
      </c>
      <c r="N149" t="s">
        <v>201</v>
      </c>
      <c r="O149" t="s">
        <v>295</v>
      </c>
      <c r="P149" t="s">
        <v>221</v>
      </c>
      <c r="Q149" t="s">
        <v>82</v>
      </c>
      <c r="R149">
        <v>4</v>
      </c>
      <c r="S149">
        <v>35.64</v>
      </c>
      <c r="T149">
        <v>0</v>
      </c>
      <c r="U149">
        <v>1</v>
      </c>
      <c r="V149">
        <v>2</v>
      </c>
      <c r="W149">
        <v>414.32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4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</row>
    <row r="150" spans="1:37" x14ac:dyDescent="0.3">
      <c r="A150">
        <v>7979</v>
      </c>
      <c r="B150" t="s">
        <v>219</v>
      </c>
      <c r="D150" t="s">
        <v>274</v>
      </c>
      <c r="E150">
        <v>99999999</v>
      </c>
      <c r="F150">
        <v>11111111</v>
      </c>
      <c r="G150">
        <v>1111111111</v>
      </c>
      <c r="H150" t="s">
        <v>3719</v>
      </c>
      <c r="I150">
        <v>99999999</v>
      </c>
      <c r="J150" s="188">
        <v>45236</v>
      </c>
      <c r="K150" t="s">
        <v>3719</v>
      </c>
      <c r="L150" t="s">
        <v>3719</v>
      </c>
      <c r="M150" t="s">
        <v>129</v>
      </c>
      <c r="N150" t="s">
        <v>130</v>
      </c>
      <c r="O150" t="s">
        <v>296</v>
      </c>
      <c r="P150" t="s">
        <v>221</v>
      </c>
      <c r="Q150" t="s">
        <v>82</v>
      </c>
      <c r="R150">
        <v>1</v>
      </c>
      <c r="S150">
        <v>0.53</v>
      </c>
      <c r="T150">
        <v>0</v>
      </c>
      <c r="U150">
        <v>1</v>
      </c>
      <c r="V150">
        <v>1</v>
      </c>
      <c r="W150">
        <v>43.6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</row>
    <row r="151" spans="1:37" x14ac:dyDescent="0.3">
      <c r="A151">
        <v>7979</v>
      </c>
      <c r="B151" t="s">
        <v>219</v>
      </c>
      <c r="D151" t="s">
        <v>274</v>
      </c>
      <c r="E151">
        <v>99999999</v>
      </c>
      <c r="F151">
        <v>11111111</v>
      </c>
      <c r="G151">
        <v>1111111111</v>
      </c>
      <c r="H151" t="s">
        <v>3720</v>
      </c>
      <c r="I151">
        <v>99999999</v>
      </c>
      <c r="J151" s="188">
        <v>45237</v>
      </c>
      <c r="K151" t="s">
        <v>3720</v>
      </c>
      <c r="L151" t="s">
        <v>3720</v>
      </c>
      <c r="M151" t="s">
        <v>297</v>
      </c>
      <c r="N151" t="s">
        <v>197</v>
      </c>
      <c r="O151" t="s">
        <v>298</v>
      </c>
      <c r="P151" t="s">
        <v>221</v>
      </c>
      <c r="Q151" t="s">
        <v>82</v>
      </c>
      <c r="R151">
        <v>1</v>
      </c>
      <c r="S151">
        <v>0.52</v>
      </c>
      <c r="T151">
        <v>0</v>
      </c>
      <c r="U151">
        <v>1</v>
      </c>
      <c r="V151">
        <v>1</v>
      </c>
      <c r="W151">
        <v>52.96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</row>
    <row r="152" spans="1:37" x14ac:dyDescent="0.3">
      <c r="A152">
        <v>7979</v>
      </c>
      <c r="B152" t="s">
        <v>219</v>
      </c>
      <c r="D152" t="s">
        <v>274</v>
      </c>
      <c r="E152">
        <v>99999999</v>
      </c>
      <c r="F152">
        <v>11111111</v>
      </c>
      <c r="G152">
        <v>1111111111</v>
      </c>
      <c r="H152" t="s">
        <v>3721</v>
      </c>
      <c r="I152">
        <v>99999999</v>
      </c>
      <c r="J152" s="188">
        <v>45237</v>
      </c>
      <c r="K152" t="s">
        <v>3721</v>
      </c>
      <c r="L152" t="s">
        <v>3721</v>
      </c>
      <c r="M152" t="s">
        <v>84</v>
      </c>
      <c r="N152" t="s">
        <v>85</v>
      </c>
      <c r="O152" t="s">
        <v>299</v>
      </c>
      <c r="P152" t="s">
        <v>221</v>
      </c>
      <c r="Q152" t="s">
        <v>82</v>
      </c>
      <c r="R152">
        <v>3</v>
      </c>
      <c r="S152">
        <v>0.98</v>
      </c>
      <c r="T152">
        <v>0</v>
      </c>
      <c r="U152">
        <v>1</v>
      </c>
      <c r="V152">
        <v>2</v>
      </c>
      <c r="W152">
        <v>34.51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3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</row>
    <row r="153" spans="1:37" x14ac:dyDescent="0.3">
      <c r="A153">
        <v>7979</v>
      </c>
      <c r="B153" t="s">
        <v>219</v>
      </c>
      <c r="D153" t="s">
        <v>274</v>
      </c>
      <c r="E153">
        <v>99999999</v>
      </c>
      <c r="F153">
        <v>11111111</v>
      </c>
      <c r="G153">
        <v>1111111111</v>
      </c>
      <c r="H153" t="s">
        <v>3722</v>
      </c>
      <c r="I153">
        <v>99999999</v>
      </c>
      <c r="J153" s="188">
        <v>45237</v>
      </c>
      <c r="K153" t="s">
        <v>3722</v>
      </c>
      <c r="L153" t="s">
        <v>3722</v>
      </c>
      <c r="M153" t="s">
        <v>300</v>
      </c>
      <c r="N153" t="s">
        <v>201</v>
      </c>
      <c r="O153" t="s">
        <v>301</v>
      </c>
      <c r="P153" t="s">
        <v>221</v>
      </c>
      <c r="Q153" t="s">
        <v>82</v>
      </c>
      <c r="R153">
        <v>2</v>
      </c>
      <c r="S153">
        <v>23</v>
      </c>
      <c r="T153">
        <v>0</v>
      </c>
      <c r="U153">
        <v>1</v>
      </c>
      <c r="V153">
        <v>1</v>
      </c>
      <c r="W153">
        <v>244.18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2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</row>
    <row r="154" spans="1:37" x14ac:dyDescent="0.3">
      <c r="A154">
        <v>7979</v>
      </c>
      <c r="B154" t="s">
        <v>219</v>
      </c>
      <c r="D154" t="s">
        <v>274</v>
      </c>
      <c r="E154">
        <v>99999999</v>
      </c>
      <c r="F154">
        <v>11111111</v>
      </c>
      <c r="G154">
        <v>1111111111</v>
      </c>
      <c r="H154" t="s">
        <v>3723</v>
      </c>
      <c r="I154">
        <v>99999999</v>
      </c>
      <c r="J154" s="188">
        <v>45237</v>
      </c>
      <c r="K154" t="s">
        <v>3723</v>
      </c>
      <c r="L154" t="s">
        <v>3723</v>
      </c>
      <c r="M154" t="s">
        <v>302</v>
      </c>
      <c r="N154" t="s">
        <v>233</v>
      </c>
      <c r="O154" t="s">
        <v>303</v>
      </c>
      <c r="P154" t="s">
        <v>221</v>
      </c>
      <c r="Q154" t="s">
        <v>82</v>
      </c>
      <c r="R154">
        <v>1</v>
      </c>
      <c r="S154">
        <v>0.85</v>
      </c>
      <c r="T154">
        <v>0</v>
      </c>
      <c r="U154">
        <v>1</v>
      </c>
      <c r="V154">
        <v>1</v>
      </c>
      <c r="W154">
        <v>60.64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1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</row>
    <row r="155" spans="1:37" x14ac:dyDescent="0.3">
      <c r="A155">
        <v>7979</v>
      </c>
      <c r="B155" t="s">
        <v>219</v>
      </c>
      <c r="D155" t="s">
        <v>274</v>
      </c>
      <c r="E155">
        <v>99999999</v>
      </c>
      <c r="F155">
        <v>11111111</v>
      </c>
      <c r="G155">
        <v>1111111111</v>
      </c>
      <c r="H155" t="s">
        <v>3724</v>
      </c>
      <c r="I155">
        <v>99999999</v>
      </c>
      <c r="J155" s="188">
        <v>45237</v>
      </c>
      <c r="K155" t="s">
        <v>3724</v>
      </c>
      <c r="L155" t="s">
        <v>3724</v>
      </c>
      <c r="M155" t="s">
        <v>304</v>
      </c>
      <c r="N155" t="s">
        <v>151</v>
      </c>
      <c r="O155" t="s">
        <v>305</v>
      </c>
      <c r="P155" t="s">
        <v>221</v>
      </c>
      <c r="Q155" t="s">
        <v>82</v>
      </c>
      <c r="R155">
        <v>1</v>
      </c>
      <c r="S155">
        <v>1.8</v>
      </c>
      <c r="T155">
        <v>0</v>
      </c>
      <c r="U155">
        <v>1</v>
      </c>
      <c r="V155">
        <v>1</v>
      </c>
      <c r="W155">
        <v>76.97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1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</row>
    <row r="156" spans="1:37" x14ac:dyDescent="0.3">
      <c r="A156">
        <v>7979</v>
      </c>
      <c r="B156" t="s">
        <v>219</v>
      </c>
      <c r="D156" t="s">
        <v>274</v>
      </c>
      <c r="E156">
        <v>99999999</v>
      </c>
      <c r="F156">
        <v>11111111</v>
      </c>
      <c r="G156">
        <v>1111111111</v>
      </c>
      <c r="H156" t="s">
        <v>3725</v>
      </c>
      <c r="I156">
        <v>99999999</v>
      </c>
      <c r="J156" s="188">
        <v>45237</v>
      </c>
      <c r="K156" t="s">
        <v>3725</v>
      </c>
      <c r="L156" t="s">
        <v>3725</v>
      </c>
      <c r="M156" t="s">
        <v>306</v>
      </c>
      <c r="N156" t="s">
        <v>307</v>
      </c>
      <c r="O156" t="s">
        <v>308</v>
      </c>
      <c r="P156" t="s">
        <v>221</v>
      </c>
      <c r="Q156" t="s">
        <v>82</v>
      </c>
      <c r="R156">
        <v>3</v>
      </c>
      <c r="S156">
        <v>9</v>
      </c>
      <c r="T156">
        <v>0</v>
      </c>
      <c r="U156">
        <v>1</v>
      </c>
      <c r="V156">
        <v>1</v>
      </c>
      <c r="W156">
        <v>131.61000000000001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3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</row>
    <row r="157" spans="1:37" x14ac:dyDescent="0.3">
      <c r="A157">
        <v>7979</v>
      </c>
      <c r="B157" t="s">
        <v>219</v>
      </c>
      <c r="D157" t="s">
        <v>274</v>
      </c>
      <c r="E157">
        <v>99999999</v>
      </c>
      <c r="F157">
        <v>11111111</v>
      </c>
      <c r="G157">
        <v>1111111111</v>
      </c>
      <c r="H157" t="s">
        <v>3726</v>
      </c>
      <c r="I157">
        <v>99999999</v>
      </c>
      <c r="J157" s="188">
        <v>45237</v>
      </c>
      <c r="K157" t="s">
        <v>3726</v>
      </c>
      <c r="L157" t="s">
        <v>3726</v>
      </c>
      <c r="M157" t="s">
        <v>309</v>
      </c>
      <c r="N157" t="s">
        <v>97</v>
      </c>
      <c r="O157" t="s">
        <v>310</v>
      </c>
      <c r="P157" t="s">
        <v>221</v>
      </c>
      <c r="Q157" t="s">
        <v>82</v>
      </c>
      <c r="R157">
        <v>40</v>
      </c>
      <c r="S157">
        <v>32</v>
      </c>
      <c r="T157">
        <v>0</v>
      </c>
      <c r="U157">
        <v>1</v>
      </c>
      <c r="V157">
        <v>1</v>
      </c>
      <c r="W157">
        <v>131.54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40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</row>
    <row r="158" spans="1:37" x14ac:dyDescent="0.3">
      <c r="A158">
        <v>7979</v>
      </c>
      <c r="B158" t="s">
        <v>219</v>
      </c>
      <c r="D158" t="s">
        <v>274</v>
      </c>
      <c r="E158">
        <v>99999999</v>
      </c>
      <c r="F158">
        <v>11111111</v>
      </c>
      <c r="G158">
        <v>1111111111</v>
      </c>
      <c r="H158" t="s">
        <v>3727</v>
      </c>
      <c r="I158">
        <v>99999999</v>
      </c>
      <c r="J158" s="188">
        <v>45237</v>
      </c>
      <c r="K158" t="s">
        <v>3727</v>
      </c>
      <c r="L158" t="s">
        <v>3727</v>
      </c>
      <c r="M158" t="s">
        <v>173</v>
      </c>
      <c r="N158" t="s">
        <v>164</v>
      </c>
      <c r="O158" t="s">
        <v>311</v>
      </c>
      <c r="P158" t="s">
        <v>221</v>
      </c>
      <c r="Q158" t="s">
        <v>82</v>
      </c>
      <c r="R158">
        <v>1</v>
      </c>
      <c r="S158">
        <v>2.4300000000000002</v>
      </c>
      <c r="T158">
        <v>0</v>
      </c>
      <c r="U158">
        <v>1</v>
      </c>
      <c r="V158">
        <v>1</v>
      </c>
      <c r="W158">
        <v>38.92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1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</row>
    <row r="159" spans="1:37" x14ac:dyDescent="0.3">
      <c r="A159">
        <v>7979</v>
      </c>
      <c r="B159" t="s">
        <v>219</v>
      </c>
      <c r="D159" t="s">
        <v>274</v>
      </c>
      <c r="E159">
        <v>99999999</v>
      </c>
      <c r="F159">
        <v>11111111</v>
      </c>
      <c r="G159">
        <v>1111111111</v>
      </c>
      <c r="H159" t="s">
        <v>3728</v>
      </c>
      <c r="I159">
        <v>99999999</v>
      </c>
      <c r="J159" s="188">
        <v>45237</v>
      </c>
      <c r="K159" t="s">
        <v>3728</v>
      </c>
      <c r="L159" t="s">
        <v>3728</v>
      </c>
      <c r="M159" t="s">
        <v>312</v>
      </c>
      <c r="N159" t="s">
        <v>256</v>
      </c>
      <c r="O159" t="s">
        <v>313</v>
      </c>
      <c r="P159" t="s">
        <v>221</v>
      </c>
      <c r="Q159" t="s">
        <v>82</v>
      </c>
      <c r="R159">
        <v>2</v>
      </c>
      <c r="S159">
        <v>2.23</v>
      </c>
      <c r="T159">
        <v>0</v>
      </c>
      <c r="U159">
        <v>1</v>
      </c>
      <c r="V159">
        <v>2</v>
      </c>
      <c r="W159">
        <v>122.47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2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</row>
    <row r="160" spans="1:37" x14ac:dyDescent="0.3">
      <c r="A160">
        <v>7979</v>
      </c>
      <c r="B160" t="s">
        <v>219</v>
      </c>
      <c r="D160" t="s">
        <v>274</v>
      </c>
      <c r="E160">
        <v>99999999</v>
      </c>
      <c r="F160">
        <v>11111111</v>
      </c>
      <c r="G160">
        <v>1111111111</v>
      </c>
      <c r="H160" t="s">
        <v>3729</v>
      </c>
      <c r="I160">
        <v>99999999</v>
      </c>
      <c r="J160" s="188">
        <v>45238</v>
      </c>
      <c r="K160" t="s">
        <v>3729</v>
      </c>
      <c r="L160" t="s">
        <v>3729</v>
      </c>
      <c r="M160" t="s">
        <v>314</v>
      </c>
      <c r="N160" t="s">
        <v>256</v>
      </c>
      <c r="O160" t="s">
        <v>315</v>
      </c>
      <c r="P160" t="s">
        <v>221</v>
      </c>
      <c r="Q160" t="s">
        <v>82</v>
      </c>
      <c r="R160">
        <v>2</v>
      </c>
      <c r="S160">
        <v>1.54</v>
      </c>
      <c r="T160">
        <v>0</v>
      </c>
      <c r="U160">
        <v>1</v>
      </c>
      <c r="V160">
        <v>1</v>
      </c>
      <c r="W160">
        <v>122.21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2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</row>
    <row r="161" spans="1:37" x14ac:dyDescent="0.3">
      <c r="A161">
        <v>7979</v>
      </c>
      <c r="B161" t="s">
        <v>219</v>
      </c>
      <c r="D161" t="s">
        <v>274</v>
      </c>
      <c r="E161">
        <v>99999999</v>
      </c>
      <c r="F161">
        <v>11111111</v>
      </c>
      <c r="G161">
        <v>1111111111</v>
      </c>
      <c r="H161" t="s">
        <v>3730</v>
      </c>
      <c r="I161">
        <v>99999999</v>
      </c>
      <c r="J161" s="188">
        <v>45238</v>
      </c>
      <c r="K161" t="s">
        <v>3730</v>
      </c>
      <c r="L161" t="s">
        <v>3730</v>
      </c>
      <c r="M161" t="s">
        <v>316</v>
      </c>
      <c r="N161" t="s">
        <v>317</v>
      </c>
      <c r="O161" t="s">
        <v>318</v>
      </c>
      <c r="P161" t="s">
        <v>221</v>
      </c>
      <c r="Q161" t="s">
        <v>82</v>
      </c>
      <c r="R161">
        <v>1</v>
      </c>
      <c r="S161">
        <v>2.2000000000000002</v>
      </c>
      <c r="T161">
        <v>0</v>
      </c>
      <c r="U161">
        <v>1</v>
      </c>
      <c r="V161">
        <v>1</v>
      </c>
      <c r="W161">
        <v>66.22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</row>
    <row r="162" spans="1:37" x14ac:dyDescent="0.3">
      <c r="A162">
        <v>7979</v>
      </c>
      <c r="B162" t="s">
        <v>219</v>
      </c>
      <c r="D162" t="s">
        <v>274</v>
      </c>
      <c r="E162">
        <v>99999999</v>
      </c>
      <c r="F162">
        <v>11111111</v>
      </c>
      <c r="G162">
        <v>1111111111</v>
      </c>
      <c r="H162" t="s">
        <v>3731</v>
      </c>
      <c r="I162">
        <v>99999999</v>
      </c>
      <c r="J162" s="188">
        <v>45238</v>
      </c>
      <c r="K162" t="s">
        <v>3731</v>
      </c>
      <c r="L162" t="s">
        <v>3731</v>
      </c>
      <c r="M162" t="s">
        <v>319</v>
      </c>
      <c r="N162" t="s">
        <v>151</v>
      </c>
      <c r="O162">
        <v>28715</v>
      </c>
      <c r="P162" t="s">
        <v>221</v>
      </c>
      <c r="Q162" t="s">
        <v>82</v>
      </c>
      <c r="R162">
        <v>1</v>
      </c>
      <c r="S162">
        <v>0.18</v>
      </c>
      <c r="T162">
        <v>0</v>
      </c>
      <c r="U162">
        <v>1</v>
      </c>
      <c r="V162">
        <v>1</v>
      </c>
      <c r="W162">
        <v>57.84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</row>
    <row r="163" spans="1:37" x14ac:dyDescent="0.3">
      <c r="A163">
        <v>7979</v>
      </c>
      <c r="B163" t="s">
        <v>219</v>
      </c>
      <c r="D163" t="s">
        <v>274</v>
      </c>
      <c r="E163">
        <v>99999999</v>
      </c>
      <c r="F163">
        <v>11111111</v>
      </c>
      <c r="G163">
        <v>1111111111</v>
      </c>
      <c r="H163" t="s">
        <v>3732</v>
      </c>
      <c r="I163">
        <v>99999999</v>
      </c>
      <c r="J163" s="188">
        <v>45238</v>
      </c>
      <c r="K163" t="s">
        <v>3732</v>
      </c>
      <c r="L163" t="s">
        <v>3732</v>
      </c>
      <c r="M163" t="s">
        <v>320</v>
      </c>
      <c r="N163" t="s">
        <v>233</v>
      </c>
      <c r="O163" t="s">
        <v>321</v>
      </c>
      <c r="P163" t="s">
        <v>221</v>
      </c>
      <c r="Q163" t="s">
        <v>82</v>
      </c>
      <c r="R163">
        <v>1</v>
      </c>
      <c r="S163">
        <v>4.6100000000000003</v>
      </c>
      <c r="T163">
        <v>0</v>
      </c>
      <c r="U163">
        <v>1</v>
      </c>
      <c r="V163">
        <v>1</v>
      </c>
      <c r="W163">
        <v>100.3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</row>
    <row r="164" spans="1:37" x14ac:dyDescent="0.3">
      <c r="A164">
        <v>7979</v>
      </c>
      <c r="B164" t="s">
        <v>219</v>
      </c>
      <c r="D164" t="s">
        <v>274</v>
      </c>
      <c r="E164">
        <v>99999999</v>
      </c>
      <c r="F164">
        <v>11111111</v>
      </c>
      <c r="G164">
        <v>1111111111</v>
      </c>
      <c r="H164" t="s">
        <v>3733</v>
      </c>
      <c r="I164">
        <v>99999999</v>
      </c>
      <c r="J164" s="188">
        <v>45238</v>
      </c>
      <c r="K164" t="s">
        <v>3733</v>
      </c>
      <c r="L164" t="s">
        <v>3733</v>
      </c>
      <c r="M164" t="s">
        <v>129</v>
      </c>
      <c r="N164" t="s">
        <v>130</v>
      </c>
      <c r="O164" t="s">
        <v>322</v>
      </c>
      <c r="P164" t="s">
        <v>221</v>
      </c>
      <c r="Q164" t="s">
        <v>82</v>
      </c>
      <c r="R164">
        <v>3</v>
      </c>
      <c r="S164">
        <v>1.22</v>
      </c>
      <c r="T164">
        <v>0</v>
      </c>
      <c r="U164">
        <v>1</v>
      </c>
      <c r="V164">
        <v>3</v>
      </c>
      <c r="W164">
        <v>43.51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3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</row>
    <row r="165" spans="1:37" x14ac:dyDescent="0.3">
      <c r="A165">
        <v>7979</v>
      </c>
      <c r="B165" t="s">
        <v>219</v>
      </c>
      <c r="D165" t="s">
        <v>274</v>
      </c>
      <c r="E165">
        <v>99999999</v>
      </c>
      <c r="F165">
        <v>11111111</v>
      </c>
      <c r="G165">
        <v>1111111111</v>
      </c>
      <c r="H165" t="s">
        <v>3734</v>
      </c>
      <c r="I165">
        <v>99999999</v>
      </c>
      <c r="J165" s="188">
        <v>45238</v>
      </c>
      <c r="K165" t="s">
        <v>3734</v>
      </c>
      <c r="L165" t="s">
        <v>3734</v>
      </c>
      <c r="M165" t="s">
        <v>323</v>
      </c>
      <c r="N165" t="s">
        <v>122</v>
      </c>
      <c r="O165" t="s">
        <v>324</v>
      </c>
      <c r="P165" t="s">
        <v>221</v>
      </c>
      <c r="Q165" t="s">
        <v>82</v>
      </c>
      <c r="R165">
        <v>1</v>
      </c>
      <c r="S165">
        <v>4.4000000000000004</v>
      </c>
      <c r="T165">
        <v>0</v>
      </c>
      <c r="U165">
        <v>1</v>
      </c>
      <c r="V165">
        <v>1</v>
      </c>
      <c r="W165">
        <v>67.510000000000005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</row>
    <row r="166" spans="1:37" x14ac:dyDescent="0.3">
      <c r="A166">
        <v>7979</v>
      </c>
      <c r="B166" t="s">
        <v>219</v>
      </c>
      <c r="D166" t="s">
        <v>274</v>
      </c>
      <c r="E166">
        <v>99999999</v>
      </c>
      <c r="F166">
        <v>11111111</v>
      </c>
      <c r="G166">
        <v>1111111111</v>
      </c>
      <c r="H166" t="s">
        <v>3735</v>
      </c>
      <c r="I166">
        <v>99999999</v>
      </c>
      <c r="J166" s="188">
        <v>45238</v>
      </c>
      <c r="K166" t="s">
        <v>3735</v>
      </c>
      <c r="L166" t="s">
        <v>3735</v>
      </c>
      <c r="M166" t="s">
        <v>325</v>
      </c>
      <c r="N166" t="s">
        <v>88</v>
      </c>
      <c r="O166" t="s">
        <v>326</v>
      </c>
      <c r="P166" t="s">
        <v>221</v>
      </c>
      <c r="Q166" t="s">
        <v>82</v>
      </c>
      <c r="R166">
        <v>1</v>
      </c>
      <c r="S166">
        <v>7.52</v>
      </c>
      <c r="T166">
        <v>0</v>
      </c>
      <c r="U166">
        <v>1</v>
      </c>
      <c r="V166">
        <v>1</v>
      </c>
      <c r="W166">
        <v>130.57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1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</row>
    <row r="167" spans="1:37" x14ac:dyDescent="0.3">
      <c r="A167">
        <v>7979</v>
      </c>
      <c r="B167" t="s">
        <v>219</v>
      </c>
      <c r="D167" t="s">
        <v>327</v>
      </c>
      <c r="E167">
        <v>99999999</v>
      </c>
      <c r="F167">
        <v>11111111</v>
      </c>
      <c r="G167">
        <v>1111111111</v>
      </c>
      <c r="H167" t="s">
        <v>3736</v>
      </c>
      <c r="I167">
        <v>99999999</v>
      </c>
      <c r="J167" s="188">
        <v>45236</v>
      </c>
      <c r="K167" t="s">
        <v>3736</v>
      </c>
      <c r="L167" t="s">
        <v>3736</v>
      </c>
      <c r="M167" t="s">
        <v>328</v>
      </c>
      <c r="N167" t="s">
        <v>99</v>
      </c>
      <c r="O167" t="s">
        <v>329</v>
      </c>
      <c r="P167" t="s">
        <v>221</v>
      </c>
      <c r="Q167" t="s">
        <v>82</v>
      </c>
      <c r="R167">
        <v>1</v>
      </c>
      <c r="S167">
        <v>0.4</v>
      </c>
      <c r="T167">
        <v>0</v>
      </c>
      <c r="U167">
        <v>1</v>
      </c>
      <c r="V167">
        <v>1</v>
      </c>
      <c r="W167">
        <v>19.3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1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</row>
    <row r="168" spans="1:37" x14ac:dyDescent="0.3">
      <c r="A168">
        <v>7979</v>
      </c>
      <c r="B168" t="s">
        <v>219</v>
      </c>
      <c r="D168" t="s">
        <v>327</v>
      </c>
      <c r="E168">
        <v>99999999</v>
      </c>
      <c r="F168">
        <v>11111111</v>
      </c>
      <c r="G168">
        <v>1111111111</v>
      </c>
      <c r="H168" t="s">
        <v>3737</v>
      </c>
      <c r="I168">
        <v>99999999</v>
      </c>
      <c r="J168" s="188">
        <v>45236</v>
      </c>
      <c r="K168" t="s">
        <v>3737</v>
      </c>
      <c r="L168" t="s">
        <v>3737</v>
      </c>
      <c r="M168" t="s">
        <v>330</v>
      </c>
      <c r="N168" t="s">
        <v>99</v>
      </c>
      <c r="O168" t="s">
        <v>331</v>
      </c>
      <c r="P168" t="s">
        <v>221</v>
      </c>
      <c r="Q168" t="s">
        <v>82</v>
      </c>
      <c r="R168">
        <v>3</v>
      </c>
      <c r="S168">
        <v>28.5</v>
      </c>
      <c r="T168">
        <v>0</v>
      </c>
      <c r="U168">
        <v>1</v>
      </c>
      <c r="V168">
        <v>1</v>
      </c>
      <c r="W168">
        <v>31.88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3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</row>
    <row r="169" spans="1:37" x14ac:dyDescent="0.3">
      <c r="A169">
        <v>7979</v>
      </c>
      <c r="B169" t="s">
        <v>219</v>
      </c>
      <c r="D169" t="s">
        <v>327</v>
      </c>
      <c r="E169">
        <v>99999999</v>
      </c>
      <c r="F169">
        <v>11111111</v>
      </c>
      <c r="G169">
        <v>1111111111</v>
      </c>
      <c r="H169" t="s">
        <v>3738</v>
      </c>
      <c r="I169">
        <v>99999999</v>
      </c>
      <c r="J169" s="188">
        <v>45236</v>
      </c>
      <c r="K169" t="s">
        <v>3738</v>
      </c>
      <c r="L169" t="s">
        <v>3738</v>
      </c>
      <c r="M169" t="s">
        <v>332</v>
      </c>
      <c r="N169" t="s">
        <v>164</v>
      </c>
      <c r="O169" t="s">
        <v>333</v>
      </c>
      <c r="P169" t="s">
        <v>221</v>
      </c>
      <c r="Q169" t="s">
        <v>82</v>
      </c>
      <c r="R169">
        <v>1</v>
      </c>
      <c r="S169">
        <v>10</v>
      </c>
      <c r="T169">
        <v>0</v>
      </c>
      <c r="U169">
        <v>1</v>
      </c>
      <c r="V169">
        <v>1</v>
      </c>
      <c r="W169">
        <v>32.909999999999997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</row>
    <row r="170" spans="1:37" x14ac:dyDescent="0.3">
      <c r="A170">
        <v>7979</v>
      </c>
      <c r="B170" t="s">
        <v>219</v>
      </c>
      <c r="D170" t="s">
        <v>327</v>
      </c>
      <c r="E170">
        <v>99999999</v>
      </c>
      <c r="F170">
        <v>11111111</v>
      </c>
      <c r="G170">
        <v>1111111111</v>
      </c>
      <c r="H170" t="s">
        <v>3739</v>
      </c>
      <c r="I170">
        <v>99999999</v>
      </c>
      <c r="J170" s="188">
        <v>45236</v>
      </c>
      <c r="K170" t="s">
        <v>3739</v>
      </c>
      <c r="L170" t="s">
        <v>3739</v>
      </c>
      <c r="M170" t="s">
        <v>334</v>
      </c>
      <c r="N170" t="s">
        <v>97</v>
      </c>
      <c r="O170" t="s">
        <v>335</v>
      </c>
      <c r="P170" t="s">
        <v>221</v>
      </c>
      <c r="Q170" t="s">
        <v>82</v>
      </c>
      <c r="R170">
        <v>1</v>
      </c>
      <c r="S170">
        <v>4.6660000000000004</v>
      </c>
      <c r="T170">
        <v>0</v>
      </c>
      <c r="U170">
        <v>1</v>
      </c>
      <c r="V170">
        <v>1</v>
      </c>
      <c r="W170">
        <v>29.21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1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</row>
    <row r="171" spans="1:37" x14ac:dyDescent="0.3">
      <c r="A171">
        <v>7979</v>
      </c>
      <c r="B171" t="s">
        <v>219</v>
      </c>
      <c r="D171" t="s">
        <v>327</v>
      </c>
      <c r="E171">
        <v>99999999</v>
      </c>
      <c r="F171">
        <v>11111111</v>
      </c>
      <c r="G171">
        <v>1111111111</v>
      </c>
      <c r="H171" t="s">
        <v>3740</v>
      </c>
      <c r="I171">
        <v>99999999</v>
      </c>
      <c r="J171" s="188">
        <v>45236</v>
      </c>
      <c r="K171" t="s">
        <v>3740</v>
      </c>
      <c r="L171" t="s">
        <v>3740</v>
      </c>
      <c r="M171" t="s">
        <v>278</v>
      </c>
      <c r="N171" t="s">
        <v>99</v>
      </c>
      <c r="O171" t="s">
        <v>336</v>
      </c>
      <c r="P171" t="s">
        <v>221</v>
      </c>
      <c r="Q171" t="s">
        <v>82</v>
      </c>
      <c r="R171">
        <v>2</v>
      </c>
      <c r="S171">
        <v>4.8</v>
      </c>
      <c r="T171">
        <v>0</v>
      </c>
      <c r="U171">
        <v>1</v>
      </c>
      <c r="V171">
        <v>2</v>
      </c>
      <c r="W171">
        <v>23.09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2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</row>
    <row r="172" spans="1:37" x14ac:dyDescent="0.3">
      <c r="A172">
        <v>7979</v>
      </c>
      <c r="B172" t="s">
        <v>219</v>
      </c>
      <c r="D172" t="s">
        <v>327</v>
      </c>
      <c r="E172">
        <v>99999999</v>
      </c>
      <c r="F172">
        <v>11111111</v>
      </c>
      <c r="G172">
        <v>1111111111</v>
      </c>
      <c r="H172" t="s">
        <v>3741</v>
      </c>
      <c r="I172">
        <v>99999999</v>
      </c>
      <c r="J172" s="188">
        <v>45236</v>
      </c>
      <c r="K172" t="s">
        <v>3741</v>
      </c>
      <c r="L172" t="s">
        <v>3741</v>
      </c>
      <c r="M172" t="s">
        <v>337</v>
      </c>
      <c r="N172" t="s">
        <v>99</v>
      </c>
      <c r="O172" t="s">
        <v>338</v>
      </c>
      <c r="P172" t="s">
        <v>221</v>
      </c>
      <c r="Q172" t="s">
        <v>82</v>
      </c>
      <c r="R172">
        <v>1</v>
      </c>
      <c r="S172">
        <v>2.5</v>
      </c>
      <c r="T172">
        <v>0</v>
      </c>
      <c r="U172">
        <v>1</v>
      </c>
      <c r="V172">
        <v>1</v>
      </c>
      <c r="W172">
        <v>19.16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1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</row>
    <row r="173" spans="1:37" x14ac:dyDescent="0.3">
      <c r="A173">
        <v>7979</v>
      </c>
      <c r="B173" t="s">
        <v>219</v>
      </c>
      <c r="D173" t="s">
        <v>327</v>
      </c>
      <c r="E173">
        <v>99999999</v>
      </c>
      <c r="F173">
        <v>11111111</v>
      </c>
      <c r="G173">
        <v>1111111111</v>
      </c>
      <c r="H173" t="s">
        <v>3742</v>
      </c>
      <c r="I173">
        <v>99999999</v>
      </c>
      <c r="J173" s="188">
        <v>45236</v>
      </c>
      <c r="K173" t="s">
        <v>3742</v>
      </c>
      <c r="L173" t="s">
        <v>3742</v>
      </c>
      <c r="M173" t="s">
        <v>339</v>
      </c>
      <c r="N173" t="s">
        <v>97</v>
      </c>
      <c r="O173" t="s">
        <v>340</v>
      </c>
      <c r="P173" t="s">
        <v>221</v>
      </c>
      <c r="Q173" t="s">
        <v>82</v>
      </c>
      <c r="R173">
        <v>1</v>
      </c>
      <c r="S173">
        <v>4.5</v>
      </c>
      <c r="T173">
        <v>0</v>
      </c>
      <c r="U173">
        <v>1</v>
      </c>
      <c r="V173">
        <v>1</v>
      </c>
      <c r="W173">
        <v>22.93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</row>
    <row r="174" spans="1:37" x14ac:dyDescent="0.3">
      <c r="A174">
        <v>7979</v>
      </c>
      <c r="B174" t="s">
        <v>219</v>
      </c>
      <c r="D174" t="s">
        <v>327</v>
      </c>
      <c r="E174">
        <v>99999999</v>
      </c>
      <c r="F174">
        <v>11111111</v>
      </c>
      <c r="G174">
        <v>1111111111</v>
      </c>
      <c r="H174" t="s">
        <v>3743</v>
      </c>
      <c r="I174">
        <v>99999999</v>
      </c>
      <c r="J174" s="188">
        <v>45236</v>
      </c>
      <c r="K174" t="s">
        <v>3743</v>
      </c>
      <c r="L174" t="s">
        <v>3743</v>
      </c>
      <c r="M174" t="s">
        <v>341</v>
      </c>
      <c r="N174" t="s">
        <v>130</v>
      </c>
      <c r="O174" t="s">
        <v>342</v>
      </c>
      <c r="P174" t="s">
        <v>221</v>
      </c>
      <c r="Q174" t="s">
        <v>82</v>
      </c>
      <c r="R174">
        <v>6</v>
      </c>
      <c r="S174">
        <v>6.5650000000000004</v>
      </c>
      <c r="T174">
        <v>0</v>
      </c>
      <c r="U174">
        <v>1</v>
      </c>
      <c r="V174">
        <v>6</v>
      </c>
      <c r="W174">
        <v>25.74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6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</row>
    <row r="175" spans="1:37" x14ac:dyDescent="0.3">
      <c r="A175">
        <v>7979</v>
      </c>
      <c r="B175" t="s">
        <v>219</v>
      </c>
      <c r="D175" t="s">
        <v>327</v>
      </c>
      <c r="E175">
        <v>99999999</v>
      </c>
      <c r="F175">
        <v>11111111</v>
      </c>
      <c r="G175">
        <v>1111111111</v>
      </c>
      <c r="H175" t="s">
        <v>3744</v>
      </c>
      <c r="I175">
        <v>99999999</v>
      </c>
      <c r="J175" s="188">
        <v>45236</v>
      </c>
      <c r="K175" t="s">
        <v>3744</v>
      </c>
      <c r="L175" t="s">
        <v>3744</v>
      </c>
      <c r="M175" t="s">
        <v>343</v>
      </c>
      <c r="N175" t="s">
        <v>164</v>
      </c>
      <c r="O175" t="s">
        <v>344</v>
      </c>
      <c r="P175" t="s">
        <v>221</v>
      </c>
      <c r="Q175" t="s">
        <v>82</v>
      </c>
      <c r="R175">
        <v>1</v>
      </c>
      <c r="S175">
        <v>2</v>
      </c>
      <c r="T175">
        <v>0</v>
      </c>
      <c r="U175">
        <v>1</v>
      </c>
      <c r="V175">
        <v>1</v>
      </c>
      <c r="W175">
        <v>21.88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1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</row>
    <row r="176" spans="1:37" x14ac:dyDescent="0.3">
      <c r="A176">
        <v>7979</v>
      </c>
      <c r="B176" t="s">
        <v>219</v>
      </c>
      <c r="D176" t="s">
        <v>327</v>
      </c>
      <c r="E176">
        <v>99999999</v>
      </c>
      <c r="F176">
        <v>11111111</v>
      </c>
      <c r="G176">
        <v>1111111111</v>
      </c>
      <c r="H176" t="s">
        <v>3745</v>
      </c>
      <c r="I176">
        <v>99999999</v>
      </c>
      <c r="J176" s="188">
        <v>45236</v>
      </c>
      <c r="K176" t="s">
        <v>3745</v>
      </c>
      <c r="L176" t="s">
        <v>3745</v>
      </c>
      <c r="M176" t="s">
        <v>345</v>
      </c>
      <c r="N176" t="s">
        <v>197</v>
      </c>
      <c r="O176" t="s">
        <v>346</v>
      </c>
      <c r="P176" t="s">
        <v>221</v>
      </c>
      <c r="Q176" t="s">
        <v>82</v>
      </c>
      <c r="R176">
        <v>6</v>
      </c>
      <c r="S176">
        <v>7.8</v>
      </c>
      <c r="T176">
        <v>0</v>
      </c>
      <c r="U176">
        <v>1</v>
      </c>
      <c r="V176">
        <v>1</v>
      </c>
      <c r="W176">
        <v>34.53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6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</row>
    <row r="177" spans="1:37" x14ac:dyDescent="0.3">
      <c r="A177">
        <v>7979</v>
      </c>
      <c r="B177" t="s">
        <v>219</v>
      </c>
      <c r="D177" t="s">
        <v>327</v>
      </c>
      <c r="E177">
        <v>99999999</v>
      </c>
      <c r="F177">
        <v>11111111</v>
      </c>
      <c r="G177">
        <v>1111111111</v>
      </c>
      <c r="H177" t="s">
        <v>3746</v>
      </c>
      <c r="I177">
        <v>99999999</v>
      </c>
      <c r="J177" s="188">
        <v>45236</v>
      </c>
      <c r="K177" t="s">
        <v>3746</v>
      </c>
      <c r="L177" t="s">
        <v>3746</v>
      </c>
      <c r="M177" t="s">
        <v>347</v>
      </c>
      <c r="N177" t="s">
        <v>197</v>
      </c>
      <c r="O177" t="s">
        <v>348</v>
      </c>
      <c r="P177" t="s">
        <v>221</v>
      </c>
      <c r="Q177" t="s">
        <v>82</v>
      </c>
      <c r="R177">
        <v>1</v>
      </c>
      <c r="S177">
        <v>10</v>
      </c>
      <c r="T177">
        <v>0</v>
      </c>
      <c r="U177">
        <v>1</v>
      </c>
      <c r="V177">
        <v>1</v>
      </c>
      <c r="W177">
        <v>33.56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1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</row>
    <row r="178" spans="1:37" x14ac:dyDescent="0.3">
      <c r="A178">
        <v>7979</v>
      </c>
      <c r="B178" t="s">
        <v>219</v>
      </c>
      <c r="D178" t="s">
        <v>327</v>
      </c>
      <c r="E178">
        <v>99999999</v>
      </c>
      <c r="F178">
        <v>11111111</v>
      </c>
      <c r="G178">
        <v>1111111111</v>
      </c>
      <c r="H178" t="s">
        <v>3747</v>
      </c>
      <c r="I178">
        <v>99999999</v>
      </c>
      <c r="J178" s="188">
        <v>45236</v>
      </c>
      <c r="K178" t="s">
        <v>3747</v>
      </c>
      <c r="L178" t="s">
        <v>3747</v>
      </c>
      <c r="M178" t="s">
        <v>349</v>
      </c>
      <c r="N178" t="s">
        <v>99</v>
      </c>
      <c r="O178" t="s">
        <v>350</v>
      </c>
      <c r="P178" t="s">
        <v>221</v>
      </c>
      <c r="Q178" t="s">
        <v>82</v>
      </c>
      <c r="R178">
        <v>1</v>
      </c>
      <c r="S178">
        <v>8.75</v>
      </c>
      <c r="T178">
        <v>0</v>
      </c>
      <c r="U178">
        <v>1</v>
      </c>
      <c r="V178">
        <v>1</v>
      </c>
      <c r="W178">
        <v>24.41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</row>
    <row r="179" spans="1:37" x14ac:dyDescent="0.3">
      <c r="A179">
        <v>7979</v>
      </c>
      <c r="B179" t="s">
        <v>219</v>
      </c>
      <c r="D179" t="s">
        <v>327</v>
      </c>
      <c r="E179">
        <v>99999999</v>
      </c>
      <c r="F179">
        <v>11111111</v>
      </c>
      <c r="G179">
        <v>1111111111</v>
      </c>
      <c r="H179" t="s">
        <v>3748</v>
      </c>
      <c r="I179">
        <v>99999999</v>
      </c>
      <c r="J179" s="188">
        <v>45236</v>
      </c>
      <c r="K179" t="s">
        <v>3748</v>
      </c>
      <c r="L179" t="s">
        <v>3748</v>
      </c>
      <c r="M179" t="s">
        <v>341</v>
      </c>
      <c r="N179" t="s">
        <v>130</v>
      </c>
      <c r="O179" t="s">
        <v>351</v>
      </c>
      <c r="P179" t="s">
        <v>221</v>
      </c>
      <c r="Q179" t="s">
        <v>82</v>
      </c>
      <c r="R179">
        <v>1</v>
      </c>
      <c r="S179">
        <v>1.6</v>
      </c>
      <c r="T179">
        <v>0</v>
      </c>
      <c r="U179">
        <v>1</v>
      </c>
      <c r="V179">
        <v>1</v>
      </c>
      <c r="W179">
        <v>22.67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</row>
    <row r="180" spans="1:37" x14ac:dyDescent="0.3">
      <c r="A180">
        <v>7979</v>
      </c>
      <c r="B180" t="s">
        <v>219</v>
      </c>
      <c r="D180" t="s">
        <v>327</v>
      </c>
      <c r="E180">
        <v>99999999</v>
      </c>
      <c r="F180">
        <v>11111111</v>
      </c>
      <c r="G180">
        <v>1111111111</v>
      </c>
      <c r="H180" t="s">
        <v>3749</v>
      </c>
      <c r="I180">
        <v>99999999</v>
      </c>
      <c r="J180" s="188">
        <v>45236</v>
      </c>
      <c r="K180" t="s">
        <v>3749</v>
      </c>
      <c r="L180" t="s">
        <v>3749</v>
      </c>
      <c r="M180" t="s">
        <v>352</v>
      </c>
      <c r="N180" t="s">
        <v>99</v>
      </c>
      <c r="O180" t="s">
        <v>353</v>
      </c>
      <c r="P180" t="s">
        <v>221</v>
      </c>
      <c r="Q180" t="s">
        <v>82</v>
      </c>
      <c r="R180">
        <v>10</v>
      </c>
      <c r="S180">
        <v>48</v>
      </c>
      <c r="T180">
        <v>0</v>
      </c>
      <c r="U180">
        <v>1</v>
      </c>
      <c r="V180">
        <v>1</v>
      </c>
      <c r="W180">
        <v>54.45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10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</row>
    <row r="181" spans="1:37" x14ac:dyDescent="0.3">
      <c r="A181">
        <v>7979</v>
      </c>
      <c r="B181" t="s">
        <v>219</v>
      </c>
      <c r="D181" t="s">
        <v>327</v>
      </c>
      <c r="E181">
        <v>99999999</v>
      </c>
      <c r="F181">
        <v>11111111</v>
      </c>
      <c r="G181">
        <v>1111111111</v>
      </c>
      <c r="H181" t="s">
        <v>3750</v>
      </c>
      <c r="I181">
        <v>99999999</v>
      </c>
      <c r="J181" s="188">
        <v>45236</v>
      </c>
      <c r="K181" t="s">
        <v>3750</v>
      </c>
      <c r="L181" t="s">
        <v>3750</v>
      </c>
      <c r="M181" t="s">
        <v>354</v>
      </c>
      <c r="N181" t="s">
        <v>97</v>
      </c>
      <c r="O181" t="s">
        <v>355</v>
      </c>
      <c r="P181" t="s">
        <v>221</v>
      </c>
      <c r="Q181" t="s">
        <v>82</v>
      </c>
      <c r="R181">
        <v>1</v>
      </c>
      <c r="S181">
        <v>2.5</v>
      </c>
      <c r="T181">
        <v>0</v>
      </c>
      <c r="U181">
        <v>1</v>
      </c>
      <c r="V181">
        <v>1</v>
      </c>
      <c r="W181">
        <v>36.950000000000003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1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</row>
    <row r="182" spans="1:37" x14ac:dyDescent="0.3">
      <c r="A182">
        <v>7979</v>
      </c>
      <c r="B182" t="s">
        <v>219</v>
      </c>
      <c r="D182" t="s">
        <v>327</v>
      </c>
      <c r="E182">
        <v>99999999</v>
      </c>
      <c r="F182">
        <v>11111111</v>
      </c>
      <c r="G182">
        <v>1111111111</v>
      </c>
      <c r="H182" t="s">
        <v>3751</v>
      </c>
      <c r="I182">
        <v>99999999</v>
      </c>
      <c r="J182" s="188">
        <v>45236</v>
      </c>
      <c r="K182" t="s">
        <v>3751</v>
      </c>
      <c r="L182" t="s">
        <v>3751</v>
      </c>
      <c r="M182" t="s">
        <v>278</v>
      </c>
      <c r="N182" t="s">
        <v>99</v>
      </c>
      <c r="O182" t="s">
        <v>336</v>
      </c>
      <c r="P182" t="s">
        <v>221</v>
      </c>
      <c r="Q182" t="s">
        <v>82</v>
      </c>
      <c r="R182">
        <v>1</v>
      </c>
      <c r="S182">
        <v>2.4</v>
      </c>
      <c r="T182">
        <v>0</v>
      </c>
      <c r="U182">
        <v>1</v>
      </c>
      <c r="V182">
        <v>1</v>
      </c>
      <c r="W182">
        <v>21.88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1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</row>
    <row r="183" spans="1:37" x14ac:dyDescent="0.3">
      <c r="A183">
        <v>7979</v>
      </c>
      <c r="B183" t="s">
        <v>219</v>
      </c>
      <c r="D183" t="s">
        <v>327</v>
      </c>
      <c r="E183">
        <v>99999999</v>
      </c>
      <c r="F183">
        <v>11111111</v>
      </c>
      <c r="G183">
        <v>1111111111</v>
      </c>
      <c r="H183" t="s">
        <v>3752</v>
      </c>
      <c r="I183">
        <v>99999999</v>
      </c>
      <c r="J183" s="188">
        <v>45236</v>
      </c>
      <c r="K183" t="s">
        <v>3752</v>
      </c>
      <c r="L183" t="s">
        <v>3752</v>
      </c>
      <c r="M183" t="s">
        <v>356</v>
      </c>
      <c r="N183" t="s">
        <v>99</v>
      </c>
      <c r="O183" t="s">
        <v>357</v>
      </c>
      <c r="P183" t="s">
        <v>221</v>
      </c>
      <c r="Q183" t="s">
        <v>82</v>
      </c>
      <c r="R183">
        <v>1</v>
      </c>
      <c r="S183">
        <v>5</v>
      </c>
      <c r="T183">
        <v>0</v>
      </c>
      <c r="U183">
        <v>1</v>
      </c>
      <c r="V183">
        <v>1</v>
      </c>
      <c r="W183">
        <v>21.49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</row>
    <row r="184" spans="1:37" x14ac:dyDescent="0.3">
      <c r="A184">
        <v>7979</v>
      </c>
      <c r="B184" t="s">
        <v>219</v>
      </c>
      <c r="D184" t="s">
        <v>327</v>
      </c>
      <c r="E184">
        <v>99999999</v>
      </c>
      <c r="F184">
        <v>11111111</v>
      </c>
      <c r="G184">
        <v>1111111111</v>
      </c>
      <c r="H184" t="s">
        <v>3753</v>
      </c>
      <c r="I184">
        <v>99999999</v>
      </c>
      <c r="J184" s="188">
        <v>45236</v>
      </c>
      <c r="K184" t="s">
        <v>3753</v>
      </c>
      <c r="L184" t="s">
        <v>3753</v>
      </c>
      <c r="M184" t="s">
        <v>358</v>
      </c>
      <c r="N184" t="s">
        <v>197</v>
      </c>
      <c r="O184" t="s">
        <v>359</v>
      </c>
      <c r="P184" t="s">
        <v>221</v>
      </c>
      <c r="Q184" t="s">
        <v>82</v>
      </c>
      <c r="R184">
        <v>1</v>
      </c>
      <c r="S184">
        <v>1.0629999999999999</v>
      </c>
      <c r="T184">
        <v>0</v>
      </c>
      <c r="U184">
        <v>1</v>
      </c>
      <c r="V184">
        <v>1</v>
      </c>
      <c r="W184">
        <v>22.21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1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</row>
    <row r="185" spans="1:37" x14ac:dyDescent="0.3">
      <c r="A185">
        <v>7979</v>
      </c>
      <c r="B185" t="s">
        <v>219</v>
      </c>
      <c r="D185" t="s">
        <v>327</v>
      </c>
      <c r="E185">
        <v>99999999</v>
      </c>
      <c r="F185">
        <v>11111111</v>
      </c>
      <c r="G185">
        <v>1111111111</v>
      </c>
      <c r="H185" t="s">
        <v>3754</v>
      </c>
      <c r="I185">
        <v>99999999</v>
      </c>
      <c r="J185" s="188">
        <v>45236</v>
      </c>
      <c r="K185" t="s">
        <v>3754</v>
      </c>
      <c r="L185" t="s">
        <v>3754</v>
      </c>
      <c r="M185" t="s">
        <v>360</v>
      </c>
      <c r="N185" t="s">
        <v>130</v>
      </c>
      <c r="O185" t="s">
        <v>361</v>
      </c>
      <c r="P185" t="s">
        <v>221</v>
      </c>
      <c r="Q185" t="s">
        <v>82</v>
      </c>
      <c r="R185">
        <v>1</v>
      </c>
      <c r="S185">
        <v>4.1100000000000003</v>
      </c>
      <c r="T185">
        <v>0</v>
      </c>
      <c r="U185">
        <v>1</v>
      </c>
      <c r="V185">
        <v>1</v>
      </c>
      <c r="W185">
        <v>32.630000000000003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1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</row>
    <row r="186" spans="1:37" x14ac:dyDescent="0.3">
      <c r="A186">
        <v>7979</v>
      </c>
      <c r="B186" t="s">
        <v>219</v>
      </c>
      <c r="D186" t="s">
        <v>327</v>
      </c>
      <c r="E186">
        <v>99999999</v>
      </c>
      <c r="F186">
        <v>11111111</v>
      </c>
      <c r="G186">
        <v>1111111111</v>
      </c>
      <c r="H186" t="s">
        <v>3755</v>
      </c>
      <c r="I186">
        <v>99999999</v>
      </c>
      <c r="J186" s="188">
        <v>45236</v>
      </c>
      <c r="K186" t="s">
        <v>3755</v>
      </c>
      <c r="L186" t="s">
        <v>3755</v>
      </c>
      <c r="M186" t="s">
        <v>362</v>
      </c>
      <c r="N186" t="s">
        <v>122</v>
      </c>
      <c r="O186" t="s">
        <v>363</v>
      </c>
      <c r="P186" t="s">
        <v>221</v>
      </c>
      <c r="Q186" t="s">
        <v>82</v>
      </c>
      <c r="R186">
        <v>1</v>
      </c>
      <c r="S186">
        <v>2.08</v>
      </c>
      <c r="T186">
        <v>0</v>
      </c>
      <c r="U186">
        <v>1</v>
      </c>
      <c r="V186">
        <v>1</v>
      </c>
      <c r="W186">
        <v>28.79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1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</row>
    <row r="187" spans="1:37" x14ac:dyDescent="0.3">
      <c r="A187">
        <v>7979</v>
      </c>
      <c r="B187" t="s">
        <v>219</v>
      </c>
      <c r="D187" t="s">
        <v>327</v>
      </c>
      <c r="E187">
        <v>99999999</v>
      </c>
      <c r="F187">
        <v>11111111</v>
      </c>
      <c r="G187">
        <v>1111111111</v>
      </c>
      <c r="H187" t="s">
        <v>3756</v>
      </c>
      <c r="I187">
        <v>99999999</v>
      </c>
      <c r="J187" s="188">
        <v>45236</v>
      </c>
      <c r="K187" t="s">
        <v>3756</v>
      </c>
      <c r="L187" t="s">
        <v>3756</v>
      </c>
      <c r="M187" t="s">
        <v>364</v>
      </c>
      <c r="N187" t="s">
        <v>91</v>
      </c>
      <c r="O187" t="s">
        <v>365</v>
      </c>
      <c r="P187" t="s">
        <v>221</v>
      </c>
      <c r="Q187" t="s">
        <v>82</v>
      </c>
      <c r="R187">
        <v>3</v>
      </c>
      <c r="S187">
        <v>15.28</v>
      </c>
      <c r="T187">
        <v>0</v>
      </c>
      <c r="U187">
        <v>1</v>
      </c>
      <c r="V187">
        <v>3</v>
      </c>
      <c r="W187">
        <v>36.81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3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</row>
    <row r="188" spans="1:37" x14ac:dyDescent="0.3">
      <c r="A188">
        <v>7979</v>
      </c>
      <c r="B188" t="s">
        <v>219</v>
      </c>
      <c r="D188" t="s">
        <v>327</v>
      </c>
      <c r="E188">
        <v>99999999</v>
      </c>
      <c r="F188">
        <v>11111111</v>
      </c>
      <c r="G188">
        <v>1111111111</v>
      </c>
      <c r="H188" t="s">
        <v>3757</v>
      </c>
      <c r="I188">
        <v>99999999</v>
      </c>
      <c r="J188" s="188">
        <v>45236</v>
      </c>
      <c r="K188" t="s">
        <v>3757</v>
      </c>
      <c r="L188" t="s">
        <v>3757</v>
      </c>
      <c r="M188" t="s">
        <v>341</v>
      </c>
      <c r="N188" t="s">
        <v>130</v>
      </c>
      <c r="O188" t="s">
        <v>366</v>
      </c>
      <c r="P188" t="s">
        <v>221</v>
      </c>
      <c r="Q188" t="s">
        <v>82</v>
      </c>
      <c r="R188">
        <v>2</v>
      </c>
      <c r="S188">
        <v>6</v>
      </c>
      <c r="T188">
        <v>0</v>
      </c>
      <c r="U188">
        <v>1</v>
      </c>
      <c r="V188">
        <v>2</v>
      </c>
      <c r="W188">
        <v>25.03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2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</row>
    <row r="189" spans="1:37" x14ac:dyDescent="0.3">
      <c r="A189">
        <v>7979</v>
      </c>
      <c r="B189" t="s">
        <v>219</v>
      </c>
      <c r="D189" t="s">
        <v>327</v>
      </c>
      <c r="E189">
        <v>99999999</v>
      </c>
      <c r="F189">
        <v>11111111</v>
      </c>
      <c r="G189">
        <v>1111111111</v>
      </c>
      <c r="H189" t="s">
        <v>3758</v>
      </c>
      <c r="I189">
        <v>99999999</v>
      </c>
      <c r="J189" s="188">
        <v>45236</v>
      </c>
      <c r="K189" t="s">
        <v>3758</v>
      </c>
      <c r="L189" t="s">
        <v>3758</v>
      </c>
      <c r="M189" t="s">
        <v>367</v>
      </c>
      <c r="N189" t="s">
        <v>130</v>
      </c>
      <c r="O189" t="s">
        <v>368</v>
      </c>
      <c r="P189" t="s">
        <v>221</v>
      </c>
      <c r="Q189" t="s">
        <v>82</v>
      </c>
      <c r="R189">
        <v>2</v>
      </c>
      <c r="S189">
        <v>12.125</v>
      </c>
      <c r="T189">
        <v>0</v>
      </c>
      <c r="U189">
        <v>1</v>
      </c>
      <c r="V189">
        <v>2</v>
      </c>
      <c r="W189">
        <v>33.020000000000003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</row>
    <row r="190" spans="1:37" x14ac:dyDescent="0.3">
      <c r="A190">
        <v>7979</v>
      </c>
      <c r="B190" t="s">
        <v>219</v>
      </c>
      <c r="D190" t="s">
        <v>327</v>
      </c>
      <c r="E190">
        <v>99999999</v>
      </c>
      <c r="F190">
        <v>11111111</v>
      </c>
      <c r="G190">
        <v>1111111111</v>
      </c>
      <c r="H190" t="s">
        <v>3759</v>
      </c>
      <c r="I190">
        <v>99999999</v>
      </c>
      <c r="J190" s="188">
        <v>45236</v>
      </c>
      <c r="K190" t="s">
        <v>3759</v>
      </c>
      <c r="L190" t="s">
        <v>3759</v>
      </c>
      <c r="M190" t="s">
        <v>369</v>
      </c>
      <c r="N190" t="s">
        <v>99</v>
      </c>
      <c r="O190" t="s">
        <v>370</v>
      </c>
      <c r="P190" t="s">
        <v>221</v>
      </c>
      <c r="Q190" t="s">
        <v>82</v>
      </c>
      <c r="R190">
        <v>2</v>
      </c>
      <c r="S190">
        <v>6.3</v>
      </c>
      <c r="T190">
        <v>0</v>
      </c>
      <c r="U190">
        <v>1</v>
      </c>
      <c r="V190">
        <v>2</v>
      </c>
      <c r="W190">
        <v>23.54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2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</row>
    <row r="191" spans="1:37" x14ac:dyDescent="0.3">
      <c r="A191">
        <v>7979</v>
      </c>
      <c r="B191" t="s">
        <v>219</v>
      </c>
      <c r="D191" t="s">
        <v>327</v>
      </c>
      <c r="E191">
        <v>99999999</v>
      </c>
      <c r="F191">
        <v>11111111</v>
      </c>
      <c r="G191">
        <v>1111111111</v>
      </c>
      <c r="H191" t="s">
        <v>3760</v>
      </c>
      <c r="I191">
        <v>99999999</v>
      </c>
      <c r="J191" s="188">
        <v>45236</v>
      </c>
      <c r="K191" t="s">
        <v>3760</v>
      </c>
      <c r="L191" t="s">
        <v>3760</v>
      </c>
      <c r="M191" t="s">
        <v>371</v>
      </c>
      <c r="N191" t="s">
        <v>97</v>
      </c>
      <c r="O191">
        <v>98388</v>
      </c>
      <c r="P191" t="s">
        <v>221</v>
      </c>
      <c r="Q191" t="s">
        <v>82</v>
      </c>
      <c r="R191">
        <v>4</v>
      </c>
      <c r="S191">
        <v>41.84</v>
      </c>
      <c r="T191">
        <v>0</v>
      </c>
      <c r="U191">
        <v>1</v>
      </c>
      <c r="V191">
        <v>3</v>
      </c>
      <c r="W191">
        <v>44.88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4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</row>
    <row r="192" spans="1:37" x14ac:dyDescent="0.3">
      <c r="A192">
        <v>7979</v>
      </c>
      <c r="B192" t="s">
        <v>219</v>
      </c>
      <c r="D192" t="s">
        <v>327</v>
      </c>
      <c r="E192">
        <v>99999999</v>
      </c>
      <c r="F192">
        <v>11111111</v>
      </c>
      <c r="G192">
        <v>1111111111</v>
      </c>
      <c r="H192" t="s">
        <v>3761</v>
      </c>
      <c r="I192">
        <v>99999999</v>
      </c>
      <c r="J192" s="188">
        <v>45236</v>
      </c>
      <c r="K192" t="s">
        <v>3761</v>
      </c>
      <c r="L192" t="s">
        <v>3761</v>
      </c>
      <c r="M192" t="s">
        <v>372</v>
      </c>
      <c r="N192" t="s">
        <v>97</v>
      </c>
      <c r="O192" t="s">
        <v>373</v>
      </c>
      <c r="P192" t="s">
        <v>221</v>
      </c>
      <c r="Q192" t="s">
        <v>82</v>
      </c>
      <c r="R192">
        <v>2</v>
      </c>
      <c r="S192">
        <v>2.13</v>
      </c>
      <c r="T192">
        <v>0</v>
      </c>
      <c r="U192">
        <v>1</v>
      </c>
      <c r="V192">
        <v>2</v>
      </c>
      <c r="W192">
        <v>28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2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</row>
    <row r="193" spans="1:37" x14ac:dyDescent="0.3">
      <c r="A193">
        <v>7979</v>
      </c>
      <c r="B193" t="s">
        <v>219</v>
      </c>
      <c r="D193" t="s">
        <v>327</v>
      </c>
      <c r="E193">
        <v>99999999</v>
      </c>
      <c r="F193">
        <v>11111111</v>
      </c>
      <c r="G193">
        <v>1111111111</v>
      </c>
      <c r="H193" t="s">
        <v>3762</v>
      </c>
      <c r="I193">
        <v>99999999</v>
      </c>
      <c r="J193" s="188">
        <v>45236</v>
      </c>
      <c r="K193" t="s">
        <v>3762</v>
      </c>
      <c r="L193" t="s">
        <v>3762</v>
      </c>
      <c r="M193" t="s">
        <v>374</v>
      </c>
      <c r="N193" t="s">
        <v>130</v>
      </c>
      <c r="O193" t="s">
        <v>375</v>
      </c>
      <c r="P193" t="s">
        <v>221</v>
      </c>
      <c r="Q193" t="s">
        <v>82</v>
      </c>
      <c r="R193">
        <v>2</v>
      </c>
      <c r="S193">
        <v>10.6</v>
      </c>
      <c r="T193">
        <v>0</v>
      </c>
      <c r="U193">
        <v>1</v>
      </c>
      <c r="V193">
        <v>2</v>
      </c>
      <c r="W193">
        <v>26.51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2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</row>
    <row r="194" spans="1:37" x14ac:dyDescent="0.3">
      <c r="A194">
        <v>7979</v>
      </c>
      <c r="B194" t="s">
        <v>219</v>
      </c>
      <c r="D194" t="s">
        <v>327</v>
      </c>
      <c r="E194">
        <v>99999999</v>
      </c>
      <c r="F194">
        <v>11111111</v>
      </c>
      <c r="G194">
        <v>1111111111</v>
      </c>
      <c r="H194" t="s">
        <v>3763</v>
      </c>
      <c r="I194">
        <v>99999999</v>
      </c>
      <c r="J194" s="188">
        <v>45236</v>
      </c>
      <c r="K194" t="s">
        <v>3763</v>
      </c>
      <c r="L194" t="s">
        <v>3763</v>
      </c>
      <c r="M194" t="s">
        <v>376</v>
      </c>
      <c r="N194" t="s">
        <v>197</v>
      </c>
      <c r="O194" t="s">
        <v>377</v>
      </c>
      <c r="P194" t="s">
        <v>221</v>
      </c>
      <c r="Q194" t="s">
        <v>82</v>
      </c>
      <c r="R194">
        <v>3</v>
      </c>
      <c r="S194">
        <v>7.7</v>
      </c>
      <c r="T194">
        <v>0</v>
      </c>
      <c r="U194">
        <v>1</v>
      </c>
      <c r="V194">
        <v>2</v>
      </c>
      <c r="W194">
        <v>28.41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3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</row>
    <row r="195" spans="1:37" x14ac:dyDescent="0.3">
      <c r="A195">
        <v>7979</v>
      </c>
      <c r="B195" t="s">
        <v>219</v>
      </c>
      <c r="D195" t="s">
        <v>327</v>
      </c>
      <c r="E195">
        <v>99999999</v>
      </c>
      <c r="F195">
        <v>11111111</v>
      </c>
      <c r="G195">
        <v>1111111111</v>
      </c>
      <c r="H195" t="s">
        <v>3764</v>
      </c>
      <c r="I195">
        <v>99999999</v>
      </c>
      <c r="J195" s="188">
        <v>45236</v>
      </c>
      <c r="K195" t="s">
        <v>3764</v>
      </c>
      <c r="L195" t="s">
        <v>3764</v>
      </c>
      <c r="M195" t="s">
        <v>95</v>
      </c>
      <c r="N195" t="s">
        <v>91</v>
      </c>
      <c r="O195">
        <v>85083</v>
      </c>
      <c r="P195" t="s">
        <v>221</v>
      </c>
      <c r="Q195" t="s">
        <v>82</v>
      </c>
      <c r="R195">
        <v>10</v>
      </c>
      <c r="S195">
        <v>2.9</v>
      </c>
      <c r="T195">
        <v>0</v>
      </c>
      <c r="U195">
        <v>1</v>
      </c>
      <c r="V195">
        <v>2</v>
      </c>
      <c r="W195">
        <v>23.59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10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</row>
    <row r="196" spans="1:37" x14ac:dyDescent="0.3">
      <c r="A196">
        <v>7979</v>
      </c>
      <c r="B196" t="s">
        <v>219</v>
      </c>
      <c r="D196" t="s">
        <v>327</v>
      </c>
      <c r="E196">
        <v>99999999</v>
      </c>
      <c r="F196">
        <v>11111111</v>
      </c>
      <c r="G196">
        <v>1111111111</v>
      </c>
      <c r="H196" t="s">
        <v>3765</v>
      </c>
      <c r="I196">
        <v>99999999</v>
      </c>
      <c r="J196" s="188">
        <v>45236</v>
      </c>
      <c r="K196" t="s">
        <v>3765</v>
      </c>
      <c r="L196" t="s">
        <v>3765</v>
      </c>
      <c r="M196" t="s">
        <v>378</v>
      </c>
      <c r="N196" t="s">
        <v>130</v>
      </c>
      <c r="O196" t="s">
        <v>379</v>
      </c>
      <c r="P196" t="s">
        <v>221</v>
      </c>
      <c r="Q196" t="s">
        <v>82</v>
      </c>
      <c r="R196">
        <v>4</v>
      </c>
      <c r="S196">
        <v>25.79</v>
      </c>
      <c r="T196">
        <v>0</v>
      </c>
      <c r="U196">
        <v>1</v>
      </c>
      <c r="V196">
        <v>4</v>
      </c>
      <c r="W196">
        <v>37.68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4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</row>
    <row r="197" spans="1:37" x14ac:dyDescent="0.3">
      <c r="A197">
        <v>7979</v>
      </c>
      <c r="B197" t="s">
        <v>219</v>
      </c>
      <c r="D197" t="s">
        <v>327</v>
      </c>
      <c r="E197">
        <v>99999999</v>
      </c>
      <c r="F197">
        <v>11111111</v>
      </c>
      <c r="G197">
        <v>1111111111</v>
      </c>
      <c r="H197" t="s">
        <v>3766</v>
      </c>
      <c r="I197">
        <v>99999999</v>
      </c>
      <c r="J197" s="188">
        <v>45236</v>
      </c>
      <c r="K197" t="s">
        <v>3766</v>
      </c>
      <c r="L197" t="s">
        <v>3766</v>
      </c>
      <c r="M197" t="s">
        <v>380</v>
      </c>
      <c r="N197" t="s">
        <v>381</v>
      </c>
      <c r="O197" t="s">
        <v>382</v>
      </c>
      <c r="P197" t="s">
        <v>221</v>
      </c>
      <c r="Q197" t="s">
        <v>82</v>
      </c>
      <c r="R197">
        <v>1</v>
      </c>
      <c r="S197">
        <v>8.3000000000000007</v>
      </c>
      <c r="T197">
        <v>0</v>
      </c>
      <c r="U197">
        <v>1</v>
      </c>
      <c r="V197">
        <v>1</v>
      </c>
      <c r="W197">
        <v>25.74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</row>
    <row r="198" spans="1:37" x14ac:dyDescent="0.3">
      <c r="A198">
        <v>7979</v>
      </c>
      <c r="B198" t="s">
        <v>219</v>
      </c>
      <c r="D198" t="s">
        <v>327</v>
      </c>
      <c r="E198">
        <v>99999999</v>
      </c>
      <c r="F198">
        <v>11111111</v>
      </c>
      <c r="G198">
        <v>1111111111</v>
      </c>
      <c r="H198" t="s">
        <v>3767</v>
      </c>
      <c r="I198">
        <v>99999999</v>
      </c>
      <c r="J198" s="188">
        <v>45236</v>
      </c>
      <c r="K198" t="s">
        <v>3767</v>
      </c>
      <c r="L198" t="s">
        <v>3767</v>
      </c>
      <c r="M198" t="s">
        <v>383</v>
      </c>
      <c r="N198" t="s">
        <v>197</v>
      </c>
      <c r="O198" t="s">
        <v>384</v>
      </c>
      <c r="P198" t="s">
        <v>221</v>
      </c>
      <c r="Q198" t="s">
        <v>82</v>
      </c>
      <c r="R198">
        <v>1</v>
      </c>
      <c r="S198">
        <v>1</v>
      </c>
      <c r="T198">
        <v>0</v>
      </c>
      <c r="U198">
        <v>1</v>
      </c>
      <c r="V198">
        <v>1</v>
      </c>
      <c r="W198">
        <v>22.21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1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</row>
    <row r="199" spans="1:37" x14ac:dyDescent="0.3">
      <c r="A199">
        <v>7979</v>
      </c>
      <c r="B199" t="s">
        <v>219</v>
      </c>
      <c r="D199" t="s">
        <v>327</v>
      </c>
      <c r="E199">
        <v>99999999</v>
      </c>
      <c r="F199">
        <v>11111111</v>
      </c>
      <c r="G199">
        <v>1111111111</v>
      </c>
      <c r="H199" t="s">
        <v>3768</v>
      </c>
      <c r="I199">
        <v>99999999</v>
      </c>
      <c r="J199" s="188">
        <v>45237</v>
      </c>
      <c r="K199" t="s">
        <v>3768</v>
      </c>
      <c r="L199" t="s">
        <v>3768</v>
      </c>
      <c r="M199" t="s">
        <v>385</v>
      </c>
      <c r="N199" t="s">
        <v>130</v>
      </c>
      <c r="O199" t="s">
        <v>386</v>
      </c>
      <c r="P199" t="s">
        <v>221</v>
      </c>
      <c r="Q199" t="s">
        <v>82</v>
      </c>
      <c r="R199">
        <v>1</v>
      </c>
      <c r="S199">
        <v>7.28</v>
      </c>
      <c r="T199">
        <v>0</v>
      </c>
      <c r="U199">
        <v>1</v>
      </c>
      <c r="V199">
        <v>1</v>
      </c>
      <c r="W199">
        <v>33.83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1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</row>
    <row r="200" spans="1:37" x14ac:dyDescent="0.3">
      <c r="A200">
        <v>7979</v>
      </c>
      <c r="B200" t="s">
        <v>219</v>
      </c>
      <c r="D200" t="s">
        <v>327</v>
      </c>
      <c r="E200">
        <v>99999999</v>
      </c>
      <c r="F200">
        <v>11111111</v>
      </c>
      <c r="G200">
        <v>1111111111</v>
      </c>
      <c r="H200" t="s">
        <v>3769</v>
      </c>
      <c r="I200">
        <v>99999999</v>
      </c>
      <c r="J200" s="188">
        <v>45237</v>
      </c>
      <c r="K200" t="s">
        <v>3769</v>
      </c>
      <c r="L200" t="s">
        <v>3769</v>
      </c>
      <c r="M200" t="s">
        <v>387</v>
      </c>
      <c r="N200" t="s">
        <v>99</v>
      </c>
      <c r="O200" t="s">
        <v>388</v>
      </c>
      <c r="P200" t="s">
        <v>221</v>
      </c>
      <c r="Q200" t="s">
        <v>82</v>
      </c>
      <c r="R200">
        <v>1</v>
      </c>
      <c r="S200">
        <v>0.15</v>
      </c>
      <c r="T200">
        <v>0</v>
      </c>
      <c r="U200">
        <v>1</v>
      </c>
      <c r="V200">
        <v>1</v>
      </c>
      <c r="W200">
        <v>19.3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1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</row>
    <row r="201" spans="1:37" x14ac:dyDescent="0.3">
      <c r="A201">
        <v>7979</v>
      </c>
      <c r="B201" t="s">
        <v>219</v>
      </c>
      <c r="D201" t="s">
        <v>327</v>
      </c>
      <c r="E201">
        <v>99999999</v>
      </c>
      <c r="F201">
        <v>11111111</v>
      </c>
      <c r="G201">
        <v>1111111111</v>
      </c>
      <c r="H201" t="s">
        <v>3770</v>
      </c>
      <c r="I201">
        <v>99999999</v>
      </c>
      <c r="J201" s="188">
        <v>45237</v>
      </c>
      <c r="K201" t="s">
        <v>3770</v>
      </c>
      <c r="L201" t="s">
        <v>3770</v>
      </c>
      <c r="M201" t="s">
        <v>323</v>
      </c>
      <c r="N201" t="s">
        <v>122</v>
      </c>
      <c r="O201" t="s">
        <v>389</v>
      </c>
      <c r="P201" t="s">
        <v>221</v>
      </c>
      <c r="Q201" t="s">
        <v>82</v>
      </c>
      <c r="R201">
        <v>1</v>
      </c>
      <c r="S201">
        <v>30</v>
      </c>
      <c r="T201">
        <v>0</v>
      </c>
      <c r="U201">
        <v>1</v>
      </c>
      <c r="V201">
        <v>1</v>
      </c>
      <c r="W201">
        <v>49.62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1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</row>
    <row r="202" spans="1:37" x14ac:dyDescent="0.3">
      <c r="A202">
        <v>7979</v>
      </c>
      <c r="B202" t="s">
        <v>219</v>
      </c>
      <c r="D202" t="s">
        <v>327</v>
      </c>
      <c r="E202">
        <v>99999999</v>
      </c>
      <c r="F202">
        <v>11111111</v>
      </c>
      <c r="G202">
        <v>1111111111</v>
      </c>
      <c r="H202" t="s">
        <v>3771</v>
      </c>
      <c r="I202">
        <v>99999999</v>
      </c>
      <c r="J202" s="188">
        <v>45237</v>
      </c>
      <c r="K202" t="s">
        <v>3771</v>
      </c>
      <c r="L202" t="s">
        <v>3771</v>
      </c>
      <c r="M202" t="s">
        <v>390</v>
      </c>
      <c r="N202" t="s">
        <v>97</v>
      </c>
      <c r="O202" t="s">
        <v>391</v>
      </c>
      <c r="P202" t="s">
        <v>221</v>
      </c>
      <c r="Q202" t="s">
        <v>82</v>
      </c>
      <c r="R202">
        <v>1</v>
      </c>
      <c r="S202">
        <v>16</v>
      </c>
      <c r="T202">
        <v>0</v>
      </c>
      <c r="U202">
        <v>1</v>
      </c>
      <c r="V202">
        <v>1</v>
      </c>
      <c r="W202">
        <v>26.08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1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</row>
    <row r="203" spans="1:37" x14ac:dyDescent="0.3">
      <c r="A203">
        <v>7979</v>
      </c>
      <c r="B203" t="s">
        <v>219</v>
      </c>
      <c r="D203" t="s">
        <v>327</v>
      </c>
      <c r="E203">
        <v>99999999</v>
      </c>
      <c r="F203">
        <v>11111111</v>
      </c>
      <c r="G203">
        <v>1111111111</v>
      </c>
      <c r="H203" t="s">
        <v>3772</v>
      </c>
      <c r="I203">
        <v>99999999</v>
      </c>
      <c r="J203" s="188">
        <v>45237</v>
      </c>
      <c r="K203" t="s">
        <v>3772</v>
      </c>
      <c r="L203" t="s">
        <v>3772</v>
      </c>
      <c r="M203" t="s">
        <v>392</v>
      </c>
      <c r="N203" t="s">
        <v>104</v>
      </c>
      <c r="O203" t="s">
        <v>393</v>
      </c>
      <c r="P203" t="s">
        <v>221</v>
      </c>
      <c r="Q203" t="s">
        <v>82</v>
      </c>
      <c r="R203">
        <v>2</v>
      </c>
      <c r="S203">
        <v>2.38</v>
      </c>
      <c r="T203">
        <v>0</v>
      </c>
      <c r="U203">
        <v>1</v>
      </c>
      <c r="V203">
        <v>1</v>
      </c>
      <c r="W203">
        <v>30.13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2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</row>
    <row r="204" spans="1:37" x14ac:dyDescent="0.3">
      <c r="A204">
        <v>7979</v>
      </c>
      <c r="B204" t="s">
        <v>219</v>
      </c>
      <c r="D204" t="s">
        <v>327</v>
      </c>
      <c r="E204">
        <v>99999999</v>
      </c>
      <c r="F204">
        <v>11111111</v>
      </c>
      <c r="G204">
        <v>1111111111</v>
      </c>
      <c r="H204" t="s">
        <v>3773</v>
      </c>
      <c r="I204">
        <v>99999999</v>
      </c>
      <c r="J204" s="188">
        <v>45237</v>
      </c>
      <c r="K204" t="s">
        <v>3773</v>
      </c>
      <c r="L204" t="s">
        <v>3773</v>
      </c>
      <c r="M204" t="s">
        <v>394</v>
      </c>
      <c r="N204" t="s">
        <v>99</v>
      </c>
      <c r="O204" t="s">
        <v>395</v>
      </c>
      <c r="P204" t="s">
        <v>221</v>
      </c>
      <c r="Q204" t="s">
        <v>82</v>
      </c>
      <c r="R204">
        <v>1</v>
      </c>
      <c r="S204">
        <v>17.5</v>
      </c>
      <c r="T204">
        <v>0</v>
      </c>
      <c r="U204">
        <v>1</v>
      </c>
      <c r="V204">
        <v>1</v>
      </c>
      <c r="W204">
        <v>30.19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1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</row>
    <row r="205" spans="1:37" x14ac:dyDescent="0.3">
      <c r="A205">
        <v>7979</v>
      </c>
      <c r="B205" t="s">
        <v>219</v>
      </c>
      <c r="D205" t="s">
        <v>327</v>
      </c>
      <c r="E205">
        <v>99999999</v>
      </c>
      <c r="F205">
        <v>11111111</v>
      </c>
      <c r="G205">
        <v>1111111111</v>
      </c>
      <c r="H205" t="s">
        <v>3774</v>
      </c>
      <c r="I205">
        <v>99999999</v>
      </c>
      <c r="J205" s="188">
        <v>45237</v>
      </c>
      <c r="K205" t="s">
        <v>3774</v>
      </c>
      <c r="L205" t="s">
        <v>3774</v>
      </c>
      <c r="M205" t="s">
        <v>396</v>
      </c>
      <c r="N205" t="s">
        <v>99</v>
      </c>
      <c r="O205" t="s">
        <v>397</v>
      </c>
      <c r="P205" t="s">
        <v>221</v>
      </c>
      <c r="Q205" t="s">
        <v>82</v>
      </c>
      <c r="R205">
        <v>1</v>
      </c>
      <c r="S205">
        <v>1</v>
      </c>
      <c r="T205">
        <v>0</v>
      </c>
      <c r="U205">
        <v>1</v>
      </c>
      <c r="V205">
        <v>1</v>
      </c>
      <c r="W205">
        <v>19.940000000000001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1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</row>
    <row r="206" spans="1:37" x14ac:dyDescent="0.3">
      <c r="A206">
        <v>7979</v>
      </c>
      <c r="B206" t="s">
        <v>219</v>
      </c>
      <c r="D206" t="s">
        <v>327</v>
      </c>
      <c r="E206">
        <v>99999999</v>
      </c>
      <c r="F206">
        <v>11111111</v>
      </c>
      <c r="G206">
        <v>1111111111</v>
      </c>
      <c r="H206" t="s">
        <v>3775</v>
      </c>
      <c r="I206">
        <v>99999999</v>
      </c>
      <c r="J206" s="188">
        <v>45237</v>
      </c>
      <c r="K206" t="s">
        <v>3775</v>
      </c>
      <c r="L206" t="s">
        <v>3775</v>
      </c>
      <c r="M206" t="s">
        <v>262</v>
      </c>
      <c r="N206" t="s">
        <v>130</v>
      </c>
      <c r="O206" t="s">
        <v>398</v>
      </c>
      <c r="P206" t="s">
        <v>221</v>
      </c>
      <c r="Q206" t="s">
        <v>82</v>
      </c>
      <c r="R206">
        <v>1</v>
      </c>
      <c r="S206">
        <v>1.95</v>
      </c>
      <c r="T206">
        <v>0</v>
      </c>
      <c r="U206">
        <v>1</v>
      </c>
      <c r="V206">
        <v>1</v>
      </c>
      <c r="W206">
        <v>30.93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1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</row>
    <row r="207" spans="1:37" x14ac:dyDescent="0.3">
      <c r="A207">
        <v>7979</v>
      </c>
      <c r="B207" t="s">
        <v>219</v>
      </c>
      <c r="D207" t="s">
        <v>327</v>
      </c>
      <c r="E207">
        <v>99999999</v>
      </c>
      <c r="F207">
        <v>11111111</v>
      </c>
      <c r="G207">
        <v>1111111111</v>
      </c>
      <c r="H207" t="s">
        <v>3776</v>
      </c>
      <c r="I207">
        <v>99999999</v>
      </c>
      <c r="J207" s="188">
        <v>45237</v>
      </c>
      <c r="K207" t="s">
        <v>3776</v>
      </c>
      <c r="L207" t="s">
        <v>3776</v>
      </c>
      <c r="M207" t="s">
        <v>399</v>
      </c>
      <c r="N207" t="s">
        <v>197</v>
      </c>
      <c r="O207" t="s">
        <v>400</v>
      </c>
      <c r="P207" t="s">
        <v>221</v>
      </c>
      <c r="Q207" t="s">
        <v>82</v>
      </c>
      <c r="R207">
        <v>1</v>
      </c>
      <c r="S207">
        <v>15.75</v>
      </c>
      <c r="T207">
        <v>0</v>
      </c>
      <c r="U207">
        <v>1</v>
      </c>
      <c r="V207">
        <v>1</v>
      </c>
      <c r="W207">
        <v>40.01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1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</row>
    <row r="208" spans="1:37" x14ac:dyDescent="0.3">
      <c r="A208">
        <v>7979</v>
      </c>
      <c r="B208" t="s">
        <v>219</v>
      </c>
      <c r="D208" t="s">
        <v>327</v>
      </c>
      <c r="E208">
        <v>99999999</v>
      </c>
      <c r="F208">
        <v>11111111</v>
      </c>
      <c r="G208">
        <v>1111111111</v>
      </c>
      <c r="H208" t="s">
        <v>3777</v>
      </c>
      <c r="I208">
        <v>99999999</v>
      </c>
      <c r="J208" s="188">
        <v>45237</v>
      </c>
      <c r="K208" t="s">
        <v>3777</v>
      </c>
      <c r="L208" t="s">
        <v>3777</v>
      </c>
      <c r="M208" t="s">
        <v>401</v>
      </c>
      <c r="N208" t="s">
        <v>402</v>
      </c>
      <c r="O208" t="s">
        <v>403</v>
      </c>
      <c r="P208" t="s">
        <v>221</v>
      </c>
      <c r="Q208" t="s">
        <v>82</v>
      </c>
      <c r="R208">
        <v>1</v>
      </c>
      <c r="S208">
        <v>0.3</v>
      </c>
      <c r="T208">
        <v>0</v>
      </c>
      <c r="U208">
        <v>1</v>
      </c>
      <c r="V208">
        <v>1</v>
      </c>
      <c r="W208">
        <v>26.9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</row>
    <row r="209" spans="1:37" x14ac:dyDescent="0.3">
      <c r="A209">
        <v>7979</v>
      </c>
      <c r="B209" t="s">
        <v>219</v>
      </c>
      <c r="D209" t="s">
        <v>327</v>
      </c>
      <c r="E209">
        <v>99999999</v>
      </c>
      <c r="F209">
        <v>11111111</v>
      </c>
      <c r="G209">
        <v>1111111111</v>
      </c>
      <c r="H209" t="s">
        <v>3778</v>
      </c>
      <c r="I209">
        <v>99999999</v>
      </c>
      <c r="J209" s="188">
        <v>45237</v>
      </c>
      <c r="K209" t="s">
        <v>3778</v>
      </c>
      <c r="L209" t="s">
        <v>3778</v>
      </c>
      <c r="M209" t="s">
        <v>404</v>
      </c>
      <c r="N209" t="s">
        <v>183</v>
      </c>
      <c r="O209" t="s">
        <v>405</v>
      </c>
      <c r="P209" t="s">
        <v>221</v>
      </c>
      <c r="Q209" t="s">
        <v>82</v>
      </c>
      <c r="R209">
        <v>1</v>
      </c>
      <c r="S209">
        <v>0.125</v>
      </c>
      <c r="T209">
        <v>0</v>
      </c>
      <c r="U209">
        <v>1</v>
      </c>
      <c r="V209">
        <v>1</v>
      </c>
      <c r="W209">
        <v>28.78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</row>
    <row r="210" spans="1:37" x14ac:dyDescent="0.3">
      <c r="A210">
        <v>7979</v>
      </c>
      <c r="B210" t="s">
        <v>219</v>
      </c>
      <c r="D210" t="s">
        <v>327</v>
      </c>
      <c r="E210">
        <v>99999999</v>
      </c>
      <c r="F210">
        <v>11111111</v>
      </c>
      <c r="G210">
        <v>1111111111</v>
      </c>
      <c r="H210" t="s">
        <v>3779</v>
      </c>
      <c r="I210">
        <v>99999999</v>
      </c>
      <c r="J210" s="188">
        <v>45237</v>
      </c>
      <c r="K210" t="s">
        <v>3779</v>
      </c>
      <c r="L210" t="s">
        <v>3779</v>
      </c>
      <c r="M210" t="s">
        <v>406</v>
      </c>
      <c r="N210" t="s">
        <v>99</v>
      </c>
      <c r="O210" t="s">
        <v>407</v>
      </c>
      <c r="P210" t="s">
        <v>221</v>
      </c>
      <c r="Q210" t="s">
        <v>82</v>
      </c>
      <c r="R210">
        <v>1</v>
      </c>
      <c r="S210">
        <v>2.25</v>
      </c>
      <c r="T210">
        <v>0</v>
      </c>
      <c r="U210">
        <v>1</v>
      </c>
      <c r="V210">
        <v>1</v>
      </c>
      <c r="W210">
        <v>21.88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1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</row>
    <row r="211" spans="1:37" x14ac:dyDescent="0.3">
      <c r="A211">
        <v>7979</v>
      </c>
      <c r="B211" t="s">
        <v>219</v>
      </c>
      <c r="D211" t="s">
        <v>327</v>
      </c>
      <c r="E211">
        <v>99999999</v>
      </c>
      <c r="F211">
        <v>11111111</v>
      </c>
      <c r="G211">
        <v>1111111111</v>
      </c>
      <c r="H211" t="s">
        <v>3780</v>
      </c>
      <c r="I211">
        <v>99999999</v>
      </c>
      <c r="J211" s="188">
        <v>45237</v>
      </c>
      <c r="K211" t="s">
        <v>3780</v>
      </c>
      <c r="L211" t="s">
        <v>3780</v>
      </c>
      <c r="M211" t="s">
        <v>408</v>
      </c>
      <c r="N211" t="s">
        <v>197</v>
      </c>
      <c r="O211" t="s">
        <v>409</v>
      </c>
      <c r="P211" t="s">
        <v>221</v>
      </c>
      <c r="Q211" t="s">
        <v>82</v>
      </c>
      <c r="R211">
        <v>1</v>
      </c>
      <c r="S211">
        <v>7.3129999999999997</v>
      </c>
      <c r="T211">
        <v>0</v>
      </c>
      <c r="U211">
        <v>1</v>
      </c>
      <c r="V211">
        <v>1</v>
      </c>
      <c r="W211">
        <v>27.52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</row>
    <row r="212" spans="1:37" x14ac:dyDescent="0.3">
      <c r="A212">
        <v>7979</v>
      </c>
      <c r="B212" t="s">
        <v>219</v>
      </c>
      <c r="D212" t="s">
        <v>327</v>
      </c>
      <c r="E212">
        <v>99999999</v>
      </c>
      <c r="F212">
        <v>11111111</v>
      </c>
      <c r="G212">
        <v>1111111111</v>
      </c>
      <c r="H212" t="s">
        <v>3781</v>
      </c>
      <c r="I212">
        <v>99999999</v>
      </c>
      <c r="J212" s="188">
        <v>45237</v>
      </c>
      <c r="K212" t="s">
        <v>3781</v>
      </c>
      <c r="L212" t="s">
        <v>3781</v>
      </c>
      <c r="M212" t="s">
        <v>410</v>
      </c>
      <c r="N212" t="s">
        <v>130</v>
      </c>
      <c r="O212" t="s">
        <v>411</v>
      </c>
      <c r="P212" t="s">
        <v>221</v>
      </c>
      <c r="Q212" t="s">
        <v>82</v>
      </c>
      <c r="R212">
        <v>1</v>
      </c>
      <c r="S212">
        <v>9.92</v>
      </c>
      <c r="T212">
        <v>0</v>
      </c>
      <c r="U212">
        <v>1</v>
      </c>
      <c r="V212">
        <v>1</v>
      </c>
      <c r="W212">
        <v>34.53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1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</row>
    <row r="213" spans="1:37" x14ac:dyDescent="0.3">
      <c r="A213">
        <v>7979</v>
      </c>
      <c r="B213" t="s">
        <v>219</v>
      </c>
      <c r="D213" t="s">
        <v>327</v>
      </c>
      <c r="E213">
        <v>99999999</v>
      </c>
      <c r="F213">
        <v>11111111</v>
      </c>
      <c r="G213">
        <v>1111111111</v>
      </c>
      <c r="H213" t="s">
        <v>3782</v>
      </c>
      <c r="I213">
        <v>99999999</v>
      </c>
      <c r="J213" s="188">
        <v>45237</v>
      </c>
      <c r="K213" t="s">
        <v>3782</v>
      </c>
      <c r="L213" t="s">
        <v>3782</v>
      </c>
      <c r="M213" t="s">
        <v>412</v>
      </c>
      <c r="N213" t="s">
        <v>161</v>
      </c>
      <c r="O213" t="s">
        <v>413</v>
      </c>
      <c r="P213" t="s">
        <v>221</v>
      </c>
      <c r="Q213" t="s">
        <v>82</v>
      </c>
      <c r="R213">
        <v>2</v>
      </c>
      <c r="S213">
        <v>1.7290000000000001</v>
      </c>
      <c r="T213">
        <v>0</v>
      </c>
      <c r="U213">
        <v>1</v>
      </c>
      <c r="V213">
        <v>2</v>
      </c>
      <c r="W213">
        <v>31.37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2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</row>
    <row r="214" spans="1:37" x14ac:dyDescent="0.3">
      <c r="A214">
        <v>7979</v>
      </c>
      <c r="B214" t="s">
        <v>219</v>
      </c>
      <c r="D214" t="s">
        <v>327</v>
      </c>
      <c r="E214">
        <v>99999999</v>
      </c>
      <c r="F214">
        <v>11111111</v>
      </c>
      <c r="G214">
        <v>1111111111</v>
      </c>
      <c r="H214" t="s">
        <v>3783</v>
      </c>
      <c r="I214">
        <v>99999999</v>
      </c>
      <c r="J214" s="188">
        <v>45237</v>
      </c>
      <c r="K214" t="s">
        <v>3783</v>
      </c>
      <c r="L214" t="s">
        <v>3783</v>
      </c>
      <c r="M214" t="s">
        <v>414</v>
      </c>
      <c r="N214" t="s">
        <v>97</v>
      </c>
      <c r="O214" t="s">
        <v>415</v>
      </c>
      <c r="P214" t="s">
        <v>221</v>
      </c>
      <c r="Q214" t="s">
        <v>82</v>
      </c>
      <c r="R214">
        <v>1</v>
      </c>
      <c r="S214">
        <v>11.666</v>
      </c>
      <c r="T214">
        <v>0</v>
      </c>
      <c r="U214">
        <v>1</v>
      </c>
      <c r="V214">
        <v>1</v>
      </c>
      <c r="W214">
        <v>31.17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1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</row>
    <row r="215" spans="1:37" x14ac:dyDescent="0.3">
      <c r="A215">
        <v>7979</v>
      </c>
      <c r="B215" t="s">
        <v>219</v>
      </c>
      <c r="D215" t="s">
        <v>327</v>
      </c>
      <c r="E215">
        <v>99999999</v>
      </c>
      <c r="F215">
        <v>11111111</v>
      </c>
      <c r="G215">
        <v>1111111111</v>
      </c>
      <c r="H215" t="s">
        <v>3784</v>
      </c>
      <c r="I215">
        <v>99999999</v>
      </c>
      <c r="J215" s="188">
        <v>45237</v>
      </c>
      <c r="K215" t="s">
        <v>3784</v>
      </c>
      <c r="L215" t="s">
        <v>3784</v>
      </c>
      <c r="M215" t="s">
        <v>416</v>
      </c>
      <c r="N215" t="s">
        <v>197</v>
      </c>
      <c r="O215" t="s">
        <v>417</v>
      </c>
      <c r="P215" t="s">
        <v>221</v>
      </c>
      <c r="Q215" t="s">
        <v>82</v>
      </c>
      <c r="R215">
        <v>1</v>
      </c>
      <c r="S215">
        <v>1.94</v>
      </c>
      <c r="T215">
        <v>0</v>
      </c>
      <c r="U215">
        <v>1</v>
      </c>
      <c r="V215">
        <v>1</v>
      </c>
      <c r="W215">
        <v>23.93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</row>
    <row r="216" spans="1:37" x14ac:dyDescent="0.3">
      <c r="A216">
        <v>7979</v>
      </c>
      <c r="B216" t="s">
        <v>219</v>
      </c>
      <c r="D216" t="s">
        <v>327</v>
      </c>
      <c r="E216">
        <v>99999999</v>
      </c>
      <c r="F216">
        <v>11111111</v>
      </c>
      <c r="G216">
        <v>1111111111</v>
      </c>
      <c r="H216" t="s">
        <v>3785</v>
      </c>
      <c r="I216">
        <v>99999999</v>
      </c>
      <c r="J216" s="188">
        <v>45237</v>
      </c>
      <c r="K216" t="s">
        <v>3785</v>
      </c>
      <c r="L216" t="s">
        <v>3785</v>
      </c>
      <c r="M216" t="s">
        <v>418</v>
      </c>
      <c r="N216" t="s">
        <v>91</v>
      </c>
      <c r="O216" t="s">
        <v>419</v>
      </c>
      <c r="P216" t="s">
        <v>221</v>
      </c>
      <c r="Q216" t="s">
        <v>82</v>
      </c>
      <c r="R216">
        <v>1</v>
      </c>
      <c r="S216">
        <v>11.666</v>
      </c>
      <c r="T216">
        <v>0</v>
      </c>
      <c r="U216">
        <v>1</v>
      </c>
      <c r="V216">
        <v>1</v>
      </c>
      <c r="W216">
        <v>26.9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1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</row>
    <row r="217" spans="1:37" x14ac:dyDescent="0.3">
      <c r="A217">
        <v>7979</v>
      </c>
      <c r="B217" t="s">
        <v>219</v>
      </c>
      <c r="D217" t="s">
        <v>327</v>
      </c>
      <c r="E217">
        <v>99999999</v>
      </c>
      <c r="F217">
        <v>11111111</v>
      </c>
      <c r="G217">
        <v>1111111111</v>
      </c>
      <c r="H217" t="s">
        <v>3786</v>
      </c>
      <c r="I217">
        <v>99999999</v>
      </c>
      <c r="J217" s="188">
        <v>45237</v>
      </c>
      <c r="K217" t="s">
        <v>3786</v>
      </c>
      <c r="L217" t="s">
        <v>3786</v>
      </c>
      <c r="M217" t="s">
        <v>420</v>
      </c>
      <c r="N217" t="s">
        <v>164</v>
      </c>
      <c r="O217" t="s">
        <v>421</v>
      </c>
      <c r="P217" t="s">
        <v>221</v>
      </c>
      <c r="Q217" t="s">
        <v>82</v>
      </c>
      <c r="R217">
        <v>1</v>
      </c>
      <c r="S217">
        <v>3.75</v>
      </c>
      <c r="T217">
        <v>0</v>
      </c>
      <c r="U217">
        <v>1</v>
      </c>
      <c r="V217">
        <v>1</v>
      </c>
      <c r="W217">
        <v>29.05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</row>
    <row r="218" spans="1:37" x14ac:dyDescent="0.3">
      <c r="A218">
        <v>7979</v>
      </c>
      <c r="B218" t="s">
        <v>219</v>
      </c>
      <c r="D218" t="s">
        <v>327</v>
      </c>
      <c r="E218">
        <v>99999999</v>
      </c>
      <c r="F218">
        <v>11111111</v>
      </c>
      <c r="G218">
        <v>1111111111</v>
      </c>
      <c r="H218" t="s">
        <v>3787</v>
      </c>
      <c r="I218">
        <v>99999999</v>
      </c>
      <c r="J218" s="188">
        <v>45237</v>
      </c>
      <c r="K218" t="s">
        <v>3787</v>
      </c>
      <c r="L218" t="s">
        <v>3787</v>
      </c>
      <c r="M218" t="s">
        <v>422</v>
      </c>
      <c r="N218" t="s">
        <v>197</v>
      </c>
      <c r="O218">
        <v>77476</v>
      </c>
      <c r="P218" t="s">
        <v>221</v>
      </c>
      <c r="Q218" t="s">
        <v>82</v>
      </c>
      <c r="R218">
        <v>1</v>
      </c>
      <c r="S218">
        <v>2.2000000000000002</v>
      </c>
      <c r="T218">
        <v>0</v>
      </c>
      <c r="U218">
        <v>1</v>
      </c>
      <c r="V218">
        <v>1</v>
      </c>
      <c r="W218">
        <v>30.05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1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</row>
    <row r="219" spans="1:37" x14ac:dyDescent="0.3">
      <c r="A219">
        <v>7979</v>
      </c>
      <c r="B219" t="s">
        <v>219</v>
      </c>
      <c r="D219" t="s">
        <v>327</v>
      </c>
      <c r="E219">
        <v>99999999</v>
      </c>
      <c r="F219">
        <v>11111111</v>
      </c>
      <c r="G219">
        <v>1111111111</v>
      </c>
      <c r="H219" t="s">
        <v>3788</v>
      </c>
      <c r="I219">
        <v>99999999</v>
      </c>
      <c r="J219" s="188">
        <v>45237</v>
      </c>
      <c r="K219" t="s">
        <v>3788</v>
      </c>
      <c r="L219" t="s">
        <v>3788</v>
      </c>
      <c r="M219" t="s">
        <v>423</v>
      </c>
      <c r="N219" t="s">
        <v>130</v>
      </c>
      <c r="O219" t="s">
        <v>424</v>
      </c>
      <c r="P219" t="s">
        <v>221</v>
      </c>
      <c r="Q219" t="s">
        <v>82</v>
      </c>
      <c r="R219">
        <v>1</v>
      </c>
      <c r="S219">
        <v>10.4</v>
      </c>
      <c r="T219">
        <v>0</v>
      </c>
      <c r="U219">
        <v>1</v>
      </c>
      <c r="V219">
        <v>1</v>
      </c>
      <c r="W219">
        <v>26.28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1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</row>
    <row r="220" spans="1:37" x14ac:dyDescent="0.3">
      <c r="A220">
        <v>7979</v>
      </c>
      <c r="B220" t="s">
        <v>219</v>
      </c>
      <c r="D220" t="s">
        <v>327</v>
      </c>
      <c r="E220">
        <v>99999999</v>
      </c>
      <c r="F220">
        <v>11111111</v>
      </c>
      <c r="G220">
        <v>1111111111</v>
      </c>
      <c r="H220" t="s">
        <v>3789</v>
      </c>
      <c r="I220">
        <v>99999999</v>
      </c>
      <c r="J220" s="188">
        <v>45237</v>
      </c>
      <c r="K220" t="s">
        <v>3789</v>
      </c>
      <c r="L220" t="s">
        <v>3789</v>
      </c>
      <c r="M220" t="s">
        <v>425</v>
      </c>
      <c r="N220" t="s">
        <v>99</v>
      </c>
      <c r="O220" t="s">
        <v>426</v>
      </c>
      <c r="P220" t="s">
        <v>221</v>
      </c>
      <c r="Q220" t="s">
        <v>82</v>
      </c>
      <c r="R220">
        <v>1</v>
      </c>
      <c r="S220">
        <v>1.25</v>
      </c>
      <c r="T220">
        <v>0</v>
      </c>
      <c r="U220">
        <v>1</v>
      </c>
      <c r="V220">
        <v>1</v>
      </c>
      <c r="W220">
        <v>28.19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</row>
    <row r="221" spans="1:37" x14ac:dyDescent="0.3">
      <c r="A221">
        <v>7979</v>
      </c>
      <c r="B221" t="s">
        <v>219</v>
      </c>
      <c r="D221" t="s">
        <v>327</v>
      </c>
      <c r="E221">
        <v>99999999</v>
      </c>
      <c r="F221">
        <v>11111111</v>
      </c>
      <c r="G221">
        <v>1111111111</v>
      </c>
      <c r="H221" t="s">
        <v>3790</v>
      </c>
      <c r="I221">
        <v>99999999</v>
      </c>
      <c r="J221" s="188">
        <v>45237</v>
      </c>
      <c r="K221" t="s">
        <v>3790</v>
      </c>
      <c r="L221" t="s">
        <v>3790</v>
      </c>
      <c r="M221" t="s">
        <v>427</v>
      </c>
      <c r="N221" t="s">
        <v>141</v>
      </c>
      <c r="O221" t="s">
        <v>428</v>
      </c>
      <c r="P221" t="s">
        <v>221</v>
      </c>
      <c r="Q221" t="s">
        <v>82</v>
      </c>
      <c r="R221">
        <v>1</v>
      </c>
      <c r="S221">
        <v>0.55000000000000004</v>
      </c>
      <c r="T221">
        <v>0</v>
      </c>
      <c r="U221">
        <v>1</v>
      </c>
      <c r="V221">
        <v>1</v>
      </c>
      <c r="W221">
        <v>23.1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1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</row>
    <row r="222" spans="1:37" x14ac:dyDescent="0.3">
      <c r="A222">
        <v>7979</v>
      </c>
      <c r="B222" t="s">
        <v>219</v>
      </c>
      <c r="D222" t="s">
        <v>327</v>
      </c>
      <c r="E222">
        <v>99999999</v>
      </c>
      <c r="F222">
        <v>11111111</v>
      </c>
      <c r="G222">
        <v>1111111111</v>
      </c>
      <c r="H222" t="s">
        <v>3791</v>
      </c>
      <c r="I222">
        <v>99999999</v>
      </c>
      <c r="J222" s="188">
        <v>45237</v>
      </c>
      <c r="K222" t="s">
        <v>3791</v>
      </c>
      <c r="L222" t="s">
        <v>3791</v>
      </c>
      <c r="M222" t="s">
        <v>341</v>
      </c>
      <c r="N222" t="s">
        <v>130</v>
      </c>
      <c r="O222" t="s">
        <v>429</v>
      </c>
      <c r="P222" t="s">
        <v>221</v>
      </c>
      <c r="Q222" t="s">
        <v>82</v>
      </c>
      <c r="R222">
        <v>4</v>
      </c>
      <c r="S222">
        <v>2.95</v>
      </c>
      <c r="T222">
        <v>0</v>
      </c>
      <c r="U222">
        <v>1</v>
      </c>
      <c r="V222">
        <v>4</v>
      </c>
      <c r="W222">
        <v>23.59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4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</row>
    <row r="223" spans="1:37" x14ac:dyDescent="0.3">
      <c r="A223">
        <v>7979</v>
      </c>
      <c r="B223" t="s">
        <v>219</v>
      </c>
      <c r="D223" t="s">
        <v>327</v>
      </c>
      <c r="E223">
        <v>99999999</v>
      </c>
      <c r="F223">
        <v>11111111</v>
      </c>
      <c r="G223">
        <v>1111111111</v>
      </c>
      <c r="H223" t="s">
        <v>3792</v>
      </c>
      <c r="I223">
        <v>99999999</v>
      </c>
      <c r="J223" s="188">
        <v>45237</v>
      </c>
      <c r="K223" t="s">
        <v>3792</v>
      </c>
      <c r="L223" t="s">
        <v>3792</v>
      </c>
      <c r="M223" t="s">
        <v>430</v>
      </c>
      <c r="N223" t="s">
        <v>122</v>
      </c>
      <c r="O223" t="s">
        <v>431</v>
      </c>
      <c r="P223" t="s">
        <v>221</v>
      </c>
      <c r="Q223" t="s">
        <v>82</v>
      </c>
      <c r="R223">
        <v>1</v>
      </c>
      <c r="S223">
        <v>0.8</v>
      </c>
      <c r="T223">
        <v>0</v>
      </c>
      <c r="U223">
        <v>1</v>
      </c>
      <c r="V223">
        <v>1</v>
      </c>
      <c r="W223">
        <v>29.8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1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</row>
    <row r="224" spans="1:37" x14ac:dyDescent="0.3">
      <c r="A224">
        <v>7979</v>
      </c>
      <c r="B224" t="s">
        <v>219</v>
      </c>
      <c r="D224" t="s">
        <v>327</v>
      </c>
      <c r="E224">
        <v>99999999</v>
      </c>
      <c r="F224">
        <v>11111111</v>
      </c>
      <c r="G224">
        <v>1111111111</v>
      </c>
      <c r="H224" t="s">
        <v>3793</v>
      </c>
      <c r="I224">
        <v>99999999</v>
      </c>
      <c r="J224" s="188">
        <v>45237</v>
      </c>
      <c r="K224" t="s">
        <v>3793</v>
      </c>
      <c r="L224" t="s">
        <v>3793</v>
      </c>
      <c r="M224" t="s">
        <v>401</v>
      </c>
      <c r="N224" t="s">
        <v>164</v>
      </c>
      <c r="O224" t="s">
        <v>432</v>
      </c>
      <c r="P224" t="s">
        <v>221</v>
      </c>
      <c r="Q224" t="s">
        <v>82</v>
      </c>
      <c r="R224">
        <v>1</v>
      </c>
      <c r="S224">
        <v>11.666</v>
      </c>
      <c r="T224">
        <v>0</v>
      </c>
      <c r="U224">
        <v>1</v>
      </c>
      <c r="V224">
        <v>1</v>
      </c>
      <c r="W224">
        <v>25.05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1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</row>
    <row r="225" spans="1:37" x14ac:dyDescent="0.3">
      <c r="A225">
        <v>7979</v>
      </c>
      <c r="B225" t="s">
        <v>219</v>
      </c>
      <c r="D225" t="s">
        <v>327</v>
      </c>
      <c r="E225">
        <v>99999999</v>
      </c>
      <c r="F225">
        <v>11111111</v>
      </c>
      <c r="G225">
        <v>1111111111</v>
      </c>
      <c r="H225" t="s">
        <v>3794</v>
      </c>
      <c r="I225">
        <v>99999999</v>
      </c>
      <c r="J225" s="188">
        <v>45237</v>
      </c>
      <c r="K225" t="s">
        <v>3794</v>
      </c>
      <c r="L225" t="s">
        <v>3794</v>
      </c>
      <c r="M225" t="s">
        <v>433</v>
      </c>
      <c r="N225" t="s">
        <v>197</v>
      </c>
      <c r="O225" t="s">
        <v>434</v>
      </c>
      <c r="P225" t="s">
        <v>221</v>
      </c>
      <c r="Q225" t="s">
        <v>82</v>
      </c>
      <c r="R225">
        <v>42</v>
      </c>
      <c r="S225">
        <v>67.45</v>
      </c>
      <c r="T225">
        <v>0</v>
      </c>
      <c r="U225">
        <v>1</v>
      </c>
      <c r="V225">
        <v>10</v>
      </c>
      <c r="W225">
        <v>121.16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42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</row>
    <row r="226" spans="1:37" x14ac:dyDescent="0.3">
      <c r="A226">
        <v>7979</v>
      </c>
      <c r="B226" t="s">
        <v>219</v>
      </c>
      <c r="D226" t="s">
        <v>327</v>
      </c>
      <c r="E226">
        <v>99999999</v>
      </c>
      <c r="F226">
        <v>11111111</v>
      </c>
      <c r="G226">
        <v>1111111111</v>
      </c>
      <c r="H226" t="s">
        <v>3795</v>
      </c>
      <c r="I226">
        <v>99999999</v>
      </c>
      <c r="J226" s="188">
        <v>45237</v>
      </c>
      <c r="K226" t="s">
        <v>3795</v>
      </c>
      <c r="L226" t="s">
        <v>3795</v>
      </c>
      <c r="M226" t="s">
        <v>435</v>
      </c>
      <c r="N226" t="s">
        <v>85</v>
      </c>
      <c r="O226">
        <v>89021</v>
      </c>
      <c r="P226" t="s">
        <v>221</v>
      </c>
      <c r="Q226" t="s">
        <v>82</v>
      </c>
      <c r="R226">
        <v>2</v>
      </c>
      <c r="S226">
        <v>88</v>
      </c>
      <c r="T226">
        <v>0</v>
      </c>
      <c r="U226">
        <v>2</v>
      </c>
      <c r="V226">
        <v>1</v>
      </c>
      <c r="W226">
        <v>108.27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2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</row>
    <row r="227" spans="1:37" x14ac:dyDescent="0.3">
      <c r="A227">
        <v>7979</v>
      </c>
      <c r="B227" t="s">
        <v>219</v>
      </c>
      <c r="D227" t="s">
        <v>327</v>
      </c>
      <c r="E227">
        <v>99999999</v>
      </c>
      <c r="F227">
        <v>11111111</v>
      </c>
      <c r="G227">
        <v>1111111111</v>
      </c>
      <c r="H227" t="s">
        <v>3796</v>
      </c>
      <c r="I227">
        <v>99999999</v>
      </c>
      <c r="J227" s="188">
        <v>45237</v>
      </c>
      <c r="K227" t="s">
        <v>3796</v>
      </c>
      <c r="L227" t="s">
        <v>3796</v>
      </c>
      <c r="M227" t="s">
        <v>358</v>
      </c>
      <c r="N227" t="s">
        <v>197</v>
      </c>
      <c r="O227" t="s">
        <v>436</v>
      </c>
      <c r="P227" t="s">
        <v>221</v>
      </c>
      <c r="Q227" t="s">
        <v>82</v>
      </c>
      <c r="R227">
        <v>2</v>
      </c>
      <c r="S227">
        <v>44</v>
      </c>
      <c r="T227">
        <v>0</v>
      </c>
      <c r="U227">
        <v>1</v>
      </c>
      <c r="V227">
        <v>1</v>
      </c>
      <c r="W227">
        <v>66.599999999999994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2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</row>
    <row r="228" spans="1:37" x14ac:dyDescent="0.3">
      <c r="A228">
        <v>7979</v>
      </c>
      <c r="B228" t="s">
        <v>219</v>
      </c>
      <c r="D228" t="s">
        <v>327</v>
      </c>
      <c r="E228">
        <v>99999999</v>
      </c>
      <c r="F228">
        <v>11111111</v>
      </c>
      <c r="G228">
        <v>1111111111</v>
      </c>
      <c r="H228" t="s">
        <v>3797</v>
      </c>
      <c r="I228">
        <v>99999999</v>
      </c>
      <c r="J228" s="188">
        <v>45237</v>
      </c>
      <c r="K228" t="s">
        <v>3797</v>
      </c>
      <c r="L228" t="s">
        <v>3797</v>
      </c>
      <c r="M228" t="s">
        <v>437</v>
      </c>
      <c r="N228" t="s">
        <v>197</v>
      </c>
      <c r="O228" t="s">
        <v>438</v>
      </c>
      <c r="P228" t="s">
        <v>221</v>
      </c>
      <c r="Q228" t="s">
        <v>82</v>
      </c>
      <c r="R228">
        <v>1</v>
      </c>
      <c r="S228">
        <v>50</v>
      </c>
      <c r="T228">
        <v>0</v>
      </c>
      <c r="U228">
        <v>1</v>
      </c>
      <c r="V228">
        <v>1</v>
      </c>
      <c r="W228">
        <v>115.2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</row>
    <row r="229" spans="1:37" x14ac:dyDescent="0.3">
      <c r="A229">
        <v>7979</v>
      </c>
      <c r="B229" t="s">
        <v>219</v>
      </c>
      <c r="D229" t="s">
        <v>327</v>
      </c>
      <c r="E229">
        <v>99999999</v>
      </c>
      <c r="F229">
        <v>11111111</v>
      </c>
      <c r="G229">
        <v>1111111111</v>
      </c>
      <c r="H229" t="s">
        <v>3798</v>
      </c>
      <c r="I229">
        <v>99999999</v>
      </c>
      <c r="J229" s="188">
        <v>45237</v>
      </c>
      <c r="K229" t="s">
        <v>3798</v>
      </c>
      <c r="L229" t="s">
        <v>3798</v>
      </c>
      <c r="M229" t="s">
        <v>439</v>
      </c>
      <c r="N229" t="s">
        <v>164</v>
      </c>
      <c r="O229" t="s">
        <v>440</v>
      </c>
      <c r="P229" t="s">
        <v>221</v>
      </c>
      <c r="Q229" t="s">
        <v>82</v>
      </c>
      <c r="R229">
        <v>1</v>
      </c>
      <c r="S229">
        <v>17.666</v>
      </c>
      <c r="T229">
        <v>0</v>
      </c>
      <c r="U229">
        <v>1</v>
      </c>
      <c r="V229">
        <v>1</v>
      </c>
      <c r="W229">
        <v>33.44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</row>
    <row r="230" spans="1:37" x14ac:dyDescent="0.3">
      <c r="A230">
        <v>7979</v>
      </c>
      <c r="B230" t="s">
        <v>219</v>
      </c>
      <c r="D230" t="s">
        <v>327</v>
      </c>
      <c r="E230">
        <v>99999999</v>
      </c>
      <c r="F230">
        <v>11111111</v>
      </c>
      <c r="G230">
        <v>1111111111</v>
      </c>
      <c r="H230" t="s">
        <v>3799</v>
      </c>
      <c r="I230">
        <v>99999999</v>
      </c>
      <c r="J230" s="188">
        <v>45237</v>
      </c>
      <c r="K230" t="s">
        <v>3799</v>
      </c>
      <c r="L230" t="s">
        <v>3799</v>
      </c>
      <c r="M230" t="s">
        <v>441</v>
      </c>
      <c r="N230" t="s">
        <v>130</v>
      </c>
      <c r="O230" t="s">
        <v>442</v>
      </c>
      <c r="P230" t="s">
        <v>221</v>
      </c>
      <c r="Q230" t="s">
        <v>82</v>
      </c>
      <c r="R230">
        <v>1</v>
      </c>
      <c r="S230">
        <v>45</v>
      </c>
      <c r="T230">
        <v>0</v>
      </c>
      <c r="U230">
        <v>1</v>
      </c>
      <c r="V230">
        <v>1</v>
      </c>
      <c r="W230">
        <v>63.66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</row>
    <row r="231" spans="1:37" x14ac:dyDescent="0.3">
      <c r="A231">
        <v>7979</v>
      </c>
      <c r="B231" t="s">
        <v>219</v>
      </c>
      <c r="D231" t="s">
        <v>327</v>
      </c>
      <c r="E231">
        <v>99999999</v>
      </c>
      <c r="F231">
        <v>11111111</v>
      </c>
      <c r="G231">
        <v>1111111111</v>
      </c>
      <c r="H231" t="s">
        <v>3800</v>
      </c>
      <c r="I231">
        <v>99999999</v>
      </c>
      <c r="J231" s="188">
        <v>45237</v>
      </c>
      <c r="K231" t="s">
        <v>3800</v>
      </c>
      <c r="L231" t="s">
        <v>3800</v>
      </c>
      <c r="M231" t="s">
        <v>443</v>
      </c>
      <c r="N231" t="s">
        <v>91</v>
      </c>
      <c r="O231" t="s">
        <v>444</v>
      </c>
      <c r="P231" t="s">
        <v>221</v>
      </c>
      <c r="Q231" t="s">
        <v>82</v>
      </c>
      <c r="R231">
        <v>1</v>
      </c>
      <c r="S231">
        <v>44</v>
      </c>
      <c r="T231">
        <v>0</v>
      </c>
      <c r="U231">
        <v>1</v>
      </c>
      <c r="V231">
        <v>1</v>
      </c>
      <c r="W231">
        <v>54.24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</row>
    <row r="232" spans="1:37" x14ac:dyDescent="0.3">
      <c r="A232">
        <v>7979</v>
      </c>
      <c r="B232" t="s">
        <v>219</v>
      </c>
      <c r="D232" t="s">
        <v>327</v>
      </c>
      <c r="E232">
        <v>99999999</v>
      </c>
      <c r="F232">
        <v>11111111</v>
      </c>
      <c r="G232">
        <v>1111111111</v>
      </c>
      <c r="H232" t="s">
        <v>3801</v>
      </c>
      <c r="I232">
        <v>99999999</v>
      </c>
      <c r="J232" s="188">
        <v>45237</v>
      </c>
      <c r="K232" t="s">
        <v>3801</v>
      </c>
      <c r="L232" t="s">
        <v>3801</v>
      </c>
      <c r="M232" t="s">
        <v>445</v>
      </c>
      <c r="N232" t="s">
        <v>99</v>
      </c>
      <c r="O232" t="s">
        <v>446</v>
      </c>
      <c r="P232" t="s">
        <v>221</v>
      </c>
      <c r="Q232" t="s">
        <v>82</v>
      </c>
      <c r="R232">
        <v>1</v>
      </c>
      <c r="S232">
        <v>15</v>
      </c>
      <c r="T232">
        <v>0</v>
      </c>
      <c r="U232">
        <v>1</v>
      </c>
      <c r="V232">
        <v>1</v>
      </c>
      <c r="W232">
        <v>40.93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1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</row>
    <row r="233" spans="1:37" x14ac:dyDescent="0.3">
      <c r="A233">
        <v>7979</v>
      </c>
      <c r="B233" t="s">
        <v>219</v>
      </c>
      <c r="D233" t="s">
        <v>327</v>
      </c>
      <c r="E233">
        <v>99999999</v>
      </c>
      <c r="F233">
        <v>11111111</v>
      </c>
      <c r="G233">
        <v>1111111111</v>
      </c>
      <c r="H233" t="s">
        <v>3802</v>
      </c>
      <c r="I233">
        <v>99999999</v>
      </c>
      <c r="J233" s="188">
        <v>45237</v>
      </c>
      <c r="K233" t="s">
        <v>3802</v>
      </c>
      <c r="L233" t="s">
        <v>3802</v>
      </c>
      <c r="M233" t="s">
        <v>343</v>
      </c>
      <c r="N233" t="s">
        <v>164</v>
      </c>
      <c r="O233" t="s">
        <v>447</v>
      </c>
      <c r="P233" t="s">
        <v>221</v>
      </c>
      <c r="Q233" t="s">
        <v>82</v>
      </c>
      <c r="R233">
        <v>1</v>
      </c>
      <c r="S233">
        <v>40</v>
      </c>
      <c r="T233">
        <v>0</v>
      </c>
      <c r="U233">
        <v>1</v>
      </c>
      <c r="V233">
        <v>1</v>
      </c>
      <c r="W233">
        <v>43.37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1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</row>
    <row r="234" spans="1:37" x14ac:dyDescent="0.3">
      <c r="A234">
        <v>7979</v>
      </c>
      <c r="B234" t="s">
        <v>219</v>
      </c>
      <c r="D234" t="s">
        <v>327</v>
      </c>
      <c r="E234">
        <v>99999999</v>
      </c>
      <c r="F234">
        <v>11111111</v>
      </c>
      <c r="G234">
        <v>1111111111</v>
      </c>
      <c r="H234" t="s">
        <v>3803</v>
      </c>
      <c r="I234">
        <v>99999999</v>
      </c>
      <c r="J234" s="188">
        <v>45237</v>
      </c>
      <c r="K234" t="s">
        <v>3803</v>
      </c>
      <c r="L234" t="s">
        <v>3803</v>
      </c>
      <c r="M234" t="s">
        <v>448</v>
      </c>
      <c r="N234" t="s">
        <v>197</v>
      </c>
      <c r="O234" t="s">
        <v>449</v>
      </c>
      <c r="P234" t="s">
        <v>221</v>
      </c>
      <c r="Q234" t="s">
        <v>82</v>
      </c>
      <c r="R234">
        <v>1</v>
      </c>
      <c r="S234">
        <v>28</v>
      </c>
      <c r="T234">
        <v>0</v>
      </c>
      <c r="U234">
        <v>1</v>
      </c>
      <c r="V234">
        <v>1</v>
      </c>
      <c r="W234">
        <v>56.63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</row>
    <row r="235" spans="1:37" x14ac:dyDescent="0.3">
      <c r="A235">
        <v>7979</v>
      </c>
      <c r="B235" t="s">
        <v>219</v>
      </c>
      <c r="D235" t="s">
        <v>327</v>
      </c>
      <c r="E235">
        <v>99999999</v>
      </c>
      <c r="F235">
        <v>11111111</v>
      </c>
      <c r="G235">
        <v>1111111111</v>
      </c>
      <c r="H235" t="s">
        <v>3804</v>
      </c>
      <c r="I235">
        <v>99999999</v>
      </c>
      <c r="J235" s="188">
        <v>45237</v>
      </c>
      <c r="K235" t="s">
        <v>3804</v>
      </c>
      <c r="L235" t="s">
        <v>3804</v>
      </c>
      <c r="M235" t="s">
        <v>450</v>
      </c>
      <c r="N235" t="s">
        <v>97</v>
      </c>
      <c r="O235" t="s">
        <v>451</v>
      </c>
      <c r="P235" t="s">
        <v>221</v>
      </c>
      <c r="Q235" t="s">
        <v>82</v>
      </c>
      <c r="R235">
        <v>1</v>
      </c>
      <c r="S235">
        <v>1.8</v>
      </c>
      <c r="T235">
        <v>0</v>
      </c>
      <c r="U235">
        <v>1</v>
      </c>
      <c r="V235">
        <v>1</v>
      </c>
      <c r="W235">
        <v>21.88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1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</row>
    <row r="236" spans="1:37" x14ac:dyDescent="0.3">
      <c r="A236">
        <v>7979</v>
      </c>
      <c r="B236" t="s">
        <v>219</v>
      </c>
      <c r="D236" t="s">
        <v>327</v>
      </c>
      <c r="E236">
        <v>99999999</v>
      </c>
      <c r="F236">
        <v>11111111</v>
      </c>
      <c r="G236">
        <v>1111111111</v>
      </c>
      <c r="H236" t="s">
        <v>3805</v>
      </c>
      <c r="I236">
        <v>99999999</v>
      </c>
      <c r="J236" s="188">
        <v>45237</v>
      </c>
      <c r="K236" t="s">
        <v>3805</v>
      </c>
      <c r="L236" t="s">
        <v>3805</v>
      </c>
      <c r="M236" t="s">
        <v>452</v>
      </c>
      <c r="N236" t="s">
        <v>239</v>
      </c>
      <c r="O236" t="s">
        <v>453</v>
      </c>
      <c r="P236" t="s">
        <v>221</v>
      </c>
      <c r="Q236" t="s">
        <v>82</v>
      </c>
      <c r="R236">
        <v>1</v>
      </c>
      <c r="S236">
        <v>5.6</v>
      </c>
      <c r="T236">
        <v>0</v>
      </c>
      <c r="U236">
        <v>1</v>
      </c>
      <c r="V236">
        <v>1</v>
      </c>
      <c r="W236">
        <v>33.729999999999997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</row>
    <row r="237" spans="1:37" x14ac:dyDescent="0.3">
      <c r="A237">
        <v>7979</v>
      </c>
      <c r="B237" t="s">
        <v>219</v>
      </c>
      <c r="D237" t="s">
        <v>327</v>
      </c>
      <c r="E237">
        <v>99999999</v>
      </c>
      <c r="F237">
        <v>11111111</v>
      </c>
      <c r="G237">
        <v>1111111111</v>
      </c>
      <c r="H237" t="s">
        <v>3806</v>
      </c>
      <c r="I237">
        <v>99999999</v>
      </c>
      <c r="J237" s="188">
        <v>45237</v>
      </c>
      <c r="K237" t="s">
        <v>3806</v>
      </c>
      <c r="L237" t="s">
        <v>3806</v>
      </c>
      <c r="M237" t="s">
        <v>454</v>
      </c>
      <c r="N237" t="s">
        <v>99</v>
      </c>
      <c r="O237" t="s">
        <v>455</v>
      </c>
      <c r="P237" t="s">
        <v>221</v>
      </c>
      <c r="Q237" t="s">
        <v>82</v>
      </c>
      <c r="R237">
        <v>2</v>
      </c>
      <c r="S237">
        <v>0.36</v>
      </c>
      <c r="T237">
        <v>0</v>
      </c>
      <c r="U237">
        <v>1</v>
      </c>
      <c r="V237">
        <v>1</v>
      </c>
      <c r="W237">
        <v>25.99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2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</row>
    <row r="238" spans="1:37" x14ac:dyDescent="0.3">
      <c r="A238">
        <v>7979</v>
      </c>
      <c r="B238" t="s">
        <v>219</v>
      </c>
      <c r="D238" t="s">
        <v>327</v>
      </c>
      <c r="E238">
        <v>99999999</v>
      </c>
      <c r="F238">
        <v>11111111</v>
      </c>
      <c r="G238">
        <v>1111111111</v>
      </c>
      <c r="H238" t="s">
        <v>3807</v>
      </c>
      <c r="I238">
        <v>99999999</v>
      </c>
      <c r="J238" s="188">
        <v>45237</v>
      </c>
      <c r="K238" t="s">
        <v>3807</v>
      </c>
      <c r="L238" t="s">
        <v>3807</v>
      </c>
      <c r="M238" t="s">
        <v>456</v>
      </c>
      <c r="N238" t="s">
        <v>122</v>
      </c>
      <c r="O238">
        <v>87544</v>
      </c>
      <c r="P238" t="s">
        <v>221</v>
      </c>
      <c r="Q238" t="s">
        <v>82</v>
      </c>
      <c r="R238">
        <v>1</v>
      </c>
      <c r="S238">
        <v>2.4</v>
      </c>
      <c r="T238">
        <v>0</v>
      </c>
      <c r="U238">
        <v>1</v>
      </c>
      <c r="V238">
        <v>1</v>
      </c>
      <c r="W238">
        <v>22.67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1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</row>
    <row r="239" spans="1:37" x14ac:dyDescent="0.3">
      <c r="A239">
        <v>7979</v>
      </c>
      <c r="B239" t="s">
        <v>219</v>
      </c>
      <c r="D239" t="s">
        <v>327</v>
      </c>
      <c r="E239">
        <v>99999999</v>
      </c>
      <c r="F239">
        <v>11111111</v>
      </c>
      <c r="G239">
        <v>1111111111</v>
      </c>
      <c r="H239" t="s">
        <v>3808</v>
      </c>
      <c r="I239">
        <v>99999999</v>
      </c>
      <c r="J239" s="188">
        <v>45237</v>
      </c>
      <c r="K239" t="s">
        <v>3808</v>
      </c>
      <c r="L239" t="s">
        <v>3808</v>
      </c>
      <c r="M239" t="s">
        <v>457</v>
      </c>
      <c r="N239" t="s">
        <v>99</v>
      </c>
      <c r="O239">
        <v>92673</v>
      </c>
      <c r="P239" t="s">
        <v>221</v>
      </c>
      <c r="Q239" t="s">
        <v>82</v>
      </c>
      <c r="R239">
        <v>1</v>
      </c>
      <c r="S239">
        <v>15.31</v>
      </c>
      <c r="T239">
        <v>0</v>
      </c>
      <c r="U239">
        <v>1</v>
      </c>
      <c r="V239">
        <v>1</v>
      </c>
      <c r="W239">
        <v>25.86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1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</row>
    <row r="240" spans="1:37" x14ac:dyDescent="0.3">
      <c r="A240">
        <v>7979</v>
      </c>
      <c r="B240" t="s">
        <v>219</v>
      </c>
      <c r="D240" t="s">
        <v>327</v>
      </c>
      <c r="E240">
        <v>99999999</v>
      </c>
      <c r="F240">
        <v>11111111</v>
      </c>
      <c r="G240">
        <v>1111111111</v>
      </c>
      <c r="H240" t="s">
        <v>3809</v>
      </c>
      <c r="I240">
        <v>99999999</v>
      </c>
      <c r="J240" s="188">
        <v>45237</v>
      </c>
      <c r="K240" t="s">
        <v>3809</v>
      </c>
      <c r="L240" t="s">
        <v>3809</v>
      </c>
      <c r="M240" t="s">
        <v>458</v>
      </c>
      <c r="N240" t="s">
        <v>99</v>
      </c>
      <c r="O240" t="s">
        <v>459</v>
      </c>
      <c r="P240" t="s">
        <v>221</v>
      </c>
      <c r="Q240" t="s">
        <v>82</v>
      </c>
      <c r="R240">
        <v>1</v>
      </c>
      <c r="S240">
        <v>1.21</v>
      </c>
      <c r="T240">
        <v>0</v>
      </c>
      <c r="U240">
        <v>1</v>
      </c>
      <c r="V240">
        <v>1</v>
      </c>
      <c r="W240">
        <v>21.21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1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</row>
    <row r="241" spans="1:37" x14ac:dyDescent="0.3">
      <c r="A241">
        <v>7979</v>
      </c>
      <c r="B241" t="s">
        <v>219</v>
      </c>
      <c r="D241" t="s">
        <v>327</v>
      </c>
      <c r="E241">
        <v>99999999</v>
      </c>
      <c r="F241">
        <v>11111111</v>
      </c>
      <c r="G241">
        <v>1111111111</v>
      </c>
      <c r="H241" t="s">
        <v>3810</v>
      </c>
      <c r="I241">
        <v>99999999</v>
      </c>
      <c r="J241" s="188">
        <v>45237</v>
      </c>
      <c r="K241" t="s">
        <v>3810</v>
      </c>
      <c r="L241" t="s">
        <v>3810</v>
      </c>
      <c r="M241" t="s">
        <v>406</v>
      </c>
      <c r="N241" t="s">
        <v>99</v>
      </c>
      <c r="O241" t="s">
        <v>460</v>
      </c>
      <c r="P241" t="s">
        <v>221</v>
      </c>
      <c r="Q241" t="s">
        <v>82</v>
      </c>
      <c r="R241">
        <v>1</v>
      </c>
      <c r="S241">
        <v>2</v>
      </c>
      <c r="T241">
        <v>0</v>
      </c>
      <c r="U241">
        <v>1</v>
      </c>
      <c r="V241">
        <v>1</v>
      </c>
      <c r="W241">
        <v>21.88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</row>
    <row r="242" spans="1:37" x14ac:dyDescent="0.3">
      <c r="A242">
        <v>7979</v>
      </c>
      <c r="B242" t="s">
        <v>219</v>
      </c>
      <c r="D242" t="s">
        <v>327</v>
      </c>
      <c r="E242">
        <v>99999999</v>
      </c>
      <c r="F242">
        <v>11111111</v>
      </c>
      <c r="G242">
        <v>1111111111</v>
      </c>
      <c r="H242" t="s">
        <v>3811</v>
      </c>
      <c r="I242">
        <v>99999999</v>
      </c>
      <c r="J242" s="188">
        <v>45237</v>
      </c>
      <c r="K242" t="s">
        <v>3811</v>
      </c>
      <c r="L242" t="s">
        <v>3811</v>
      </c>
      <c r="M242" t="s">
        <v>461</v>
      </c>
      <c r="N242" t="s">
        <v>99</v>
      </c>
      <c r="O242" t="s">
        <v>462</v>
      </c>
      <c r="P242" t="s">
        <v>221</v>
      </c>
      <c r="Q242" t="s">
        <v>82</v>
      </c>
      <c r="R242">
        <v>1</v>
      </c>
      <c r="S242">
        <v>0.8</v>
      </c>
      <c r="T242">
        <v>0</v>
      </c>
      <c r="U242">
        <v>1</v>
      </c>
      <c r="V242">
        <v>1</v>
      </c>
      <c r="W242">
        <v>27.33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</row>
    <row r="243" spans="1:37" x14ac:dyDescent="0.3">
      <c r="A243">
        <v>7979</v>
      </c>
      <c r="B243" t="s">
        <v>219</v>
      </c>
      <c r="D243" t="s">
        <v>327</v>
      </c>
      <c r="E243">
        <v>99999999</v>
      </c>
      <c r="F243">
        <v>11111111</v>
      </c>
      <c r="G243">
        <v>1111111111</v>
      </c>
      <c r="H243" t="s">
        <v>3812</v>
      </c>
      <c r="I243">
        <v>99999999</v>
      </c>
      <c r="J243" s="188">
        <v>45237</v>
      </c>
      <c r="K243" t="s">
        <v>3812</v>
      </c>
      <c r="L243" t="s">
        <v>3812</v>
      </c>
      <c r="M243" t="s">
        <v>463</v>
      </c>
      <c r="N243" t="s">
        <v>104</v>
      </c>
      <c r="O243" t="s">
        <v>464</v>
      </c>
      <c r="P243" t="s">
        <v>221</v>
      </c>
      <c r="Q243" t="s">
        <v>82</v>
      </c>
      <c r="R243">
        <v>1</v>
      </c>
      <c r="S243">
        <v>11.666</v>
      </c>
      <c r="T243">
        <v>0</v>
      </c>
      <c r="U243">
        <v>1</v>
      </c>
      <c r="V243">
        <v>1</v>
      </c>
      <c r="W243">
        <v>25.05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</row>
    <row r="244" spans="1:37" x14ac:dyDescent="0.3">
      <c r="A244">
        <v>7979</v>
      </c>
      <c r="B244" t="s">
        <v>219</v>
      </c>
      <c r="D244" t="s">
        <v>327</v>
      </c>
      <c r="E244">
        <v>99999999</v>
      </c>
      <c r="F244">
        <v>11111111</v>
      </c>
      <c r="G244">
        <v>1111111111</v>
      </c>
      <c r="H244" t="s">
        <v>3813</v>
      </c>
      <c r="I244">
        <v>99999999</v>
      </c>
      <c r="J244" s="188">
        <v>45237</v>
      </c>
      <c r="K244" t="s">
        <v>3813</v>
      </c>
      <c r="L244" t="s">
        <v>3813</v>
      </c>
      <c r="M244" t="s">
        <v>465</v>
      </c>
      <c r="N244" t="s">
        <v>130</v>
      </c>
      <c r="O244" t="s">
        <v>466</v>
      </c>
      <c r="P244" t="s">
        <v>221</v>
      </c>
      <c r="Q244" t="s">
        <v>82</v>
      </c>
      <c r="R244">
        <v>1</v>
      </c>
      <c r="S244">
        <v>11.666</v>
      </c>
      <c r="T244">
        <v>0</v>
      </c>
      <c r="U244">
        <v>1</v>
      </c>
      <c r="V244">
        <v>1</v>
      </c>
      <c r="W244">
        <v>26.9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1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</row>
    <row r="245" spans="1:37" x14ac:dyDescent="0.3">
      <c r="A245">
        <v>7979</v>
      </c>
      <c r="B245" t="s">
        <v>219</v>
      </c>
      <c r="D245" t="s">
        <v>327</v>
      </c>
      <c r="E245">
        <v>99999999</v>
      </c>
      <c r="F245">
        <v>11111111</v>
      </c>
      <c r="G245">
        <v>1111111111</v>
      </c>
      <c r="H245" t="s">
        <v>3814</v>
      </c>
      <c r="I245">
        <v>99999999</v>
      </c>
      <c r="J245" s="188">
        <v>45237</v>
      </c>
      <c r="K245" t="s">
        <v>3814</v>
      </c>
      <c r="L245" t="s">
        <v>3814</v>
      </c>
      <c r="M245" t="s">
        <v>467</v>
      </c>
      <c r="N245" t="s">
        <v>99</v>
      </c>
      <c r="O245" t="s">
        <v>468</v>
      </c>
      <c r="P245" t="s">
        <v>221</v>
      </c>
      <c r="Q245" t="s">
        <v>82</v>
      </c>
      <c r="R245">
        <v>1</v>
      </c>
      <c r="S245">
        <v>2</v>
      </c>
      <c r="T245">
        <v>0</v>
      </c>
      <c r="U245">
        <v>1</v>
      </c>
      <c r="V245">
        <v>1</v>
      </c>
      <c r="W245">
        <v>26.8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1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</row>
    <row r="246" spans="1:37" x14ac:dyDescent="0.3">
      <c r="A246">
        <v>7979</v>
      </c>
      <c r="B246" t="s">
        <v>219</v>
      </c>
      <c r="D246" t="s">
        <v>327</v>
      </c>
      <c r="E246">
        <v>99999999</v>
      </c>
      <c r="F246">
        <v>11111111</v>
      </c>
      <c r="G246">
        <v>1111111111</v>
      </c>
      <c r="H246" t="s">
        <v>3815</v>
      </c>
      <c r="I246">
        <v>99999999</v>
      </c>
      <c r="J246" s="188">
        <v>45237</v>
      </c>
      <c r="K246" t="s">
        <v>3815</v>
      </c>
      <c r="L246" t="s">
        <v>3815</v>
      </c>
      <c r="M246" t="s">
        <v>469</v>
      </c>
      <c r="N246" t="s">
        <v>197</v>
      </c>
      <c r="O246" t="s">
        <v>470</v>
      </c>
      <c r="P246" t="s">
        <v>221</v>
      </c>
      <c r="Q246" t="s">
        <v>82</v>
      </c>
      <c r="R246">
        <v>1</v>
      </c>
      <c r="S246">
        <v>7.5</v>
      </c>
      <c r="T246">
        <v>0</v>
      </c>
      <c r="U246">
        <v>1</v>
      </c>
      <c r="V246">
        <v>1</v>
      </c>
      <c r="W246">
        <v>26.25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1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</row>
    <row r="247" spans="1:37" x14ac:dyDescent="0.3">
      <c r="A247">
        <v>7979</v>
      </c>
      <c r="B247" t="s">
        <v>219</v>
      </c>
      <c r="D247" t="s">
        <v>327</v>
      </c>
      <c r="E247">
        <v>99999999</v>
      </c>
      <c r="F247">
        <v>11111111</v>
      </c>
      <c r="G247">
        <v>1111111111</v>
      </c>
      <c r="H247" t="s">
        <v>3816</v>
      </c>
      <c r="I247">
        <v>99999999</v>
      </c>
      <c r="J247" s="188">
        <v>45237</v>
      </c>
      <c r="K247" t="s">
        <v>3816</v>
      </c>
      <c r="L247" t="s">
        <v>3816</v>
      </c>
      <c r="M247" t="s">
        <v>471</v>
      </c>
      <c r="N247" t="s">
        <v>99</v>
      </c>
      <c r="O247" t="s">
        <v>472</v>
      </c>
      <c r="P247" t="s">
        <v>221</v>
      </c>
      <c r="Q247" t="s">
        <v>82</v>
      </c>
      <c r="R247">
        <v>1</v>
      </c>
      <c r="S247">
        <v>3.7</v>
      </c>
      <c r="T247">
        <v>0</v>
      </c>
      <c r="U247">
        <v>1</v>
      </c>
      <c r="V247">
        <v>1</v>
      </c>
      <c r="W247">
        <v>26.02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1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</row>
    <row r="248" spans="1:37" x14ac:dyDescent="0.3">
      <c r="A248">
        <v>7979</v>
      </c>
      <c r="B248" t="s">
        <v>219</v>
      </c>
      <c r="D248" t="s">
        <v>327</v>
      </c>
      <c r="E248">
        <v>99999999</v>
      </c>
      <c r="F248">
        <v>11111111</v>
      </c>
      <c r="G248">
        <v>1111111111</v>
      </c>
      <c r="H248" t="s">
        <v>3817</v>
      </c>
      <c r="I248">
        <v>99999999</v>
      </c>
      <c r="J248" s="188">
        <v>45237</v>
      </c>
      <c r="K248" t="s">
        <v>3817</v>
      </c>
      <c r="L248" t="s">
        <v>3817</v>
      </c>
      <c r="M248" t="s">
        <v>297</v>
      </c>
      <c r="N248" t="s">
        <v>197</v>
      </c>
      <c r="O248" t="s">
        <v>473</v>
      </c>
      <c r="P248" t="s">
        <v>221</v>
      </c>
      <c r="Q248" t="s">
        <v>82</v>
      </c>
      <c r="R248">
        <v>1</v>
      </c>
      <c r="S248">
        <v>11.666</v>
      </c>
      <c r="T248">
        <v>0</v>
      </c>
      <c r="U248">
        <v>1</v>
      </c>
      <c r="V248">
        <v>1</v>
      </c>
      <c r="W248">
        <v>28.89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1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</row>
    <row r="249" spans="1:37" x14ac:dyDescent="0.3">
      <c r="A249">
        <v>7979</v>
      </c>
      <c r="B249" t="s">
        <v>219</v>
      </c>
      <c r="D249" t="s">
        <v>327</v>
      </c>
      <c r="E249">
        <v>99999999</v>
      </c>
      <c r="F249">
        <v>11111111</v>
      </c>
      <c r="G249">
        <v>1111111111</v>
      </c>
      <c r="H249" t="s">
        <v>3818</v>
      </c>
      <c r="I249">
        <v>99999999</v>
      </c>
      <c r="J249" s="188">
        <v>45237</v>
      </c>
      <c r="K249" t="s">
        <v>3818</v>
      </c>
      <c r="L249" t="s">
        <v>3818</v>
      </c>
      <c r="M249" t="s">
        <v>474</v>
      </c>
      <c r="N249" t="s">
        <v>135</v>
      </c>
      <c r="O249" t="s">
        <v>475</v>
      </c>
      <c r="P249" t="s">
        <v>221</v>
      </c>
      <c r="Q249" t="s">
        <v>82</v>
      </c>
      <c r="R249">
        <v>1</v>
      </c>
      <c r="S249">
        <v>7.6</v>
      </c>
      <c r="T249">
        <v>0</v>
      </c>
      <c r="U249">
        <v>1</v>
      </c>
      <c r="V249">
        <v>1</v>
      </c>
      <c r="W249">
        <v>24.22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</row>
    <row r="250" spans="1:37" x14ac:dyDescent="0.3">
      <c r="A250">
        <v>7979</v>
      </c>
      <c r="B250" t="s">
        <v>219</v>
      </c>
      <c r="D250" t="s">
        <v>327</v>
      </c>
      <c r="E250">
        <v>99999999</v>
      </c>
      <c r="F250">
        <v>11111111</v>
      </c>
      <c r="G250">
        <v>1111111111</v>
      </c>
      <c r="H250" t="s">
        <v>3819</v>
      </c>
      <c r="I250">
        <v>99999999</v>
      </c>
      <c r="J250" s="188">
        <v>45237</v>
      </c>
      <c r="K250" t="s">
        <v>3819</v>
      </c>
      <c r="L250" t="s">
        <v>3819</v>
      </c>
      <c r="M250" t="s">
        <v>476</v>
      </c>
      <c r="N250" t="s">
        <v>135</v>
      </c>
      <c r="O250" t="s">
        <v>477</v>
      </c>
      <c r="P250" t="s">
        <v>221</v>
      </c>
      <c r="Q250" t="s">
        <v>82</v>
      </c>
      <c r="R250">
        <v>1</v>
      </c>
      <c r="S250">
        <v>2.2400000000000002</v>
      </c>
      <c r="T250">
        <v>0</v>
      </c>
      <c r="U250">
        <v>1</v>
      </c>
      <c r="V250">
        <v>1</v>
      </c>
      <c r="W250">
        <v>21.88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1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</row>
    <row r="251" spans="1:37" x14ac:dyDescent="0.3">
      <c r="A251">
        <v>7979</v>
      </c>
      <c r="B251" t="s">
        <v>219</v>
      </c>
      <c r="D251" t="s">
        <v>327</v>
      </c>
      <c r="E251">
        <v>99999999</v>
      </c>
      <c r="F251">
        <v>11111111</v>
      </c>
      <c r="G251">
        <v>1111111111</v>
      </c>
      <c r="H251" t="s">
        <v>3820</v>
      </c>
      <c r="I251">
        <v>99999999</v>
      </c>
      <c r="J251" s="188">
        <v>45237</v>
      </c>
      <c r="K251" t="s">
        <v>3820</v>
      </c>
      <c r="L251" t="s">
        <v>3820</v>
      </c>
      <c r="M251" t="s">
        <v>478</v>
      </c>
      <c r="N251" t="s">
        <v>97</v>
      </c>
      <c r="O251" t="s">
        <v>479</v>
      </c>
      <c r="P251" t="s">
        <v>221</v>
      </c>
      <c r="Q251" t="s">
        <v>82</v>
      </c>
      <c r="R251">
        <v>1</v>
      </c>
      <c r="S251">
        <v>0.8</v>
      </c>
      <c r="T251">
        <v>0</v>
      </c>
      <c r="U251">
        <v>1</v>
      </c>
      <c r="V251">
        <v>1</v>
      </c>
      <c r="W251">
        <v>27.33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</row>
    <row r="252" spans="1:37" x14ac:dyDescent="0.3">
      <c r="A252">
        <v>7979</v>
      </c>
      <c r="B252" t="s">
        <v>219</v>
      </c>
      <c r="D252" t="s">
        <v>327</v>
      </c>
      <c r="E252">
        <v>99999999</v>
      </c>
      <c r="F252">
        <v>11111111</v>
      </c>
      <c r="G252">
        <v>1111111111</v>
      </c>
      <c r="H252" t="s">
        <v>3821</v>
      </c>
      <c r="I252">
        <v>99999999</v>
      </c>
      <c r="J252" s="188">
        <v>45237</v>
      </c>
      <c r="K252" t="s">
        <v>3821</v>
      </c>
      <c r="L252" t="s">
        <v>3821</v>
      </c>
      <c r="M252" t="s">
        <v>101</v>
      </c>
      <c r="N252" t="s">
        <v>97</v>
      </c>
      <c r="O252" t="s">
        <v>480</v>
      </c>
      <c r="P252" t="s">
        <v>221</v>
      </c>
      <c r="Q252" t="s">
        <v>82</v>
      </c>
      <c r="R252">
        <v>1</v>
      </c>
      <c r="S252">
        <v>5.1100000000000003</v>
      </c>
      <c r="T252">
        <v>0</v>
      </c>
      <c r="U252">
        <v>1</v>
      </c>
      <c r="V252">
        <v>1</v>
      </c>
      <c r="W252">
        <v>23.09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1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</row>
    <row r="253" spans="1:37" x14ac:dyDescent="0.3">
      <c r="A253">
        <v>7979</v>
      </c>
      <c r="B253" t="s">
        <v>219</v>
      </c>
      <c r="D253" t="s">
        <v>327</v>
      </c>
      <c r="E253">
        <v>99999999</v>
      </c>
      <c r="F253">
        <v>11111111</v>
      </c>
      <c r="G253">
        <v>1111111111</v>
      </c>
      <c r="H253" t="s">
        <v>3822</v>
      </c>
      <c r="I253">
        <v>99999999</v>
      </c>
      <c r="J253" s="188">
        <v>45237</v>
      </c>
      <c r="K253" t="s">
        <v>3822</v>
      </c>
      <c r="L253" t="s">
        <v>3822</v>
      </c>
      <c r="M253" t="s">
        <v>481</v>
      </c>
      <c r="N253" t="s">
        <v>122</v>
      </c>
      <c r="O253">
        <v>87551</v>
      </c>
      <c r="P253" t="s">
        <v>221</v>
      </c>
      <c r="Q253" t="s">
        <v>82</v>
      </c>
      <c r="R253">
        <v>1</v>
      </c>
      <c r="S253">
        <v>2</v>
      </c>
      <c r="T253">
        <v>0</v>
      </c>
      <c r="U253">
        <v>1</v>
      </c>
      <c r="V253">
        <v>1</v>
      </c>
      <c r="W253">
        <v>37.75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</row>
    <row r="254" spans="1:37" x14ac:dyDescent="0.3">
      <c r="A254">
        <v>7979</v>
      </c>
      <c r="B254" t="s">
        <v>219</v>
      </c>
      <c r="D254" t="s">
        <v>327</v>
      </c>
      <c r="E254">
        <v>99999999</v>
      </c>
      <c r="F254">
        <v>11111111</v>
      </c>
      <c r="G254">
        <v>1111111111</v>
      </c>
      <c r="H254" t="s">
        <v>3823</v>
      </c>
      <c r="I254">
        <v>99999999</v>
      </c>
      <c r="J254" s="188">
        <v>45237</v>
      </c>
      <c r="K254" t="s">
        <v>3823</v>
      </c>
      <c r="L254" t="s">
        <v>3823</v>
      </c>
      <c r="M254" t="s">
        <v>482</v>
      </c>
      <c r="N254" t="s">
        <v>104</v>
      </c>
      <c r="O254" t="s">
        <v>483</v>
      </c>
      <c r="P254" t="s">
        <v>221</v>
      </c>
      <c r="Q254" t="s">
        <v>82</v>
      </c>
      <c r="R254">
        <v>2</v>
      </c>
      <c r="S254">
        <v>2.4</v>
      </c>
      <c r="T254">
        <v>0</v>
      </c>
      <c r="U254">
        <v>1</v>
      </c>
      <c r="V254">
        <v>1</v>
      </c>
      <c r="W254">
        <v>28.79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2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</row>
    <row r="255" spans="1:37" x14ac:dyDescent="0.3">
      <c r="A255">
        <v>7979</v>
      </c>
      <c r="B255" t="s">
        <v>219</v>
      </c>
      <c r="D255" t="s">
        <v>327</v>
      </c>
      <c r="E255">
        <v>99999999</v>
      </c>
      <c r="F255">
        <v>11111111</v>
      </c>
      <c r="G255">
        <v>1111111111</v>
      </c>
      <c r="H255" t="s">
        <v>3824</v>
      </c>
      <c r="I255">
        <v>99999999</v>
      </c>
      <c r="J255" s="188">
        <v>45237</v>
      </c>
      <c r="K255" t="s">
        <v>3824</v>
      </c>
      <c r="L255" t="s">
        <v>3824</v>
      </c>
      <c r="M255" t="s">
        <v>484</v>
      </c>
      <c r="N255" t="s">
        <v>99</v>
      </c>
      <c r="O255" t="s">
        <v>485</v>
      </c>
      <c r="P255" t="s">
        <v>221</v>
      </c>
      <c r="Q255" t="s">
        <v>82</v>
      </c>
      <c r="R255">
        <v>1</v>
      </c>
      <c r="S255">
        <v>11.666</v>
      </c>
      <c r="T255">
        <v>0</v>
      </c>
      <c r="U255">
        <v>1</v>
      </c>
      <c r="V255">
        <v>1</v>
      </c>
      <c r="W255">
        <v>25.05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1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</row>
    <row r="256" spans="1:37" x14ac:dyDescent="0.3">
      <c r="A256">
        <v>7979</v>
      </c>
      <c r="B256" t="s">
        <v>219</v>
      </c>
      <c r="D256" t="s">
        <v>327</v>
      </c>
      <c r="E256">
        <v>99999999</v>
      </c>
      <c r="F256">
        <v>11111111</v>
      </c>
      <c r="G256">
        <v>1111111111</v>
      </c>
      <c r="H256" t="s">
        <v>3825</v>
      </c>
      <c r="I256">
        <v>99999999</v>
      </c>
      <c r="J256" s="188">
        <v>45237</v>
      </c>
      <c r="K256" t="s">
        <v>3825</v>
      </c>
      <c r="L256" t="s">
        <v>3825</v>
      </c>
      <c r="M256" t="s">
        <v>486</v>
      </c>
      <c r="N256" t="s">
        <v>99</v>
      </c>
      <c r="O256" t="s">
        <v>487</v>
      </c>
      <c r="P256" t="s">
        <v>221</v>
      </c>
      <c r="Q256" t="s">
        <v>82</v>
      </c>
      <c r="R256">
        <v>1</v>
      </c>
      <c r="S256">
        <v>4.4000000000000004</v>
      </c>
      <c r="T256">
        <v>0</v>
      </c>
      <c r="U256">
        <v>1</v>
      </c>
      <c r="V256">
        <v>1</v>
      </c>
      <c r="W256">
        <v>27.56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1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</row>
    <row r="257" spans="1:37" x14ac:dyDescent="0.3">
      <c r="A257">
        <v>7979</v>
      </c>
      <c r="B257" t="s">
        <v>219</v>
      </c>
      <c r="D257" t="s">
        <v>327</v>
      </c>
      <c r="E257">
        <v>99999999</v>
      </c>
      <c r="F257">
        <v>11111111</v>
      </c>
      <c r="G257">
        <v>1111111111</v>
      </c>
      <c r="H257" t="s">
        <v>3826</v>
      </c>
      <c r="I257">
        <v>99999999</v>
      </c>
      <c r="J257" s="188">
        <v>45237</v>
      </c>
      <c r="K257" t="s">
        <v>3826</v>
      </c>
      <c r="L257" t="s">
        <v>3826</v>
      </c>
      <c r="M257" t="s">
        <v>297</v>
      </c>
      <c r="N257" t="s">
        <v>197</v>
      </c>
      <c r="O257" t="s">
        <v>488</v>
      </c>
      <c r="P257" t="s">
        <v>221</v>
      </c>
      <c r="Q257" t="s">
        <v>82</v>
      </c>
      <c r="R257">
        <v>1</v>
      </c>
      <c r="S257">
        <v>11.666</v>
      </c>
      <c r="T257">
        <v>0</v>
      </c>
      <c r="U257">
        <v>1</v>
      </c>
      <c r="V257">
        <v>1</v>
      </c>
      <c r="W257">
        <v>28.89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</row>
    <row r="258" spans="1:37" x14ac:dyDescent="0.3">
      <c r="A258">
        <v>7979</v>
      </c>
      <c r="B258" t="s">
        <v>219</v>
      </c>
      <c r="D258" t="s">
        <v>327</v>
      </c>
      <c r="E258">
        <v>99999999</v>
      </c>
      <c r="F258">
        <v>11111111</v>
      </c>
      <c r="G258">
        <v>1111111111</v>
      </c>
      <c r="H258" t="s">
        <v>3827</v>
      </c>
      <c r="I258">
        <v>99999999</v>
      </c>
      <c r="J258" s="188">
        <v>45237</v>
      </c>
      <c r="K258" t="s">
        <v>3827</v>
      </c>
      <c r="L258" t="s">
        <v>3827</v>
      </c>
      <c r="M258" t="s">
        <v>341</v>
      </c>
      <c r="N258" t="s">
        <v>130</v>
      </c>
      <c r="O258">
        <v>80503</v>
      </c>
      <c r="P258" t="s">
        <v>221</v>
      </c>
      <c r="Q258" t="s">
        <v>82</v>
      </c>
      <c r="R258">
        <v>1</v>
      </c>
      <c r="S258">
        <v>1</v>
      </c>
      <c r="T258">
        <v>0</v>
      </c>
      <c r="U258">
        <v>1</v>
      </c>
      <c r="V258">
        <v>1</v>
      </c>
      <c r="W258">
        <v>21.54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1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</row>
    <row r="259" spans="1:37" x14ac:dyDescent="0.3">
      <c r="A259">
        <v>7979</v>
      </c>
      <c r="B259" t="s">
        <v>219</v>
      </c>
      <c r="D259" t="s">
        <v>327</v>
      </c>
      <c r="E259">
        <v>99999999</v>
      </c>
      <c r="F259">
        <v>11111111</v>
      </c>
      <c r="G259">
        <v>1111111111</v>
      </c>
      <c r="H259" t="s">
        <v>3828</v>
      </c>
      <c r="I259">
        <v>99999999</v>
      </c>
      <c r="J259" s="188">
        <v>45237</v>
      </c>
      <c r="K259" t="s">
        <v>3828</v>
      </c>
      <c r="L259" t="s">
        <v>3828</v>
      </c>
      <c r="M259" t="s">
        <v>489</v>
      </c>
      <c r="N259" t="s">
        <v>130</v>
      </c>
      <c r="O259" t="s">
        <v>490</v>
      </c>
      <c r="P259" t="s">
        <v>221</v>
      </c>
      <c r="Q259" t="s">
        <v>82</v>
      </c>
      <c r="R259">
        <v>1</v>
      </c>
      <c r="S259">
        <v>11.666</v>
      </c>
      <c r="T259">
        <v>0</v>
      </c>
      <c r="U259">
        <v>1</v>
      </c>
      <c r="V259">
        <v>1</v>
      </c>
      <c r="W259">
        <v>35.159999999999997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</row>
    <row r="260" spans="1:37" x14ac:dyDescent="0.3">
      <c r="A260">
        <v>7979</v>
      </c>
      <c r="B260" t="s">
        <v>219</v>
      </c>
      <c r="D260" t="s">
        <v>327</v>
      </c>
      <c r="E260">
        <v>99999999</v>
      </c>
      <c r="F260">
        <v>11111111</v>
      </c>
      <c r="G260">
        <v>1111111111</v>
      </c>
      <c r="H260" t="s">
        <v>3829</v>
      </c>
      <c r="I260">
        <v>99999999</v>
      </c>
      <c r="J260" s="188">
        <v>45237</v>
      </c>
      <c r="K260" t="s">
        <v>3829</v>
      </c>
      <c r="L260" t="s">
        <v>3829</v>
      </c>
      <c r="M260" t="s">
        <v>491</v>
      </c>
      <c r="N260" t="s">
        <v>130</v>
      </c>
      <c r="O260" t="s">
        <v>492</v>
      </c>
      <c r="P260" t="s">
        <v>221</v>
      </c>
      <c r="Q260" t="s">
        <v>82</v>
      </c>
      <c r="R260">
        <v>1</v>
      </c>
      <c r="S260">
        <v>11.666</v>
      </c>
      <c r="T260">
        <v>0</v>
      </c>
      <c r="U260">
        <v>1</v>
      </c>
      <c r="V260">
        <v>1</v>
      </c>
      <c r="W260">
        <v>33.020000000000003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1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</row>
    <row r="261" spans="1:37" x14ac:dyDescent="0.3">
      <c r="A261">
        <v>7979</v>
      </c>
      <c r="B261" t="s">
        <v>219</v>
      </c>
      <c r="D261" t="s">
        <v>327</v>
      </c>
      <c r="E261">
        <v>99999999</v>
      </c>
      <c r="F261">
        <v>11111111</v>
      </c>
      <c r="G261">
        <v>1111111111</v>
      </c>
      <c r="H261" t="s">
        <v>3830</v>
      </c>
      <c r="I261">
        <v>99999999</v>
      </c>
      <c r="J261" s="188">
        <v>45237</v>
      </c>
      <c r="K261" t="s">
        <v>3830</v>
      </c>
      <c r="L261" t="s">
        <v>3830</v>
      </c>
      <c r="M261" t="s">
        <v>493</v>
      </c>
      <c r="N261" t="s">
        <v>97</v>
      </c>
      <c r="O261" t="s">
        <v>494</v>
      </c>
      <c r="P261" t="s">
        <v>221</v>
      </c>
      <c r="Q261" t="s">
        <v>82</v>
      </c>
      <c r="R261">
        <v>1</v>
      </c>
      <c r="S261">
        <v>7.5</v>
      </c>
      <c r="T261">
        <v>0</v>
      </c>
      <c r="U261">
        <v>1</v>
      </c>
      <c r="V261">
        <v>1</v>
      </c>
      <c r="W261">
        <v>24.15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1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</row>
    <row r="262" spans="1:37" x14ac:dyDescent="0.3">
      <c r="A262">
        <v>7979</v>
      </c>
      <c r="B262" t="s">
        <v>219</v>
      </c>
      <c r="D262" t="s">
        <v>327</v>
      </c>
      <c r="E262">
        <v>99999999</v>
      </c>
      <c r="F262">
        <v>11111111</v>
      </c>
      <c r="G262">
        <v>1111111111</v>
      </c>
      <c r="H262" t="s">
        <v>3831</v>
      </c>
      <c r="I262">
        <v>99999999</v>
      </c>
      <c r="J262" s="188">
        <v>45237</v>
      </c>
      <c r="K262" t="s">
        <v>3831</v>
      </c>
      <c r="L262" t="s">
        <v>3831</v>
      </c>
      <c r="M262" t="s">
        <v>495</v>
      </c>
      <c r="N262" t="s">
        <v>164</v>
      </c>
      <c r="O262" t="s">
        <v>496</v>
      </c>
      <c r="P262" t="s">
        <v>221</v>
      </c>
      <c r="Q262" t="s">
        <v>82</v>
      </c>
      <c r="R262">
        <v>1</v>
      </c>
      <c r="S262">
        <v>4.9000000000000004</v>
      </c>
      <c r="T262">
        <v>0</v>
      </c>
      <c r="U262">
        <v>1</v>
      </c>
      <c r="V262">
        <v>1</v>
      </c>
      <c r="W262">
        <v>31.35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1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</row>
    <row r="263" spans="1:37" x14ac:dyDescent="0.3">
      <c r="A263">
        <v>7979</v>
      </c>
      <c r="B263" t="s">
        <v>219</v>
      </c>
      <c r="D263" t="s">
        <v>327</v>
      </c>
      <c r="E263">
        <v>99999999</v>
      </c>
      <c r="F263">
        <v>11111111</v>
      </c>
      <c r="G263">
        <v>1111111111</v>
      </c>
      <c r="H263" t="s">
        <v>3832</v>
      </c>
      <c r="I263">
        <v>99999999</v>
      </c>
      <c r="J263" s="188">
        <v>45237</v>
      </c>
      <c r="K263" t="s">
        <v>3832</v>
      </c>
      <c r="L263" t="s">
        <v>3832</v>
      </c>
      <c r="M263" t="s">
        <v>497</v>
      </c>
      <c r="N263" t="s">
        <v>97</v>
      </c>
      <c r="O263">
        <v>98247</v>
      </c>
      <c r="P263" t="s">
        <v>221</v>
      </c>
      <c r="Q263" t="s">
        <v>82</v>
      </c>
      <c r="R263">
        <v>4</v>
      </c>
      <c r="S263">
        <v>46.664000000000001</v>
      </c>
      <c r="T263">
        <v>0</v>
      </c>
      <c r="U263">
        <v>1</v>
      </c>
      <c r="V263">
        <v>1</v>
      </c>
      <c r="W263">
        <v>54.35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4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</row>
    <row r="264" spans="1:37" x14ac:dyDescent="0.3">
      <c r="A264">
        <v>7979</v>
      </c>
      <c r="B264" t="s">
        <v>219</v>
      </c>
      <c r="D264" t="s">
        <v>327</v>
      </c>
      <c r="E264">
        <v>99999999</v>
      </c>
      <c r="F264">
        <v>11111111</v>
      </c>
      <c r="G264">
        <v>1111111111</v>
      </c>
      <c r="H264" t="s">
        <v>3833</v>
      </c>
      <c r="I264">
        <v>99999999</v>
      </c>
      <c r="J264" s="188">
        <v>45237</v>
      </c>
      <c r="K264" t="s">
        <v>3833</v>
      </c>
      <c r="L264" t="s">
        <v>3833</v>
      </c>
      <c r="M264" t="s">
        <v>498</v>
      </c>
      <c r="N264" t="s">
        <v>122</v>
      </c>
      <c r="O264" t="s">
        <v>499</v>
      </c>
      <c r="P264" t="s">
        <v>221</v>
      </c>
      <c r="Q264" t="s">
        <v>82</v>
      </c>
      <c r="R264">
        <v>1</v>
      </c>
      <c r="S264">
        <v>7.5</v>
      </c>
      <c r="T264">
        <v>0</v>
      </c>
      <c r="U264">
        <v>1</v>
      </c>
      <c r="V264">
        <v>1</v>
      </c>
      <c r="W264">
        <v>25.57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1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</row>
    <row r="265" spans="1:37" x14ac:dyDescent="0.3">
      <c r="A265">
        <v>7979</v>
      </c>
      <c r="B265" t="s">
        <v>219</v>
      </c>
      <c r="D265" t="s">
        <v>327</v>
      </c>
      <c r="E265">
        <v>99999999</v>
      </c>
      <c r="F265">
        <v>11111111</v>
      </c>
      <c r="G265">
        <v>1111111111</v>
      </c>
      <c r="H265" t="s">
        <v>3834</v>
      </c>
      <c r="I265">
        <v>99999999</v>
      </c>
      <c r="J265" s="188">
        <v>45237</v>
      </c>
      <c r="K265" t="s">
        <v>3834</v>
      </c>
      <c r="L265" t="s">
        <v>3834</v>
      </c>
      <c r="M265" t="s">
        <v>500</v>
      </c>
      <c r="N265" t="s">
        <v>99</v>
      </c>
      <c r="O265" t="s">
        <v>501</v>
      </c>
      <c r="P265" t="s">
        <v>221</v>
      </c>
      <c r="Q265" t="s">
        <v>82</v>
      </c>
      <c r="R265">
        <v>1</v>
      </c>
      <c r="S265">
        <v>0.89</v>
      </c>
      <c r="T265">
        <v>0</v>
      </c>
      <c r="U265">
        <v>1</v>
      </c>
      <c r="V265">
        <v>1</v>
      </c>
      <c r="W265">
        <v>19.940000000000001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</row>
    <row r="266" spans="1:37" x14ac:dyDescent="0.3">
      <c r="A266">
        <v>7979</v>
      </c>
      <c r="B266" t="s">
        <v>219</v>
      </c>
      <c r="D266" t="s">
        <v>327</v>
      </c>
      <c r="E266">
        <v>99999999</v>
      </c>
      <c r="F266">
        <v>11111111</v>
      </c>
      <c r="G266">
        <v>1111111111</v>
      </c>
      <c r="H266" t="s">
        <v>3835</v>
      </c>
      <c r="I266">
        <v>99999999</v>
      </c>
      <c r="J266" s="188">
        <v>45237</v>
      </c>
      <c r="K266" t="s">
        <v>3835</v>
      </c>
      <c r="L266" t="s">
        <v>3835</v>
      </c>
      <c r="M266" t="s">
        <v>502</v>
      </c>
      <c r="N266" t="s">
        <v>91</v>
      </c>
      <c r="O266" t="s">
        <v>503</v>
      </c>
      <c r="P266" t="s">
        <v>221</v>
      </c>
      <c r="Q266" t="s">
        <v>82</v>
      </c>
      <c r="R266">
        <v>1</v>
      </c>
      <c r="S266">
        <v>7.5</v>
      </c>
      <c r="T266">
        <v>0</v>
      </c>
      <c r="U266">
        <v>1</v>
      </c>
      <c r="V266">
        <v>1</v>
      </c>
      <c r="W266">
        <v>33.83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1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</row>
    <row r="267" spans="1:37" x14ac:dyDescent="0.3">
      <c r="A267">
        <v>7979</v>
      </c>
      <c r="B267" t="s">
        <v>219</v>
      </c>
      <c r="D267" t="s">
        <v>327</v>
      </c>
      <c r="E267">
        <v>99999999</v>
      </c>
      <c r="F267">
        <v>11111111</v>
      </c>
      <c r="G267">
        <v>1111111111</v>
      </c>
      <c r="H267" t="s">
        <v>3836</v>
      </c>
      <c r="I267">
        <v>99999999</v>
      </c>
      <c r="J267" s="188">
        <v>45237</v>
      </c>
      <c r="K267" t="s">
        <v>3836</v>
      </c>
      <c r="L267" t="s">
        <v>3836</v>
      </c>
      <c r="M267" t="s">
        <v>504</v>
      </c>
      <c r="N267" t="s">
        <v>97</v>
      </c>
      <c r="O267">
        <v>98053</v>
      </c>
      <c r="P267" t="s">
        <v>221</v>
      </c>
      <c r="Q267" t="s">
        <v>82</v>
      </c>
      <c r="R267">
        <v>1</v>
      </c>
      <c r="S267">
        <v>2</v>
      </c>
      <c r="T267">
        <v>0</v>
      </c>
      <c r="U267">
        <v>1</v>
      </c>
      <c r="V267">
        <v>1</v>
      </c>
      <c r="W267">
        <v>21.88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1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</row>
    <row r="268" spans="1:37" x14ac:dyDescent="0.3">
      <c r="A268">
        <v>7979</v>
      </c>
      <c r="B268" t="s">
        <v>219</v>
      </c>
      <c r="D268" t="s">
        <v>327</v>
      </c>
      <c r="E268">
        <v>99999999</v>
      </c>
      <c r="F268">
        <v>11111111</v>
      </c>
      <c r="G268">
        <v>1111111111</v>
      </c>
      <c r="H268" t="s">
        <v>3837</v>
      </c>
      <c r="I268">
        <v>99999999</v>
      </c>
      <c r="J268" s="188">
        <v>45237</v>
      </c>
      <c r="K268" t="s">
        <v>3837</v>
      </c>
      <c r="L268" t="s">
        <v>3837</v>
      </c>
      <c r="M268" t="s">
        <v>505</v>
      </c>
      <c r="N268" t="s">
        <v>99</v>
      </c>
      <c r="O268" t="s">
        <v>506</v>
      </c>
      <c r="P268" t="s">
        <v>221</v>
      </c>
      <c r="Q268" t="s">
        <v>82</v>
      </c>
      <c r="R268">
        <v>1</v>
      </c>
      <c r="S268">
        <v>7.6</v>
      </c>
      <c r="T268">
        <v>0</v>
      </c>
      <c r="U268">
        <v>1</v>
      </c>
      <c r="V268">
        <v>1</v>
      </c>
      <c r="W268">
        <v>25.74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</row>
    <row r="269" spans="1:37" x14ac:dyDescent="0.3">
      <c r="A269">
        <v>7979</v>
      </c>
      <c r="B269" t="s">
        <v>219</v>
      </c>
      <c r="D269" t="s">
        <v>327</v>
      </c>
      <c r="E269">
        <v>99999999</v>
      </c>
      <c r="F269">
        <v>11111111</v>
      </c>
      <c r="G269">
        <v>1111111111</v>
      </c>
      <c r="H269" t="s">
        <v>3838</v>
      </c>
      <c r="I269">
        <v>99999999</v>
      </c>
      <c r="J269" s="188">
        <v>45237</v>
      </c>
      <c r="K269" t="s">
        <v>3838</v>
      </c>
      <c r="L269" t="s">
        <v>3838</v>
      </c>
      <c r="M269" t="s">
        <v>173</v>
      </c>
      <c r="N269" t="s">
        <v>164</v>
      </c>
      <c r="O269" t="s">
        <v>507</v>
      </c>
      <c r="P269" t="s">
        <v>221</v>
      </c>
      <c r="Q269" t="s">
        <v>82</v>
      </c>
      <c r="R269">
        <v>1</v>
      </c>
      <c r="S269">
        <v>7.5</v>
      </c>
      <c r="T269">
        <v>0</v>
      </c>
      <c r="U269">
        <v>1</v>
      </c>
      <c r="V269">
        <v>1</v>
      </c>
      <c r="W269">
        <v>24.15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</row>
    <row r="270" spans="1:37" x14ac:dyDescent="0.3">
      <c r="A270">
        <v>7979</v>
      </c>
      <c r="B270" t="s">
        <v>219</v>
      </c>
      <c r="D270" t="s">
        <v>327</v>
      </c>
      <c r="E270">
        <v>99999999</v>
      </c>
      <c r="F270">
        <v>11111111</v>
      </c>
      <c r="G270">
        <v>1111111111</v>
      </c>
      <c r="H270" t="s">
        <v>3839</v>
      </c>
      <c r="I270">
        <v>99999999</v>
      </c>
      <c r="J270" s="188">
        <v>45237</v>
      </c>
      <c r="K270" t="s">
        <v>3839</v>
      </c>
      <c r="L270" t="s">
        <v>3839</v>
      </c>
      <c r="M270" t="s">
        <v>508</v>
      </c>
      <c r="N270" t="s">
        <v>402</v>
      </c>
      <c r="O270" t="s">
        <v>509</v>
      </c>
      <c r="P270" t="s">
        <v>221</v>
      </c>
      <c r="Q270" t="s">
        <v>82</v>
      </c>
      <c r="R270">
        <v>1</v>
      </c>
      <c r="S270">
        <v>5</v>
      </c>
      <c r="T270">
        <v>0</v>
      </c>
      <c r="U270">
        <v>1</v>
      </c>
      <c r="V270">
        <v>1</v>
      </c>
      <c r="W270">
        <v>35.61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1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</row>
    <row r="271" spans="1:37" x14ac:dyDescent="0.3">
      <c r="A271">
        <v>7979</v>
      </c>
      <c r="B271" t="s">
        <v>219</v>
      </c>
      <c r="D271" t="s">
        <v>327</v>
      </c>
      <c r="E271">
        <v>99999999</v>
      </c>
      <c r="F271">
        <v>11111111</v>
      </c>
      <c r="G271">
        <v>1111111111</v>
      </c>
      <c r="H271" t="s">
        <v>3840</v>
      </c>
      <c r="I271">
        <v>99999999</v>
      </c>
      <c r="J271" s="188">
        <v>45237</v>
      </c>
      <c r="K271" t="s">
        <v>3840</v>
      </c>
      <c r="L271" t="s">
        <v>3840</v>
      </c>
      <c r="M271" t="s">
        <v>510</v>
      </c>
      <c r="N271" t="s">
        <v>97</v>
      </c>
      <c r="O271" t="s">
        <v>511</v>
      </c>
      <c r="P271" t="s">
        <v>221</v>
      </c>
      <c r="Q271" t="s">
        <v>82</v>
      </c>
      <c r="R271">
        <v>1</v>
      </c>
      <c r="S271">
        <v>2</v>
      </c>
      <c r="T271">
        <v>0</v>
      </c>
      <c r="U271">
        <v>1</v>
      </c>
      <c r="V271">
        <v>1</v>
      </c>
      <c r="W271">
        <v>28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1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</row>
    <row r="272" spans="1:37" x14ac:dyDescent="0.3">
      <c r="A272">
        <v>7979</v>
      </c>
      <c r="B272" t="s">
        <v>219</v>
      </c>
      <c r="D272" t="s">
        <v>327</v>
      </c>
      <c r="E272">
        <v>99999999</v>
      </c>
      <c r="F272">
        <v>11111111</v>
      </c>
      <c r="G272">
        <v>1111111111</v>
      </c>
      <c r="H272" t="s">
        <v>3841</v>
      </c>
      <c r="I272">
        <v>99999999</v>
      </c>
      <c r="J272" s="188">
        <v>45237</v>
      </c>
      <c r="K272" t="s">
        <v>3841</v>
      </c>
      <c r="L272" t="s">
        <v>3841</v>
      </c>
      <c r="M272" t="s">
        <v>512</v>
      </c>
      <c r="N272" t="s">
        <v>130</v>
      </c>
      <c r="O272" t="s">
        <v>513</v>
      </c>
      <c r="P272" t="s">
        <v>221</v>
      </c>
      <c r="Q272" t="s">
        <v>82</v>
      </c>
      <c r="R272">
        <v>1</v>
      </c>
      <c r="S272">
        <v>8</v>
      </c>
      <c r="T272">
        <v>0</v>
      </c>
      <c r="U272">
        <v>1</v>
      </c>
      <c r="V272">
        <v>1</v>
      </c>
      <c r="W272">
        <v>34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1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</row>
    <row r="273" spans="1:37" x14ac:dyDescent="0.3">
      <c r="A273">
        <v>7979</v>
      </c>
      <c r="B273" t="s">
        <v>219</v>
      </c>
      <c r="D273" t="s">
        <v>327</v>
      </c>
      <c r="E273">
        <v>99999999</v>
      </c>
      <c r="F273">
        <v>11111111</v>
      </c>
      <c r="G273">
        <v>1111111111</v>
      </c>
      <c r="H273" t="s">
        <v>3842</v>
      </c>
      <c r="I273">
        <v>99999999</v>
      </c>
      <c r="J273" s="188">
        <v>45237</v>
      </c>
      <c r="K273" t="s">
        <v>3842</v>
      </c>
      <c r="L273" t="s">
        <v>3842</v>
      </c>
      <c r="M273" t="s">
        <v>514</v>
      </c>
      <c r="N273" t="s">
        <v>99</v>
      </c>
      <c r="O273" t="s">
        <v>515</v>
      </c>
      <c r="P273" t="s">
        <v>221</v>
      </c>
      <c r="Q273" t="s">
        <v>82</v>
      </c>
      <c r="R273">
        <v>1</v>
      </c>
      <c r="S273">
        <v>3.2</v>
      </c>
      <c r="T273">
        <v>0</v>
      </c>
      <c r="U273">
        <v>1</v>
      </c>
      <c r="V273">
        <v>1</v>
      </c>
      <c r="W273">
        <v>19.54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</row>
    <row r="274" spans="1:37" x14ac:dyDescent="0.3">
      <c r="A274">
        <v>7979</v>
      </c>
      <c r="B274" t="s">
        <v>219</v>
      </c>
      <c r="D274" t="s">
        <v>327</v>
      </c>
      <c r="E274">
        <v>99999999</v>
      </c>
      <c r="F274">
        <v>11111111</v>
      </c>
      <c r="G274">
        <v>1111111111</v>
      </c>
      <c r="H274" t="s">
        <v>3843</v>
      </c>
      <c r="I274">
        <v>99999999</v>
      </c>
      <c r="J274" s="188">
        <v>45237</v>
      </c>
      <c r="K274" t="s">
        <v>3843</v>
      </c>
      <c r="L274" t="s">
        <v>3843</v>
      </c>
      <c r="M274" t="s">
        <v>516</v>
      </c>
      <c r="N274" t="s">
        <v>164</v>
      </c>
      <c r="O274" t="s">
        <v>517</v>
      </c>
      <c r="P274" t="s">
        <v>221</v>
      </c>
      <c r="Q274" t="s">
        <v>82</v>
      </c>
      <c r="R274">
        <v>1</v>
      </c>
      <c r="S274">
        <v>4</v>
      </c>
      <c r="T274">
        <v>0</v>
      </c>
      <c r="U274">
        <v>1</v>
      </c>
      <c r="V274">
        <v>1</v>
      </c>
      <c r="W274">
        <v>31.19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1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</row>
    <row r="275" spans="1:37" x14ac:dyDescent="0.3">
      <c r="A275">
        <v>7979</v>
      </c>
      <c r="B275" t="s">
        <v>219</v>
      </c>
      <c r="D275" t="s">
        <v>327</v>
      </c>
      <c r="E275">
        <v>99999999</v>
      </c>
      <c r="F275">
        <v>11111111</v>
      </c>
      <c r="G275">
        <v>1111111111</v>
      </c>
      <c r="H275" t="s">
        <v>3844</v>
      </c>
      <c r="I275">
        <v>99999999</v>
      </c>
      <c r="J275" s="188">
        <v>45237</v>
      </c>
      <c r="K275" t="s">
        <v>3844</v>
      </c>
      <c r="L275" t="s">
        <v>3844</v>
      </c>
      <c r="M275" t="s">
        <v>258</v>
      </c>
      <c r="N275" t="s">
        <v>91</v>
      </c>
      <c r="O275" t="s">
        <v>518</v>
      </c>
      <c r="P275" t="s">
        <v>221</v>
      </c>
      <c r="Q275" t="s">
        <v>82</v>
      </c>
      <c r="R275">
        <v>1</v>
      </c>
      <c r="S275">
        <v>0.62</v>
      </c>
      <c r="T275">
        <v>0</v>
      </c>
      <c r="U275">
        <v>1</v>
      </c>
      <c r="V275">
        <v>1</v>
      </c>
      <c r="W275">
        <v>21.54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</row>
    <row r="276" spans="1:37" x14ac:dyDescent="0.3">
      <c r="A276">
        <v>7979</v>
      </c>
      <c r="B276" t="s">
        <v>219</v>
      </c>
      <c r="D276" t="s">
        <v>327</v>
      </c>
      <c r="E276">
        <v>99999999</v>
      </c>
      <c r="F276">
        <v>11111111</v>
      </c>
      <c r="G276">
        <v>1111111111</v>
      </c>
      <c r="H276" t="s">
        <v>3845</v>
      </c>
      <c r="I276">
        <v>99999999</v>
      </c>
      <c r="J276" s="188">
        <v>45237</v>
      </c>
      <c r="K276" t="s">
        <v>3845</v>
      </c>
      <c r="L276" t="s">
        <v>3845</v>
      </c>
      <c r="M276" t="s">
        <v>519</v>
      </c>
      <c r="N276" t="s">
        <v>80</v>
      </c>
      <c r="O276" t="s">
        <v>520</v>
      </c>
      <c r="P276" t="s">
        <v>221</v>
      </c>
      <c r="Q276" t="s">
        <v>82</v>
      </c>
      <c r="R276">
        <v>1</v>
      </c>
      <c r="S276">
        <v>0.56299999999999994</v>
      </c>
      <c r="T276">
        <v>0</v>
      </c>
      <c r="U276">
        <v>1</v>
      </c>
      <c r="V276">
        <v>1</v>
      </c>
      <c r="W276">
        <v>23.1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1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</row>
    <row r="277" spans="1:37" x14ac:dyDescent="0.3">
      <c r="A277">
        <v>7979</v>
      </c>
      <c r="B277" t="s">
        <v>219</v>
      </c>
      <c r="D277" t="s">
        <v>327</v>
      </c>
      <c r="E277">
        <v>99999999</v>
      </c>
      <c r="F277">
        <v>11111111</v>
      </c>
      <c r="G277">
        <v>1111111111</v>
      </c>
      <c r="H277" t="s">
        <v>3846</v>
      </c>
      <c r="I277">
        <v>99999999</v>
      </c>
      <c r="J277" s="188">
        <v>45237</v>
      </c>
      <c r="K277" t="s">
        <v>3846</v>
      </c>
      <c r="L277" t="s">
        <v>3846</v>
      </c>
      <c r="M277" t="s">
        <v>521</v>
      </c>
      <c r="N277" t="s">
        <v>522</v>
      </c>
      <c r="O277">
        <v>30701</v>
      </c>
      <c r="P277" t="s">
        <v>221</v>
      </c>
      <c r="Q277" t="s">
        <v>82</v>
      </c>
      <c r="R277">
        <v>1</v>
      </c>
      <c r="S277">
        <v>0.19</v>
      </c>
      <c r="T277">
        <v>0</v>
      </c>
      <c r="U277">
        <v>1</v>
      </c>
      <c r="V277">
        <v>1</v>
      </c>
      <c r="W277">
        <v>26.9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</row>
    <row r="278" spans="1:37" x14ac:dyDescent="0.3">
      <c r="A278">
        <v>7979</v>
      </c>
      <c r="B278" t="s">
        <v>219</v>
      </c>
      <c r="D278" t="s">
        <v>327</v>
      </c>
      <c r="E278">
        <v>99999999</v>
      </c>
      <c r="F278">
        <v>11111111</v>
      </c>
      <c r="G278">
        <v>1111111111</v>
      </c>
      <c r="H278" t="s">
        <v>3847</v>
      </c>
      <c r="I278">
        <v>99999999</v>
      </c>
      <c r="J278" s="188">
        <v>45237</v>
      </c>
      <c r="K278" t="s">
        <v>3847</v>
      </c>
      <c r="L278" t="s">
        <v>3847</v>
      </c>
      <c r="M278" t="s">
        <v>523</v>
      </c>
      <c r="N278" t="s">
        <v>97</v>
      </c>
      <c r="O278" t="s">
        <v>524</v>
      </c>
      <c r="P278" t="s">
        <v>221</v>
      </c>
      <c r="Q278" t="s">
        <v>82</v>
      </c>
      <c r="R278">
        <v>2</v>
      </c>
      <c r="S278">
        <v>2.46</v>
      </c>
      <c r="T278">
        <v>0</v>
      </c>
      <c r="U278">
        <v>1</v>
      </c>
      <c r="V278">
        <v>1</v>
      </c>
      <c r="W278">
        <v>21.88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2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</row>
    <row r="279" spans="1:37" x14ac:dyDescent="0.3">
      <c r="A279">
        <v>7979</v>
      </c>
      <c r="B279" t="s">
        <v>219</v>
      </c>
      <c r="D279" t="s">
        <v>327</v>
      </c>
      <c r="E279">
        <v>99999999</v>
      </c>
      <c r="F279">
        <v>11111111</v>
      </c>
      <c r="G279">
        <v>1111111111</v>
      </c>
      <c r="H279" t="s">
        <v>3848</v>
      </c>
      <c r="I279">
        <v>99999999</v>
      </c>
      <c r="J279" s="188">
        <v>45237</v>
      </c>
      <c r="K279" t="s">
        <v>3848</v>
      </c>
      <c r="L279" t="s">
        <v>3848</v>
      </c>
      <c r="M279" t="s">
        <v>154</v>
      </c>
      <c r="N279" t="s">
        <v>130</v>
      </c>
      <c r="O279" t="s">
        <v>525</v>
      </c>
      <c r="P279" t="s">
        <v>221</v>
      </c>
      <c r="Q279" t="s">
        <v>82</v>
      </c>
      <c r="R279">
        <v>1</v>
      </c>
      <c r="S279">
        <v>1.6659999999999999</v>
      </c>
      <c r="T279">
        <v>0</v>
      </c>
      <c r="U279">
        <v>1</v>
      </c>
      <c r="V279">
        <v>1</v>
      </c>
      <c r="W279">
        <v>22.67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1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</row>
    <row r="280" spans="1:37" x14ac:dyDescent="0.3">
      <c r="A280">
        <v>7979</v>
      </c>
      <c r="B280" t="s">
        <v>219</v>
      </c>
      <c r="D280" t="s">
        <v>327</v>
      </c>
      <c r="E280">
        <v>99999999</v>
      </c>
      <c r="F280">
        <v>11111111</v>
      </c>
      <c r="G280">
        <v>1111111111</v>
      </c>
      <c r="H280" t="s">
        <v>3849</v>
      </c>
      <c r="I280">
        <v>99999999</v>
      </c>
      <c r="J280" s="188">
        <v>45237</v>
      </c>
      <c r="K280" t="s">
        <v>3849</v>
      </c>
      <c r="L280" t="s">
        <v>3849</v>
      </c>
      <c r="M280" t="s">
        <v>96</v>
      </c>
      <c r="N280" t="s">
        <v>97</v>
      </c>
      <c r="O280" t="s">
        <v>526</v>
      </c>
      <c r="P280" t="s">
        <v>221</v>
      </c>
      <c r="Q280" t="s">
        <v>82</v>
      </c>
      <c r="R280">
        <v>1</v>
      </c>
      <c r="S280">
        <v>11</v>
      </c>
      <c r="T280">
        <v>0</v>
      </c>
      <c r="U280">
        <v>1</v>
      </c>
      <c r="V280">
        <v>1</v>
      </c>
      <c r="W280">
        <v>24.83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</row>
    <row r="281" spans="1:37" x14ac:dyDescent="0.3">
      <c r="A281">
        <v>7979</v>
      </c>
      <c r="B281" t="s">
        <v>219</v>
      </c>
      <c r="D281" t="s">
        <v>327</v>
      </c>
      <c r="E281">
        <v>99999999</v>
      </c>
      <c r="F281">
        <v>11111111</v>
      </c>
      <c r="G281">
        <v>1111111111</v>
      </c>
      <c r="H281" t="s">
        <v>3850</v>
      </c>
      <c r="I281">
        <v>99999999</v>
      </c>
      <c r="J281" s="188">
        <v>45237</v>
      </c>
      <c r="K281" t="s">
        <v>3850</v>
      </c>
      <c r="L281" t="s">
        <v>3850</v>
      </c>
      <c r="M281" t="s">
        <v>527</v>
      </c>
      <c r="N281" t="s">
        <v>197</v>
      </c>
      <c r="O281">
        <v>77627</v>
      </c>
      <c r="P281" t="s">
        <v>221</v>
      </c>
      <c r="Q281" t="s">
        <v>82</v>
      </c>
      <c r="R281">
        <v>2</v>
      </c>
      <c r="S281">
        <v>2.46</v>
      </c>
      <c r="T281">
        <v>0</v>
      </c>
      <c r="U281">
        <v>1</v>
      </c>
      <c r="V281">
        <v>1</v>
      </c>
      <c r="W281">
        <v>23.93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2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</row>
    <row r="282" spans="1:37" x14ac:dyDescent="0.3">
      <c r="A282">
        <v>7979</v>
      </c>
      <c r="B282" t="s">
        <v>219</v>
      </c>
      <c r="D282" t="s">
        <v>327</v>
      </c>
      <c r="E282">
        <v>99999999</v>
      </c>
      <c r="F282">
        <v>11111111</v>
      </c>
      <c r="G282">
        <v>1111111111</v>
      </c>
      <c r="H282" t="s">
        <v>3851</v>
      </c>
      <c r="I282">
        <v>99999999</v>
      </c>
      <c r="J282" s="188">
        <v>45237</v>
      </c>
      <c r="K282" t="s">
        <v>3851</v>
      </c>
      <c r="L282" t="s">
        <v>3851</v>
      </c>
      <c r="M282" t="s">
        <v>528</v>
      </c>
      <c r="N282" t="s">
        <v>197</v>
      </c>
      <c r="O282" t="s">
        <v>529</v>
      </c>
      <c r="P282" t="s">
        <v>221</v>
      </c>
      <c r="Q282" t="s">
        <v>82</v>
      </c>
      <c r="R282">
        <v>2</v>
      </c>
      <c r="S282">
        <v>2</v>
      </c>
      <c r="T282">
        <v>0</v>
      </c>
      <c r="U282">
        <v>1</v>
      </c>
      <c r="V282">
        <v>1</v>
      </c>
      <c r="W282">
        <v>30.05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2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</row>
    <row r="283" spans="1:37" x14ac:dyDescent="0.3">
      <c r="A283">
        <v>7979</v>
      </c>
      <c r="B283" t="s">
        <v>219</v>
      </c>
      <c r="D283" t="s">
        <v>327</v>
      </c>
      <c r="E283">
        <v>99999999</v>
      </c>
      <c r="F283">
        <v>11111111</v>
      </c>
      <c r="G283">
        <v>1111111111</v>
      </c>
      <c r="H283" t="s">
        <v>3852</v>
      </c>
      <c r="I283">
        <v>99999999</v>
      </c>
      <c r="J283" s="188">
        <v>45237</v>
      </c>
      <c r="K283" t="s">
        <v>3852</v>
      </c>
      <c r="L283" t="s">
        <v>3852</v>
      </c>
      <c r="M283" t="s">
        <v>149</v>
      </c>
      <c r="N283" t="s">
        <v>99</v>
      </c>
      <c r="O283" t="s">
        <v>530</v>
      </c>
      <c r="P283" t="s">
        <v>221</v>
      </c>
      <c r="Q283" t="s">
        <v>82</v>
      </c>
      <c r="R283">
        <v>1</v>
      </c>
      <c r="S283">
        <v>6</v>
      </c>
      <c r="T283">
        <v>0</v>
      </c>
      <c r="U283">
        <v>1</v>
      </c>
      <c r="V283">
        <v>1</v>
      </c>
      <c r="W283">
        <v>21.84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</row>
    <row r="284" spans="1:37" x14ac:dyDescent="0.3">
      <c r="A284">
        <v>7979</v>
      </c>
      <c r="B284" t="s">
        <v>219</v>
      </c>
      <c r="D284" t="s">
        <v>327</v>
      </c>
      <c r="E284">
        <v>99999999</v>
      </c>
      <c r="F284">
        <v>11111111</v>
      </c>
      <c r="G284">
        <v>1111111111</v>
      </c>
      <c r="H284" t="s">
        <v>3853</v>
      </c>
      <c r="I284">
        <v>99999999</v>
      </c>
      <c r="J284" s="188">
        <v>45237</v>
      </c>
      <c r="K284" t="s">
        <v>3853</v>
      </c>
      <c r="L284" t="s">
        <v>3853</v>
      </c>
      <c r="M284" t="s">
        <v>531</v>
      </c>
      <c r="N284" t="s">
        <v>97</v>
      </c>
      <c r="O284" t="s">
        <v>532</v>
      </c>
      <c r="P284" t="s">
        <v>221</v>
      </c>
      <c r="Q284" t="s">
        <v>82</v>
      </c>
      <c r="R284">
        <v>1</v>
      </c>
      <c r="S284">
        <v>4.5</v>
      </c>
      <c r="T284">
        <v>0</v>
      </c>
      <c r="U284">
        <v>1</v>
      </c>
      <c r="V284">
        <v>1</v>
      </c>
      <c r="W284">
        <v>22.93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1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</row>
    <row r="285" spans="1:37" x14ac:dyDescent="0.3">
      <c r="A285">
        <v>7979</v>
      </c>
      <c r="B285" t="s">
        <v>219</v>
      </c>
      <c r="D285" t="s">
        <v>327</v>
      </c>
      <c r="E285">
        <v>99999999</v>
      </c>
      <c r="F285">
        <v>11111111</v>
      </c>
      <c r="G285">
        <v>1111111111</v>
      </c>
      <c r="H285" t="s">
        <v>3854</v>
      </c>
      <c r="I285">
        <v>99999999</v>
      </c>
      <c r="J285" s="188">
        <v>45237</v>
      </c>
      <c r="K285" t="s">
        <v>3854</v>
      </c>
      <c r="L285" t="s">
        <v>3854</v>
      </c>
      <c r="M285" t="s">
        <v>533</v>
      </c>
      <c r="N285" t="s">
        <v>307</v>
      </c>
      <c r="O285" t="s">
        <v>534</v>
      </c>
      <c r="P285" t="s">
        <v>221</v>
      </c>
      <c r="Q285" t="s">
        <v>82</v>
      </c>
      <c r="R285">
        <v>1</v>
      </c>
      <c r="S285">
        <v>2.23</v>
      </c>
      <c r="T285">
        <v>0</v>
      </c>
      <c r="U285">
        <v>1</v>
      </c>
      <c r="V285">
        <v>1</v>
      </c>
      <c r="W285">
        <v>31.61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1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</row>
    <row r="286" spans="1:37" x14ac:dyDescent="0.3">
      <c r="A286">
        <v>7979</v>
      </c>
      <c r="B286" t="s">
        <v>219</v>
      </c>
      <c r="D286" t="s">
        <v>327</v>
      </c>
      <c r="E286">
        <v>99999999</v>
      </c>
      <c r="F286">
        <v>11111111</v>
      </c>
      <c r="G286">
        <v>1111111111</v>
      </c>
      <c r="H286" t="s">
        <v>3855</v>
      </c>
      <c r="I286">
        <v>99999999</v>
      </c>
      <c r="J286" s="188">
        <v>45237</v>
      </c>
      <c r="K286" t="s">
        <v>3855</v>
      </c>
      <c r="L286" t="s">
        <v>3855</v>
      </c>
      <c r="M286" t="s">
        <v>535</v>
      </c>
      <c r="N286" t="s">
        <v>104</v>
      </c>
      <c r="O286" t="s">
        <v>536</v>
      </c>
      <c r="P286" t="s">
        <v>221</v>
      </c>
      <c r="Q286" t="s">
        <v>82</v>
      </c>
      <c r="R286">
        <v>1</v>
      </c>
      <c r="S286">
        <v>2.23</v>
      </c>
      <c r="T286">
        <v>0</v>
      </c>
      <c r="U286">
        <v>1</v>
      </c>
      <c r="V286">
        <v>1</v>
      </c>
      <c r="W286">
        <v>30.93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</row>
    <row r="287" spans="1:37" x14ac:dyDescent="0.3">
      <c r="A287">
        <v>7979</v>
      </c>
      <c r="B287" t="s">
        <v>219</v>
      </c>
      <c r="D287" t="s">
        <v>327</v>
      </c>
      <c r="E287">
        <v>99999999</v>
      </c>
      <c r="F287">
        <v>11111111</v>
      </c>
      <c r="G287">
        <v>1111111111</v>
      </c>
      <c r="H287" t="s">
        <v>3856</v>
      </c>
      <c r="I287">
        <v>99999999</v>
      </c>
      <c r="J287" s="188">
        <v>45237</v>
      </c>
      <c r="K287" t="s">
        <v>3856</v>
      </c>
      <c r="L287" t="s">
        <v>3856</v>
      </c>
      <c r="M287" t="s">
        <v>537</v>
      </c>
      <c r="N287" t="s">
        <v>130</v>
      </c>
      <c r="O287" t="s">
        <v>538</v>
      </c>
      <c r="P287" t="s">
        <v>221</v>
      </c>
      <c r="Q287" t="s">
        <v>82</v>
      </c>
      <c r="R287">
        <v>1</v>
      </c>
      <c r="S287">
        <v>4.4000000000000004</v>
      </c>
      <c r="T287">
        <v>0</v>
      </c>
      <c r="U287">
        <v>1</v>
      </c>
      <c r="V287">
        <v>1</v>
      </c>
      <c r="W287">
        <v>24.37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1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</row>
    <row r="288" spans="1:37" x14ac:dyDescent="0.3">
      <c r="A288">
        <v>7979</v>
      </c>
      <c r="B288" t="s">
        <v>219</v>
      </c>
      <c r="D288" t="s">
        <v>327</v>
      </c>
      <c r="E288">
        <v>99999999</v>
      </c>
      <c r="F288">
        <v>11111111</v>
      </c>
      <c r="G288">
        <v>1111111111</v>
      </c>
      <c r="H288" t="s">
        <v>3857</v>
      </c>
      <c r="I288">
        <v>99999999</v>
      </c>
      <c r="J288" s="188">
        <v>45237</v>
      </c>
      <c r="K288" t="s">
        <v>3857</v>
      </c>
      <c r="L288" t="s">
        <v>3857</v>
      </c>
      <c r="M288" t="s">
        <v>396</v>
      </c>
      <c r="N288" t="s">
        <v>99</v>
      </c>
      <c r="O288" t="s">
        <v>539</v>
      </c>
      <c r="P288" t="s">
        <v>221</v>
      </c>
      <c r="Q288" t="s">
        <v>82</v>
      </c>
      <c r="R288">
        <v>1</v>
      </c>
      <c r="S288">
        <v>2</v>
      </c>
      <c r="T288">
        <v>0</v>
      </c>
      <c r="U288">
        <v>1</v>
      </c>
      <c r="V288">
        <v>1</v>
      </c>
      <c r="W288">
        <v>20.67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1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</row>
    <row r="289" spans="1:37" x14ac:dyDescent="0.3">
      <c r="A289">
        <v>7979</v>
      </c>
      <c r="B289" t="s">
        <v>219</v>
      </c>
      <c r="D289" t="s">
        <v>327</v>
      </c>
      <c r="E289">
        <v>99999999</v>
      </c>
      <c r="F289">
        <v>11111111</v>
      </c>
      <c r="G289">
        <v>1111111111</v>
      </c>
      <c r="H289" t="s">
        <v>3858</v>
      </c>
      <c r="I289">
        <v>99999999</v>
      </c>
      <c r="J289" s="188">
        <v>45237</v>
      </c>
      <c r="K289" t="s">
        <v>3858</v>
      </c>
      <c r="L289" t="s">
        <v>3858</v>
      </c>
      <c r="M289" t="s">
        <v>540</v>
      </c>
      <c r="N289" t="s">
        <v>97</v>
      </c>
      <c r="O289" t="s">
        <v>541</v>
      </c>
      <c r="P289" t="s">
        <v>221</v>
      </c>
      <c r="Q289" t="s">
        <v>82</v>
      </c>
      <c r="R289">
        <v>1</v>
      </c>
      <c r="S289">
        <v>2.65</v>
      </c>
      <c r="T289">
        <v>0</v>
      </c>
      <c r="U289">
        <v>1</v>
      </c>
      <c r="V289">
        <v>1</v>
      </c>
      <c r="W289">
        <v>22.52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1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</row>
    <row r="290" spans="1:37" x14ac:dyDescent="0.3">
      <c r="A290">
        <v>7979</v>
      </c>
      <c r="B290" t="s">
        <v>219</v>
      </c>
      <c r="D290" t="s">
        <v>327</v>
      </c>
      <c r="E290">
        <v>99999999</v>
      </c>
      <c r="F290">
        <v>11111111</v>
      </c>
      <c r="G290">
        <v>1111111111</v>
      </c>
      <c r="H290" t="s">
        <v>3859</v>
      </c>
      <c r="I290">
        <v>99999999</v>
      </c>
      <c r="J290" s="188">
        <v>45237</v>
      </c>
      <c r="K290" t="s">
        <v>3859</v>
      </c>
      <c r="L290" t="s">
        <v>3859</v>
      </c>
      <c r="M290" t="s">
        <v>542</v>
      </c>
      <c r="N290" t="s">
        <v>543</v>
      </c>
      <c r="O290">
        <v>58540</v>
      </c>
      <c r="P290" t="s">
        <v>221</v>
      </c>
      <c r="Q290" t="s">
        <v>82</v>
      </c>
      <c r="R290">
        <v>1</v>
      </c>
      <c r="S290">
        <v>6</v>
      </c>
      <c r="T290">
        <v>0</v>
      </c>
      <c r="U290">
        <v>1</v>
      </c>
      <c r="V290">
        <v>1</v>
      </c>
      <c r="W290">
        <v>33.729999999999997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</row>
    <row r="291" spans="1:37" x14ac:dyDescent="0.3">
      <c r="A291">
        <v>7979</v>
      </c>
      <c r="B291" t="s">
        <v>219</v>
      </c>
      <c r="D291" t="s">
        <v>327</v>
      </c>
      <c r="E291">
        <v>99999999</v>
      </c>
      <c r="F291">
        <v>11111111</v>
      </c>
      <c r="G291">
        <v>1111111111</v>
      </c>
      <c r="H291" t="s">
        <v>3860</v>
      </c>
      <c r="I291">
        <v>99999999</v>
      </c>
      <c r="J291" s="188">
        <v>45237</v>
      </c>
      <c r="K291" t="s">
        <v>3860</v>
      </c>
      <c r="L291" t="s">
        <v>3860</v>
      </c>
      <c r="M291" t="s">
        <v>282</v>
      </c>
      <c r="N291" t="s">
        <v>197</v>
      </c>
      <c r="O291" t="s">
        <v>544</v>
      </c>
      <c r="P291" t="s">
        <v>221</v>
      </c>
      <c r="Q291" t="s">
        <v>82</v>
      </c>
      <c r="R291">
        <v>1</v>
      </c>
      <c r="S291">
        <v>11.666</v>
      </c>
      <c r="T291">
        <v>0</v>
      </c>
      <c r="U291">
        <v>1</v>
      </c>
      <c r="V291">
        <v>1</v>
      </c>
      <c r="W291">
        <v>28.89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1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</row>
    <row r="292" spans="1:37" x14ac:dyDescent="0.3">
      <c r="A292">
        <v>7979</v>
      </c>
      <c r="B292" t="s">
        <v>219</v>
      </c>
      <c r="D292" t="s">
        <v>327</v>
      </c>
      <c r="E292">
        <v>99999999</v>
      </c>
      <c r="F292">
        <v>11111111</v>
      </c>
      <c r="G292">
        <v>1111111111</v>
      </c>
      <c r="H292" t="s">
        <v>3861</v>
      </c>
      <c r="I292">
        <v>99999999</v>
      </c>
      <c r="J292" s="188">
        <v>45237</v>
      </c>
      <c r="K292" t="s">
        <v>3861</v>
      </c>
      <c r="L292" t="s">
        <v>3861</v>
      </c>
      <c r="M292" t="s">
        <v>545</v>
      </c>
      <c r="N292" t="s">
        <v>122</v>
      </c>
      <c r="O292" t="s">
        <v>546</v>
      </c>
      <c r="P292" t="s">
        <v>221</v>
      </c>
      <c r="Q292" t="s">
        <v>82</v>
      </c>
      <c r="R292">
        <v>3</v>
      </c>
      <c r="S292">
        <v>7.2</v>
      </c>
      <c r="T292">
        <v>0</v>
      </c>
      <c r="U292">
        <v>1</v>
      </c>
      <c r="V292">
        <v>1</v>
      </c>
      <c r="W292">
        <v>25.57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3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</row>
    <row r="293" spans="1:37" x14ac:dyDescent="0.3">
      <c r="A293">
        <v>7979</v>
      </c>
      <c r="B293" t="s">
        <v>219</v>
      </c>
      <c r="D293" t="s">
        <v>327</v>
      </c>
      <c r="E293">
        <v>99999999</v>
      </c>
      <c r="F293">
        <v>11111111</v>
      </c>
      <c r="G293">
        <v>1111111111</v>
      </c>
      <c r="H293" t="s">
        <v>3862</v>
      </c>
      <c r="I293">
        <v>99999999</v>
      </c>
      <c r="J293" s="188">
        <v>45237</v>
      </c>
      <c r="K293" t="s">
        <v>3862</v>
      </c>
      <c r="L293" t="s">
        <v>3862</v>
      </c>
      <c r="M293" t="s">
        <v>547</v>
      </c>
      <c r="N293" t="s">
        <v>135</v>
      </c>
      <c r="O293" t="s">
        <v>548</v>
      </c>
      <c r="P293" t="s">
        <v>221</v>
      </c>
      <c r="Q293" t="s">
        <v>82</v>
      </c>
      <c r="R293">
        <v>1</v>
      </c>
      <c r="S293">
        <v>11.666</v>
      </c>
      <c r="T293">
        <v>0</v>
      </c>
      <c r="U293">
        <v>1</v>
      </c>
      <c r="V293">
        <v>1</v>
      </c>
      <c r="W293">
        <v>31.17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1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</row>
    <row r="294" spans="1:37" x14ac:dyDescent="0.3">
      <c r="A294">
        <v>7979</v>
      </c>
      <c r="B294" t="s">
        <v>219</v>
      </c>
      <c r="D294" t="s">
        <v>327</v>
      </c>
      <c r="E294">
        <v>99999999</v>
      </c>
      <c r="F294">
        <v>11111111</v>
      </c>
      <c r="G294">
        <v>1111111111</v>
      </c>
      <c r="H294" t="s">
        <v>3863</v>
      </c>
      <c r="I294">
        <v>99999999</v>
      </c>
      <c r="J294" s="188">
        <v>45237</v>
      </c>
      <c r="K294" t="s">
        <v>3863</v>
      </c>
      <c r="L294" t="s">
        <v>3863</v>
      </c>
      <c r="M294" t="s">
        <v>549</v>
      </c>
      <c r="N294" t="s">
        <v>130</v>
      </c>
      <c r="O294">
        <v>81239</v>
      </c>
      <c r="P294" t="s">
        <v>221</v>
      </c>
      <c r="Q294" t="s">
        <v>82</v>
      </c>
      <c r="R294">
        <v>1</v>
      </c>
      <c r="S294">
        <v>8.8000000000000007</v>
      </c>
      <c r="T294">
        <v>0</v>
      </c>
      <c r="U294">
        <v>1</v>
      </c>
      <c r="V294">
        <v>1</v>
      </c>
      <c r="W294">
        <v>34.479999999999997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</row>
    <row r="295" spans="1:37" x14ac:dyDescent="0.3">
      <c r="A295">
        <v>7979</v>
      </c>
      <c r="B295" t="s">
        <v>219</v>
      </c>
      <c r="D295" t="s">
        <v>327</v>
      </c>
      <c r="E295">
        <v>99999999</v>
      </c>
      <c r="F295">
        <v>11111111</v>
      </c>
      <c r="G295">
        <v>1111111111</v>
      </c>
      <c r="H295" t="s">
        <v>3864</v>
      </c>
      <c r="I295">
        <v>99999999</v>
      </c>
      <c r="J295" s="188">
        <v>45237</v>
      </c>
      <c r="K295" t="s">
        <v>3864</v>
      </c>
      <c r="L295" t="s">
        <v>3864</v>
      </c>
      <c r="M295" t="s">
        <v>550</v>
      </c>
      <c r="N295" t="s">
        <v>551</v>
      </c>
      <c r="O295" t="s">
        <v>552</v>
      </c>
      <c r="P295" t="s">
        <v>221</v>
      </c>
      <c r="Q295" t="s">
        <v>82</v>
      </c>
      <c r="R295">
        <v>1</v>
      </c>
      <c r="S295">
        <v>11.666</v>
      </c>
      <c r="T295">
        <v>0</v>
      </c>
      <c r="U295">
        <v>1</v>
      </c>
      <c r="V295">
        <v>1</v>
      </c>
      <c r="W295">
        <v>33.020000000000003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1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</row>
    <row r="296" spans="1:37" x14ac:dyDescent="0.3">
      <c r="A296">
        <v>7979</v>
      </c>
      <c r="B296" t="s">
        <v>219</v>
      </c>
      <c r="D296" t="s">
        <v>327</v>
      </c>
      <c r="E296">
        <v>99999999</v>
      </c>
      <c r="F296">
        <v>11111111</v>
      </c>
      <c r="G296">
        <v>1111111111</v>
      </c>
      <c r="H296" t="s">
        <v>3865</v>
      </c>
      <c r="I296">
        <v>99999999</v>
      </c>
      <c r="J296" s="188">
        <v>45237</v>
      </c>
      <c r="K296" t="s">
        <v>3865</v>
      </c>
      <c r="L296" t="s">
        <v>3865</v>
      </c>
      <c r="M296" t="s">
        <v>553</v>
      </c>
      <c r="N296" t="s">
        <v>554</v>
      </c>
      <c r="O296" t="s">
        <v>555</v>
      </c>
      <c r="P296" t="s">
        <v>221</v>
      </c>
      <c r="Q296" t="s">
        <v>82</v>
      </c>
      <c r="R296">
        <v>1</v>
      </c>
      <c r="S296">
        <v>5.6</v>
      </c>
      <c r="T296">
        <v>0</v>
      </c>
      <c r="U296">
        <v>1</v>
      </c>
      <c r="V296">
        <v>1</v>
      </c>
      <c r="W296">
        <v>25.03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1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</row>
    <row r="297" spans="1:37" x14ac:dyDescent="0.3">
      <c r="A297">
        <v>7979</v>
      </c>
      <c r="B297" t="s">
        <v>219</v>
      </c>
      <c r="D297" t="s">
        <v>327</v>
      </c>
      <c r="E297">
        <v>99999999</v>
      </c>
      <c r="F297">
        <v>11111111</v>
      </c>
      <c r="G297">
        <v>1111111111</v>
      </c>
      <c r="H297" t="s">
        <v>3866</v>
      </c>
      <c r="I297">
        <v>99999999</v>
      </c>
      <c r="J297" s="188">
        <v>45237</v>
      </c>
      <c r="K297" t="s">
        <v>3866</v>
      </c>
      <c r="L297" t="s">
        <v>3866</v>
      </c>
      <c r="M297" t="s">
        <v>556</v>
      </c>
      <c r="N297" t="s">
        <v>241</v>
      </c>
      <c r="O297" t="s">
        <v>557</v>
      </c>
      <c r="P297" t="s">
        <v>221</v>
      </c>
      <c r="Q297" t="s">
        <v>82</v>
      </c>
      <c r="R297">
        <v>2</v>
      </c>
      <c r="S297">
        <v>2.86</v>
      </c>
      <c r="T297">
        <v>0</v>
      </c>
      <c r="U297">
        <v>1</v>
      </c>
      <c r="V297">
        <v>1</v>
      </c>
      <c r="W297">
        <v>33.51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2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</row>
    <row r="298" spans="1:37" x14ac:dyDescent="0.3">
      <c r="A298">
        <v>7979</v>
      </c>
      <c r="B298" t="s">
        <v>219</v>
      </c>
      <c r="D298" t="s">
        <v>327</v>
      </c>
      <c r="E298">
        <v>99999999</v>
      </c>
      <c r="F298">
        <v>11111111</v>
      </c>
      <c r="G298">
        <v>1111111111</v>
      </c>
      <c r="H298" t="s">
        <v>3867</v>
      </c>
      <c r="I298">
        <v>99999999</v>
      </c>
      <c r="J298" s="188">
        <v>45237</v>
      </c>
      <c r="K298" t="s">
        <v>3867</v>
      </c>
      <c r="L298" t="s">
        <v>3867</v>
      </c>
      <c r="M298" t="s">
        <v>558</v>
      </c>
      <c r="N298" t="s">
        <v>130</v>
      </c>
      <c r="O298" t="s">
        <v>559</v>
      </c>
      <c r="P298" t="s">
        <v>221</v>
      </c>
      <c r="Q298" t="s">
        <v>82</v>
      </c>
      <c r="R298">
        <v>1</v>
      </c>
      <c r="S298">
        <v>11.12</v>
      </c>
      <c r="T298">
        <v>0</v>
      </c>
      <c r="U298">
        <v>1</v>
      </c>
      <c r="V298">
        <v>1</v>
      </c>
      <c r="W298">
        <v>34.770000000000003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1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</row>
    <row r="299" spans="1:37" x14ac:dyDescent="0.3">
      <c r="A299">
        <v>7979</v>
      </c>
      <c r="B299" t="s">
        <v>219</v>
      </c>
      <c r="D299" t="s">
        <v>327</v>
      </c>
      <c r="E299">
        <v>99999999</v>
      </c>
      <c r="F299">
        <v>11111111</v>
      </c>
      <c r="G299">
        <v>1111111111</v>
      </c>
      <c r="H299" t="s">
        <v>3868</v>
      </c>
      <c r="I299">
        <v>99999999</v>
      </c>
      <c r="J299" s="188">
        <v>45237</v>
      </c>
      <c r="K299" t="s">
        <v>3868</v>
      </c>
      <c r="L299" t="s">
        <v>3868</v>
      </c>
      <c r="M299" t="s">
        <v>560</v>
      </c>
      <c r="N299" t="s">
        <v>99</v>
      </c>
      <c r="O299" t="s">
        <v>561</v>
      </c>
      <c r="P299" t="s">
        <v>221</v>
      </c>
      <c r="Q299" t="s">
        <v>82</v>
      </c>
      <c r="R299">
        <v>1</v>
      </c>
      <c r="S299">
        <v>3.5</v>
      </c>
      <c r="T299">
        <v>0</v>
      </c>
      <c r="U299">
        <v>1</v>
      </c>
      <c r="V299">
        <v>1</v>
      </c>
      <c r="W299">
        <v>25.66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1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</row>
    <row r="300" spans="1:37" x14ac:dyDescent="0.3">
      <c r="A300">
        <v>7979</v>
      </c>
      <c r="B300" t="s">
        <v>219</v>
      </c>
      <c r="D300" t="s">
        <v>327</v>
      </c>
      <c r="E300">
        <v>99999999</v>
      </c>
      <c r="F300">
        <v>11111111</v>
      </c>
      <c r="G300">
        <v>1111111111</v>
      </c>
      <c r="H300" t="s">
        <v>3869</v>
      </c>
      <c r="I300">
        <v>99999999</v>
      </c>
      <c r="J300" s="188">
        <v>45237</v>
      </c>
      <c r="K300" t="s">
        <v>3869</v>
      </c>
      <c r="L300" t="s">
        <v>3869</v>
      </c>
      <c r="M300" t="s">
        <v>562</v>
      </c>
      <c r="N300" t="s">
        <v>197</v>
      </c>
      <c r="O300" t="s">
        <v>563</v>
      </c>
      <c r="P300" t="s">
        <v>221</v>
      </c>
      <c r="Q300" t="s">
        <v>82</v>
      </c>
      <c r="R300">
        <v>1</v>
      </c>
      <c r="S300">
        <v>5</v>
      </c>
      <c r="T300">
        <v>0</v>
      </c>
      <c r="U300">
        <v>1</v>
      </c>
      <c r="V300">
        <v>1</v>
      </c>
      <c r="W300">
        <v>25.12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1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</row>
    <row r="301" spans="1:37" x14ac:dyDescent="0.3">
      <c r="A301">
        <v>7979</v>
      </c>
      <c r="B301" t="s">
        <v>219</v>
      </c>
      <c r="D301" t="s">
        <v>327</v>
      </c>
      <c r="E301">
        <v>99999999</v>
      </c>
      <c r="F301">
        <v>11111111</v>
      </c>
      <c r="G301">
        <v>1111111111</v>
      </c>
      <c r="H301" t="s">
        <v>3870</v>
      </c>
      <c r="I301">
        <v>99999999</v>
      </c>
      <c r="J301" s="188">
        <v>45237</v>
      </c>
      <c r="K301" t="s">
        <v>3870</v>
      </c>
      <c r="L301" t="s">
        <v>3870</v>
      </c>
      <c r="M301" t="s">
        <v>564</v>
      </c>
      <c r="N301" t="s">
        <v>307</v>
      </c>
      <c r="O301">
        <v>73025</v>
      </c>
      <c r="P301" t="s">
        <v>221</v>
      </c>
      <c r="Q301" t="s">
        <v>82</v>
      </c>
      <c r="R301">
        <v>1</v>
      </c>
      <c r="S301">
        <v>3.75</v>
      </c>
      <c r="T301">
        <v>0</v>
      </c>
      <c r="U301">
        <v>1</v>
      </c>
      <c r="V301">
        <v>1</v>
      </c>
      <c r="W301">
        <v>25.11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1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</row>
    <row r="302" spans="1:37" x14ac:dyDescent="0.3">
      <c r="A302">
        <v>7979</v>
      </c>
      <c r="B302" t="s">
        <v>219</v>
      </c>
      <c r="D302" t="s">
        <v>327</v>
      </c>
      <c r="E302">
        <v>99999999</v>
      </c>
      <c r="F302">
        <v>11111111</v>
      </c>
      <c r="G302">
        <v>1111111111</v>
      </c>
      <c r="H302" t="s">
        <v>3871</v>
      </c>
      <c r="I302">
        <v>99999999</v>
      </c>
      <c r="J302" s="188">
        <v>45237</v>
      </c>
      <c r="K302" t="s">
        <v>3871</v>
      </c>
      <c r="L302" t="s">
        <v>3871</v>
      </c>
      <c r="M302" t="s">
        <v>565</v>
      </c>
      <c r="N302" t="s">
        <v>381</v>
      </c>
      <c r="O302" t="s">
        <v>566</v>
      </c>
      <c r="P302" t="s">
        <v>221</v>
      </c>
      <c r="Q302" t="s">
        <v>82</v>
      </c>
      <c r="R302">
        <v>1</v>
      </c>
      <c r="S302">
        <v>5.3</v>
      </c>
      <c r="T302">
        <v>0</v>
      </c>
      <c r="U302">
        <v>1</v>
      </c>
      <c r="V302">
        <v>1</v>
      </c>
      <c r="W302">
        <v>30.56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</row>
    <row r="303" spans="1:37" x14ac:dyDescent="0.3">
      <c r="A303">
        <v>7979</v>
      </c>
      <c r="B303" t="s">
        <v>219</v>
      </c>
      <c r="D303" t="s">
        <v>327</v>
      </c>
      <c r="E303">
        <v>99999999</v>
      </c>
      <c r="F303">
        <v>11111111</v>
      </c>
      <c r="G303">
        <v>1111111111</v>
      </c>
      <c r="H303" t="s">
        <v>3872</v>
      </c>
      <c r="I303">
        <v>99999999</v>
      </c>
      <c r="J303" s="188">
        <v>45237</v>
      </c>
      <c r="K303" t="s">
        <v>3872</v>
      </c>
      <c r="L303" t="s">
        <v>3872</v>
      </c>
      <c r="M303" t="s">
        <v>567</v>
      </c>
      <c r="N303" t="s">
        <v>197</v>
      </c>
      <c r="O303" t="s">
        <v>568</v>
      </c>
      <c r="P303" t="s">
        <v>221</v>
      </c>
      <c r="Q303" t="s">
        <v>82</v>
      </c>
      <c r="R303">
        <v>1</v>
      </c>
      <c r="S303">
        <v>2.5</v>
      </c>
      <c r="T303">
        <v>0</v>
      </c>
      <c r="U303">
        <v>1</v>
      </c>
      <c r="V303">
        <v>1</v>
      </c>
      <c r="W303">
        <v>29.48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</row>
    <row r="304" spans="1:37" x14ac:dyDescent="0.3">
      <c r="A304">
        <v>7979</v>
      </c>
      <c r="B304" t="s">
        <v>219</v>
      </c>
      <c r="D304" t="s">
        <v>327</v>
      </c>
      <c r="E304">
        <v>99999999</v>
      </c>
      <c r="F304">
        <v>11111111</v>
      </c>
      <c r="G304">
        <v>1111111111</v>
      </c>
      <c r="H304" t="s">
        <v>3873</v>
      </c>
      <c r="I304">
        <v>99999999</v>
      </c>
      <c r="J304" s="188">
        <v>45237</v>
      </c>
      <c r="K304" t="s">
        <v>3873</v>
      </c>
      <c r="L304" t="s">
        <v>3873</v>
      </c>
      <c r="M304" t="s">
        <v>569</v>
      </c>
      <c r="N304" t="s">
        <v>99</v>
      </c>
      <c r="O304" t="s">
        <v>570</v>
      </c>
      <c r="P304" t="s">
        <v>221</v>
      </c>
      <c r="Q304" t="s">
        <v>82</v>
      </c>
      <c r="R304">
        <v>1</v>
      </c>
      <c r="S304">
        <v>3</v>
      </c>
      <c r="T304">
        <v>0</v>
      </c>
      <c r="U304">
        <v>1</v>
      </c>
      <c r="V304">
        <v>1</v>
      </c>
      <c r="W304">
        <v>22.52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</row>
    <row r="305" spans="1:37" x14ac:dyDescent="0.3">
      <c r="A305">
        <v>7979</v>
      </c>
      <c r="B305" t="s">
        <v>219</v>
      </c>
      <c r="D305" t="s">
        <v>327</v>
      </c>
      <c r="E305">
        <v>99999999</v>
      </c>
      <c r="F305">
        <v>11111111</v>
      </c>
      <c r="G305">
        <v>1111111111</v>
      </c>
      <c r="H305" t="s">
        <v>3874</v>
      </c>
      <c r="I305">
        <v>99999999</v>
      </c>
      <c r="J305" s="188">
        <v>45237</v>
      </c>
      <c r="K305" t="s">
        <v>3874</v>
      </c>
      <c r="L305" t="s">
        <v>3874</v>
      </c>
      <c r="M305" t="s">
        <v>571</v>
      </c>
      <c r="N305" t="s">
        <v>99</v>
      </c>
      <c r="O305" t="s">
        <v>572</v>
      </c>
      <c r="P305" t="s">
        <v>221</v>
      </c>
      <c r="Q305" t="s">
        <v>82</v>
      </c>
      <c r="R305">
        <v>1</v>
      </c>
      <c r="S305">
        <v>17.5</v>
      </c>
      <c r="T305">
        <v>0</v>
      </c>
      <c r="U305">
        <v>1</v>
      </c>
      <c r="V305">
        <v>1</v>
      </c>
      <c r="W305">
        <v>32.33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1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</row>
    <row r="306" spans="1:37" x14ac:dyDescent="0.3">
      <c r="A306">
        <v>7979</v>
      </c>
      <c r="B306" t="s">
        <v>219</v>
      </c>
      <c r="D306" t="s">
        <v>327</v>
      </c>
      <c r="E306">
        <v>99999999</v>
      </c>
      <c r="F306">
        <v>11111111</v>
      </c>
      <c r="G306">
        <v>1111111111</v>
      </c>
      <c r="H306" t="s">
        <v>3875</v>
      </c>
      <c r="I306">
        <v>99999999</v>
      </c>
      <c r="J306" s="188">
        <v>45237</v>
      </c>
      <c r="K306" t="s">
        <v>3875</v>
      </c>
      <c r="L306" t="s">
        <v>3875</v>
      </c>
      <c r="M306" t="s">
        <v>573</v>
      </c>
      <c r="N306" t="s">
        <v>97</v>
      </c>
      <c r="O306" t="s">
        <v>574</v>
      </c>
      <c r="P306" t="s">
        <v>221</v>
      </c>
      <c r="Q306" t="s">
        <v>82</v>
      </c>
      <c r="R306">
        <v>1</v>
      </c>
      <c r="S306">
        <v>5</v>
      </c>
      <c r="T306">
        <v>0</v>
      </c>
      <c r="U306">
        <v>1</v>
      </c>
      <c r="V306">
        <v>1</v>
      </c>
      <c r="W306">
        <v>23.09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</row>
    <row r="307" spans="1:37" x14ac:dyDescent="0.3">
      <c r="A307">
        <v>7979</v>
      </c>
      <c r="B307" t="s">
        <v>219</v>
      </c>
      <c r="D307" t="s">
        <v>327</v>
      </c>
      <c r="E307">
        <v>99999999</v>
      </c>
      <c r="F307">
        <v>11111111</v>
      </c>
      <c r="G307">
        <v>1111111111</v>
      </c>
      <c r="H307" t="s">
        <v>3876</v>
      </c>
      <c r="I307">
        <v>99999999</v>
      </c>
      <c r="J307" s="188">
        <v>45237</v>
      </c>
      <c r="K307" t="s">
        <v>3876</v>
      </c>
      <c r="L307" t="s">
        <v>3876</v>
      </c>
      <c r="M307" t="s">
        <v>463</v>
      </c>
      <c r="N307" t="s">
        <v>104</v>
      </c>
      <c r="O307" t="s">
        <v>575</v>
      </c>
      <c r="P307" t="s">
        <v>221</v>
      </c>
      <c r="Q307" t="s">
        <v>82</v>
      </c>
      <c r="R307">
        <v>1</v>
      </c>
      <c r="S307">
        <v>10.6</v>
      </c>
      <c r="T307">
        <v>0</v>
      </c>
      <c r="U307">
        <v>1</v>
      </c>
      <c r="V307">
        <v>1</v>
      </c>
      <c r="W307">
        <v>24.83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1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</row>
    <row r="308" spans="1:37" x14ac:dyDescent="0.3">
      <c r="A308">
        <v>7979</v>
      </c>
      <c r="B308" t="s">
        <v>219</v>
      </c>
      <c r="D308" t="s">
        <v>327</v>
      </c>
      <c r="E308">
        <v>99999999</v>
      </c>
      <c r="F308">
        <v>11111111</v>
      </c>
      <c r="G308">
        <v>1111111111</v>
      </c>
      <c r="H308" t="s">
        <v>3877</v>
      </c>
      <c r="I308">
        <v>99999999</v>
      </c>
      <c r="J308" s="188">
        <v>45237</v>
      </c>
      <c r="K308" t="s">
        <v>3877</v>
      </c>
      <c r="L308" t="s">
        <v>3877</v>
      </c>
      <c r="M308" t="s">
        <v>576</v>
      </c>
      <c r="N308" t="s">
        <v>99</v>
      </c>
      <c r="O308" t="s">
        <v>577</v>
      </c>
      <c r="P308" t="s">
        <v>221</v>
      </c>
      <c r="Q308" t="s">
        <v>82</v>
      </c>
      <c r="R308">
        <v>1</v>
      </c>
      <c r="S308">
        <v>8</v>
      </c>
      <c r="T308">
        <v>0</v>
      </c>
      <c r="U308">
        <v>1</v>
      </c>
      <c r="V308">
        <v>1</v>
      </c>
      <c r="W308">
        <v>30.34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</row>
    <row r="309" spans="1:37" x14ac:dyDescent="0.3">
      <c r="A309">
        <v>7979</v>
      </c>
      <c r="B309" t="s">
        <v>219</v>
      </c>
      <c r="D309" t="s">
        <v>327</v>
      </c>
      <c r="E309">
        <v>99999999</v>
      </c>
      <c r="F309">
        <v>11111111</v>
      </c>
      <c r="G309">
        <v>1111111111</v>
      </c>
      <c r="H309" t="s">
        <v>3878</v>
      </c>
      <c r="I309">
        <v>99999999</v>
      </c>
      <c r="J309" s="188">
        <v>45237</v>
      </c>
      <c r="K309" t="s">
        <v>3878</v>
      </c>
      <c r="L309" t="s">
        <v>3878</v>
      </c>
      <c r="M309" t="s">
        <v>578</v>
      </c>
      <c r="N309" t="s">
        <v>99</v>
      </c>
      <c r="O309" t="s">
        <v>579</v>
      </c>
      <c r="P309" t="s">
        <v>221</v>
      </c>
      <c r="Q309" t="s">
        <v>82</v>
      </c>
      <c r="R309">
        <v>1</v>
      </c>
      <c r="S309">
        <v>2</v>
      </c>
      <c r="T309">
        <v>0</v>
      </c>
      <c r="U309">
        <v>1</v>
      </c>
      <c r="V309">
        <v>1</v>
      </c>
      <c r="W309">
        <v>21.88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1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</row>
    <row r="310" spans="1:37" x14ac:dyDescent="0.3">
      <c r="A310">
        <v>7979</v>
      </c>
      <c r="B310" t="s">
        <v>219</v>
      </c>
      <c r="D310" t="s">
        <v>327</v>
      </c>
      <c r="E310">
        <v>99999999</v>
      </c>
      <c r="F310">
        <v>11111111</v>
      </c>
      <c r="G310">
        <v>1111111111</v>
      </c>
      <c r="H310" t="s">
        <v>3879</v>
      </c>
      <c r="I310">
        <v>99999999</v>
      </c>
      <c r="J310" s="188">
        <v>45237</v>
      </c>
      <c r="K310" t="s">
        <v>3879</v>
      </c>
      <c r="L310" t="s">
        <v>3879</v>
      </c>
      <c r="M310" t="s">
        <v>580</v>
      </c>
      <c r="N310" t="s">
        <v>122</v>
      </c>
      <c r="O310" t="s">
        <v>581</v>
      </c>
      <c r="P310" t="s">
        <v>221</v>
      </c>
      <c r="Q310" t="s">
        <v>82</v>
      </c>
      <c r="R310">
        <v>1</v>
      </c>
      <c r="S310">
        <v>1.6659999999999999</v>
      </c>
      <c r="T310">
        <v>0</v>
      </c>
      <c r="U310">
        <v>1</v>
      </c>
      <c r="V310">
        <v>1</v>
      </c>
      <c r="W310">
        <v>22.67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1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</row>
    <row r="311" spans="1:37" x14ac:dyDescent="0.3">
      <c r="A311">
        <v>7979</v>
      </c>
      <c r="B311" t="s">
        <v>219</v>
      </c>
      <c r="D311" t="s">
        <v>327</v>
      </c>
      <c r="E311">
        <v>99999999</v>
      </c>
      <c r="F311">
        <v>11111111</v>
      </c>
      <c r="G311">
        <v>1111111111</v>
      </c>
      <c r="H311" t="s">
        <v>3880</v>
      </c>
      <c r="I311">
        <v>99999999</v>
      </c>
      <c r="J311" s="188">
        <v>45237</v>
      </c>
      <c r="K311" t="s">
        <v>3880</v>
      </c>
      <c r="L311" t="s">
        <v>3880</v>
      </c>
      <c r="M311" t="s">
        <v>582</v>
      </c>
      <c r="N311" t="s">
        <v>104</v>
      </c>
      <c r="O311" t="s">
        <v>583</v>
      </c>
      <c r="P311" t="s">
        <v>221</v>
      </c>
      <c r="Q311" t="s">
        <v>82</v>
      </c>
      <c r="R311">
        <v>1</v>
      </c>
      <c r="S311">
        <v>3.75</v>
      </c>
      <c r="T311">
        <v>0</v>
      </c>
      <c r="U311">
        <v>1</v>
      </c>
      <c r="V311">
        <v>1</v>
      </c>
      <c r="W311">
        <v>29.05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</row>
    <row r="312" spans="1:37" x14ac:dyDescent="0.3">
      <c r="A312">
        <v>7979</v>
      </c>
      <c r="B312" t="s">
        <v>219</v>
      </c>
      <c r="D312" t="s">
        <v>327</v>
      </c>
      <c r="E312">
        <v>99999999</v>
      </c>
      <c r="F312">
        <v>11111111</v>
      </c>
      <c r="G312">
        <v>1111111111</v>
      </c>
      <c r="H312" t="s">
        <v>3881</v>
      </c>
      <c r="I312">
        <v>99999999</v>
      </c>
      <c r="J312" s="188">
        <v>45237</v>
      </c>
      <c r="K312" t="s">
        <v>3881</v>
      </c>
      <c r="L312" t="s">
        <v>3881</v>
      </c>
      <c r="M312" t="s">
        <v>445</v>
      </c>
      <c r="N312" t="s">
        <v>99</v>
      </c>
      <c r="O312" t="s">
        <v>584</v>
      </c>
      <c r="P312" t="s">
        <v>221</v>
      </c>
      <c r="Q312" t="s">
        <v>82</v>
      </c>
      <c r="R312">
        <v>1</v>
      </c>
      <c r="S312">
        <v>2</v>
      </c>
      <c r="T312">
        <v>0</v>
      </c>
      <c r="U312">
        <v>1</v>
      </c>
      <c r="V312">
        <v>1</v>
      </c>
      <c r="W312">
        <v>36.950000000000003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1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</row>
    <row r="313" spans="1:37" x14ac:dyDescent="0.3">
      <c r="A313">
        <v>7979</v>
      </c>
      <c r="B313" t="s">
        <v>219</v>
      </c>
      <c r="D313" t="s">
        <v>327</v>
      </c>
      <c r="E313">
        <v>99999999</v>
      </c>
      <c r="F313">
        <v>11111111</v>
      </c>
      <c r="G313">
        <v>1111111111</v>
      </c>
      <c r="H313" t="s">
        <v>3882</v>
      </c>
      <c r="I313">
        <v>99999999</v>
      </c>
      <c r="J313" s="188">
        <v>45237</v>
      </c>
      <c r="K313" t="s">
        <v>3882</v>
      </c>
      <c r="L313" t="s">
        <v>3882</v>
      </c>
      <c r="M313" t="s">
        <v>585</v>
      </c>
      <c r="N313" t="s">
        <v>197</v>
      </c>
      <c r="O313" t="s">
        <v>586</v>
      </c>
      <c r="P313" t="s">
        <v>221</v>
      </c>
      <c r="Q313" t="s">
        <v>82</v>
      </c>
      <c r="R313">
        <v>1</v>
      </c>
      <c r="S313">
        <v>6</v>
      </c>
      <c r="T313">
        <v>0</v>
      </c>
      <c r="U313">
        <v>1</v>
      </c>
      <c r="V313">
        <v>1</v>
      </c>
      <c r="W313">
        <v>31.59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1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</row>
    <row r="314" spans="1:37" x14ac:dyDescent="0.3">
      <c r="A314">
        <v>7979</v>
      </c>
      <c r="B314" t="s">
        <v>219</v>
      </c>
      <c r="D314" t="s">
        <v>327</v>
      </c>
      <c r="E314">
        <v>99999999</v>
      </c>
      <c r="F314">
        <v>11111111</v>
      </c>
      <c r="G314">
        <v>1111111111</v>
      </c>
      <c r="H314" t="s">
        <v>3883</v>
      </c>
      <c r="I314">
        <v>99999999</v>
      </c>
      <c r="J314" s="188">
        <v>45237</v>
      </c>
      <c r="K314" t="s">
        <v>3883</v>
      </c>
      <c r="L314" t="s">
        <v>3883</v>
      </c>
      <c r="M314" t="s">
        <v>587</v>
      </c>
      <c r="N314" t="s">
        <v>99</v>
      </c>
      <c r="O314" t="s">
        <v>588</v>
      </c>
      <c r="P314" t="s">
        <v>221</v>
      </c>
      <c r="Q314" t="s">
        <v>82</v>
      </c>
      <c r="R314">
        <v>1</v>
      </c>
      <c r="S314">
        <v>2</v>
      </c>
      <c r="T314">
        <v>0</v>
      </c>
      <c r="U314">
        <v>1</v>
      </c>
      <c r="V314">
        <v>1</v>
      </c>
      <c r="W314">
        <v>25.28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1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</row>
    <row r="315" spans="1:37" x14ac:dyDescent="0.3">
      <c r="A315">
        <v>7979</v>
      </c>
      <c r="B315" t="s">
        <v>219</v>
      </c>
      <c r="D315" t="s">
        <v>327</v>
      </c>
      <c r="E315">
        <v>99999999</v>
      </c>
      <c r="F315">
        <v>11111111</v>
      </c>
      <c r="G315">
        <v>1111111111</v>
      </c>
      <c r="H315" t="s">
        <v>3884</v>
      </c>
      <c r="I315">
        <v>99999999</v>
      </c>
      <c r="J315" s="188">
        <v>45237</v>
      </c>
      <c r="K315" t="s">
        <v>3884</v>
      </c>
      <c r="L315" t="s">
        <v>3884</v>
      </c>
      <c r="M315" t="s">
        <v>589</v>
      </c>
      <c r="N315" t="s">
        <v>197</v>
      </c>
      <c r="O315">
        <v>76082</v>
      </c>
      <c r="P315" t="s">
        <v>221</v>
      </c>
      <c r="Q315" t="s">
        <v>82</v>
      </c>
      <c r="R315">
        <v>1</v>
      </c>
      <c r="S315">
        <v>8.1999999999999993</v>
      </c>
      <c r="T315">
        <v>0</v>
      </c>
      <c r="U315">
        <v>1</v>
      </c>
      <c r="V315">
        <v>1</v>
      </c>
      <c r="W315">
        <v>32.799999999999997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1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</row>
    <row r="316" spans="1:37" x14ac:dyDescent="0.3">
      <c r="A316">
        <v>7979</v>
      </c>
      <c r="B316" t="s">
        <v>219</v>
      </c>
      <c r="D316" t="s">
        <v>327</v>
      </c>
      <c r="E316">
        <v>99999999</v>
      </c>
      <c r="F316">
        <v>11111111</v>
      </c>
      <c r="G316">
        <v>1111111111</v>
      </c>
      <c r="H316" t="s">
        <v>3885</v>
      </c>
      <c r="I316">
        <v>99999999</v>
      </c>
      <c r="J316" s="188">
        <v>45237</v>
      </c>
      <c r="K316" t="s">
        <v>3885</v>
      </c>
      <c r="L316" t="s">
        <v>3885</v>
      </c>
      <c r="M316" t="s">
        <v>590</v>
      </c>
      <c r="N316" t="s">
        <v>130</v>
      </c>
      <c r="O316">
        <v>80433</v>
      </c>
      <c r="P316" t="s">
        <v>221</v>
      </c>
      <c r="Q316" t="s">
        <v>82</v>
      </c>
      <c r="R316">
        <v>1</v>
      </c>
      <c r="S316">
        <v>12.4</v>
      </c>
      <c r="T316">
        <v>0</v>
      </c>
      <c r="U316">
        <v>1</v>
      </c>
      <c r="V316">
        <v>1</v>
      </c>
      <c r="W316">
        <v>35.159999999999997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</row>
    <row r="317" spans="1:37" x14ac:dyDescent="0.3">
      <c r="A317">
        <v>7979</v>
      </c>
      <c r="B317" t="s">
        <v>219</v>
      </c>
      <c r="D317" t="s">
        <v>327</v>
      </c>
      <c r="E317">
        <v>99999999</v>
      </c>
      <c r="F317">
        <v>11111111</v>
      </c>
      <c r="G317">
        <v>1111111111</v>
      </c>
      <c r="H317" t="s">
        <v>3886</v>
      </c>
      <c r="I317">
        <v>99999999</v>
      </c>
      <c r="J317" s="188">
        <v>45237</v>
      </c>
      <c r="K317" t="s">
        <v>3886</v>
      </c>
      <c r="L317" t="s">
        <v>3886</v>
      </c>
      <c r="M317" t="s">
        <v>187</v>
      </c>
      <c r="N317" t="s">
        <v>91</v>
      </c>
      <c r="O317" t="s">
        <v>591</v>
      </c>
      <c r="P317" t="s">
        <v>221</v>
      </c>
      <c r="Q317" t="s">
        <v>82</v>
      </c>
      <c r="R317">
        <v>1</v>
      </c>
      <c r="S317">
        <v>3.75</v>
      </c>
      <c r="T317">
        <v>0</v>
      </c>
      <c r="U317">
        <v>1</v>
      </c>
      <c r="V317">
        <v>1</v>
      </c>
      <c r="W317">
        <v>24.37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1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</row>
    <row r="318" spans="1:37" x14ac:dyDescent="0.3">
      <c r="A318">
        <v>7979</v>
      </c>
      <c r="B318" t="s">
        <v>219</v>
      </c>
      <c r="D318" t="s">
        <v>327</v>
      </c>
      <c r="E318">
        <v>99999999</v>
      </c>
      <c r="F318">
        <v>11111111</v>
      </c>
      <c r="G318">
        <v>1111111111</v>
      </c>
      <c r="H318" t="s">
        <v>3887</v>
      </c>
      <c r="I318">
        <v>99999999</v>
      </c>
      <c r="J318" s="188">
        <v>45237</v>
      </c>
      <c r="K318" t="s">
        <v>3887</v>
      </c>
      <c r="L318" t="s">
        <v>3887</v>
      </c>
      <c r="M318" t="s">
        <v>592</v>
      </c>
      <c r="N318" t="s">
        <v>99</v>
      </c>
      <c r="O318" t="s">
        <v>593</v>
      </c>
      <c r="P318" t="s">
        <v>221</v>
      </c>
      <c r="Q318" t="s">
        <v>82</v>
      </c>
      <c r="R318">
        <v>1</v>
      </c>
      <c r="S318">
        <v>11.5</v>
      </c>
      <c r="T318">
        <v>0</v>
      </c>
      <c r="U318">
        <v>1</v>
      </c>
      <c r="V318">
        <v>1</v>
      </c>
      <c r="W318">
        <v>23.75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1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</row>
    <row r="319" spans="1:37" x14ac:dyDescent="0.3">
      <c r="A319">
        <v>7979</v>
      </c>
      <c r="B319" t="s">
        <v>219</v>
      </c>
      <c r="D319" t="s">
        <v>327</v>
      </c>
      <c r="E319">
        <v>99999999</v>
      </c>
      <c r="F319">
        <v>11111111</v>
      </c>
      <c r="G319">
        <v>1111111111</v>
      </c>
      <c r="H319" t="s">
        <v>3888</v>
      </c>
      <c r="I319">
        <v>99999999</v>
      </c>
      <c r="J319" s="188">
        <v>45237</v>
      </c>
      <c r="K319" t="s">
        <v>3888</v>
      </c>
      <c r="L319" t="s">
        <v>3888</v>
      </c>
      <c r="M319" t="s">
        <v>594</v>
      </c>
      <c r="N319" t="s">
        <v>307</v>
      </c>
      <c r="O319" t="s">
        <v>595</v>
      </c>
      <c r="P319" t="s">
        <v>221</v>
      </c>
      <c r="Q319" t="s">
        <v>82</v>
      </c>
      <c r="R319">
        <v>1</v>
      </c>
      <c r="S319">
        <v>10.4</v>
      </c>
      <c r="T319">
        <v>0</v>
      </c>
      <c r="U319">
        <v>1</v>
      </c>
      <c r="V319">
        <v>1</v>
      </c>
      <c r="W319">
        <v>27.44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1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</row>
    <row r="320" spans="1:37" x14ac:dyDescent="0.3">
      <c r="A320">
        <v>7979</v>
      </c>
      <c r="B320" t="s">
        <v>219</v>
      </c>
      <c r="D320" t="s">
        <v>327</v>
      </c>
      <c r="E320">
        <v>99999999</v>
      </c>
      <c r="F320">
        <v>11111111</v>
      </c>
      <c r="G320">
        <v>1111111111</v>
      </c>
      <c r="H320" t="s">
        <v>3889</v>
      </c>
      <c r="I320">
        <v>99999999</v>
      </c>
      <c r="J320" s="188">
        <v>45237</v>
      </c>
      <c r="K320" t="s">
        <v>3889</v>
      </c>
      <c r="L320" t="s">
        <v>3889</v>
      </c>
      <c r="M320" t="s">
        <v>596</v>
      </c>
      <c r="N320" t="s">
        <v>99</v>
      </c>
      <c r="O320" t="s">
        <v>597</v>
      </c>
      <c r="P320" t="s">
        <v>221</v>
      </c>
      <c r="Q320" t="s">
        <v>82</v>
      </c>
      <c r="R320">
        <v>1</v>
      </c>
      <c r="S320">
        <v>7.41</v>
      </c>
      <c r="T320">
        <v>0</v>
      </c>
      <c r="U320">
        <v>1</v>
      </c>
      <c r="V320">
        <v>1</v>
      </c>
      <c r="W320">
        <v>27.35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1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</row>
    <row r="321" spans="1:37" x14ac:dyDescent="0.3">
      <c r="A321">
        <v>7979</v>
      </c>
      <c r="B321" t="s">
        <v>219</v>
      </c>
      <c r="D321" t="s">
        <v>327</v>
      </c>
      <c r="E321">
        <v>99999999</v>
      </c>
      <c r="F321">
        <v>11111111</v>
      </c>
      <c r="G321">
        <v>1111111111</v>
      </c>
      <c r="H321" t="s">
        <v>3890</v>
      </c>
      <c r="I321">
        <v>99999999</v>
      </c>
      <c r="J321" s="188">
        <v>45237</v>
      </c>
      <c r="K321" t="s">
        <v>3890</v>
      </c>
      <c r="L321" t="s">
        <v>3890</v>
      </c>
      <c r="M321" t="s">
        <v>598</v>
      </c>
      <c r="N321" t="s">
        <v>99</v>
      </c>
      <c r="O321" t="s">
        <v>599</v>
      </c>
      <c r="P321" t="s">
        <v>221</v>
      </c>
      <c r="Q321" t="s">
        <v>82</v>
      </c>
      <c r="R321">
        <v>1</v>
      </c>
      <c r="S321">
        <v>15.2</v>
      </c>
      <c r="T321">
        <v>0</v>
      </c>
      <c r="U321">
        <v>1</v>
      </c>
      <c r="V321">
        <v>1</v>
      </c>
      <c r="W321">
        <v>25.23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</row>
    <row r="322" spans="1:37" x14ac:dyDescent="0.3">
      <c r="A322">
        <v>7979</v>
      </c>
      <c r="B322" t="s">
        <v>219</v>
      </c>
      <c r="D322" t="s">
        <v>327</v>
      </c>
      <c r="E322">
        <v>99999999</v>
      </c>
      <c r="F322">
        <v>11111111</v>
      </c>
      <c r="G322">
        <v>1111111111</v>
      </c>
      <c r="H322" t="s">
        <v>3891</v>
      </c>
      <c r="I322">
        <v>99999999</v>
      </c>
      <c r="J322" s="188">
        <v>45237</v>
      </c>
      <c r="K322" t="s">
        <v>3891</v>
      </c>
      <c r="L322" t="s">
        <v>3891</v>
      </c>
      <c r="M322" t="s">
        <v>600</v>
      </c>
      <c r="N322" t="s">
        <v>91</v>
      </c>
      <c r="O322" t="s">
        <v>601</v>
      </c>
      <c r="P322" t="s">
        <v>221</v>
      </c>
      <c r="Q322" t="s">
        <v>82</v>
      </c>
      <c r="R322">
        <v>1</v>
      </c>
      <c r="S322">
        <v>7.6660000000000004</v>
      </c>
      <c r="T322">
        <v>0</v>
      </c>
      <c r="U322">
        <v>1</v>
      </c>
      <c r="V322">
        <v>1</v>
      </c>
      <c r="W322">
        <v>32.479999999999997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</row>
    <row r="323" spans="1:37" x14ac:dyDescent="0.3">
      <c r="A323">
        <v>7979</v>
      </c>
      <c r="B323" t="s">
        <v>219</v>
      </c>
      <c r="D323" t="s">
        <v>327</v>
      </c>
      <c r="E323">
        <v>99999999</v>
      </c>
      <c r="F323">
        <v>11111111</v>
      </c>
      <c r="G323">
        <v>1111111111</v>
      </c>
      <c r="H323" t="s">
        <v>3892</v>
      </c>
      <c r="I323">
        <v>99999999</v>
      </c>
      <c r="J323" s="188">
        <v>45237</v>
      </c>
      <c r="K323" t="s">
        <v>3892</v>
      </c>
      <c r="L323" t="s">
        <v>3892</v>
      </c>
      <c r="M323" t="s">
        <v>602</v>
      </c>
      <c r="N323" t="s">
        <v>99</v>
      </c>
      <c r="O323" t="s">
        <v>603</v>
      </c>
      <c r="P323" t="s">
        <v>221</v>
      </c>
      <c r="Q323" t="s">
        <v>82</v>
      </c>
      <c r="R323">
        <v>1</v>
      </c>
      <c r="S323">
        <v>4.4000000000000004</v>
      </c>
      <c r="T323">
        <v>0</v>
      </c>
      <c r="U323">
        <v>1</v>
      </c>
      <c r="V323">
        <v>1</v>
      </c>
      <c r="W323">
        <v>29.7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1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</row>
    <row r="324" spans="1:37" x14ac:dyDescent="0.3">
      <c r="A324">
        <v>7979</v>
      </c>
      <c r="B324" t="s">
        <v>219</v>
      </c>
      <c r="D324" t="s">
        <v>327</v>
      </c>
      <c r="E324">
        <v>99999999</v>
      </c>
      <c r="F324">
        <v>11111111</v>
      </c>
      <c r="G324">
        <v>1111111111</v>
      </c>
      <c r="H324" t="s">
        <v>3893</v>
      </c>
      <c r="I324">
        <v>99999999</v>
      </c>
      <c r="J324" s="188">
        <v>45237</v>
      </c>
      <c r="K324" t="s">
        <v>3893</v>
      </c>
      <c r="L324" t="s">
        <v>3893</v>
      </c>
      <c r="M324" t="s">
        <v>387</v>
      </c>
      <c r="N324" t="s">
        <v>99</v>
      </c>
      <c r="O324" t="s">
        <v>604</v>
      </c>
      <c r="P324" t="s">
        <v>221</v>
      </c>
      <c r="Q324" t="s">
        <v>82</v>
      </c>
      <c r="R324">
        <v>1</v>
      </c>
      <c r="S324">
        <v>10.6</v>
      </c>
      <c r="T324">
        <v>0</v>
      </c>
      <c r="U324">
        <v>1</v>
      </c>
      <c r="V324">
        <v>1</v>
      </c>
      <c r="W324">
        <v>24.83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1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</row>
    <row r="325" spans="1:37" x14ac:dyDescent="0.3">
      <c r="A325">
        <v>7979</v>
      </c>
      <c r="B325" t="s">
        <v>219</v>
      </c>
      <c r="D325" t="s">
        <v>327</v>
      </c>
      <c r="E325">
        <v>99999999</v>
      </c>
      <c r="F325">
        <v>11111111</v>
      </c>
      <c r="G325">
        <v>1111111111</v>
      </c>
      <c r="H325" t="s">
        <v>3894</v>
      </c>
      <c r="I325">
        <v>99999999</v>
      </c>
      <c r="J325" s="188">
        <v>45237</v>
      </c>
      <c r="K325" t="s">
        <v>3894</v>
      </c>
      <c r="L325" t="s">
        <v>3894</v>
      </c>
      <c r="M325" t="s">
        <v>605</v>
      </c>
      <c r="N325" t="s">
        <v>130</v>
      </c>
      <c r="O325">
        <v>80439</v>
      </c>
      <c r="P325" t="s">
        <v>221</v>
      </c>
      <c r="Q325" t="s">
        <v>82</v>
      </c>
      <c r="R325">
        <v>1</v>
      </c>
      <c r="S325">
        <v>7.63</v>
      </c>
      <c r="T325">
        <v>0</v>
      </c>
      <c r="U325">
        <v>1</v>
      </c>
      <c r="V325">
        <v>1</v>
      </c>
      <c r="W325">
        <v>31.87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1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</row>
    <row r="326" spans="1:37" x14ac:dyDescent="0.3">
      <c r="A326">
        <v>7979</v>
      </c>
      <c r="B326" t="s">
        <v>219</v>
      </c>
      <c r="D326" t="s">
        <v>327</v>
      </c>
      <c r="E326">
        <v>99999999</v>
      </c>
      <c r="F326">
        <v>11111111</v>
      </c>
      <c r="G326">
        <v>1111111111</v>
      </c>
      <c r="H326" t="s">
        <v>3895</v>
      </c>
      <c r="I326">
        <v>99999999</v>
      </c>
      <c r="J326" s="188">
        <v>45237</v>
      </c>
      <c r="K326" t="s">
        <v>3895</v>
      </c>
      <c r="L326" t="s">
        <v>3895</v>
      </c>
      <c r="M326" t="s">
        <v>606</v>
      </c>
      <c r="N326" t="s">
        <v>381</v>
      </c>
      <c r="O326" t="s">
        <v>607</v>
      </c>
      <c r="P326" t="s">
        <v>221</v>
      </c>
      <c r="Q326" t="s">
        <v>82</v>
      </c>
      <c r="R326">
        <v>1</v>
      </c>
      <c r="S326">
        <v>7.15</v>
      </c>
      <c r="T326">
        <v>0</v>
      </c>
      <c r="U326">
        <v>1</v>
      </c>
      <c r="V326">
        <v>1</v>
      </c>
      <c r="W326">
        <v>31.69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1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</row>
    <row r="327" spans="1:37" x14ac:dyDescent="0.3">
      <c r="A327">
        <v>7979</v>
      </c>
      <c r="B327" t="s">
        <v>219</v>
      </c>
      <c r="D327" t="s">
        <v>327</v>
      </c>
      <c r="E327">
        <v>99999999</v>
      </c>
      <c r="F327">
        <v>11111111</v>
      </c>
      <c r="G327">
        <v>1111111111</v>
      </c>
      <c r="H327" t="s">
        <v>3896</v>
      </c>
      <c r="I327">
        <v>99999999</v>
      </c>
      <c r="J327" s="188">
        <v>45237</v>
      </c>
      <c r="K327" t="s">
        <v>3896</v>
      </c>
      <c r="L327" t="s">
        <v>3896</v>
      </c>
      <c r="M327" t="s">
        <v>608</v>
      </c>
      <c r="N327" t="s">
        <v>99</v>
      </c>
      <c r="O327" t="s">
        <v>609</v>
      </c>
      <c r="P327" t="s">
        <v>221</v>
      </c>
      <c r="Q327" t="s">
        <v>82</v>
      </c>
      <c r="R327">
        <v>1</v>
      </c>
      <c r="S327">
        <v>5</v>
      </c>
      <c r="T327">
        <v>0</v>
      </c>
      <c r="U327">
        <v>1</v>
      </c>
      <c r="V327">
        <v>1</v>
      </c>
      <c r="W327">
        <v>23.09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</row>
    <row r="328" spans="1:37" x14ac:dyDescent="0.3">
      <c r="A328">
        <v>7979</v>
      </c>
      <c r="B328" t="s">
        <v>219</v>
      </c>
      <c r="D328" t="s">
        <v>327</v>
      </c>
      <c r="E328">
        <v>99999999</v>
      </c>
      <c r="F328">
        <v>11111111</v>
      </c>
      <c r="G328">
        <v>1111111111</v>
      </c>
      <c r="H328" t="s">
        <v>3897</v>
      </c>
      <c r="I328">
        <v>99999999</v>
      </c>
      <c r="J328" s="188">
        <v>45237</v>
      </c>
      <c r="K328" t="s">
        <v>3897</v>
      </c>
      <c r="L328" t="s">
        <v>3897</v>
      </c>
      <c r="M328" t="s">
        <v>202</v>
      </c>
      <c r="N328" t="s">
        <v>135</v>
      </c>
      <c r="O328" t="s">
        <v>610</v>
      </c>
      <c r="P328" t="s">
        <v>221</v>
      </c>
      <c r="Q328" t="s">
        <v>82</v>
      </c>
      <c r="R328">
        <v>1</v>
      </c>
      <c r="S328">
        <v>5.3</v>
      </c>
      <c r="T328">
        <v>0</v>
      </c>
      <c r="U328">
        <v>1</v>
      </c>
      <c r="V328">
        <v>1</v>
      </c>
      <c r="W328">
        <v>23.09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1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</row>
    <row r="329" spans="1:37" x14ac:dyDescent="0.3">
      <c r="A329">
        <v>7979</v>
      </c>
      <c r="B329" t="s">
        <v>219</v>
      </c>
      <c r="D329" t="s">
        <v>327</v>
      </c>
      <c r="E329">
        <v>99999999</v>
      </c>
      <c r="F329">
        <v>11111111</v>
      </c>
      <c r="G329">
        <v>1111111111</v>
      </c>
      <c r="H329" t="s">
        <v>3898</v>
      </c>
      <c r="I329">
        <v>99999999</v>
      </c>
      <c r="J329" s="188">
        <v>45237</v>
      </c>
      <c r="K329" t="s">
        <v>3898</v>
      </c>
      <c r="L329" t="s">
        <v>3898</v>
      </c>
      <c r="M329" t="s">
        <v>611</v>
      </c>
      <c r="N329" t="s">
        <v>130</v>
      </c>
      <c r="O329">
        <v>80113</v>
      </c>
      <c r="P329" t="s">
        <v>221</v>
      </c>
      <c r="Q329" t="s">
        <v>82</v>
      </c>
      <c r="R329">
        <v>1</v>
      </c>
      <c r="S329">
        <v>10.5</v>
      </c>
      <c r="T329">
        <v>0</v>
      </c>
      <c r="U329">
        <v>1</v>
      </c>
      <c r="V329">
        <v>1</v>
      </c>
      <c r="W329">
        <v>26.28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</row>
    <row r="330" spans="1:37" x14ac:dyDescent="0.3">
      <c r="A330">
        <v>7979</v>
      </c>
      <c r="B330" t="s">
        <v>219</v>
      </c>
      <c r="D330" t="s">
        <v>327</v>
      </c>
      <c r="E330">
        <v>99999999</v>
      </c>
      <c r="F330">
        <v>11111111</v>
      </c>
      <c r="G330">
        <v>1111111111</v>
      </c>
      <c r="H330" t="s">
        <v>3899</v>
      </c>
      <c r="I330">
        <v>99999999</v>
      </c>
      <c r="J330" s="188">
        <v>45237</v>
      </c>
      <c r="K330" t="s">
        <v>3899</v>
      </c>
      <c r="L330" t="s">
        <v>3899</v>
      </c>
      <c r="M330" t="s">
        <v>612</v>
      </c>
      <c r="N330" t="s">
        <v>164</v>
      </c>
      <c r="O330" t="s">
        <v>613</v>
      </c>
      <c r="P330" t="s">
        <v>221</v>
      </c>
      <c r="Q330" t="s">
        <v>82</v>
      </c>
      <c r="R330">
        <v>1</v>
      </c>
      <c r="S330">
        <v>5</v>
      </c>
      <c r="T330">
        <v>0</v>
      </c>
      <c r="U330">
        <v>1</v>
      </c>
      <c r="V330">
        <v>1</v>
      </c>
      <c r="W330">
        <v>23.09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1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</row>
    <row r="331" spans="1:37" x14ac:dyDescent="0.3">
      <c r="A331">
        <v>7979</v>
      </c>
      <c r="B331" t="s">
        <v>219</v>
      </c>
      <c r="D331" t="s">
        <v>327</v>
      </c>
      <c r="E331">
        <v>99999999</v>
      </c>
      <c r="F331">
        <v>11111111</v>
      </c>
      <c r="G331">
        <v>1111111111</v>
      </c>
      <c r="H331" t="s">
        <v>3900</v>
      </c>
      <c r="I331">
        <v>99999999</v>
      </c>
      <c r="J331" s="188">
        <v>45237</v>
      </c>
      <c r="K331" t="s">
        <v>3900</v>
      </c>
      <c r="L331" t="s">
        <v>3900</v>
      </c>
      <c r="M331" t="s">
        <v>478</v>
      </c>
      <c r="N331" t="s">
        <v>97</v>
      </c>
      <c r="O331" t="s">
        <v>614</v>
      </c>
      <c r="P331" t="s">
        <v>221</v>
      </c>
      <c r="Q331" t="s">
        <v>82</v>
      </c>
      <c r="R331">
        <v>1</v>
      </c>
      <c r="S331">
        <v>4</v>
      </c>
      <c r="T331">
        <v>0</v>
      </c>
      <c r="U331">
        <v>1</v>
      </c>
      <c r="V331">
        <v>1</v>
      </c>
      <c r="W331">
        <v>29.05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1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</row>
    <row r="332" spans="1:37" x14ac:dyDescent="0.3">
      <c r="A332">
        <v>7979</v>
      </c>
      <c r="B332" t="s">
        <v>219</v>
      </c>
      <c r="D332" t="s">
        <v>327</v>
      </c>
      <c r="E332">
        <v>99999999</v>
      </c>
      <c r="F332">
        <v>11111111</v>
      </c>
      <c r="G332">
        <v>1111111111</v>
      </c>
      <c r="H332" t="s">
        <v>3901</v>
      </c>
      <c r="I332">
        <v>99999999</v>
      </c>
      <c r="J332" s="188">
        <v>45237</v>
      </c>
      <c r="K332" t="s">
        <v>3901</v>
      </c>
      <c r="L332" t="s">
        <v>3901</v>
      </c>
      <c r="M332" t="s">
        <v>615</v>
      </c>
      <c r="N332" t="s">
        <v>543</v>
      </c>
      <c r="O332">
        <v>58504</v>
      </c>
      <c r="P332" t="s">
        <v>221</v>
      </c>
      <c r="Q332" t="s">
        <v>82</v>
      </c>
      <c r="R332">
        <v>1</v>
      </c>
      <c r="S332">
        <v>7.41</v>
      </c>
      <c r="T332">
        <v>0</v>
      </c>
      <c r="U332">
        <v>1</v>
      </c>
      <c r="V332">
        <v>1</v>
      </c>
      <c r="W332">
        <v>26.25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1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</row>
    <row r="333" spans="1:37" x14ac:dyDescent="0.3">
      <c r="A333">
        <v>7979</v>
      </c>
      <c r="B333" t="s">
        <v>219</v>
      </c>
      <c r="D333" t="s">
        <v>327</v>
      </c>
      <c r="E333">
        <v>99999999</v>
      </c>
      <c r="F333">
        <v>11111111</v>
      </c>
      <c r="G333">
        <v>1111111111</v>
      </c>
      <c r="H333" t="s">
        <v>3902</v>
      </c>
      <c r="I333">
        <v>99999999</v>
      </c>
      <c r="J333" s="188">
        <v>45237</v>
      </c>
      <c r="K333" t="s">
        <v>3902</v>
      </c>
      <c r="L333" t="s">
        <v>3902</v>
      </c>
      <c r="M333" t="s">
        <v>616</v>
      </c>
      <c r="N333" t="s">
        <v>130</v>
      </c>
      <c r="O333" t="s">
        <v>617</v>
      </c>
      <c r="P333" t="s">
        <v>221</v>
      </c>
      <c r="Q333" t="s">
        <v>82</v>
      </c>
      <c r="R333">
        <v>1</v>
      </c>
      <c r="S333">
        <v>7.3129999999999997</v>
      </c>
      <c r="T333">
        <v>0</v>
      </c>
      <c r="U333">
        <v>1</v>
      </c>
      <c r="V333">
        <v>1</v>
      </c>
      <c r="W333">
        <v>25.57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1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</row>
    <row r="334" spans="1:37" x14ac:dyDescent="0.3">
      <c r="A334">
        <v>7979</v>
      </c>
      <c r="B334" t="s">
        <v>219</v>
      </c>
      <c r="D334" t="s">
        <v>327</v>
      </c>
      <c r="E334">
        <v>99999999</v>
      </c>
      <c r="F334">
        <v>11111111</v>
      </c>
      <c r="G334">
        <v>1111111111</v>
      </c>
      <c r="H334" t="s">
        <v>3903</v>
      </c>
      <c r="I334">
        <v>99999999</v>
      </c>
      <c r="J334" s="188">
        <v>45237</v>
      </c>
      <c r="K334" t="s">
        <v>3903</v>
      </c>
      <c r="L334" t="s">
        <v>3903</v>
      </c>
      <c r="M334" t="s">
        <v>618</v>
      </c>
      <c r="N334" t="s">
        <v>99</v>
      </c>
      <c r="O334">
        <v>94061</v>
      </c>
      <c r="P334" t="s">
        <v>221</v>
      </c>
      <c r="Q334" t="s">
        <v>82</v>
      </c>
      <c r="R334">
        <v>1</v>
      </c>
      <c r="S334">
        <v>1.6659999999999999</v>
      </c>
      <c r="T334">
        <v>0</v>
      </c>
      <c r="U334">
        <v>1</v>
      </c>
      <c r="V334">
        <v>1</v>
      </c>
      <c r="W334">
        <v>20.67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</row>
    <row r="335" spans="1:37" x14ac:dyDescent="0.3">
      <c r="A335">
        <v>7979</v>
      </c>
      <c r="B335" t="s">
        <v>219</v>
      </c>
      <c r="D335" t="s">
        <v>327</v>
      </c>
      <c r="E335">
        <v>99999999</v>
      </c>
      <c r="F335">
        <v>11111111</v>
      </c>
      <c r="G335">
        <v>1111111111</v>
      </c>
      <c r="H335" t="s">
        <v>3904</v>
      </c>
      <c r="I335">
        <v>99999999</v>
      </c>
      <c r="J335" s="188">
        <v>45237</v>
      </c>
      <c r="K335" t="s">
        <v>3904</v>
      </c>
      <c r="L335" t="s">
        <v>3904</v>
      </c>
      <c r="M335" t="s">
        <v>619</v>
      </c>
      <c r="N335" t="s">
        <v>118</v>
      </c>
      <c r="O335">
        <v>19609</v>
      </c>
      <c r="P335" t="s">
        <v>221</v>
      </c>
      <c r="Q335" t="s">
        <v>82</v>
      </c>
      <c r="R335">
        <v>1</v>
      </c>
      <c r="S335">
        <v>4</v>
      </c>
      <c r="T335">
        <v>0</v>
      </c>
      <c r="U335">
        <v>1</v>
      </c>
      <c r="V335">
        <v>1</v>
      </c>
      <c r="W335">
        <v>27.34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</row>
    <row r="336" spans="1:37" x14ac:dyDescent="0.3">
      <c r="A336">
        <v>7979</v>
      </c>
      <c r="B336" t="s">
        <v>219</v>
      </c>
      <c r="D336" t="s">
        <v>327</v>
      </c>
      <c r="E336">
        <v>99999999</v>
      </c>
      <c r="F336">
        <v>11111111</v>
      </c>
      <c r="G336">
        <v>1111111111</v>
      </c>
      <c r="H336" t="s">
        <v>3905</v>
      </c>
      <c r="I336">
        <v>99999999</v>
      </c>
      <c r="J336" s="188">
        <v>45237</v>
      </c>
      <c r="K336" t="s">
        <v>3905</v>
      </c>
      <c r="L336" t="s">
        <v>3905</v>
      </c>
      <c r="M336" t="s">
        <v>620</v>
      </c>
      <c r="N336" t="s">
        <v>130</v>
      </c>
      <c r="O336" t="s">
        <v>621</v>
      </c>
      <c r="P336" t="s">
        <v>221</v>
      </c>
      <c r="Q336" t="s">
        <v>82</v>
      </c>
      <c r="R336">
        <v>1</v>
      </c>
      <c r="S336">
        <v>15</v>
      </c>
      <c r="T336">
        <v>0</v>
      </c>
      <c r="U336">
        <v>1</v>
      </c>
      <c r="V336">
        <v>1</v>
      </c>
      <c r="W336">
        <v>28.55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1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</row>
    <row r="337" spans="1:37" x14ac:dyDescent="0.3">
      <c r="A337">
        <v>7979</v>
      </c>
      <c r="B337" t="s">
        <v>219</v>
      </c>
      <c r="D337" t="s">
        <v>327</v>
      </c>
      <c r="E337">
        <v>99999999</v>
      </c>
      <c r="F337">
        <v>11111111</v>
      </c>
      <c r="G337">
        <v>1111111111</v>
      </c>
      <c r="H337" t="s">
        <v>3906</v>
      </c>
      <c r="I337">
        <v>99999999</v>
      </c>
      <c r="J337" s="188">
        <v>45237</v>
      </c>
      <c r="K337" t="s">
        <v>3906</v>
      </c>
      <c r="L337" t="s">
        <v>3906</v>
      </c>
      <c r="M337" t="s">
        <v>622</v>
      </c>
      <c r="N337" t="s">
        <v>99</v>
      </c>
      <c r="O337" t="s">
        <v>623</v>
      </c>
      <c r="P337" t="s">
        <v>221</v>
      </c>
      <c r="Q337" t="s">
        <v>82</v>
      </c>
      <c r="R337">
        <v>1</v>
      </c>
      <c r="S337">
        <v>3.75</v>
      </c>
      <c r="T337">
        <v>0</v>
      </c>
      <c r="U337">
        <v>1</v>
      </c>
      <c r="V337">
        <v>1</v>
      </c>
      <c r="W337">
        <v>26.02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1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</row>
    <row r="338" spans="1:37" x14ac:dyDescent="0.3">
      <c r="A338">
        <v>7979</v>
      </c>
      <c r="B338" t="s">
        <v>219</v>
      </c>
      <c r="D338" t="s">
        <v>327</v>
      </c>
      <c r="E338">
        <v>99999999</v>
      </c>
      <c r="F338">
        <v>11111111</v>
      </c>
      <c r="G338">
        <v>1111111111</v>
      </c>
      <c r="H338" t="s">
        <v>3907</v>
      </c>
      <c r="I338">
        <v>99999999</v>
      </c>
      <c r="J338" s="188">
        <v>45237</v>
      </c>
      <c r="K338" t="s">
        <v>3907</v>
      </c>
      <c r="L338" t="s">
        <v>3907</v>
      </c>
      <c r="M338" t="s">
        <v>624</v>
      </c>
      <c r="N338" t="s">
        <v>164</v>
      </c>
      <c r="O338" t="s">
        <v>625</v>
      </c>
      <c r="P338" t="s">
        <v>221</v>
      </c>
      <c r="Q338" t="s">
        <v>82</v>
      </c>
      <c r="R338">
        <v>1</v>
      </c>
      <c r="S338">
        <v>15</v>
      </c>
      <c r="T338">
        <v>0</v>
      </c>
      <c r="U338">
        <v>1</v>
      </c>
      <c r="V338">
        <v>1</v>
      </c>
      <c r="W338">
        <v>25.86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</row>
    <row r="339" spans="1:37" x14ac:dyDescent="0.3">
      <c r="A339">
        <v>7979</v>
      </c>
      <c r="B339" t="s">
        <v>219</v>
      </c>
      <c r="D339" t="s">
        <v>327</v>
      </c>
      <c r="E339">
        <v>99999999</v>
      </c>
      <c r="F339">
        <v>11111111</v>
      </c>
      <c r="G339">
        <v>1111111111</v>
      </c>
      <c r="H339" t="s">
        <v>3908</v>
      </c>
      <c r="I339">
        <v>99999999</v>
      </c>
      <c r="J339" s="188">
        <v>45237</v>
      </c>
      <c r="K339" t="s">
        <v>3908</v>
      </c>
      <c r="L339" t="s">
        <v>3908</v>
      </c>
      <c r="M339" t="s">
        <v>626</v>
      </c>
      <c r="N339" t="s">
        <v>197</v>
      </c>
      <c r="O339" t="s">
        <v>627</v>
      </c>
      <c r="P339" t="s">
        <v>221</v>
      </c>
      <c r="Q339" t="s">
        <v>82</v>
      </c>
      <c r="R339">
        <v>1</v>
      </c>
      <c r="S339">
        <v>3.5</v>
      </c>
      <c r="T339">
        <v>0</v>
      </c>
      <c r="U339">
        <v>1</v>
      </c>
      <c r="V339">
        <v>1</v>
      </c>
      <c r="W339">
        <v>24.07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</row>
    <row r="340" spans="1:37" x14ac:dyDescent="0.3">
      <c r="A340">
        <v>7979</v>
      </c>
      <c r="B340" t="s">
        <v>219</v>
      </c>
      <c r="D340" t="s">
        <v>327</v>
      </c>
      <c r="E340">
        <v>99999999</v>
      </c>
      <c r="F340">
        <v>11111111</v>
      </c>
      <c r="G340">
        <v>1111111111</v>
      </c>
      <c r="H340" t="s">
        <v>3909</v>
      </c>
      <c r="I340">
        <v>99999999</v>
      </c>
      <c r="J340" s="188">
        <v>45237</v>
      </c>
      <c r="K340" t="s">
        <v>3909</v>
      </c>
      <c r="L340" t="s">
        <v>3909</v>
      </c>
      <c r="M340" t="s">
        <v>309</v>
      </c>
      <c r="N340" t="s">
        <v>97</v>
      </c>
      <c r="O340" t="s">
        <v>628</v>
      </c>
      <c r="P340" t="s">
        <v>221</v>
      </c>
      <c r="Q340" t="s">
        <v>82</v>
      </c>
      <c r="R340">
        <v>2</v>
      </c>
      <c r="S340">
        <v>6</v>
      </c>
      <c r="T340">
        <v>0</v>
      </c>
      <c r="U340">
        <v>1</v>
      </c>
      <c r="V340">
        <v>1</v>
      </c>
      <c r="W340">
        <v>23.54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2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</row>
    <row r="341" spans="1:37" x14ac:dyDescent="0.3">
      <c r="A341">
        <v>7979</v>
      </c>
      <c r="B341" t="s">
        <v>219</v>
      </c>
      <c r="D341" t="s">
        <v>327</v>
      </c>
      <c r="E341">
        <v>99999999</v>
      </c>
      <c r="F341">
        <v>11111111</v>
      </c>
      <c r="G341">
        <v>1111111111</v>
      </c>
      <c r="H341" t="s">
        <v>3910</v>
      </c>
      <c r="I341">
        <v>99999999</v>
      </c>
      <c r="J341" s="188">
        <v>45237</v>
      </c>
      <c r="K341" t="s">
        <v>3910</v>
      </c>
      <c r="L341" t="s">
        <v>3910</v>
      </c>
      <c r="M341" t="s">
        <v>629</v>
      </c>
      <c r="N341" t="s">
        <v>381</v>
      </c>
      <c r="O341">
        <v>59301</v>
      </c>
      <c r="P341" t="s">
        <v>221</v>
      </c>
      <c r="Q341" t="s">
        <v>82</v>
      </c>
      <c r="R341">
        <v>1</v>
      </c>
      <c r="S341">
        <v>11.07</v>
      </c>
      <c r="T341">
        <v>0</v>
      </c>
      <c r="U341">
        <v>1</v>
      </c>
      <c r="V341">
        <v>1</v>
      </c>
      <c r="W341">
        <v>34.770000000000003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</row>
    <row r="342" spans="1:37" x14ac:dyDescent="0.3">
      <c r="A342">
        <v>7979</v>
      </c>
      <c r="B342" t="s">
        <v>219</v>
      </c>
      <c r="D342" t="s">
        <v>327</v>
      </c>
      <c r="E342">
        <v>99999999</v>
      </c>
      <c r="F342">
        <v>11111111</v>
      </c>
      <c r="G342">
        <v>1111111111</v>
      </c>
      <c r="H342" t="s">
        <v>3911</v>
      </c>
      <c r="I342">
        <v>99999999</v>
      </c>
      <c r="J342" s="188">
        <v>45237</v>
      </c>
      <c r="K342" t="s">
        <v>3911</v>
      </c>
      <c r="L342" t="s">
        <v>3911</v>
      </c>
      <c r="M342" t="s">
        <v>630</v>
      </c>
      <c r="N342" t="s">
        <v>104</v>
      </c>
      <c r="O342" t="s">
        <v>631</v>
      </c>
      <c r="P342" t="s">
        <v>221</v>
      </c>
      <c r="Q342" t="s">
        <v>82</v>
      </c>
      <c r="R342">
        <v>1</v>
      </c>
      <c r="S342">
        <v>10.5</v>
      </c>
      <c r="T342">
        <v>0</v>
      </c>
      <c r="U342">
        <v>1</v>
      </c>
      <c r="V342">
        <v>1</v>
      </c>
      <c r="W342">
        <v>24.65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1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</row>
    <row r="343" spans="1:37" x14ac:dyDescent="0.3">
      <c r="A343">
        <v>7979</v>
      </c>
      <c r="B343" t="s">
        <v>219</v>
      </c>
      <c r="D343" t="s">
        <v>327</v>
      </c>
      <c r="E343">
        <v>99999999</v>
      </c>
      <c r="F343">
        <v>11111111</v>
      </c>
      <c r="G343">
        <v>1111111111</v>
      </c>
      <c r="H343" t="s">
        <v>3912</v>
      </c>
      <c r="I343">
        <v>99999999</v>
      </c>
      <c r="J343" s="188">
        <v>45237</v>
      </c>
      <c r="K343" t="s">
        <v>3912</v>
      </c>
      <c r="L343" t="s">
        <v>3912</v>
      </c>
      <c r="M343" t="s">
        <v>632</v>
      </c>
      <c r="N343" t="s">
        <v>97</v>
      </c>
      <c r="O343" t="s">
        <v>633</v>
      </c>
      <c r="P343" t="s">
        <v>221</v>
      </c>
      <c r="Q343" t="s">
        <v>82</v>
      </c>
      <c r="R343">
        <v>1</v>
      </c>
      <c r="S343">
        <v>4</v>
      </c>
      <c r="T343">
        <v>0</v>
      </c>
      <c r="U343">
        <v>1</v>
      </c>
      <c r="V343">
        <v>1</v>
      </c>
      <c r="W343">
        <v>22.93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</row>
    <row r="344" spans="1:37" x14ac:dyDescent="0.3">
      <c r="A344">
        <v>7979</v>
      </c>
      <c r="B344" t="s">
        <v>219</v>
      </c>
      <c r="D344" t="s">
        <v>327</v>
      </c>
      <c r="E344">
        <v>99999999</v>
      </c>
      <c r="F344">
        <v>11111111</v>
      </c>
      <c r="G344">
        <v>1111111111</v>
      </c>
      <c r="H344" t="s">
        <v>3913</v>
      </c>
      <c r="I344">
        <v>99999999</v>
      </c>
      <c r="J344" s="188">
        <v>45237</v>
      </c>
      <c r="K344" t="s">
        <v>3913</v>
      </c>
      <c r="L344" t="s">
        <v>3913</v>
      </c>
      <c r="M344" t="s">
        <v>634</v>
      </c>
      <c r="N344" t="s">
        <v>197</v>
      </c>
      <c r="O344">
        <v>77830</v>
      </c>
      <c r="P344" t="s">
        <v>221</v>
      </c>
      <c r="Q344" t="s">
        <v>82</v>
      </c>
      <c r="R344">
        <v>2</v>
      </c>
      <c r="S344">
        <v>29.6</v>
      </c>
      <c r="T344">
        <v>0</v>
      </c>
      <c r="U344">
        <v>1</v>
      </c>
      <c r="V344">
        <v>1</v>
      </c>
      <c r="W344">
        <v>73.849999999999994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2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</row>
    <row r="345" spans="1:37" x14ac:dyDescent="0.3">
      <c r="A345">
        <v>7979</v>
      </c>
      <c r="B345" t="s">
        <v>219</v>
      </c>
      <c r="D345" t="s">
        <v>327</v>
      </c>
      <c r="E345">
        <v>99999999</v>
      </c>
      <c r="F345">
        <v>11111111</v>
      </c>
      <c r="G345">
        <v>1111111111</v>
      </c>
      <c r="H345" t="s">
        <v>3914</v>
      </c>
      <c r="I345">
        <v>99999999</v>
      </c>
      <c r="J345" s="188">
        <v>45237</v>
      </c>
      <c r="K345" t="s">
        <v>3914</v>
      </c>
      <c r="L345" t="s">
        <v>3914</v>
      </c>
      <c r="M345" t="s">
        <v>396</v>
      </c>
      <c r="N345" t="s">
        <v>99</v>
      </c>
      <c r="O345" t="s">
        <v>635</v>
      </c>
      <c r="P345" t="s">
        <v>221</v>
      </c>
      <c r="Q345" t="s">
        <v>82</v>
      </c>
      <c r="R345">
        <v>1</v>
      </c>
      <c r="S345">
        <v>8</v>
      </c>
      <c r="T345">
        <v>0</v>
      </c>
      <c r="U345">
        <v>1</v>
      </c>
      <c r="V345">
        <v>1</v>
      </c>
      <c r="W345">
        <v>22.65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1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</row>
    <row r="346" spans="1:37" x14ac:dyDescent="0.3">
      <c r="A346">
        <v>7979</v>
      </c>
      <c r="B346" t="s">
        <v>219</v>
      </c>
      <c r="D346" t="s">
        <v>327</v>
      </c>
      <c r="E346">
        <v>99999999</v>
      </c>
      <c r="F346">
        <v>11111111</v>
      </c>
      <c r="G346">
        <v>1111111111</v>
      </c>
      <c r="H346" t="s">
        <v>3915</v>
      </c>
      <c r="I346">
        <v>99999999</v>
      </c>
      <c r="J346" s="188">
        <v>45237</v>
      </c>
      <c r="K346" t="s">
        <v>3915</v>
      </c>
      <c r="L346" t="s">
        <v>3915</v>
      </c>
      <c r="M346" t="s">
        <v>636</v>
      </c>
      <c r="N346" t="s">
        <v>91</v>
      </c>
      <c r="O346" t="s">
        <v>637</v>
      </c>
      <c r="P346" t="s">
        <v>221</v>
      </c>
      <c r="Q346" t="s">
        <v>82</v>
      </c>
      <c r="R346">
        <v>2</v>
      </c>
      <c r="S346">
        <v>22.14</v>
      </c>
      <c r="T346">
        <v>0</v>
      </c>
      <c r="U346">
        <v>1</v>
      </c>
      <c r="V346">
        <v>1</v>
      </c>
      <c r="W346">
        <v>42.34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2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</row>
    <row r="347" spans="1:37" x14ac:dyDescent="0.3">
      <c r="A347">
        <v>7979</v>
      </c>
      <c r="B347" t="s">
        <v>219</v>
      </c>
      <c r="D347" t="s">
        <v>327</v>
      </c>
      <c r="E347">
        <v>99999999</v>
      </c>
      <c r="F347">
        <v>11111111</v>
      </c>
      <c r="G347">
        <v>1111111111</v>
      </c>
      <c r="H347" t="s">
        <v>3916</v>
      </c>
      <c r="I347">
        <v>99999999</v>
      </c>
      <c r="J347" s="188">
        <v>45237</v>
      </c>
      <c r="K347" t="s">
        <v>3916</v>
      </c>
      <c r="L347" t="s">
        <v>3916</v>
      </c>
      <c r="M347" t="s">
        <v>638</v>
      </c>
      <c r="N347" t="s">
        <v>164</v>
      </c>
      <c r="O347" t="s">
        <v>639</v>
      </c>
      <c r="P347" t="s">
        <v>221</v>
      </c>
      <c r="Q347" t="s">
        <v>82</v>
      </c>
      <c r="R347">
        <v>2</v>
      </c>
      <c r="S347">
        <v>17</v>
      </c>
      <c r="T347">
        <v>0</v>
      </c>
      <c r="U347">
        <v>1</v>
      </c>
      <c r="V347">
        <v>2</v>
      </c>
      <c r="W347">
        <v>34.549999999999997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2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</row>
    <row r="348" spans="1:37" x14ac:dyDescent="0.3">
      <c r="A348">
        <v>7979</v>
      </c>
      <c r="B348" t="s">
        <v>219</v>
      </c>
      <c r="D348" t="s">
        <v>327</v>
      </c>
      <c r="E348">
        <v>99999999</v>
      </c>
      <c r="F348">
        <v>11111111</v>
      </c>
      <c r="G348">
        <v>1111111111</v>
      </c>
      <c r="H348" t="s">
        <v>3917</v>
      </c>
      <c r="I348">
        <v>99999999</v>
      </c>
      <c r="J348" s="188">
        <v>45237</v>
      </c>
      <c r="K348" t="s">
        <v>3917</v>
      </c>
      <c r="L348" t="s">
        <v>3917</v>
      </c>
      <c r="M348" t="s">
        <v>640</v>
      </c>
      <c r="N348" t="s">
        <v>85</v>
      </c>
      <c r="O348" t="s">
        <v>641</v>
      </c>
      <c r="P348" t="s">
        <v>221</v>
      </c>
      <c r="Q348" t="s">
        <v>82</v>
      </c>
      <c r="R348">
        <v>2</v>
      </c>
      <c r="S348">
        <v>18</v>
      </c>
      <c r="T348">
        <v>0</v>
      </c>
      <c r="U348">
        <v>1</v>
      </c>
      <c r="V348">
        <v>2</v>
      </c>
      <c r="W348">
        <v>32.78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2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</row>
    <row r="349" spans="1:37" x14ac:dyDescent="0.3">
      <c r="A349">
        <v>7979</v>
      </c>
      <c r="B349" t="s">
        <v>219</v>
      </c>
      <c r="D349" t="s">
        <v>327</v>
      </c>
      <c r="E349">
        <v>99999999</v>
      </c>
      <c r="F349">
        <v>11111111</v>
      </c>
      <c r="G349">
        <v>1111111111</v>
      </c>
      <c r="H349" t="s">
        <v>3918</v>
      </c>
      <c r="I349">
        <v>99999999</v>
      </c>
      <c r="J349" s="188">
        <v>45237</v>
      </c>
      <c r="K349" t="s">
        <v>3918</v>
      </c>
      <c r="L349" t="s">
        <v>3918</v>
      </c>
      <c r="M349" t="s">
        <v>642</v>
      </c>
      <c r="N349" t="s">
        <v>97</v>
      </c>
      <c r="O349">
        <v>98532</v>
      </c>
      <c r="P349" t="s">
        <v>221</v>
      </c>
      <c r="Q349" t="s">
        <v>82</v>
      </c>
      <c r="R349">
        <v>2</v>
      </c>
      <c r="S349">
        <v>2.2879999999999998</v>
      </c>
      <c r="T349">
        <v>0</v>
      </c>
      <c r="U349">
        <v>1</v>
      </c>
      <c r="V349">
        <v>2</v>
      </c>
      <c r="W349">
        <v>28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2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</row>
    <row r="350" spans="1:37" x14ac:dyDescent="0.3">
      <c r="A350">
        <v>7979</v>
      </c>
      <c r="B350" t="s">
        <v>219</v>
      </c>
      <c r="D350" t="s">
        <v>327</v>
      </c>
      <c r="E350">
        <v>99999999</v>
      </c>
      <c r="F350">
        <v>11111111</v>
      </c>
      <c r="G350">
        <v>1111111111</v>
      </c>
      <c r="H350" t="s">
        <v>3919</v>
      </c>
      <c r="I350">
        <v>99999999</v>
      </c>
      <c r="J350" s="188">
        <v>45237</v>
      </c>
      <c r="K350" t="s">
        <v>3919</v>
      </c>
      <c r="L350" t="s">
        <v>3919</v>
      </c>
      <c r="M350" t="s">
        <v>643</v>
      </c>
      <c r="N350" t="s">
        <v>130</v>
      </c>
      <c r="O350" t="s">
        <v>644</v>
      </c>
      <c r="P350" t="s">
        <v>221</v>
      </c>
      <c r="Q350" t="s">
        <v>82</v>
      </c>
      <c r="R350">
        <v>2</v>
      </c>
      <c r="S350">
        <v>4.51</v>
      </c>
      <c r="T350">
        <v>0</v>
      </c>
      <c r="U350">
        <v>1</v>
      </c>
      <c r="V350">
        <v>2</v>
      </c>
      <c r="W350">
        <v>32.700000000000003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2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</row>
    <row r="351" spans="1:37" x14ac:dyDescent="0.3">
      <c r="A351">
        <v>7979</v>
      </c>
      <c r="B351" t="s">
        <v>219</v>
      </c>
      <c r="D351" t="s">
        <v>327</v>
      </c>
      <c r="E351">
        <v>99999999</v>
      </c>
      <c r="F351">
        <v>11111111</v>
      </c>
      <c r="G351">
        <v>1111111111</v>
      </c>
      <c r="H351" t="s">
        <v>3920</v>
      </c>
      <c r="I351">
        <v>99999999</v>
      </c>
      <c r="J351" s="188">
        <v>45237</v>
      </c>
      <c r="K351" t="s">
        <v>3920</v>
      </c>
      <c r="L351" t="s">
        <v>3920</v>
      </c>
      <c r="M351" t="s">
        <v>262</v>
      </c>
      <c r="N351" t="s">
        <v>130</v>
      </c>
      <c r="O351" t="s">
        <v>645</v>
      </c>
      <c r="P351" t="s">
        <v>221</v>
      </c>
      <c r="Q351" t="s">
        <v>82</v>
      </c>
      <c r="R351">
        <v>2</v>
      </c>
      <c r="S351">
        <v>11.13</v>
      </c>
      <c r="T351">
        <v>0</v>
      </c>
      <c r="U351">
        <v>1</v>
      </c>
      <c r="V351">
        <v>2</v>
      </c>
      <c r="W351">
        <v>34.770000000000003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2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</row>
    <row r="352" spans="1:37" x14ac:dyDescent="0.3">
      <c r="A352">
        <v>7979</v>
      </c>
      <c r="B352" t="s">
        <v>219</v>
      </c>
      <c r="D352" t="s">
        <v>327</v>
      </c>
      <c r="E352">
        <v>99999999</v>
      </c>
      <c r="F352">
        <v>11111111</v>
      </c>
      <c r="G352">
        <v>1111111111</v>
      </c>
      <c r="H352" t="s">
        <v>3921</v>
      </c>
      <c r="I352">
        <v>99999999</v>
      </c>
      <c r="J352" s="188">
        <v>45236</v>
      </c>
      <c r="K352" t="s">
        <v>3921</v>
      </c>
      <c r="L352" t="s">
        <v>3921</v>
      </c>
      <c r="M352" t="s">
        <v>646</v>
      </c>
      <c r="N352" t="s">
        <v>197</v>
      </c>
      <c r="O352">
        <v>75077</v>
      </c>
      <c r="P352" t="s">
        <v>221</v>
      </c>
      <c r="Q352" t="s">
        <v>82</v>
      </c>
      <c r="R352">
        <v>1</v>
      </c>
      <c r="S352">
        <v>9.68</v>
      </c>
      <c r="T352">
        <v>0</v>
      </c>
      <c r="U352">
        <v>1</v>
      </c>
      <c r="V352">
        <v>1</v>
      </c>
      <c r="W352">
        <v>27.44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1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</row>
    <row r="353" spans="1:37" x14ac:dyDescent="0.3">
      <c r="A353">
        <v>7979</v>
      </c>
      <c r="B353" t="s">
        <v>219</v>
      </c>
      <c r="D353" t="s">
        <v>327</v>
      </c>
      <c r="E353">
        <v>99999999</v>
      </c>
      <c r="F353">
        <v>11111111</v>
      </c>
      <c r="G353">
        <v>1111111111</v>
      </c>
      <c r="H353" t="s">
        <v>3922</v>
      </c>
      <c r="I353">
        <v>99999999</v>
      </c>
      <c r="J353" s="188">
        <v>45236</v>
      </c>
      <c r="K353" t="s">
        <v>3922</v>
      </c>
      <c r="L353" t="s">
        <v>3922</v>
      </c>
      <c r="M353" t="s">
        <v>173</v>
      </c>
      <c r="N353" t="s">
        <v>226</v>
      </c>
      <c r="O353">
        <v>4102</v>
      </c>
      <c r="P353" t="s">
        <v>221</v>
      </c>
      <c r="Q353" t="s">
        <v>82</v>
      </c>
      <c r="R353">
        <v>1</v>
      </c>
      <c r="S353">
        <v>8.69</v>
      </c>
      <c r="T353">
        <v>0</v>
      </c>
      <c r="U353">
        <v>1</v>
      </c>
      <c r="V353">
        <v>1</v>
      </c>
      <c r="W353">
        <v>31.94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1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</row>
    <row r="354" spans="1:37" x14ac:dyDescent="0.3">
      <c r="A354">
        <v>7979</v>
      </c>
      <c r="B354" t="s">
        <v>219</v>
      </c>
      <c r="D354" t="s">
        <v>327</v>
      </c>
      <c r="E354">
        <v>99999999</v>
      </c>
      <c r="F354">
        <v>11111111</v>
      </c>
      <c r="G354">
        <v>1111111111</v>
      </c>
      <c r="H354" t="s">
        <v>3923</v>
      </c>
      <c r="I354">
        <v>99999999</v>
      </c>
      <c r="J354" s="188">
        <v>45236</v>
      </c>
      <c r="K354" t="s">
        <v>3923</v>
      </c>
      <c r="L354" t="s">
        <v>3923</v>
      </c>
      <c r="M354" t="s">
        <v>647</v>
      </c>
      <c r="N354" t="s">
        <v>99</v>
      </c>
      <c r="O354" t="s">
        <v>648</v>
      </c>
      <c r="P354" t="s">
        <v>221</v>
      </c>
      <c r="Q354" t="s">
        <v>82</v>
      </c>
      <c r="R354">
        <v>2</v>
      </c>
      <c r="S354">
        <v>13</v>
      </c>
      <c r="T354">
        <v>0</v>
      </c>
      <c r="U354">
        <v>1</v>
      </c>
      <c r="V354">
        <v>2</v>
      </c>
      <c r="W354">
        <v>31.36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2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</row>
    <row r="355" spans="1:37" x14ac:dyDescent="0.3">
      <c r="A355">
        <v>7979</v>
      </c>
      <c r="B355" t="s">
        <v>219</v>
      </c>
      <c r="D355" t="s">
        <v>327</v>
      </c>
      <c r="E355">
        <v>99999999</v>
      </c>
      <c r="F355">
        <v>11111111</v>
      </c>
      <c r="G355">
        <v>1111111111</v>
      </c>
      <c r="H355" t="s">
        <v>3924</v>
      </c>
      <c r="I355">
        <v>99999999</v>
      </c>
      <c r="J355" s="188">
        <v>45236</v>
      </c>
      <c r="K355" t="s">
        <v>3924</v>
      </c>
      <c r="L355" t="s">
        <v>3924</v>
      </c>
      <c r="M355" t="s">
        <v>649</v>
      </c>
      <c r="N355" t="s">
        <v>97</v>
      </c>
      <c r="O355" t="s">
        <v>650</v>
      </c>
      <c r="P355" t="s">
        <v>221</v>
      </c>
      <c r="Q355" t="s">
        <v>82</v>
      </c>
      <c r="R355">
        <v>2</v>
      </c>
      <c r="S355">
        <v>14.42</v>
      </c>
      <c r="T355">
        <v>0</v>
      </c>
      <c r="U355">
        <v>1</v>
      </c>
      <c r="V355">
        <v>1</v>
      </c>
      <c r="W355">
        <v>31.64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2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</row>
    <row r="356" spans="1:37" x14ac:dyDescent="0.3">
      <c r="A356">
        <v>7979</v>
      </c>
      <c r="B356" t="s">
        <v>219</v>
      </c>
      <c r="D356" t="s">
        <v>327</v>
      </c>
      <c r="E356">
        <v>99999999</v>
      </c>
      <c r="F356">
        <v>11111111</v>
      </c>
      <c r="G356">
        <v>1111111111</v>
      </c>
      <c r="H356" t="s">
        <v>3925</v>
      </c>
      <c r="I356">
        <v>99999999</v>
      </c>
      <c r="J356" s="188">
        <v>45236</v>
      </c>
      <c r="K356" t="s">
        <v>3925</v>
      </c>
      <c r="L356" t="s">
        <v>3925</v>
      </c>
      <c r="M356" t="s">
        <v>651</v>
      </c>
      <c r="N356" t="s">
        <v>99</v>
      </c>
      <c r="O356" t="s">
        <v>652</v>
      </c>
      <c r="P356" t="s">
        <v>221</v>
      </c>
      <c r="Q356" t="s">
        <v>82</v>
      </c>
      <c r="R356">
        <v>1</v>
      </c>
      <c r="S356">
        <v>11</v>
      </c>
      <c r="T356">
        <v>0</v>
      </c>
      <c r="U356">
        <v>1</v>
      </c>
      <c r="V356">
        <v>1</v>
      </c>
      <c r="W356">
        <v>30.95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1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</row>
    <row r="357" spans="1:37" x14ac:dyDescent="0.3">
      <c r="A357">
        <v>7979</v>
      </c>
      <c r="B357" t="s">
        <v>219</v>
      </c>
      <c r="D357" t="s">
        <v>327</v>
      </c>
      <c r="E357">
        <v>99999999</v>
      </c>
      <c r="F357">
        <v>11111111</v>
      </c>
      <c r="G357">
        <v>1111111111</v>
      </c>
      <c r="H357" t="s">
        <v>3926</v>
      </c>
      <c r="I357">
        <v>99999999</v>
      </c>
      <c r="J357" s="188">
        <v>45236</v>
      </c>
      <c r="K357" t="s">
        <v>3926</v>
      </c>
      <c r="L357" t="s">
        <v>3926</v>
      </c>
      <c r="M357" t="s">
        <v>653</v>
      </c>
      <c r="N357" t="s">
        <v>164</v>
      </c>
      <c r="O357" t="s">
        <v>654</v>
      </c>
      <c r="P357" t="s">
        <v>221</v>
      </c>
      <c r="Q357" t="s">
        <v>82</v>
      </c>
      <c r="R357">
        <v>3</v>
      </c>
      <c r="S357">
        <v>15.22</v>
      </c>
      <c r="T357">
        <v>0</v>
      </c>
      <c r="U357">
        <v>1</v>
      </c>
      <c r="V357">
        <v>3</v>
      </c>
      <c r="W357">
        <v>25.86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3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</row>
    <row r="358" spans="1:37" x14ac:dyDescent="0.3">
      <c r="A358">
        <v>7979</v>
      </c>
      <c r="B358" t="s">
        <v>219</v>
      </c>
      <c r="D358" t="s">
        <v>327</v>
      </c>
      <c r="E358">
        <v>99999999</v>
      </c>
      <c r="F358">
        <v>11111111</v>
      </c>
      <c r="G358">
        <v>1111111111</v>
      </c>
      <c r="H358" t="s">
        <v>3927</v>
      </c>
      <c r="I358">
        <v>99999999</v>
      </c>
      <c r="J358" s="188">
        <v>45236</v>
      </c>
      <c r="K358" t="s">
        <v>3927</v>
      </c>
      <c r="L358" t="s">
        <v>3927</v>
      </c>
      <c r="M358" t="s">
        <v>655</v>
      </c>
      <c r="N358" t="s">
        <v>104</v>
      </c>
      <c r="O358" t="s">
        <v>656</v>
      </c>
      <c r="P358" t="s">
        <v>221</v>
      </c>
      <c r="Q358" t="s">
        <v>82</v>
      </c>
      <c r="R358">
        <v>3</v>
      </c>
      <c r="S358">
        <v>8.5299999999999994</v>
      </c>
      <c r="T358">
        <v>0</v>
      </c>
      <c r="U358">
        <v>1</v>
      </c>
      <c r="V358">
        <v>3</v>
      </c>
      <c r="W358">
        <v>32.659999999999997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3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</row>
    <row r="359" spans="1:37" x14ac:dyDescent="0.3">
      <c r="A359">
        <v>7979</v>
      </c>
      <c r="B359" t="s">
        <v>219</v>
      </c>
      <c r="D359" t="s">
        <v>327</v>
      </c>
      <c r="E359">
        <v>99999999</v>
      </c>
      <c r="F359">
        <v>11111111</v>
      </c>
      <c r="G359">
        <v>1111111111</v>
      </c>
      <c r="H359" t="s">
        <v>3928</v>
      </c>
      <c r="I359">
        <v>99999999</v>
      </c>
      <c r="J359" s="188">
        <v>45236</v>
      </c>
      <c r="K359" t="s">
        <v>3928</v>
      </c>
      <c r="L359" t="s">
        <v>3928</v>
      </c>
      <c r="M359" t="s">
        <v>657</v>
      </c>
      <c r="N359" t="s">
        <v>99</v>
      </c>
      <c r="O359" t="s">
        <v>658</v>
      </c>
      <c r="P359" t="s">
        <v>221</v>
      </c>
      <c r="Q359" t="s">
        <v>82</v>
      </c>
      <c r="R359">
        <v>1</v>
      </c>
      <c r="S359">
        <v>8</v>
      </c>
      <c r="T359">
        <v>0</v>
      </c>
      <c r="U359">
        <v>1</v>
      </c>
      <c r="V359">
        <v>1</v>
      </c>
      <c r="W359">
        <v>27.58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1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</row>
    <row r="360" spans="1:37" x14ac:dyDescent="0.3">
      <c r="A360">
        <v>7979</v>
      </c>
      <c r="B360" t="s">
        <v>219</v>
      </c>
      <c r="D360" t="s">
        <v>327</v>
      </c>
      <c r="E360">
        <v>99999999</v>
      </c>
      <c r="F360">
        <v>11111111</v>
      </c>
      <c r="G360">
        <v>1111111111</v>
      </c>
      <c r="H360" t="s">
        <v>3929</v>
      </c>
      <c r="I360">
        <v>99999999</v>
      </c>
      <c r="J360" s="188">
        <v>45236</v>
      </c>
      <c r="K360" t="s">
        <v>3929</v>
      </c>
      <c r="L360" t="s">
        <v>3929</v>
      </c>
      <c r="M360" t="s">
        <v>659</v>
      </c>
      <c r="N360" t="s">
        <v>99</v>
      </c>
      <c r="O360" t="s">
        <v>660</v>
      </c>
      <c r="P360" t="s">
        <v>221</v>
      </c>
      <c r="Q360" t="s">
        <v>82</v>
      </c>
      <c r="R360">
        <v>2</v>
      </c>
      <c r="S360">
        <v>7.25</v>
      </c>
      <c r="T360">
        <v>0</v>
      </c>
      <c r="U360">
        <v>1</v>
      </c>
      <c r="V360">
        <v>2</v>
      </c>
      <c r="W360">
        <v>28.54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2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</row>
    <row r="361" spans="1:37" x14ac:dyDescent="0.3">
      <c r="A361">
        <v>7979</v>
      </c>
      <c r="B361" t="s">
        <v>219</v>
      </c>
      <c r="D361" t="s">
        <v>327</v>
      </c>
      <c r="E361">
        <v>99999999</v>
      </c>
      <c r="F361">
        <v>11111111</v>
      </c>
      <c r="G361">
        <v>1111111111</v>
      </c>
      <c r="H361" t="s">
        <v>3930</v>
      </c>
      <c r="I361">
        <v>99999999</v>
      </c>
      <c r="J361" s="188">
        <v>45236</v>
      </c>
      <c r="K361" t="s">
        <v>3930</v>
      </c>
      <c r="L361" t="s">
        <v>3930</v>
      </c>
      <c r="M361" t="s">
        <v>661</v>
      </c>
      <c r="N361" t="s">
        <v>97</v>
      </c>
      <c r="O361" t="s">
        <v>662</v>
      </c>
      <c r="P361" t="s">
        <v>221</v>
      </c>
      <c r="Q361" t="s">
        <v>82</v>
      </c>
      <c r="R361">
        <v>1</v>
      </c>
      <c r="S361">
        <v>3.97</v>
      </c>
      <c r="T361">
        <v>0</v>
      </c>
      <c r="U361">
        <v>1</v>
      </c>
      <c r="V361">
        <v>1</v>
      </c>
      <c r="W361">
        <v>31.19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1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</row>
    <row r="362" spans="1:37" x14ac:dyDescent="0.3">
      <c r="A362">
        <v>7979</v>
      </c>
      <c r="B362" t="s">
        <v>219</v>
      </c>
      <c r="D362" t="s">
        <v>327</v>
      </c>
      <c r="E362">
        <v>99999999</v>
      </c>
      <c r="F362">
        <v>11111111</v>
      </c>
      <c r="G362">
        <v>1111111111</v>
      </c>
      <c r="H362" t="s">
        <v>3931</v>
      </c>
      <c r="I362">
        <v>99999999</v>
      </c>
      <c r="J362" s="188">
        <v>45236</v>
      </c>
      <c r="K362" t="s">
        <v>3931</v>
      </c>
      <c r="L362" t="s">
        <v>3931</v>
      </c>
      <c r="M362" t="s">
        <v>663</v>
      </c>
      <c r="N362" t="s">
        <v>99</v>
      </c>
      <c r="O362">
        <v>95683</v>
      </c>
      <c r="P362" t="s">
        <v>221</v>
      </c>
      <c r="Q362" t="s">
        <v>82</v>
      </c>
      <c r="R362">
        <v>1</v>
      </c>
      <c r="S362">
        <v>6.25</v>
      </c>
      <c r="T362">
        <v>0</v>
      </c>
      <c r="U362">
        <v>1</v>
      </c>
      <c r="V362">
        <v>1</v>
      </c>
      <c r="W362">
        <v>26.92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1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</row>
    <row r="363" spans="1:37" x14ac:dyDescent="0.3">
      <c r="A363">
        <v>7979</v>
      </c>
      <c r="B363" t="s">
        <v>219</v>
      </c>
      <c r="D363" t="s">
        <v>327</v>
      </c>
      <c r="E363">
        <v>99999999</v>
      </c>
      <c r="F363">
        <v>11111111</v>
      </c>
      <c r="G363">
        <v>1111111111</v>
      </c>
      <c r="H363" t="s">
        <v>3932</v>
      </c>
      <c r="I363">
        <v>99999999</v>
      </c>
      <c r="J363" s="188">
        <v>45236</v>
      </c>
      <c r="K363" t="s">
        <v>3932</v>
      </c>
      <c r="L363" t="s">
        <v>3932</v>
      </c>
      <c r="M363" t="s">
        <v>202</v>
      </c>
      <c r="N363" t="s">
        <v>135</v>
      </c>
      <c r="O363" t="s">
        <v>664</v>
      </c>
      <c r="P363" t="s">
        <v>221</v>
      </c>
      <c r="Q363" t="s">
        <v>82</v>
      </c>
      <c r="R363">
        <v>1</v>
      </c>
      <c r="S363">
        <v>11</v>
      </c>
      <c r="T363">
        <v>0</v>
      </c>
      <c r="U363">
        <v>1</v>
      </c>
      <c r="V363">
        <v>1</v>
      </c>
      <c r="W363">
        <v>24.83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1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</row>
    <row r="364" spans="1:37" x14ac:dyDescent="0.3">
      <c r="A364">
        <v>7979</v>
      </c>
      <c r="B364" t="s">
        <v>219</v>
      </c>
      <c r="D364" t="s">
        <v>327</v>
      </c>
      <c r="E364">
        <v>99999999</v>
      </c>
      <c r="F364">
        <v>11111111</v>
      </c>
      <c r="G364">
        <v>1111111111</v>
      </c>
      <c r="H364" t="s">
        <v>3933</v>
      </c>
      <c r="I364">
        <v>99999999</v>
      </c>
      <c r="J364" s="188">
        <v>45236</v>
      </c>
      <c r="K364" t="s">
        <v>3933</v>
      </c>
      <c r="L364" t="s">
        <v>3933</v>
      </c>
      <c r="M364" t="s">
        <v>95</v>
      </c>
      <c r="N364" t="s">
        <v>91</v>
      </c>
      <c r="O364" t="s">
        <v>665</v>
      </c>
      <c r="P364" t="s">
        <v>221</v>
      </c>
      <c r="Q364" t="s">
        <v>82</v>
      </c>
      <c r="R364">
        <v>1</v>
      </c>
      <c r="S364">
        <v>3.94</v>
      </c>
      <c r="T364">
        <v>0</v>
      </c>
      <c r="U364">
        <v>1</v>
      </c>
      <c r="V364">
        <v>1</v>
      </c>
      <c r="W364">
        <v>24.37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</row>
    <row r="365" spans="1:37" x14ac:dyDescent="0.3">
      <c r="A365">
        <v>7979</v>
      </c>
      <c r="B365" t="s">
        <v>219</v>
      </c>
      <c r="D365" t="s">
        <v>327</v>
      </c>
      <c r="E365">
        <v>99999999</v>
      </c>
      <c r="F365">
        <v>11111111</v>
      </c>
      <c r="G365">
        <v>1111111111</v>
      </c>
      <c r="H365" t="s">
        <v>3934</v>
      </c>
      <c r="I365">
        <v>99999999</v>
      </c>
      <c r="J365" s="188">
        <v>45236</v>
      </c>
      <c r="K365" t="s">
        <v>3934</v>
      </c>
      <c r="L365" t="s">
        <v>3934</v>
      </c>
      <c r="M365" t="s">
        <v>666</v>
      </c>
      <c r="N365" t="s">
        <v>151</v>
      </c>
      <c r="O365" t="s">
        <v>667</v>
      </c>
      <c r="P365" t="s">
        <v>221</v>
      </c>
      <c r="Q365" t="s">
        <v>82</v>
      </c>
      <c r="R365">
        <v>1</v>
      </c>
      <c r="S365">
        <v>8.8000000000000007</v>
      </c>
      <c r="T365">
        <v>0</v>
      </c>
      <c r="U365">
        <v>1</v>
      </c>
      <c r="V365">
        <v>1</v>
      </c>
      <c r="W365">
        <v>38.06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1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</row>
    <row r="366" spans="1:37" x14ac:dyDescent="0.3">
      <c r="A366">
        <v>7979</v>
      </c>
      <c r="B366" t="s">
        <v>219</v>
      </c>
      <c r="D366" t="s">
        <v>327</v>
      </c>
      <c r="E366">
        <v>99999999</v>
      </c>
      <c r="F366">
        <v>11111111</v>
      </c>
      <c r="G366">
        <v>1111111111</v>
      </c>
      <c r="H366" t="s">
        <v>3935</v>
      </c>
      <c r="I366">
        <v>99999999</v>
      </c>
      <c r="J366" s="188">
        <v>45236</v>
      </c>
      <c r="K366" t="s">
        <v>3935</v>
      </c>
      <c r="L366" t="s">
        <v>3935</v>
      </c>
      <c r="M366" t="s">
        <v>653</v>
      </c>
      <c r="N366" t="s">
        <v>164</v>
      </c>
      <c r="O366" t="s">
        <v>654</v>
      </c>
      <c r="P366" t="s">
        <v>221</v>
      </c>
      <c r="Q366" t="s">
        <v>82</v>
      </c>
      <c r="R366">
        <v>2</v>
      </c>
      <c r="S366">
        <v>12.276</v>
      </c>
      <c r="T366">
        <v>0</v>
      </c>
      <c r="U366">
        <v>1</v>
      </c>
      <c r="V366">
        <v>2</v>
      </c>
      <c r="W366">
        <v>25.05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2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</row>
    <row r="367" spans="1:37" x14ac:dyDescent="0.3">
      <c r="A367">
        <v>7979</v>
      </c>
      <c r="B367" t="s">
        <v>219</v>
      </c>
      <c r="D367" t="s">
        <v>327</v>
      </c>
      <c r="E367">
        <v>99999999</v>
      </c>
      <c r="F367">
        <v>11111111</v>
      </c>
      <c r="G367">
        <v>1111111111</v>
      </c>
      <c r="H367" t="s">
        <v>3936</v>
      </c>
      <c r="I367">
        <v>99999999</v>
      </c>
      <c r="J367" s="188">
        <v>45236</v>
      </c>
      <c r="K367" t="s">
        <v>3936</v>
      </c>
      <c r="L367" t="s">
        <v>3936</v>
      </c>
      <c r="M367" t="s">
        <v>668</v>
      </c>
      <c r="N367" t="s">
        <v>197</v>
      </c>
      <c r="O367" t="s">
        <v>669</v>
      </c>
      <c r="P367" t="s">
        <v>221</v>
      </c>
      <c r="Q367" t="s">
        <v>82</v>
      </c>
      <c r="R367">
        <v>2</v>
      </c>
      <c r="S367">
        <v>8.01</v>
      </c>
      <c r="T367">
        <v>0</v>
      </c>
      <c r="U367">
        <v>1</v>
      </c>
      <c r="V367">
        <v>2</v>
      </c>
      <c r="W367">
        <v>34.53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2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</row>
    <row r="368" spans="1:37" x14ac:dyDescent="0.3">
      <c r="A368">
        <v>7979</v>
      </c>
      <c r="B368" t="s">
        <v>219</v>
      </c>
      <c r="D368" t="s">
        <v>327</v>
      </c>
      <c r="E368">
        <v>99999999</v>
      </c>
      <c r="F368">
        <v>11111111</v>
      </c>
      <c r="G368">
        <v>1111111111</v>
      </c>
      <c r="H368" t="s">
        <v>3937</v>
      </c>
      <c r="I368">
        <v>99999999</v>
      </c>
      <c r="J368" s="188">
        <v>45236</v>
      </c>
      <c r="K368" t="s">
        <v>3937</v>
      </c>
      <c r="L368" t="s">
        <v>3937</v>
      </c>
      <c r="M368" t="s">
        <v>670</v>
      </c>
      <c r="N368" t="s">
        <v>141</v>
      </c>
      <c r="O368" t="s">
        <v>671</v>
      </c>
      <c r="P368" t="s">
        <v>221</v>
      </c>
      <c r="Q368" t="s">
        <v>82</v>
      </c>
      <c r="R368">
        <v>1</v>
      </c>
      <c r="S368">
        <v>5</v>
      </c>
      <c r="T368">
        <v>0</v>
      </c>
      <c r="U368">
        <v>1</v>
      </c>
      <c r="V368">
        <v>1</v>
      </c>
      <c r="W368">
        <v>33.47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1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</row>
    <row r="369" spans="1:37" x14ac:dyDescent="0.3">
      <c r="A369">
        <v>7979</v>
      </c>
      <c r="B369" t="s">
        <v>219</v>
      </c>
      <c r="D369" t="s">
        <v>327</v>
      </c>
      <c r="E369">
        <v>99999999</v>
      </c>
      <c r="F369">
        <v>11111111</v>
      </c>
      <c r="G369">
        <v>1111111111</v>
      </c>
      <c r="H369" t="s">
        <v>3938</v>
      </c>
      <c r="I369">
        <v>99999999</v>
      </c>
      <c r="J369" s="188">
        <v>45236</v>
      </c>
      <c r="K369" t="s">
        <v>3938</v>
      </c>
      <c r="L369" t="s">
        <v>3938</v>
      </c>
      <c r="M369" t="s">
        <v>672</v>
      </c>
      <c r="N369" t="s">
        <v>91</v>
      </c>
      <c r="O369" t="s">
        <v>673</v>
      </c>
      <c r="P369" t="s">
        <v>221</v>
      </c>
      <c r="Q369" t="s">
        <v>82</v>
      </c>
      <c r="R369">
        <v>3</v>
      </c>
      <c r="S369">
        <v>26.4</v>
      </c>
      <c r="T369">
        <v>0</v>
      </c>
      <c r="U369">
        <v>1</v>
      </c>
      <c r="V369">
        <v>3</v>
      </c>
      <c r="W369">
        <v>38.700000000000003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3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</row>
    <row r="370" spans="1:37" x14ac:dyDescent="0.3">
      <c r="A370">
        <v>7979</v>
      </c>
      <c r="B370" t="s">
        <v>219</v>
      </c>
      <c r="D370" t="s">
        <v>327</v>
      </c>
      <c r="E370">
        <v>99999999</v>
      </c>
      <c r="F370">
        <v>11111111</v>
      </c>
      <c r="G370">
        <v>1111111111</v>
      </c>
      <c r="H370" t="s">
        <v>3939</v>
      </c>
      <c r="I370">
        <v>99999999</v>
      </c>
      <c r="J370" s="188">
        <v>45236</v>
      </c>
      <c r="K370" t="s">
        <v>3939</v>
      </c>
      <c r="L370" t="s">
        <v>3939</v>
      </c>
      <c r="M370" t="s">
        <v>632</v>
      </c>
      <c r="N370" t="s">
        <v>97</v>
      </c>
      <c r="O370">
        <v>98229</v>
      </c>
      <c r="P370" t="s">
        <v>221</v>
      </c>
      <c r="Q370" t="s">
        <v>82</v>
      </c>
      <c r="R370">
        <v>1</v>
      </c>
      <c r="S370">
        <v>8.58</v>
      </c>
      <c r="T370">
        <v>0</v>
      </c>
      <c r="U370">
        <v>1</v>
      </c>
      <c r="V370">
        <v>1</v>
      </c>
      <c r="W370">
        <v>24.41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1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</row>
    <row r="371" spans="1:37" x14ac:dyDescent="0.3">
      <c r="A371">
        <v>7979</v>
      </c>
      <c r="B371" t="s">
        <v>219</v>
      </c>
      <c r="D371" t="s">
        <v>327</v>
      </c>
      <c r="E371">
        <v>99999999</v>
      </c>
      <c r="F371">
        <v>11111111</v>
      </c>
      <c r="G371">
        <v>1111111111</v>
      </c>
      <c r="H371" t="s">
        <v>3940</v>
      </c>
      <c r="I371">
        <v>99999999</v>
      </c>
      <c r="J371" s="188">
        <v>45236</v>
      </c>
      <c r="K371" t="s">
        <v>3940</v>
      </c>
      <c r="L371" t="s">
        <v>3940</v>
      </c>
      <c r="M371" t="s">
        <v>111</v>
      </c>
      <c r="N371" t="s">
        <v>97</v>
      </c>
      <c r="O371">
        <v>98092</v>
      </c>
      <c r="P371" t="s">
        <v>221</v>
      </c>
      <c r="Q371" t="s">
        <v>82</v>
      </c>
      <c r="R371">
        <v>1</v>
      </c>
      <c r="S371">
        <v>9.24</v>
      </c>
      <c r="T371">
        <v>0</v>
      </c>
      <c r="U371">
        <v>1</v>
      </c>
      <c r="V371">
        <v>1</v>
      </c>
      <c r="W371">
        <v>24.41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1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</row>
    <row r="372" spans="1:37" x14ac:dyDescent="0.3">
      <c r="A372">
        <v>7979</v>
      </c>
      <c r="B372" t="s">
        <v>219</v>
      </c>
      <c r="D372" t="s">
        <v>327</v>
      </c>
      <c r="E372">
        <v>99999999</v>
      </c>
      <c r="F372">
        <v>11111111</v>
      </c>
      <c r="G372">
        <v>1111111111</v>
      </c>
      <c r="H372" t="s">
        <v>3941</v>
      </c>
      <c r="I372">
        <v>99999999</v>
      </c>
      <c r="J372" s="188">
        <v>45236</v>
      </c>
      <c r="K372" t="s">
        <v>3941</v>
      </c>
      <c r="L372" t="s">
        <v>3941</v>
      </c>
      <c r="M372" t="s">
        <v>674</v>
      </c>
      <c r="N372" t="s">
        <v>97</v>
      </c>
      <c r="O372" t="s">
        <v>675</v>
      </c>
      <c r="P372" t="s">
        <v>221</v>
      </c>
      <c r="Q372" t="s">
        <v>82</v>
      </c>
      <c r="R372">
        <v>1</v>
      </c>
      <c r="S372">
        <v>7.7</v>
      </c>
      <c r="T372">
        <v>0</v>
      </c>
      <c r="U372">
        <v>1</v>
      </c>
      <c r="V372">
        <v>1</v>
      </c>
      <c r="W372">
        <v>32.479999999999997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1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</row>
    <row r="373" spans="1:37" x14ac:dyDescent="0.3">
      <c r="A373">
        <v>7979</v>
      </c>
      <c r="B373" t="s">
        <v>219</v>
      </c>
      <c r="D373" t="s">
        <v>327</v>
      </c>
      <c r="E373">
        <v>99999999</v>
      </c>
      <c r="F373">
        <v>11111111</v>
      </c>
      <c r="G373">
        <v>1111111111</v>
      </c>
      <c r="H373" t="s">
        <v>3942</v>
      </c>
      <c r="I373">
        <v>99999999</v>
      </c>
      <c r="J373" s="188">
        <v>45236</v>
      </c>
      <c r="K373" t="s">
        <v>3942</v>
      </c>
      <c r="L373" t="s">
        <v>3942</v>
      </c>
      <c r="M373" t="s">
        <v>615</v>
      </c>
      <c r="N373" t="s">
        <v>543</v>
      </c>
      <c r="O373" t="s">
        <v>676</v>
      </c>
      <c r="P373" t="s">
        <v>221</v>
      </c>
      <c r="Q373" t="s">
        <v>82</v>
      </c>
      <c r="R373">
        <v>4</v>
      </c>
      <c r="S373">
        <v>28.63</v>
      </c>
      <c r="T373">
        <v>0</v>
      </c>
      <c r="U373">
        <v>1</v>
      </c>
      <c r="V373">
        <v>4</v>
      </c>
      <c r="W373">
        <v>49.8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4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</row>
    <row r="374" spans="1:37" x14ac:dyDescent="0.3">
      <c r="A374">
        <v>7979</v>
      </c>
      <c r="B374" t="s">
        <v>219</v>
      </c>
      <c r="D374" t="s">
        <v>327</v>
      </c>
      <c r="E374">
        <v>99999999</v>
      </c>
      <c r="F374">
        <v>11111111</v>
      </c>
      <c r="G374">
        <v>1111111111</v>
      </c>
      <c r="H374" t="s">
        <v>3943</v>
      </c>
      <c r="I374">
        <v>99999999</v>
      </c>
      <c r="J374" s="188">
        <v>45236</v>
      </c>
      <c r="K374" t="s">
        <v>3943</v>
      </c>
      <c r="L374" t="s">
        <v>3943</v>
      </c>
      <c r="M374" t="s">
        <v>677</v>
      </c>
      <c r="N374" t="s">
        <v>85</v>
      </c>
      <c r="O374" t="s">
        <v>678</v>
      </c>
      <c r="P374" t="s">
        <v>221</v>
      </c>
      <c r="Q374" t="s">
        <v>82</v>
      </c>
      <c r="R374">
        <v>2</v>
      </c>
      <c r="S374">
        <v>6.43</v>
      </c>
      <c r="T374">
        <v>0</v>
      </c>
      <c r="U374">
        <v>1</v>
      </c>
      <c r="V374">
        <v>2</v>
      </c>
      <c r="W374">
        <v>23.54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2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</row>
    <row r="375" spans="1:37" x14ac:dyDescent="0.3">
      <c r="A375">
        <v>7979</v>
      </c>
      <c r="B375" t="s">
        <v>219</v>
      </c>
      <c r="D375" t="s">
        <v>327</v>
      </c>
      <c r="E375">
        <v>99999999</v>
      </c>
      <c r="F375">
        <v>11111111</v>
      </c>
      <c r="G375">
        <v>1111111111</v>
      </c>
      <c r="H375" t="s">
        <v>3944</v>
      </c>
      <c r="I375">
        <v>99999999</v>
      </c>
      <c r="J375" s="188">
        <v>45236</v>
      </c>
      <c r="K375" t="s">
        <v>3944</v>
      </c>
      <c r="L375" t="s">
        <v>3944</v>
      </c>
      <c r="M375" t="s">
        <v>679</v>
      </c>
      <c r="N375" t="s">
        <v>680</v>
      </c>
      <c r="O375" t="s">
        <v>681</v>
      </c>
      <c r="P375" t="s">
        <v>221</v>
      </c>
      <c r="Q375" t="s">
        <v>82</v>
      </c>
      <c r="R375">
        <v>2</v>
      </c>
      <c r="S375">
        <v>7</v>
      </c>
      <c r="T375">
        <v>0</v>
      </c>
      <c r="U375">
        <v>1</v>
      </c>
      <c r="V375">
        <v>2</v>
      </c>
      <c r="W375">
        <v>37.36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2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</row>
    <row r="376" spans="1:37" x14ac:dyDescent="0.3">
      <c r="A376">
        <v>7979</v>
      </c>
      <c r="B376" t="s">
        <v>219</v>
      </c>
      <c r="D376" t="s">
        <v>327</v>
      </c>
      <c r="E376">
        <v>99999999</v>
      </c>
      <c r="F376">
        <v>11111111</v>
      </c>
      <c r="G376">
        <v>1111111111</v>
      </c>
      <c r="H376" t="s">
        <v>3945</v>
      </c>
      <c r="I376">
        <v>99999999</v>
      </c>
      <c r="J376" s="188">
        <v>45236</v>
      </c>
      <c r="K376" t="s">
        <v>3945</v>
      </c>
      <c r="L376" t="s">
        <v>3945</v>
      </c>
      <c r="M376" t="s">
        <v>246</v>
      </c>
      <c r="N376" t="s">
        <v>99</v>
      </c>
      <c r="O376">
        <v>94117</v>
      </c>
      <c r="P376" t="s">
        <v>221</v>
      </c>
      <c r="Q376" t="s">
        <v>82</v>
      </c>
      <c r="R376">
        <v>1</v>
      </c>
      <c r="S376">
        <v>8.14</v>
      </c>
      <c r="T376">
        <v>0</v>
      </c>
      <c r="U376">
        <v>1</v>
      </c>
      <c r="V376">
        <v>1</v>
      </c>
      <c r="W376">
        <v>22.65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1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</row>
    <row r="377" spans="1:37" x14ac:dyDescent="0.3">
      <c r="A377">
        <v>7979</v>
      </c>
      <c r="B377" t="s">
        <v>219</v>
      </c>
      <c r="D377" t="s">
        <v>327</v>
      </c>
      <c r="E377">
        <v>99999999</v>
      </c>
      <c r="F377">
        <v>11111111</v>
      </c>
      <c r="G377">
        <v>1111111111</v>
      </c>
      <c r="H377" t="s">
        <v>3946</v>
      </c>
      <c r="I377">
        <v>99999999</v>
      </c>
      <c r="J377" s="188">
        <v>45236</v>
      </c>
      <c r="K377" t="s">
        <v>3946</v>
      </c>
      <c r="L377" t="s">
        <v>3946</v>
      </c>
      <c r="M377" t="s">
        <v>682</v>
      </c>
      <c r="N377" t="s">
        <v>97</v>
      </c>
      <c r="O377" t="s">
        <v>683</v>
      </c>
      <c r="P377" t="s">
        <v>221</v>
      </c>
      <c r="Q377" t="s">
        <v>82</v>
      </c>
      <c r="R377">
        <v>1</v>
      </c>
      <c r="S377">
        <v>8</v>
      </c>
      <c r="T377">
        <v>0</v>
      </c>
      <c r="U377">
        <v>1</v>
      </c>
      <c r="V377">
        <v>1</v>
      </c>
      <c r="W377">
        <v>32.479999999999997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1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</row>
    <row r="378" spans="1:37" x14ac:dyDescent="0.3">
      <c r="A378">
        <v>7979</v>
      </c>
      <c r="B378" t="s">
        <v>219</v>
      </c>
      <c r="D378" t="s">
        <v>327</v>
      </c>
      <c r="E378">
        <v>99999999</v>
      </c>
      <c r="F378">
        <v>11111111</v>
      </c>
      <c r="G378">
        <v>1111111111</v>
      </c>
      <c r="H378" t="s">
        <v>3947</v>
      </c>
      <c r="I378">
        <v>99999999</v>
      </c>
      <c r="J378" s="188">
        <v>45236</v>
      </c>
      <c r="K378" t="s">
        <v>3947</v>
      </c>
      <c r="L378" t="s">
        <v>3947</v>
      </c>
      <c r="M378" t="s">
        <v>684</v>
      </c>
      <c r="N378" t="s">
        <v>99</v>
      </c>
      <c r="O378" t="s">
        <v>685</v>
      </c>
      <c r="P378" t="s">
        <v>221</v>
      </c>
      <c r="Q378" t="s">
        <v>82</v>
      </c>
      <c r="R378">
        <v>1</v>
      </c>
      <c r="S378">
        <v>7.28</v>
      </c>
      <c r="T378">
        <v>0</v>
      </c>
      <c r="U378">
        <v>1</v>
      </c>
      <c r="V378">
        <v>1</v>
      </c>
      <c r="W378">
        <v>24.15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1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</row>
    <row r="379" spans="1:37" x14ac:dyDescent="0.3">
      <c r="A379">
        <v>7979</v>
      </c>
      <c r="B379" t="s">
        <v>219</v>
      </c>
      <c r="D379" t="s">
        <v>327</v>
      </c>
      <c r="E379">
        <v>99999999</v>
      </c>
      <c r="F379">
        <v>11111111</v>
      </c>
      <c r="G379">
        <v>1111111111</v>
      </c>
      <c r="H379" t="s">
        <v>3948</v>
      </c>
      <c r="I379">
        <v>99999999</v>
      </c>
      <c r="J379" s="188">
        <v>45236</v>
      </c>
      <c r="K379" t="s">
        <v>3948</v>
      </c>
      <c r="L379" t="s">
        <v>3948</v>
      </c>
      <c r="M379" t="s">
        <v>443</v>
      </c>
      <c r="N379" t="s">
        <v>91</v>
      </c>
      <c r="O379">
        <v>85142</v>
      </c>
      <c r="P379" t="s">
        <v>221</v>
      </c>
      <c r="Q379" t="s">
        <v>82</v>
      </c>
      <c r="R379">
        <v>1</v>
      </c>
      <c r="S379">
        <v>8</v>
      </c>
      <c r="T379">
        <v>0</v>
      </c>
      <c r="U379">
        <v>1</v>
      </c>
      <c r="V379">
        <v>1</v>
      </c>
      <c r="W379">
        <v>25.74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1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</row>
    <row r="380" spans="1:37" x14ac:dyDescent="0.3">
      <c r="A380">
        <v>7979</v>
      </c>
      <c r="B380" t="s">
        <v>219</v>
      </c>
      <c r="D380" t="s">
        <v>327</v>
      </c>
      <c r="E380">
        <v>99999999</v>
      </c>
      <c r="F380">
        <v>11111111</v>
      </c>
      <c r="G380">
        <v>1111111111</v>
      </c>
      <c r="H380" t="s">
        <v>3949</v>
      </c>
      <c r="I380">
        <v>99999999</v>
      </c>
      <c r="J380" s="188">
        <v>45236</v>
      </c>
      <c r="K380" t="s">
        <v>3949</v>
      </c>
      <c r="L380" t="s">
        <v>3949</v>
      </c>
      <c r="M380" t="s">
        <v>686</v>
      </c>
      <c r="N380" t="s">
        <v>97</v>
      </c>
      <c r="O380" t="s">
        <v>687</v>
      </c>
      <c r="P380" t="s">
        <v>221</v>
      </c>
      <c r="Q380" t="s">
        <v>82</v>
      </c>
      <c r="R380">
        <v>3</v>
      </c>
      <c r="S380">
        <v>6.8</v>
      </c>
      <c r="T380">
        <v>0</v>
      </c>
      <c r="U380">
        <v>1</v>
      </c>
      <c r="V380">
        <v>3</v>
      </c>
      <c r="W380">
        <v>32.409999999999997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3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</row>
    <row r="381" spans="1:37" x14ac:dyDescent="0.3">
      <c r="A381">
        <v>7979</v>
      </c>
      <c r="B381" t="s">
        <v>219</v>
      </c>
      <c r="D381" t="s">
        <v>327</v>
      </c>
      <c r="E381">
        <v>99999999</v>
      </c>
      <c r="F381">
        <v>11111111</v>
      </c>
      <c r="G381">
        <v>1111111111</v>
      </c>
      <c r="H381" t="s">
        <v>3950</v>
      </c>
      <c r="I381">
        <v>99999999</v>
      </c>
      <c r="J381" s="188">
        <v>45236</v>
      </c>
      <c r="K381" t="s">
        <v>3950</v>
      </c>
      <c r="L381" t="s">
        <v>3950</v>
      </c>
      <c r="M381" t="s">
        <v>173</v>
      </c>
      <c r="N381" t="s">
        <v>164</v>
      </c>
      <c r="O381" t="s">
        <v>688</v>
      </c>
      <c r="P381" t="s">
        <v>221</v>
      </c>
      <c r="Q381" t="s">
        <v>82</v>
      </c>
      <c r="R381">
        <v>1</v>
      </c>
      <c r="S381">
        <v>7.89</v>
      </c>
      <c r="T381">
        <v>0</v>
      </c>
      <c r="U381">
        <v>1</v>
      </c>
      <c r="V381">
        <v>1</v>
      </c>
      <c r="W381">
        <v>24.22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</row>
    <row r="382" spans="1:37" x14ac:dyDescent="0.3">
      <c r="A382">
        <v>7979</v>
      </c>
      <c r="B382" t="s">
        <v>219</v>
      </c>
      <c r="D382" t="s">
        <v>327</v>
      </c>
      <c r="E382">
        <v>99999999</v>
      </c>
      <c r="F382">
        <v>11111111</v>
      </c>
      <c r="G382">
        <v>1111111111</v>
      </c>
      <c r="H382" t="s">
        <v>3951</v>
      </c>
      <c r="I382">
        <v>99999999</v>
      </c>
      <c r="J382" s="188">
        <v>45236</v>
      </c>
      <c r="K382" t="s">
        <v>3951</v>
      </c>
      <c r="L382" t="s">
        <v>3951</v>
      </c>
      <c r="M382" t="s">
        <v>689</v>
      </c>
      <c r="N382" t="s">
        <v>522</v>
      </c>
      <c r="O382">
        <v>30677</v>
      </c>
      <c r="P382" t="s">
        <v>221</v>
      </c>
      <c r="Q382" t="s">
        <v>82</v>
      </c>
      <c r="R382">
        <v>1</v>
      </c>
      <c r="S382">
        <v>8.69</v>
      </c>
      <c r="T382">
        <v>0</v>
      </c>
      <c r="U382">
        <v>1</v>
      </c>
      <c r="V382">
        <v>1</v>
      </c>
      <c r="W382">
        <v>38.06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1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</row>
    <row r="383" spans="1:37" x14ac:dyDescent="0.3">
      <c r="A383">
        <v>7979</v>
      </c>
      <c r="B383" t="s">
        <v>219</v>
      </c>
      <c r="D383" t="s">
        <v>327</v>
      </c>
      <c r="E383">
        <v>99999999</v>
      </c>
      <c r="F383">
        <v>11111111</v>
      </c>
      <c r="G383">
        <v>1111111111</v>
      </c>
      <c r="H383" t="s">
        <v>3952</v>
      </c>
      <c r="I383">
        <v>99999999</v>
      </c>
      <c r="J383" s="188">
        <v>45236</v>
      </c>
      <c r="K383" t="s">
        <v>3952</v>
      </c>
      <c r="L383" t="s">
        <v>3952</v>
      </c>
      <c r="M383" t="s">
        <v>690</v>
      </c>
      <c r="N383" t="s">
        <v>141</v>
      </c>
      <c r="O383" t="s">
        <v>691</v>
      </c>
      <c r="P383" t="s">
        <v>221</v>
      </c>
      <c r="Q383" t="s">
        <v>82</v>
      </c>
      <c r="R383">
        <v>1</v>
      </c>
      <c r="S383">
        <v>8.69</v>
      </c>
      <c r="T383">
        <v>0</v>
      </c>
      <c r="U383">
        <v>1</v>
      </c>
      <c r="V383">
        <v>1</v>
      </c>
      <c r="W383">
        <v>31.94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1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</row>
    <row r="384" spans="1:37" x14ac:dyDescent="0.3">
      <c r="A384">
        <v>7979</v>
      </c>
      <c r="B384" t="s">
        <v>219</v>
      </c>
      <c r="D384" t="s">
        <v>327</v>
      </c>
      <c r="E384">
        <v>99999999</v>
      </c>
      <c r="F384">
        <v>11111111</v>
      </c>
      <c r="G384">
        <v>1111111111</v>
      </c>
      <c r="H384" t="s">
        <v>3953</v>
      </c>
      <c r="I384">
        <v>99999999</v>
      </c>
      <c r="J384" s="188">
        <v>45236</v>
      </c>
      <c r="K384" t="s">
        <v>3953</v>
      </c>
      <c r="L384" t="s">
        <v>3953</v>
      </c>
      <c r="M384" t="s">
        <v>334</v>
      </c>
      <c r="N384" t="s">
        <v>97</v>
      </c>
      <c r="O384" t="s">
        <v>692</v>
      </c>
      <c r="P384" t="s">
        <v>221</v>
      </c>
      <c r="Q384" t="s">
        <v>82</v>
      </c>
      <c r="R384">
        <v>2</v>
      </c>
      <c r="S384">
        <v>6.2</v>
      </c>
      <c r="T384">
        <v>0</v>
      </c>
      <c r="U384">
        <v>1</v>
      </c>
      <c r="V384">
        <v>2</v>
      </c>
      <c r="W384">
        <v>29.66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2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</row>
    <row r="385" spans="1:37" x14ac:dyDescent="0.3">
      <c r="A385">
        <v>7979</v>
      </c>
      <c r="B385" t="s">
        <v>219</v>
      </c>
      <c r="D385" t="s">
        <v>327</v>
      </c>
      <c r="E385">
        <v>99999999</v>
      </c>
      <c r="F385">
        <v>11111111</v>
      </c>
      <c r="G385">
        <v>1111111111</v>
      </c>
      <c r="H385" t="s">
        <v>3954</v>
      </c>
      <c r="I385">
        <v>99999999</v>
      </c>
      <c r="J385" s="188">
        <v>45236</v>
      </c>
      <c r="K385" t="s">
        <v>3954</v>
      </c>
      <c r="L385" t="s">
        <v>3954</v>
      </c>
      <c r="M385" t="s">
        <v>693</v>
      </c>
      <c r="N385" t="s">
        <v>197</v>
      </c>
      <c r="O385">
        <v>78641</v>
      </c>
      <c r="P385" t="s">
        <v>221</v>
      </c>
      <c r="Q385" t="s">
        <v>82</v>
      </c>
      <c r="R385">
        <v>1</v>
      </c>
      <c r="S385">
        <v>6.5</v>
      </c>
      <c r="T385">
        <v>0</v>
      </c>
      <c r="U385">
        <v>1</v>
      </c>
      <c r="V385">
        <v>1</v>
      </c>
      <c r="W385">
        <v>25.47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1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</row>
    <row r="386" spans="1:37" x14ac:dyDescent="0.3">
      <c r="A386">
        <v>7979</v>
      </c>
      <c r="B386" t="s">
        <v>219</v>
      </c>
      <c r="D386" t="s">
        <v>327</v>
      </c>
      <c r="E386">
        <v>99999999</v>
      </c>
      <c r="F386">
        <v>11111111</v>
      </c>
      <c r="G386">
        <v>1111111111</v>
      </c>
      <c r="H386" t="s">
        <v>3955</v>
      </c>
      <c r="I386">
        <v>99999999</v>
      </c>
      <c r="J386" s="188">
        <v>45236</v>
      </c>
      <c r="K386" t="s">
        <v>3955</v>
      </c>
      <c r="L386" t="s">
        <v>3955</v>
      </c>
      <c r="M386" t="s">
        <v>694</v>
      </c>
      <c r="N386" t="s">
        <v>97</v>
      </c>
      <c r="O386" t="s">
        <v>695</v>
      </c>
      <c r="P386" t="s">
        <v>221</v>
      </c>
      <c r="Q386" t="s">
        <v>82</v>
      </c>
      <c r="R386">
        <v>2</v>
      </c>
      <c r="S386">
        <v>13</v>
      </c>
      <c r="T386">
        <v>0</v>
      </c>
      <c r="U386">
        <v>1</v>
      </c>
      <c r="V386">
        <v>2</v>
      </c>
      <c r="W386">
        <v>33.49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2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</row>
    <row r="387" spans="1:37" x14ac:dyDescent="0.3">
      <c r="A387">
        <v>7979</v>
      </c>
      <c r="B387" t="s">
        <v>219</v>
      </c>
      <c r="D387" t="s">
        <v>327</v>
      </c>
      <c r="E387">
        <v>99999999</v>
      </c>
      <c r="F387">
        <v>11111111</v>
      </c>
      <c r="G387">
        <v>1111111111</v>
      </c>
      <c r="H387" t="s">
        <v>3956</v>
      </c>
      <c r="I387">
        <v>99999999</v>
      </c>
      <c r="J387" s="188">
        <v>45236</v>
      </c>
      <c r="K387" t="s">
        <v>3956</v>
      </c>
      <c r="L387" t="s">
        <v>3956</v>
      </c>
      <c r="M387" t="s">
        <v>696</v>
      </c>
      <c r="N387" t="s">
        <v>197</v>
      </c>
      <c r="O387" t="s">
        <v>697</v>
      </c>
      <c r="P387" t="s">
        <v>221</v>
      </c>
      <c r="Q387" t="s">
        <v>82</v>
      </c>
      <c r="R387">
        <v>3</v>
      </c>
      <c r="S387">
        <v>9.6</v>
      </c>
      <c r="T387">
        <v>0</v>
      </c>
      <c r="U387">
        <v>1</v>
      </c>
      <c r="V387">
        <v>2</v>
      </c>
      <c r="W387">
        <v>27.44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3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</row>
    <row r="388" spans="1:37" x14ac:dyDescent="0.3">
      <c r="A388">
        <v>7979</v>
      </c>
      <c r="B388" t="s">
        <v>219</v>
      </c>
      <c r="D388" t="s">
        <v>327</v>
      </c>
      <c r="E388">
        <v>99999999</v>
      </c>
      <c r="F388">
        <v>11111111</v>
      </c>
      <c r="G388">
        <v>1111111111</v>
      </c>
      <c r="H388" t="s">
        <v>3957</v>
      </c>
      <c r="I388">
        <v>99999999</v>
      </c>
      <c r="J388" s="188">
        <v>45236</v>
      </c>
      <c r="K388" t="s">
        <v>3957</v>
      </c>
      <c r="L388" t="s">
        <v>3957</v>
      </c>
      <c r="M388" t="s">
        <v>698</v>
      </c>
      <c r="N388" t="s">
        <v>381</v>
      </c>
      <c r="O388">
        <v>59730</v>
      </c>
      <c r="P388" t="s">
        <v>221</v>
      </c>
      <c r="Q388" t="s">
        <v>82</v>
      </c>
      <c r="R388">
        <v>2</v>
      </c>
      <c r="S388">
        <v>18</v>
      </c>
      <c r="T388">
        <v>0</v>
      </c>
      <c r="U388">
        <v>1</v>
      </c>
      <c r="V388">
        <v>2</v>
      </c>
      <c r="W388">
        <v>35.57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2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</row>
    <row r="389" spans="1:37" x14ac:dyDescent="0.3">
      <c r="A389">
        <v>7979</v>
      </c>
      <c r="B389" t="s">
        <v>219</v>
      </c>
      <c r="D389" t="s">
        <v>327</v>
      </c>
      <c r="E389">
        <v>99999999</v>
      </c>
      <c r="F389">
        <v>11111111</v>
      </c>
      <c r="G389">
        <v>1111111111</v>
      </c>
      <c r="H389" t="s">
        <v>3958</v>
      </c>
      <c r="I389">
        <v>99999999</v>
      </c>
      <c r="J389" s="188">
        <v>45236</v>
      </c>
      <c r="K389" t="s">
        <v>3958</v>
      </c>
      <c r="L389" t="s">
        <v>3958</v>
      </c>
      <c r="M389" t="s">
        <v>699</v>
      </c>
      <c r="N389" t="s">
        <v>99</v>
      </c>
      <c r="O389">
        <v>95403</v>
      </c>
      <c r="P389" t="s">
        <v>221</v>
      </c>
      <c r="Q389" t="s">
        <v>82</v>
      </c>
      <c r="R389">
        <v>1</v>
      </c>
      <c r="S389">
        <v>7.83</v>
      </c>
      <c r="T389">
        <v>0</v>
      </c>
      <c r="U389">
        <v>1</v>
      </c>
      <c r="V389">
        <v>1</v>
      </c>
      <c r="W389">
        <v>22.65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1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</row>
    <row r="390" spans="1:37" x14ac:dyDescent="0.3">
      <c r="A390">
        <v>7979</v>
      </c>
      <c r="B390" t="s">
        <v>219</v>
      </c>
      <c r="D390" t="s">
        <v>327</v>
      </c>
      <c r="E390">
        <v>99999999</v>
      </c>
      <c r="F390">
        <v>11111111</v>
      </c>
      <c r="G390">
        <v>1111111111</v>
      </c>
      <c r="H390" t="s">
        <v>3959</v>
      </c>
      <c r="I390">
        <v>99999999</v>
      </c>
      <c r="J390" s="188">
        <v>45236</v>
      </c>
      <c r="K390" t="s">
        <v>3959</v>
      </c>
      <c r="L390" t="s">
        <v>3959</v>
      </c>
      <c r="M390" t="s">
        <v>491</v>
      </c>
      <c r="N390" t="s">
        <v>130</v>
      </c>
      <c r="O390" t="s">
        <v>700</v>
      </c>
      <c r="P390" t="s">
        <v>221</v>
      </c>
      <c r="Q390" t="s">
        <v>82</v>
      </c>
      <c r="R390">
        <v>1</v>
      </c>
      <c r="S390">
        <v>10</v>
      </c>
      <c r="T390">
        <v>0</v>
      </c>
      <c r="U390">
        <v>1</v>
      </c>
      <c r="V390">
        <v>1</v>
      </c>
      <c r="W390">
        <v>34.53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1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</row>
    <row r="391" spans="1:37" x14ac:dyDescent="0.3">
      <c r="A391">
        <v>7979</v>
      </c>
      <c r="B391" t="s">
        <v>219</v>
      </c>
      <c r="D391" t="s">
        <v>327</v>
      </c>
      <c r="E391">
        <v>99999999</v>
      </c>
      <c r="F391">
        <v>11111111</v>
      </c>
      <c r="G391">
        <v>1111111111</v>
      </c>
      <c r="H391" t="s">
        <v>3960</v>
      </c>
      <c r="I391">
        <v>99999999</v>
      </c>
      <c r="J391" s="188">
        <v>45236</v>
      </c>
      <c r="K391" t="s">
        <v>3960</v>
      </c>
      <c r="L391" t="s">
        <v>3960</v>
      </c>
      <c r="M391" t="s">
        <v>701</v>
      </c>
      <c r="N391" t="s">
        <v>99</v>
      </c>
      <c r="O391" t="s">
        <v>702</v>
      </c>
      <c r="P391" t="s">
        <v>221</v>
      </c>
      <c r="Q391" t="s">
        <v>82</v>
      </c>
      <c r="R391">
        <v>1</v>
      </c>
      <c r="S391">
        <v>8</v>
      </c>
      <c r="T391">
        <v>0</v>
      </c>
      <c r="U391">
        <v>1</v>
      </c>
      <c r="V391">
        <v>1</v>
      </c>
      <c r="W391">
        <v>29.72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</row>
    <row r="392" spans="1:37" x14ac:dyDescent="0.3">
      <c r="A392">
        <v>7979</v>
      </c>
      <c r="B392" t="s">
        <v>219</v>
      </c>
      <c r="D392" t="s">
        <v>327</v>
      </c>
      <c r="E392">
        <v>99999999</v>
      </c>
      <c r="F392">
        <v>11111111</v>
      </c>
      <c r="G392">
        <v>1111111111</v>
      </c>
      <c r="H392" t="s">
        <v>3961</v>
      </c>
      <c r="I392">
        <v>99999999</v>
      </c>
      <c r="J392" s="188">
        <v>45236</v>
      </c>
      <c r="K392" t="s">
        <v>3961</v>
      </c>
      <c r="L392" t="s">
        <v>3961</v>
      </c>
      <c r="M392" t="s">
        <v>703</v>
      </c>
      <c r="N392" t="s">
        <v>130</v>
      </c>
      <c r="O392" t="s">
        <v>704</v>
      </c>
      <c r="P392" t="s">
        <v>221</v>
      </c>
      <c r="Q392" t="s">
        <v>82</v>
      </c>
      <c r="R392">
        <v>1</v>
      </c>
      <c r="S392">
        <v>9.4600000000000009</v>
      </c>
      <c r="T392">
        <v>0</v>
      </c>
      <c r="U392">
        <v>1</v>
      </c>
      <c r="V392">
        <v>1</v>
      </c>
      <c r="W392">
        <v>34.479999999999997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1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</row>
    <row r="393" spans="1:37" x14ac:dyDescent="0.3">
      <c r="A393">
        <v>7979</v>
      </c>
      <c r="B393" t="s">
        <v>219</v>
      </c>
      <c r="D393" t="s">
        <v>327</v>
      </c>
      <c r="E393">
        <v>99999999</v>
      </c>
      <c r="F393">
        <v>11111111</v>
      </c>
      <c r="G393">
        <v>1111111111</v>
      </c>
      <c r="H393" t="s">
        <v>3962</v>
      </c>
      <c r="I393">
        <v>99999999</v>
      </c>
      <c r="J393" s="188">
        <v>45236</v>
      </c>
      <c r="K393" t="s">
        <v>3962</v>
      </c>
      <c r="L393" t="s">
        <v>3962</v>
      </c>
      <c r="M393" t="s">
        <v>705</v>
      </c>
      <c r="N393" t="s">
        <v>99</v>
      </c>
      <c r="O393" t="s">
        <v>706</v>
      </c>
      <c r="P393" t="s">
        <v>221</v>
      </c>
      <c r="Q393" t="s">
        <v>82</v>
      </c>
      <c r="R393">
        <v>4</v>
      </c>
      <c r="S393">
        <v>19.329999999999998</v>
      </c>
      <c r="T393">
        <v>0</v>
      </c>
      <c r="U393">
        <v>1</v>
      </c>
      <c r="V393">
        <v>4</v>
      </c>
      <c r="W393">
        <v>26.98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4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</row>
    <row r="394" spans="1:37" x14ac:dyDescent="0.3">
      <c r="A394">
        <v>7979</v>
      </c>
      <c r="B394" t="s">
        <v>219</v>
      </c>
      <c r="D394" t="s">
        <v>327</v>
      </c>
      <c r="E394">
        <v>99999999</v>
      </c>
      <c r="F394">
        <v>11111111</v>
      </c>
      <c r="G394">
        <v>1111111111</v>
      </c>
      <c r="H394" t="s">
        <v>3963</v>
      </c>
      <c r="I394">
        <v>99999999</v>
      </c>
      <c r="J394" s="188">
        <v>45236</v>
      </c>
      <c r="K394" t="s">
        <v>3963</v>
      </c>
      <c r="L394" t="s">
        <v>3963</v>
      </c>
      <c r="M394" t="s">
        <v>707</v>
      </c>
      <c r="N394" t="s">
        <v>141</v>
      </c>
      <c r="O394" t="s">
        <v>708</v>
      </c>
      <c r="P394" t="s">
        <v>221</v>
      </c>
      <c r="Q394" t="s">
        <v>82</v>
      </c>
      <c r="R394">
        <v>1</v>
      </c>
      <c r="S394">
        <v>1.45</v>
      </c>
      <c r="T394">
        <v>0</v>
      </c>
      <c r="U394">
        <v>1</v>
      </c>
      <c r="V394">
        <v>1</v>
      </c>
      <c r="W394">
        <v>29.22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1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</row>
    <row r="395" spans="1:37" x14ac:dyDescent="0.3">
      <c r="A395">
        <v>7979</v>
      </c>
      <c r="B395" t="s">
        <v>219</v>
      </c>
      <c r="D395" t="s">
        <v>327</v>
      </c>
      <c r="E395">
        <v>99999999</v>
      </c>
      <c r="F395">
        <v>11111111</v>
      </c>
      <c r="G395">
        <v>1111111111</v>
      </c>
      <c r="H395" t="s">
        <v>3964</v>
      </c>
      <c r="I395">
        <v>99999999</v>
      </c>
      <c r="J395" s="188">
        <v>45236</v>
      </c>
      <c r="K395" t="s">
        <v>3964</v>
      </c>
      <c r="L395" t="s">
        <v>3964</v>
      </c>
      <c r="M395" t="s">
        <v>709</v>
      </c>
      <c r="N395" t="s">
        <v>233</v>
      </c>
      <c r="O395" t="s">
        <v>710</v>
      </c>
      <c r="P395" t="s">
        <v>221</v>
      </c>
      <c r="Q395" t="s">
        <v>82</v>
      </c>
      <c r="R395">
        <v>2</v>
      </c>
      <c r="S395">
        <v>6.81</v>
      </c>
      <c r="T395">
        <v>0</v>
      </c>
      <c r="U395">
        <v>1</v>
      </c>
      <c r="V395">
        <v>2</v>
      </c>
      <c r="W395">
        <v>35.229999999999997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2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</row>
    <row r="396" spans="1:37" x14ac:dyDescent="0.3">
      <c r="A396">
        <v>7979</v>
      </c>
      <c r="B396" t="s">
        <v>219</v>
      </c>
      <c r="D396" t="s">
        <v>327</v>
      </c>
      <c r="E396">
        <v>99999999</v>
      </c>
      <c r="F396">
        <v>11111111</v>
      </c>
      <c r="G396">
        <v>1111111111</v>
      </c>
      <c r="H396" t="s">
        <v>3965</v>
      </c>
      <c r="I396">
        <v>99999999</v>
      </c>
      <c r="J396" s="188">
        <v>45236</v>
      </c>
      <c r="K396" t="s">
        <v>3965</v>
      </c>
      <c r="L396" t="s">
        <v>3965</v>
      </c>
      <c r="M396" t="s">
        <v>657</v>
      </c>
      <c r="N396" t="s">
        <v>99</v>
      </c>
      <c r="O396" t="s">
        <v>711</v>
      </c>
      <c r="P396" t="s">
        <v>221</v>
      </c>
      <c r="Q396" t="s">
        <v>82</v>
      </c>
      <c r="R396">
        <v>1</v>
      </c>
      <c r="S396">
        <v>8.58</v>
      </c>
      <c r="T396">
        <v>0</v>
      </c>
      <c r="U396">
        <v>1</v>
      </c>
      <c r="V396">
        <v>1</v>
      </c>
      <c r="W396">
        <v>27.79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1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</row>
    <row r="397" spans="1:37" x14ac:dyDescent="0.3">
      <c r="A397">
        <v>7979</v>
      </c>
      <c r="B397" t="s">
        <v>219</v>
      </c>
      <c r="D397" t="s">
        <v>327</v>
      </c>
      <c r="E397">
        <v>99999999</v>
      </c>
      <c r="F397">
        <v>11111111</v>
      </c>
      <c r="G397">
        <v>1111111111</v>
      </c>
      <c r="H397" t="s">
        <v>3966</v>
      </c>
      <c r="I397">
        <v>99999999</v>
      </c>
      <c r="J397" s="188">
        <v>45236</v>
      </c>
      <c r="K397" t="s">
        <v>3966</v>
      </c>
      <c r="L397" t="s">
        <v>3966</v>
      </c>
      <c r="M397" t="s">
        <v>712</v>
      </c>
      <c r="N397" t="s">
        <v>197</v>
      </c>
      <c r="O397" t="s">
        <v>713</v>
      </c>
      <c r="P397" t="s">
        <v>221</v>
      </c>
      <c r="Q397" t="s">
        <v>82</v>
      </c>
      <c r="R397">
        <v>2</v>
      </c>
      <c r="S397">
        <v>88</v>
      </c>
      <c r="T397">
        <v>0</v>
      </c>
      <c r="U397">
        <v>2</v>
      </c>
      <c r="V397">
        <v>1</v>
      </c>
      <c r="W397">
        <v>145.07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2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</row>
    <row r="398" spans="1:37" x14ac:dyDescent="0.3">
      <c r="A398">
        <v>7979</v>
      </c>
      <c r="B398" t="s">
        <v>219</v>
      </c>
      <c r="D398" t="s">
        <v>327</v>
      </c>
      <c r="E398">
        <v>99999999</v>
      </c>
      <c r="F398">
        <v>11111111</v>
      </c>
      <c r="G398">
        <v>1111111111</v>
      </c>
      <c r="H398" t="s">
        <v>3967</v>
      </c>
      <c r="I398">
        <v>99999999</v>
      </c>
      <c r="J398" s="188">
        <v>45236</v>
      </c>
      <c r="K398" t="s">
        <v>3967</v>
      </c>
      <c r="L398" t="s">
        <v>3967</v>
      </c>
      <c r="M398" t="s">
        <v>714</v>
      </c>
      <c r="N398" t="s">
        <v>91</v>
      </c>
      <c r="O398" t="s">
        <v>715</v>
      </c>
      <c r="P398" t="s">
        <v>221</v>
      </c>
      <c r="Q398" t="s">
        <v>82</v>
      </c>
      <c r="R398">
        <v>1</v>
      </c>
      <c r="S398">
        <v>24.7</v>
      </c>
      <c r="T398">
        <v>0</v>
      </c>
      <c r="U398">
        <v>1</v>
      </c>
      <c r="V398">
        <v>1</v>
      </c>
      <c r="W398">
        <v>38.18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1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</row>
    <row r="399" spans="1:37" x14ac:dyDescent="0.3">
      <c r="A399">
        <v>7979</v>
      </c>
      <c r="B399" t="s">
        <v>219</v>
      </c>
      <c r="D399" t="s">
        <v>327</v>
      </c>
      <c r="E399">
        <v>99999999</v>
      </c>
      <c r="F399">
        <v>11111111</v>
      </c>
      <c r="G399">
        <v>1111111111</v>
      </c>
      <c r="H399" t="s">
        <v>3968</v>
      </c>
      <c r="I399">
        <v>99999999</v>
      </c>
      <c r="J399" s="188">
        <v>45236</v>
      </c>
      <c r="K399" t="s">
        <v>3968</v>
      </c>
      <c r="L399" t="s">
        <v>3968</v>
      </c>
      <c r="M399" t="s">
        <v>716</v>
      </c>
      <c r="N399" t="s">
        <v>97</v>
      </c>
      <c r="O399" t="s">
        <v>717</v>
      </c>
      <c r="P399" t="s">
        <v>221</v>
      </c>
      <c r="Q399" t="s">
        <v>82</v>
      </c>
      <c r="R399">
        <v>8</v>
      </c>
      <c r="S399">
        <v>54.12</v>
      </c>
      <c r="T399">
        <v>0</v>
      </c>
      <c r="U399">
        <v>2</v>
      </c>
      <c r="V399">
        <v>3</v>
      </c>
      <c r="W399">
        <v>87.79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8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</row>
    <row r="400" spans="1:37" x14ac:dyDescent="0.3">
      <c r="A400">
        <v>7979</v>
      </c>
      <c r="B400" t="s">
        <v>219</v>
      </c>
      <c r="D400" t="s">
        <v>327</v>
      </c>
      <c r="E400">
        <v>99999999</v>
      </c>
      <c r="F400">
        <v>11111111</v>
      </c>
      <c r="G400">
        <v>1111111111</v>
      </c>
      <c r="H400" t="s">
        <v>3969</v>
      </c>
      <c r="I400">
        <v>99999999</v>
      </c>
      <c r="J400" s="188">
        <v>45236</v>
      </c>
      <c r="K400" t="s">
        <v>3969</v>
      </c>
      <c r="L400" t="s">
        <v>3969</v>
      </c>
      <c r="M400" t="s">
        <v>718</v>
      </c>
      <c r="N400" t="s">
        <v>122</v>
      </c>
      <c r="O400">
        <v>87508</v>
      </c>
      <c r="P400" t="s">
        <v>221</v>
      </c>
      <c r="Q400" t="s">
        <v>82</v>
      </c>
      <c r="R400">
        <v>1</v>
      </c>
      <c r="S400">
        <v>44</v>
      </c>
      <c r="T400">
        <v>0</v>
      </c>
      <c r="U400">
        <v>1</v>
      </c>
      <c r="V400">
        <v>1</v>
      </c>
      <c r="W400">
        <v>60.36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1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</row>
    <row r="401" spans="1:37" x14ac:dyDescent="0.3">
      <c r="A401">
        <v>7979</v>
      </c>
      <c r="B401" t="s">
        <v>219</v>
      </c>
      <c r="D401" t="s">
        <v>327</v>
      </c>
      <c r="E401">
        <v>99999999</v>
      </c>
      <c r="F401">
        <v>11111111</v>
      </c>
      <c r="G401">
        <v>1111111111</v>
      </c>
      <c r="H401" t="s">
        <v>3970</v>
      </c>
      <c r="I401">
        <v>99999999</v>
      </c>
      <c r="J401" s="188">
        <v>45236</v>
      </c>
      <c r="K401" t="s">
        <v>3970</v>
      </c>
      <c r="L401" t="s">
        <v>3970</v>
      </c>
      <c r="M401" t="s">
        <v>719</v>
      </c>
      <c r="N401" t="s">
        <v>97</v>
      </c>
      <c r="O401">
        <v>98026</v>
      </c>
      <c r="P401" t="s">
        <v>221</v>
      </c>
      <c r="Q401" t="s">
        <v>82</v>
      </c>
      <c r="R401">
        <v>1</v>
      </c>
      <c r="S401">
        <v>14</v>
      </c>
      <c r="T401">
        <v>0</v>
      </c>
      <c r="U401">
        <v>1</v>
      </c>
      <c r="V401">
        <v>1</v>
      </c>
      <c r="W401">
        <v>25.51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1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</row>
    <row r="402" spans="1:37" x14ac:dyDescent="0.3">
      <c r="A402">
        <v>7979</v>
      </c>
      <c r="B402" t="s">
        <v>219</v>
      </c>
      <c r="D402" t="s">
        <v>327</v>
      </c>
      <c r="E402">
        <v>99999999</v>
      </c>
      <c r="F402">
        <v>11111111</v>
      </c>
      <c r="G402">
        <v>1111111111</v>
      </c>
      <c r="H402" t="s">
        <v>3971</v>
      </c>
      <c r="I402">
        <v>99999999</v>
      </c>
      <c r="J402" s="188">
        <v>45236</v>
      </c>
      <c r="K402" t="s">
        <v>3971</v>
      </c>
      <c r="L402" t="s">
        <v>3971</v>
      </c>
      <c r="M402" t="s">
        <v>173</v>
      </c>
      <c r="N402" t="s">
        <v>164</v>
      </c>
      <c r="O402" t="s">
        <v>720</v>
      </c>
      <c r="P402" t="s">
        <v>221</v>
      </c>
      <c r="Q402" t="s">
        <v>82</v>
      </c>
      <c r="R402">
        <v>1</v>
      </c>
      <c r="S402">
        <v>22.5</v>
      </c>
      <c r="T402">
        <v>0</v>
      </c>
      <c r="U402">
        <v>1</v>
      </c>
      <c r="V402">
        <v>1</v>
      </c>
      <c r="W402">
        <v>29.85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1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</row>
    <row r="403" spans="1:37" x14ac:dyDescent="0.3">
      <c r="A403">
        <v>7979</v>
      </c>
      <c r="B403" t="s">
        <v>219</v>
      </c>
      <c r="D403" t="s">
        <v>327</v>
      </c>
      <c r="E403">
        <v>99999999</v>
      </c>
      <c r="F403">
        <v>11111111</v>
      </c>
      <c r="G403">
        <v>1111111111</v>
      </c>
      <c r="H403" t="s">
        <v>3972</v>
      </c>
      <c r="I403">
        <v>99999999</v>
      </c>
      <c r="J403" s="188">
        <v>45236</v>
      </c>
      <c r="K403" t="s">
        <v>3972</v>
      </c>
      <c r="L403" t="s">
        <v>3972</v>
      </c>
      <c r="M403" t="s">
        <v>358</v>
      </c>
      <c r="N403" t="s">
        <v>197</v>
      </c>
      <c r="O403" t="s">
        <v>721</v>
      </c>
      <c r="P403" t="s">
        <v>221</v>
      </c>
      <c r="Q403" t="s">
        <v>82</v>
      </c>
      <c r="R403">
        <v>1</v>
      </c>
      <c r="S403">
        <v>31</v>
      </c>
      <c r="T403">
        <v>0</v>
      </c>
      <c r="U403">
        <v>1</v>
      </c>
      <c r="V403">
        <v>1</v>
      </c>
      <c r="W403">
        <v>51.09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1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</row>
    <row r="404" spans="1:37" x14ac:dyDescent="0.3">
      <c r="A404">
        <v>7979</v>
      </c>
      <c r="B404" t="s">
        <v>219</v>
      </c>
      <c r="D404" t="s">
        <v>327</v>
      </c>
      <c r="E404">
        <v>99999999</v>
      </c>
      <c r="F404">
        <v>11111111</v>
      </c>
      <c r="G404">
        <v>1111111111</v>
      </c>
      <c r="H404" t="s">
        <v>3973</v>
      </c>
      <c r="I404">
        <v>99999999</v>
      </c>
      <c r="J404" s="188">
        <v>45236</v>
      </c>
      <c r="K404" t="s">
        <v>3973</v>
      </c>
      <c r="L404" t="s">
        <v>3973</v>
      </c>
      <c r="M404" t="s">
        <v>123</v>
      </c>
      <c r="N404" t="s">
        <v>104</v>
      </c>
      <c r="O404" t="s">
        <v>722</v>
      </c>
      <c r="P404" t="s">
        <v>221</v>
      </c>
      <c r="Q404" t="s">
        <v>82</v>
      </c>
      <c r="R404">
        <v>1</v>
      </c>
      <c r="S404">
        <v>44</v>
      </c>
      <c r="T404">
        <v>0</v>
      </c>
      <c r="U404">
        <v>1</v>
      </c>
      <c r="V404">
        <v>1</v>
      </c>
      <c r="W404">
        <v>45.89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</row>
    <row r="405" spans="1:37" x14ac:dyDescent="0.3">
      <c r="A405">
        <v>7979</v>
      </c>
      <c r="B405" t="s">
        <v>219</v>
      </c>
      <c r="D405" t="s">
        <v>327</v>
      </c>
      <c r="E405">
        <v>99999999</v>
      </c>
      <c r="F405">
        <v>11111111</v>
      </c>
      <c r="G405">
        <v>1111111111</v>
      </c>
      <c r="H405" t="s">
        <v>3974</v>
      </c>
      <c r="I405">
        <v>99999999</v>
      </c>
      <c r="J405" s="188">
        <v>45236</v>
      </c>
      <c r="K405" t="s">
        <v>3974</v>
      </c>
      <c r="L405" t="s">
        <v>3974</v>
      </c>
      <c r="M405" t="s">
        <v>341</v>
      </c>
      <c r="N405" t="s">
        <v>130</v>
      </c>
      <c r="O405" t="s">
        <v>723</v>
      </c>
      <c r="P405" t="s">
        <v>221</v>
      </c>
      <c r="Q405" t="s">
        <v>82</v>
      </c>
      <c r="R405">
        <v>1</v>
      </c>
      <c r="S405">
        <v>12.35</v>
      </c>
      <c r="T405">
        <v>0</v>
      </c>
      <c r="U405">
        <v>1</v>
      </c>
      <c r="V405">
        <v>1</v>
      </c>
      <c r="W405">
        <v>26.9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1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</row>
    <row r="406" spans="1:37" x14ac:dyDescent="0.3">
      <c r="A406">
        <v>7979</v>
      </c>
      <c r="B406" t="s">
        <v>219</v>
      </c>
      <c r="D406" t="s">
        <v>327</v>
      </c>
      <c r="E406">
        <v>99999999</v>
      </c>
      <c r="F406">
        <v>11111111</v>
      </c>
      <c r="G406">
        <v>1111111111</v>
      </c>
      <c r="H406" t="s">
        <v>3975</v>
      </c>
      <c r="I406">
        <v>99999999</v>
      </c>
      <c r="J406" s="188">
        <v>45236</v>
      </c>
      <c r="K406" t="s">
        <v>3975</v>
      </c>
      <c r="L406" t="s">
        <v>3975</v>
      </c>
      <c r="M406" t="s">
        <v>724</v>
      </c>
      <c r="N406" t="s">
        <v>197</v>
      </c>
      <c r="O406" t="s">
        <v>725</v>
      </c>
      <c r="P406" t="s">
        <v>221</v>
      </c>
      <c r="Q406" t="s">
        <v>82</v>
      </c>
      <c r="R406">
        <v>2</v>
      </c>
      <c r="S406">
        <v>3.25</v>
      </c>
      <c r="T406">
        <v>0</v>
      </c>
      <c r="U406">
        <v>1</v>
      </c>
      <c r="V406">
        <v>2</v>
      </c>
      <c r="W406">
        <v>31.37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2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</row>
    <row r="407" spans="1:37" x14ac:dyDescent="0.3">
      <c r="A407">
        <v>7979</v>
      </c>
      <c r="B407" t="s">
        <v>219</v>
      </c>
      <c r="D407" t="s">
        <v>327</v>
      </c>
      <c r="E407">
        <v>99999999</v>
      </c>
      <c r="F407">
        <v>11111111</v>
      </c>
      <c r="G407">
        <v>1111111111</v>
      </c>
      <c r="H407" t="s">
        <v>3976</v>
      </c>
      <c r="I407">
        <v>99999999</v>
      </c>
      <c r="J407" s="188">
        <v>45236</v>
      </c>
      <c r="K407" t="s">
        <v>3976</v>
      </c>
      <c r="L407" t="s">
        <v>3976</v>
      </c>
      <c r="M407" t="s">
        <v>726</v>
      </c>
      <c r="N407" t="s">
        <v>97</v>
      </c>
      <c r="O407">
        <v>98240</v>
      </c>
      <c r="P407" t="s">
        <v>221</v>
      </c>
      <c r="Q407" t="s">
        <v>82</v>
      </c>
      <c r="R407">
        <v>1</v>
      </c>
      <c r="S407">
        <v>50</v>
      </c>
      <c r="T407">
        <v>0</v>
      </c>
      <c r="U407">
        <v>1</v>
      </c>
      <c r="V407">
        <v>1</v>
      </c>
      <c r="W407">
        <v>92.86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</row>
    <row r="408" spans="1:37" x14ac:dyDescent="0.3">
      <c r="A408">
        <v>7979</v>
      </c>
      <c r="B408" t="s">
        <v>219</v>
      </c>
      <c r="D408" t="s">
        <v>327</v>
      </c>
      <c r="E408">
        <v>99999999</v>
      </c>
      <c r="F408">
        <v>11111111</v>
      </c>
      <c r="G408">
        <v>1111111111</v>
      </c>
      <c r="H408" t="s">
        <v>3977</v>
      </c>
      <c r="I408">
        <v>99999999</v>
      </c>
      <c r="J408" s="188">
        <v>45236</v>
      </c>
      <c r="K408" t="s">
        <v>3977</v>
      </c>
      <c r="L408" t="s">
        <v>3977</v>
      </c>
      <c r="M408" t="s">
        <v>727</v>
      </c>
      <c r="N408" t="s">
        <v>99</v>
      </c>
      <c r="O408" t="s">
        <v>728</v>
      </c>
      <c r="P408" t="s">
        <v>221</v>
      </c>
      <c r="Q408" t="s">
        <v>82</v>
      </c>
      <c r="R408">
        <v>1</v>
      </c>
      <c r="S408">
        <v>50</v>
      </c>
      <c r="T408">
        <v>0</v>
      </c>
      <c r="U408">
        <v>1</v>
      </c>
      <c r="V408">
        <v>1</v>
      </c>
      <c r="W408">
        <v>79.11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1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</row>
    <row r="409" spans="1:37" x14ac:dyDescent="0.3">
      <c r="A409">
        <v>7979</v>
      </c>
      <c r="B409" t="s">
        <v>219</v>
      </c>
      <c r="D409" t="s">
        <v>327</v>
      </c>
      <c r="E409">
        <v>99999999</v>
      </c>
      <c r="F409">
        <v>11111111</v>
      </c>
      <c r="G409">
        <v>1111111111</v>
      </c>
      <c r="H409" t="s">
        <v>3978</v>
      </c>
      <c r="I409">
        <v>99999999</v>
      </c>
      <c r="J409" s="188">
        <v>45236</v>
      </c>
      <c r="K409" t="s">
        <v>3978</v>
      </c>
      <c r="L409" t="s">
        <v>3978</v>
      </c>
      <c r="M409" t="s">
        <v>729</v>
      </c>
      <c r="N409" t="s">
        <v>231</v>
      </c>
      <c r="O409" t="s">
        <v>730</v>
      </c>
      <c r="P409" t="s">
        <v>221</v>
      </c>
      <c r="Q409" t="s">
        <v>82</v>
      </c>
      <c r="R409">
        <v>1</v>
      </c>
      <c r="S409">
        <v>2.25</v>
      </c>
      <c r="T409">
        <v>0</v>
      </c>
      <c r="U409">
        <v>1</v>
      </c>
      <c r="V409">
        <v>1</v>
      </c>
      <c r="W409">
        <v>24.81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1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</row>
    <row r="410" spans="1:37" x14ac:dyDescent="0.3">
      <c r="A410">
        <v>7979</v>
      </c>
      <c r="B410" t="s">
        <v>219</v>
      </c>
      <c r="D410" t="s">
        <v>327</v>
      </c>
      <c r="E410">
        <v>99999999</v>
      </c>
      <c r="F410">
        <v>11111111</v>
      </c>
      <c r="G410">
        <v>1111111111</v>
      </c>
      <c r="H410" t="s">
        <v>3979</v>
      </c>
      <c r="I410">
        <v>99999999</v>
      </c>
      <c r="J410" s="188">
        <v>45236</v>
      </c>
      <c r="K410" t="s">
        <v>3979</v>
      </c>
      <c r="L410" t="s">
        <v>3979</v>
      </c>
      <c r="M410" t="s">
        <v>731</v>
      </c>
      <c r="N410" t="s">
        <v>99</v>
      </c>
      <c r="O410">
        <v>90808</v>
      </c>
      <c r="P410" t="s">
        <v>221</v>
      </c>
      <c r="Q410" t="s">
        <v>82</v>
      </c>
      <c r="R410">
        <v>1</v>
      </c>
      <c r="S410">
        <v>20</v>
      </c>
      <c r="T410">
        <v>0</v>
      </c>
      <c r="U410">
        <v>1</v>
      </c>
      <c r="V410">
        <v>1</v>
      </c>
      <c r="W410">
        <v>28.56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1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</row>
    <row r="411" spans="1:37" x14ac:dyDescent="0.3">
      <c r="A411">
        <v>7979</v>
      </c>
      <c r="B411" t="s">
        <v>219</v>
      </c>
      <c r="D411" t="s">
        <v>327</v>
      </c>
      <c r="E411">
        <v>99999999</v>
      </c>
      <c r="F411">
        <v>11111111</v>
      </c>
      <c r="G411">
        <v>1111111111</v>
      </c>
      <c r="H411" t="s">
        <v>3980</v>
      </c>
      <c r="I411">
        <v>99999999</v>
      </c>
      <c r="J411" s="188">
        <v>45236</v>
      </c>
      <c r="K411" t="s">
        <v>3980</v>
      </c>
      <c r="L411" t="s">
        <v>3980</v>
      </c>
      <c r="M411" t="s">
        <v>732</v>
      </c>
      <c r="N411" t="s">
        <v>99</v>
      </c>
      <c r="O411" t="s">
        <v>733</v>
      </c>
      <c r="P411" t="s">
        <v>221</v>
      </c>
      <c r="Q411" t="s">
        <v>82</v>
      </c>
      <c r="R411">
        <v>3</v>
      </c>
      <c r="S411">
        <v>16.5</v>
      </c>
      <c r="T411">
        <v>0</v>
      </c>
      <c r="U411">
        <v>1</v>
      </c>
      <c r="V411">
        <v>1</v>
      </c>
      <c r="W411">
        <v>25.62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3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</row>
    <row r="412" spans="1:37" x14ac:dyDescent="0.3">
      <c r="A412">
        <v>7979</v>
      </c>
      <c r="B412" t="s">
        <v>219</v>
      </c>
      <c r="D412" t="s">
        <v>327</v>
      </c>
      <c r="E412">
        <v>99999999</v>
      </c>
      <c r="F412">
        <v>11111111</v>
      </c>
      <c r="G412">
        <v>1111111111</v>
      </c>
      <c r="H412" t="s">
        <v>3981</v>
      </c>
      <c r="I412">
        <v>99999999</v>
      </c>
      <c r="J412" s="188">
        <v>45236</v>
      </c>
      <c r="K412" t="s">
        <v>3981</v>
      </c>
      <c r="L412" t="s">
        <v>3981</v>
      </c>
      <c r="M412" t="s">
        <v>339</v>
      </c>
      <c r="N412" t="s">
        <v>97</v>
      </c>
      <c r="O412">
        <v>98012</v>
      </c>
      <c r="P412" t="s">
        <v>221</v>
      </c>
      <c r="Q412" t="s">
        <v>82</v>
      </c>
      <c r="R412">
        <v>4</v>
      </c>
      <c r="S412">
        <v>10.4</v>
      </c>
      <c r="T412">
        <v>0</v>
      </c>
      <c r="U412">
        <v>1</v>
      </c>
      <c r="V412">
        <v>4</v>
      </c>
      <c r="W412">
        <v>24.65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4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</row>
    <row r="413" spans="1:37" x14ac:dyDescent="0.3">
      <c r="A413">
        <v>7979</v>
      </c>
      <c r="B413" t="s">
        <v>219</v>
      </c>
      <c r="D413" t="s">
        <v>327</v>
      </c>
      <c r="E413">
        <v>99999999</v>
      </c>
      <c r="F413">
        <v>11111111</v>
      </c>
      <c r="G413">
        <v>1111111111</v>
      </c>
      <c r="H413" t="s">
        <v>3982</v>
      </c>
      <c r="I413">
        <v>99999999</v>
      </c>
      <c r="J413" s="188">
        <v>45236</v>
      </c>
      <c r="K413" t="s">
        <v>3982</v>
      </c>
      <c r="L413" t="s">
        <v>3982</v>
      </c>
      <c r="M413" t="s">
        <v>734</v>
      </c>
      <c r="N413" t="s">
        <v>99</v>
      </c>
      <c r="O413" t="s">
        <v>735</v>
      </c>
      <c r="P413" t="s">
        <v>221</v>
      </c>
      <c r="Q413" t="s">
        <v>82</v>
      </c>
      <c r="R413">
        <v>1</v>
      </c>
      <c r="S413">
        <v>44</v>
      </c>
      <c r="T413">
        <v>0</v>
      </c>
      <c r="U413">
        <v>1</v>
      </c>
      <c r="V413">
        <v>1</v>
      </c>
      <c r="W413">
        <v>54.15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1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</row>
    <row r="414" spans="1:37" x14ac:dyDescent="0.3">
      <c r="A414">
        <v>7979</v>
      </c>
      <c r="B414" t="s">
        <v>219</v>
      </c>
      <c r="D414" t="s">
        <v>327</v>
      </c>
      <c r="E414">
        <v>99999999</v>
      </c>
      <c r="F414">
        <v>11111111</v>
      </c>
      <c r="G414">
        <v>1111111111</v>
      </c>
      <c r="H414" t="s">
        <v>3983</v>
      </c>
      <c r="I414">
        <v>99999999</v>
      </c>
      <c r="J414" s="188">
        <v>45236</v>
      </c>
      <c r="K414" t="s">
        <v>3983</v>
      </c>
      <c r="L414" t="s">
        <v>3983</v>
      </c>
      <c r="M414" t="s">
        <v>736</v>
      </c>
      <c r="N414" t="s">
        <v>118</v>
      </c>
      <c r="O414" t="s">
        <v>737</v>
      </c>
      <c r="P414" t="s">
        <v>221</v>
      </c>
      <c r="Q414" t="s">
        <v>82</v>
      </c>
      <c r="R414">
        <v>4</v>
      </c>
      <c r="S414">
        <v>9</v>
      </c>
      <c r="T414">
        <v>0</v>
      </c>
      <c r="U414">
        <v>1</v>
      </c>
      <c r="V414">
        <v>1</v>
      </c>
      <c r="W414">
        <v>31.94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4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</row>
    <row r="415" spans="1:37" x14ac:dyDescent="0.3">
      <c r="A415">
        <v>7979</v>
      </c>
      <c r="B415" t="s">
        <v>219</v>
      </c>
      <c r="D415" t="s">
        <v>327</v>
      </c>
      <c r="E415">
        <v>99999999</v>
      </c>
      <c r="F415">
        <v>11111111</v>
      </c>
      <c r="G415">
        <v>1111111111</v>
      </c>
      <c r="H415" t="s">
        <v>3984</v>
      </c>
      <c r="I415">
        <v>99999999</v>
      </c>
      <c r="J415" s="188">
        <v>45236</v>
      </c>
      <c r="K415" t="s">
        <v>3984</v>
      </c>
      <c r="L415" t="s">
        <v>3984</v>
      </c>
      <c r="M415" t="s">
        <v>738</v>
      </c>
      <c r="N415" t="s">
        <v>543</v>
      </c>
      <c r="O415" t="s">
        <v>739</v>
      </c>
      <c r="P415" t="s">
        <v>221</v>
      </c>
      <c r="Q415" t="s">
        <v>82</v>
      </c>
      <c r="R415">
        <v>1</v>
      </c>
      <c r="S415">
        <v>15</v>
      </c>
      <c r="T415">
        <v>0</v>
      </c>
      <c r="U415">
        <v>1</v>
      </c>
      <c r="V415">
        <v>1</v>
      </c>
      <c r="W415">
        <v>38.5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1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</row>
    <row r="416" spans="1:37" x14ac:dyDescent="0.3">
      <c r="A416">
        <v>7979</v>
      </c>
      <c r="B416" t="s">
        <v>219</v>
      </c>
      <c r="D416" t="s">
        <v>327</v>
      </c>
      <c r="E416">
        <v>99999999</v>
      </c>
      <c r="F416">
        <v>11111111</v>
      </c>
      <c r="G416">
        <v>1111111111</v>
      </c>
      <c r="H416" t="s">
        <v>3985</v>
      </c>
      <c r="I416">
        <v>99999999</v>
      </c>
      <c r="J416" s="188">
        <v>45236</v>
      </c>
      <c r="K416" t="s">
        <v>3985</v>
      </c>
      <c r="L416" t="s">
        <v>3985</v>
      </c>
      <c r="M416" t="s">
        <v>740</v>
      </c>
      <c r="N416" t="s">
        <v>99</v>
      </c>
      <c r="O416" t="s">
        <v>741</v>
      </c>
      <c r="P416" t="s">
        <v>221</v>
      </c>
      <c r="Q416" t="s">
        <v>82</v>
      </c>
      <c r="R416">
        <v>8</v>
      </c>
      <c r="S416">
        <v>22.2</v>
      </c>
      <c r="T416">
        <v>0</v>
      </c>
      <c r="U416">
        <v>1</v>
      </c>
      <c r="V416">
        <v>4</v>
      </c>
      <c r="W416">
        <v>33.729999999999997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8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</row>
    <row r="417" spans="1:37" x14ac:dyDescent="0.3">
      <c r="A417">
        <v>7979</v>
      </c>
      <c r="B417" t="s">
        <v>219</v>
      </c>
      <c r="D417" t="s">
        <v>327</v>
      </c>
      <c r="E417">
        <v>99999999</v>
      </c>
      <c r="F417">
        <v>11111111</v>
      </c>
      <c r="G417">
        <v>1111111111</v>
      </c>
      <c r="H417" t="s">
        <v>3986</v>
      </c>
      <c r="I417">
        <v>99999999</v>
      </c>
      <c r="J417" s="188">
        <v>45236</v>
      </c>
      <c r="K417" t="s">
        <v>3986</v>
      </c>
      <c r="L417" t="s">
        <v>3986</v>
      </c>
      <c r="M417" t="s">
        <v>369</v>
      </c>
      <c r="N417" t="s">
        <v>99</v>
      </c>
      <c r="O417" t="s">
        <v>742</v>
      </c>
      <c r="P417" t="s">
        <v>221</v>
      </c>
      <c r="Q417" t="s">
        <v>82</v>
      </c>
      <c r="R417">
        <v>5</v>
      </c>
      <c r="S417">
        <v>6.19</v>
      </c>
      <c r="T417">
        <v>0</v>
      </c>
      <c r="U417">
        <v>1</v>
      </c>
      <c r="V417">
        <v>5</v>
      </c>
      <c r="W417">
        <v>23.54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5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</row>
    <row r="418" spans="1:37" x14ac:dyDescent="0.3">
      <c r="A418">
        <v>7979</v>
      </c>
      <c r="B418" t="s">
        <v>219</v>
      </c>
      <c r="D418" t="s">
        <v>327</v>
      </c>
      <c r="E418">
        <v>99999999</v>
      </c>
      <c r="F418">
        <v>11111111</v>
      </c>
      <c r="G418">
        <v>1111111111</v>
      </c>
      <c r="H418" t="s">
        <v>3987</v>
      </c>
      <c r="I418">
        <v>99999999</v>
      </c>
      <c r="J418" s="188">
        <v>45236</v>
      </c>
      <c r="K418" t="s">
        <v>3987</v>
      </c>
      <c r="L418" t="s">
        <v>3987</v>
      </c>
      <c r="M418" t="s">
        <v>743</v>
      </c>
      <c r="N418" t="s">
        <v>97</v>
      </c>
      <c r="O418" t="s">
        <v>744</v>
      </c>
      <c r="P418" t="s">
        <v>221</v>
      </c>
      <c r="Q418" t="s">
        <v>82</v>
      </c>
      <c r="R418">
        <v>14</v>
      </c>
      <c r="S418">
        <v>14.62</v>
      </c>
      <c r="T418">
        <v>0</v>
      </c>
      <c r="U418">
        <v>1</v>
      </c>
      <c r="V418">
        <v>5</v>
      </c>
      <c r="W418">
        <v>25.86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14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</row>
    <row r="419" spans="1:37" x14ac:dyDescent="0.3">
      <c r="A419">
        <v>7979</v>
      </c>
      <c r="B419" t="s">
        <v>219</v>
      </c>
      <c r="D419" t="s">
        <v>327</v>
      </c>
      <c r="E419">
        <v>99999999</v>
      </c>
      <c r="F419">
        <v>11111111</v>
      </c>
      <c r="G419">
        <v>1111111111</v>
      </c>
      <c r="H419" t="s">
        <v>3988</v>
      </c>
      <c r="I419">
        <v>99999999</v>
      </c>
      <c r="J419" s="188">
        <v>45236</v>
      </c>
      <c r="K419" t="s">
        <v>3988</v>
      </c>
      <c r="L419" t="s">
        <v>3988</v>
      </c>
      <c r="M419" t="s">
        <v>745</v>
      </c>
      <c r="N419" t="s">
        <v>197</v>
      </c>
      <c r="O419" t="s">
        <v>746</v>
      </c>
      <c r="P419" t="s">
        <v>221</v>
      </c>
      <c r="Q419" t="s">
        <v>82</v>
      </c>
      <c r="R419">
        <v>5</v>
      </c>
      <c r="S419">
        <v>15</v>
      </c>
      <c r="T419">
        <v>0</v>
      </c>
      <c r="U419">
        <v>1</v>
      </c>
      <c r="V419">
        <v>1</v>
      </c>
      <c r="W419">
        <v>38.5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5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</row>
    <row r="420" spans="1:37" x14ac:dyDescent="0.3">
      <c r="A420">
        <v>7979</v>
      </c>
      <c r="B420" t="s">
        <v>219</v>
      </c>
      <c r="D420" t="s">
        <v>327</v>
      </c>
      <c r="E420">
        <v>99999999</v>
      </c>
      <c r="F420">
        <v>11111111</v>
      </c>
      <c r="G420">
        <v>1111111111</v>
      </c>
      <c r="H420" t="s">
        <v>3989</v>
      </c>
      <c r="I420">
        <v>99999999</v>
      </c>
      <c r="J420" s="188">
        <v>45236</v>
      </c>
      <c r="K420" t="s">
        <v>3989</v>
      </c>
      <c r="L420" t="s">
        <v>3989</v>
      </c>
      <c r="M420" t="s">
        <v>178</v>
      </c>
      <c r="N420" t="s">
        <v>97</v>
      </c>
      <c r="O420">
        <v>98404</v>
      </c>
      <c r="P420" t="s">
        <v>221</v>
      </c>
      <c r="Q420" t="s">
        <v>82</v>
      </c>
      <c r="R420">
        <v>1</v>
      </c>
      <c r="S420">
        <v>50</v>
      </c>
      <c r="T420">
        <v>0</v>
      </c>
      <c r="U420">
        <v>1</v>
      </c>
      <c r="V420">
        <v>1</v>
      </c>
      <c r="W420">
        <v>86.74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1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</row>
    <row r="421" spans="1:37" x14ac:dyDescent="0.3">
      <c r="A421">
        <v>7979</v>
      </c>
      <c r="B421" t="s">
        <v>219</v>
      </c>
      <c r="D421" t="s">
        <v>327</v>
      </c>
      <c r="E421">
        <v>99999999</v>
      </c>
      <c r="F421">
        <v>11111111</v>
      </c>
      <c r="G421">
        <v>1111111111</v>
      </c>
      <c r="H421" t="s">
        <v>3990</v>
      </c>
      <c r="I421">
        <v>99999999</v>
      </c>
      <c r="J421" s="188">
        <v>45236</v>
      </c>
      <c r="K421" t="s">
        <v>3990</v>
      </c>
      <c r="L421" t="s">
        <v>3990</v>
      </c>
      <c r="M421" t="s">
        <v>747</v>
      </c>
      <c r="N421" t="s">
        <v>99</v>
      </c>
      <c r="O421" t="s">
        <v>748</v>
      </c>
      <c r="P421" t="s">
        <v>221</v>
      </c>
      <c r="Q421" t="s">
        <v>82</v>
      </c>
      <c r="R421">
        <v>3</v>
      </c>
      <c r="S421">
        <v>49.3</v>
      </c>
      <c r="T421">
        <v>0</v>
      </c>
      <c r="U421">
        <v>1</v>
      </c>
      <c r="V421">
        <v>3</v>
      </c>
      <c r="W421">
        <v>47.83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3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</row>
    <row r="422" spans="1:37" x14ac:dyDescent="0.3">
      <c r="A422">
        <v>7979</v>
      </c>
      <c r="B422" t="s">
        <v>219</v>
      </c>
      <c r="D422" t="s">
        <v>327</v>
      </c>
      <c r="E422">
        <v>99999999</v>
      </c>
      <c r="F422">
        <v>11111111</v>
      </c>
      <c r="G422">
        <v>1111111111</v>
      </c>
      <c r="H422" t="s">
        <v>3991</v>
      </c>
      <c r="I422">
        <v>99999999</v>
      </c>
      <c r="J422" s="188">
        <v>45236</v>
      </c>
      <c r="K422" t="s">
        <v>3991</v>
      </c>
      <c r="L422" t="s">
        <v>3991</v>
      </c>
      <c r="M422" t="s">
        <v>749</v>
      </c>
      <c r="N422" t="s">
        <v>130</v>
      </c>
      <c r="O422" t="s">
        <v>750</v>
      </c>
      <c r="P422" t="s">
        <v>221</v>
      </c>
      <c r="Q422" t="s">
        <v>82</v>
      </c>
      <c r="R422">
        <v>2</v>
      </c>
      <c r="S422">
        <v>3.7</v>
      </c>
      <c r="T422">
        <v>0</v>
      </c>
      <c r="U422">
        <v>1</v>
      </c>
      <c r="V422">
        <v>2</v>
      </c>
      <c r="W422">
        <v>24.37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2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</row>
    <row r="423" spans="1:37" x14ac:dyDescent="0.3">
      <c r="A423">
        <v>7979</v>
      </c>
      <c r="B423" t="s">
        <v>219</v>
      </c>
      <c r="D423" t="s">
        <v>327</v>
      </c>
      <c r="E423">
        <v>99999999</v>
      </c>
      <c r="F423">
        <v>11111111</v>
      </c>
      <c r="G423">
        <v>1111111111</v>
      </c>
      <c r="H423" t="s">
        <v>3992</v>
      </c>
      <c r="I423">
        <v>99999999</v>
      </c>
      <c r="J423" s="188">
        <v>45236</v>
      </c>
      <c r="K423" t="s">
        <v>3992</v>
      </c>
      <c r="L423" t="s">
        <v>3992</v>
      </c>
      <c r="M423" t="s">
        <v>282</v>
      </c>
      <c r="N423" t="s">
        <v>197</v>
      </c>
      <c r="O423" t="s">
        <v>751</v>
      </c>
      <c r="P423" t="s">
        <v>221</v>
      </c>
      <c r="Q423" t="s">
        <v>82</v>
      </c>
      <c r="R423">
        <v>1</v>
      </c>
      <c r="S423">
        <v>16</v>
      </c>
      <c r="T423">
        <v>0</v>
      </c>
      <c r="U423">
        <v>1</v>
      </c>
      <c r="V423">
        <v>1</v>
      </c>
      <c r="W423">
        <v>33.479999999999997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</row>
    <row r="424" spans="1:37" x14ac:dyDescent="0.3">
      <c r="A424">
        <v>7979</v>
      </c>
      <c r="B424" t="s">
        <v>219</v>
      </c>
      <c r="D424" t="s">
        <v>327</v>
      </c>
      <c r="E424">
        <v>99999999</v>
      </c>
      <c r="F424">
        <v>11111111</v>
      </c>
      <c r="G424">
        <v>1111111111</v>
      </c>
      <c r="H424" t="s">
        <v>3993</v>
      </c>
      <c r="I424">
        <v>99999999</v>
      </c>
      <c r="J424" s="188">
        <v>45236</v>
      </c>
      <c r="K424" t="s">
        <v>3993</v>
      </c>
      <c r="L424" t="s">
        <v>3993</v>
      </c>
      <c r="M424" t="s">
        <v>752</v>
      </c>
      <c r="N424" t="s">
        <v>233</v>
      </c>
      <c r="O424" t="s">
        <v>753</v>
      </c>
      <c r="P424" t="s">
        <v>221</v>
      </c>
      <c r="Q424" t="s">
        <v>82</v>
      </c>
      <c r="R424">
        <v>1</v>
      </c>
      <c r="S424">
        <v>2.25</v>
      </c>
      <c r="T424">
        <v>0</v>
      </c>
      <c r="U424">
        <v>1</v>
      </c>
      <c r="V424">
        <v>1</v>
      </c>
      <c r="W424">
        <v>30.93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1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</row>
    <row r="425" spans="1:37" x14ac:dyDescent="0.3">
      <c r="A425">
        <v>7979</v>
      </c>
      <c r="B425" t="s">
        <v>219</v>
      </c>
      <c r="D425" t="s">
        <v>327</v>
      </c>
      <c r="E425">
        <v>99999999</v>
      </c>
      <c r="F425">
        <v>11111111</v>
      </c>
      <c r="G425">
        <v>1111111111</v>
      </c>
      <c r="H425" t="s">
        <v>3994</v>
      </c>
      <c r="I425">
        <v>99999999</v>
      </c>
      <c r="J425" s="188">
        <v>45236</v>
      </c>
      <c r="K425" t="s">
        <v>3994</v>
      </c>
      <c r="L425" t="s">
        <v>3994</v>
      </c>
      <c r="M425" t="s">
        <v>754</v>
      </c>
      <c r="N425" t="s">
        <v>130</v>
      </c>
      <c r="O425" t="s">
        <v>755</v>
      </c>
      <c r="P425" t="s">
        <v>221</v>
      </c>
      <c r="Q425" t="s">
        <v>82</v>
      </c>
      <c r="R425">
        <v>2</v>
      </c>
      <c r="S425">
        <v>8.4</v>
      </c>
      <c r="T425">
        <v>0</v>
      </c>
      <c r="U425">
        <v>1</v>
      </c>
      <c r="V425">
        <v>2</v>
      </c>
      <c r="W425">
        <v>25.74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2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</row>
    <row r="426" spans="1:37" x14ac:dyDescent="0.3">
      <c r="A426">
        <v>7979</v>
      </c>
      <c r="B426" t="s">
        <v>219</v>
      </c>
      <c r="D426" t="s">
        <v>327</v>
      </c>
      <c r="E426">
        <v>99999999</v>
      </c>
      <c r="F426">
        <v>11111111</v>
      </c>
      <c r="G426">
        <v>1111111111</v>
      </c>
      <c r="H426" t="s">
        <v>3995</v>
      </c>
      <c r="I426">
        <v>99999999</v>
      </c>
      <c r="J426" s="188">
        <v>45236</v>
      </c>
      <c r="K426" t="s">
        <v>3995</v>
      </c>
      <c r="L426" t="s">
        <v>3995</v>
      </c>
      <c r="M426" t="s">
        <v>756</v>
      </c>
      <c r="N426" t="s">
        <v>99</v>
      </c>
      <c r="O426" t="s">
        <v>757</v>
      </c>
      <c r="P426" t="s">
        <v>221</v>
      </c>
      <c r="Q426" t="s">
        <v>82</v>
      </c>
      <c r="R426">
        <v>1</v>
      </c>
      <c r="S426">
        <v>50</v>
      </c>
      <c r="T426">
        <v>0</v>
      </c>
      <c r="U426">
        <v>1</v>
      </c>
      <c r="V426">
        <v>1</v>
      </c>
      <c r="W426">
        <v>81.239999999999995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1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</row>
    <row r="427" spans="1:37" x14ac:dyDescent="0.3">
      <c r="A427">
        <v>7979</v>
      </c>
      <c r="B427" t="s">
        <v>219</v>
      </c>
      <c r="D427" t="s">
        <v>327</v>
      </c>
      <c r="E427">
        <v>99999999</v>
      </c>
      <c r="F427">
        <v>11111111</v>
      </c>
      <c r="G427">
        <v>1111111111</v>
      </c>
      <c r="H427" t="s">
        <v>3996</v>
      </c>
      <c r="I427">
        <v>99999999</v>
      </c>
      <c r="J427" s="188">
        <v>45236</v>
      </c>
      <c r="K427" t="s">
        <v>3996</v>
      </c>
      <c r="L427" t="s">
        <v>3996</v>
      </c>
      <c r="M427" t="s">
        <v>418</v>
      </c>
      <c r="N427" t="s">
        <v>91</v>
      </c>
      <c r="O427" t="s">
        <v>758</v>
      </c>
      <c r="P427" t="s">
        <v>221</v>
      </c>
      <c r="Q427" t="s">
        <v>82</v>
      </c>
      <c r="R427">
        <v>1</v>
      </c>
      <c r="S427">
        <v>15</v>
      </c>
      <c r="T427">
        <v>0</v>
      </c>
      <c r="U427">
        <v>1</v>
      </c>
      <c r="V427">
        <v>1</v>
      </c>
      <c r="W427">
        <v>28.55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</row>
    <row r="428" spans="1:37" x14ac:dyDescent="0.3">
      <c r="A428">
        <v>7979</v>
      </c>
      <c r="B428" t="s">
        <v>219</v>
      </c>
      <c r="D428" t="s">
        <v>327</v>
      </c>
      <c r="E428">
        <v>99999999</v>
      </c>
      <c r="F428">
        <v>11111111</v>
      </c>
      <c r="G428">
        <v>1111111111</v>
      </c>
      <c r="H428" t="s">
        <v>3997</v>
      </c>
      <c r="I428">
        <v>99999999</v>
      </c>
      <c r="J428" s="188">
        <v>45236</v>
      </c>
      <c r="K428" t="s">
        <v>3997</v>
      </c>
      <c r="L428" t="s">
        <v>3997</v>
      </c>
      <c r="M428" t="s">
        <v>334</v>
      </c>
      <c r="N428" t="s">
        <v>97</v>
      </c>
      <c r="O428" t="s">
        <v>759</v>
      </c>
      <c r="P428" t="s">
        <v>221</v>
      </c>
      <c r="Q428" t="s">
        <v>82</v>
      </c>
      <c r="R428">
        <v>2</v>
      </c>
      <c r="S428">
        <v>25.866</v>
      </c>
      <c r="T428">
        <v>0</v>
      </c>
      <c r="U428">
        <v>1</v>
      </c>
      <c r="V428">
        <v>2</v>
      </c>
      <c r="W428">
        <v>38.700000000000003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2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</row>
    <row r="429" spans="1:37" x14ac:dyDescent="0.3">
      <c r="A429">
        <v>7979</v>
      </c>
      <c r="B429" t="s">
        <v>219</v>
      </c>
      <c r="D429" t="s">
        <v>327</v>
      </c>
      <c r="E429">
        <v>99999999</v>
      </c>
      <c r="F429">
        <v>11111111</v>
      </c>
      <c r="G429">
        <v>1111111111</v>
      </c>
      <c r="H429" t="s">
        <v>3998</v>
      </c>
      <c r="I429">
        <v>99999999</v>
      </c>
      <c r="J429" s="188">
        <v>45236</v>
      </c>
      <c r="K429" t="s">
        <v>3998</v>
      </c>
      <c r="L429" t="s">
        <v>3998</v>
      </c>
      <c r="M429" t="s">
        <v>760</v>
      </c>
      <c r="N429" t="s">
        <v>197</v>
      </c>
      <c r="O429">
        <v>75072</v>
      </c>
      <c r="P429" t="s">
        <v>221</v>
      </c>
      <c r="Q429" t="s">
        <v>82</v>
      </c>
      <c r="R429">
        <v>9</v>
      </c>
      <c r="S429">
        <v>16.428000000000001</v>
      </c>
      <c r="T429">
        <v>0</v>
      </c>
      <c r="U429">
        <v>1</v>
      </c>
      <c r="V429">
        <v>9</v>
      </c>
      <c r="W429">
        <v>33.479999999999997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9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</row>
    <row r="430" spans="1:37" x14ac:dyDescent="0.3">
      <c r="A430">
        <v>7979</v>
      </c>
      <c r="B430" t="s">
        <v>219</v>
      </c>
      <c r="D430" t="s">
        <v>327</v>
      </c>
      <c r="E430">
        <v>99999999</v>
      </c>
      <c r="F430">
        <v>11111111</v>
      </c>
      <c r="G430">
        <v>1111111111</v>
      </c>
      <c r="H430" t="s">
        <v>3999</v>
      </c>
      <c r="I430">
        <v>99999999</v>
      </c>
      <c r="J430" s="188">
        <v>45236</v>
      </c>
      <c r="K430" t="s">
        <v>3999</v>
      </c>
      <c r="L430" t="s">
        <v>3999</v>
      </c>
      <c r="M430" t="s">
        <v>761</v>
      </c>
      <c r="N430" t="s">
        <v>381</v>
      </c>
      <c r="O430" t="s">
        <v>762</v>
      </c>
      <c r="P430" t="s">
        <v>221</v>
      </c>
      <c r="Q430" t="s">
        <v>82</v>
      </c>
      <c r="R430">
        <v>2</v>
      </c>
      <c r="S430">
        <v>21</v>
      </c>
      <c r="T430">
        <v>0</v>
      </c>
      <c r="U430">
        <v>1</v>
      </c>
      <c r="V430">
        <v>2</v>
      </c>
      <c r="W430">
        <v>41.82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2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</row>
    <row r="431" spans="1:37" x14ac:dyDescent="0.3">
      <c r="A431">
        <v>7979</v>
      </c>
      <c r="B431" t="s">
        <v>219</v>
      </c>
      <c r="D431" t="s">
        <v>327</v>
      </c>
      <c r="E431">
        <v>99999999</v>
      </c>
      <c r="F431">
        <v>11111111</v>
      </c>
      <c r="G431">
        <v>1111111111</v>
      </c>
      <c r="H431" t="s">
        <v>4000</v>
      </c>
      <c r="I431">
        <v>99999999</v>
      </c>
      <c r="J431" s="188">
        <v>45236</v>
      </c>
      <c r="K431" t="s">
        <v>4000</v>
      </c>
      <c r="L431" t="s">
        <v>4000</v>
      </c>
      <c r="M431" t="s">
        <v>763</v>
      </c>
      <c r="N431" t="s">
        <v>144</v>
      </c>
      <c r="O431" t="s">
        <v>764</v>
      </c>
      <c r="P431" t="s">
        <v>221</v>
      </c>
      <c r="Q431" t="s">
        <v>82</v>
      </c>
      <c r="R431">
        <v>16</v>
      </c>
      <c r="S431">
        <v>36</v>
      </c>
      <c r="T431">
        <v>0</v>
      </c>
      <c r="U431">
        <v>1</v>
      </c>
      <c r="V431">
        <v>1</v>
      </c>
      <c r="W431">
        <v>73.599999999999994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16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</row>
    <row r="432" spans="1:37" x14ac:dyDescent="0.3">
      <c r="A432">
        <v>7979</v>
      </c>
      <c r="B432" t="s">
        <v>219</v>
      </c>
      <c r="D432" t="s">
        <v>327</v>
      </c>
      <c r="E432">
        <v>99999999</v>
      </c>
      <c r="F432">
        <v>11111111</v>
      </c>
      <c r="G432">
        <v>1111111111</v>
      </c>
      <c r="H432" t="s">
        <v>4001</v>
      </c>
      <c r="I432">
        <v>99999999</v>
      </c>
      <c r="J432" s="188">
        <v>45236</v>
      </c>
      <c r="K432" t="s">
        <v>4001</v>
      </c>
      <c r="L432" t="s">
        <v>4001</v>
      </c>
      <c r="M432" t="s">
        <v>95</v>
      </c>
      <c r="N432" t="s">
        <v>91</v>
      </c>
      <c r="O432" t="s">
        <v>765</v>
      </c>
      <c r="P432" t="s">
        <v>221</v>
      </c>
      <c r="Q432" t="s">
        <v>82</v>
      </c>
      <c r="R432">
        <v>1</v>
      </c>
      <c r="S432">
        <v>43</v>
      </c>
      <c r="T432">
        <v>0</v>
      </c>
      <c r="U432">
        <v>1</v>
      </c>
      <c r="V432">
        <v>1</v>
      </c>
      <c r="W432">
        <v>54.23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1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</row>
    <row r="433" spans="1:37" x14ac:dyDescent="0.3">
      <c r="A433">
        <v>7979</v>
      </c>
      <c r="B433" t="s">
        <v>219</v>
      </c>
      <c r="D433" t="s">
        <v>327</v>
      </c>
      <c r="E433">
        <v>99999999</v>
      </c>
      <c r="F433">
        <v>11111111</v>
      </c>
      <c r="G433">
        <v>1111111111</v>
      </c>
      <c r="H433" t="s">
        <v>4002</v>
      </c>
      <c r="I433">
        <v>99999999</v>
      </c>
      <c r="J433" s="188">
        <v>45236</v>
      </c>
      <c r="K433" t="s">
        <v>4002</v>
      </c>
      <c r="L433" t="s">
        <v>4002</v>
      </c>
      <c r="M433" t="s">
        <v>640</v>
      </c>
      <c r="N433" t="s">
        <v>85</v>
      </c>
      <c r="O433" t="s">
        <v>766</v>
      </c>
      <c r="P433" t="s">
        <v>221</v>
      </c>
      <c r="Q433" t="s">
        <v>82</v>
      </c>
      <c r="R433">
        <v>2</v>
      </c>
      <c r="S433">
        <v>36</v>
      </c>
      <c r="T433">
        <v>0</v>
      </c>
      <c r="U433">
        <v>1</v>
      </c>
      <c r="V433">
        <v>2</v>
      </c>
      <c r="W433">
        <v>39.090000000000003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2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</row>
    <row r="434" spans="1:37" x14ac:dyDescent="0.3">
      <c r="A434">
        <v>7979</v>
      </c>
      <c r="B434" t="s">
        <v>219</v>
      </c>
      <c r="D434" t="s">
        <v>327</v>
      </c>
      <c r="E434">
        <v>99999999</v>
      </c>
      <c r="F434">
        <v>11111111</v>
      </c>
      <c r="G434">
        <v>1111111111</v>
      </c>
      <c r="H434" t="s">
        <v>4003</v>
      </c>
      <c r="I434">
        <v>99999999</v>
      </c>
      <c r="J434" s="188">
        <v>45236</v>
      </c>
      <c r="K434" t="s">
        <v>4003</v>
      </c>
      <c r="L434" t="s">
        <v>4003</v>
      </c>
      <c r="M434" t="s">
        <v>767</v>
      </c>
      <c r="N434" t="s">
        <v>197</v>
      </c>
      <c r="O434" t="s">
        <v>768</v>
      </c>
      <c r="P434" t="s">
        <v>221</v>
      </c>
      <c r="Q434" t="s">
        <v>82</v>
      </c>
      <c r="R434">
        <v>6</v>
      </c>
      <c r="S434">
        <v>20.420000000000002</v>
      </c>
      <c r="T434">
        <v>0</v>
      </c>
      <c r="U434">
        <v>1</v>
      </c>
      <c r="V434">
        <v>6</v>
      </c>
      <c r="W434">
        <v>43.97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6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</row>
    <row r="435" spans="1:37" x14ac:dyDescent="0.3">
      <c r="A435">
        <v>7979</v>
      </c>
      <c r="B435" t="s">
        <v>219</v>
      </c>
      <c r="D435" t="s">
        <v>327</v>
      </c>
      <c r="E435">
        <v>99999999</v>
      </c>
      <c r="F435">
        <v>11111111</v>
      </c>
      <c r="G435">
        <v>1111111111</v>
      </c>
      <c r="H435" t="s">
        <v>4004</v>
      </c>
      <c r="I435">
        <v>99999999</v>
      </c>
      <c r="J435" s="188">
        <v>45236</v>
      </c>
      <c r="K435" t="s">
        <v>4004</v>
      </c>
      <c r="L435" t="s">
        <v>4004</v>
      </c>
      <c r="M435" t="s">
        <v>769</v>
      </c>
      <c r="N435" t="s">
        <v>99</v>
      </c>
      <c r="O435" t="s">
        <v>770</v>
      </c>
      <c r="P435" t="s">
        <v>221</v>
      </c>
      <c r="Q435" t="s">
        <v>82</v>
      </c>
      <c r="R435">
        <v>2</v>
      </c>
      <c r="S435">
        <v>11</v>
      </c>
      <c r="T435">
        <v>0</v>
      </c>
      <c r="U435">
        <v>1</v>
      </c>
      <c r="V435">
        <v>1</v>
      </c>
      <c r="W435">
        <v>33.090000000000003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2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</row>
    <row r="436" spans="1:37" x14ac:dyDescent="0.3">
      <c r="A436">
        <v>7979</v>
      </c>
      <c r="B436" t="s">
        <v>219</v>
      </c>
      <c r="D436" t="s">
        <v>327</v>
      </c>
      <c r="E436">
        <v>99999999</v>
      </c>
      <c r="F436">
        <v>11111111</v>
      </c>
      <c r="G436">
        <v>1111111111</v>
      </c>
      <c r="H436" t="s">
        <v>4005</v>
      </c>
      <c r="I436">
        <v>99999999</v>
      </c>
      <c r="J436" s="188">
        <v>45236</v>
      </c>
      <c r="K436" t="s">
        <v>4005</v>
      </c>
      <c r="L436" t="s">
        <v>4005</v>
      </c>
      <c r="M436" t="s">
        <v>771</v>
      </c>
      <c r="N436" t="s">
        <v>97</v>
      </c>
      <c r="O436" t="s">
        <v>772</v>
      </c>
      <c r="P436" t="s">
        <v>221</v>
      </c>
      <c r="Q436" t="s">
        <v>82</v>
      </c>
      <c r="R436">
        <v>4</v>
      </c>
      <c r="S436">
        <v>136</v>
      </c>
      <c r="T436">
        <v>0</v>
      </c>
      <c r="U436">
        <v>4</v>
      </c>
      <c r="V436">
        <v>2</v>
      </c>
      <c r="W436">
        <v>160.15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4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</row>
    <row r="437" spans="1:37" x14ac:dyDescent="0.3">
      <c r="A437">
        <v>7979</v>
      </c>
      <c r="B437" t="s">
        <v>219</v>
      </c>
      <c r="D437" t="s">
        <v>327</v>
      </c>
      <c r="E437">
        <v>99999999</v>
      </c>
      <c r="F437">
        <v>11111111</v>
      </c>
      <c r="G437">
        <v>1111111111</v>
      </c>
      <c r="H437" t="s">
        <v>4006</v>
      </c>
      <c r="I437">
        <v>99999999</v>
      </c>
      <c r="J437" s="188">
        <v>45236</v>
      </c>
      <c r="K437" t="s">
        <v>4006</v>
      </c>
      <c r="L437" t="s">
        <v>4006</v>
      </c>
      <c r="M437" t="s">
        <v>582</v>
      </c>
      <c r="N437" t="s">
        <v>104</v>
      </c>
      <c r="O437" t="s">
        <v>773</v>
      </c>
      <c r="P437" t="s">
        <v>221</v>
      </c>
      <c r="Q437" t="s">
        <v>82</v>
      </c>
      <c r="R437">
        <v>1</v>
      </c>
      <c r="S437">
        <v>4.28</v>
      </c>
      <c r="T437">
        <v>0</v>
      </c>
      <c r="U437">
        <v>1</v>
      </c>
      <c r="V437">
        <v>1</v>
      </c>
      <c r="W437">
        <v>29.05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1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</row>
    <row r="438" spans="1:37" x14ac:dyDescent="0.3">
      <c r="A438">
        <v>7979</v>
      </c>
      <c r="B438" t="s">
        <v>219</v>
      </c>
      <c r="D438" t="s">
        <v>327</v>
      </c>
      <c r="E438">
        <v>99999999</v>
      </c>
      <c r="F438">
        <v>11111111</v>
      </c>
      <c r="G438">
        <v>1111111111</v>
      </c>
      <c r="H438" t="s">
        <v>4007</v>
      </c>
      <c r="I438">
        <v>99999999</v>
      </c>
      <c r="J438" s="188">
        <v>45236</v>
      </c>
      <c r="K438" t="s">
        <v>4007</v>
      </c>
      <c r="L438" t="s">
        <v>4007</v>
      </c>
      <c r="M438" t="s">
        <v>774</v>
      </c>
      <c r="N438" t="s">
        <v>135</v>
      </c>
      <c r="O438" t="s">
        <v>775</v>
      </c>
      <c r="P438" t="s">
        <v>221</v>
      </c>
      <c r="Q438" t="s">
        <v>82</v>
      </c>
      <c r="R438">
        <v>6</v>
      </c>
      <c r="S438">
        <v>42.478000000000002</v>
      </c>
      <c r="T438">
        <v>0</v>
      </c>
      <c r="U438">
        <v>1</v>
      </c>
      <c r="V438">
        <v>6</v>
      </c>
      <c r="W438">
        <v>51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6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</row>
    <row r="439" spans="1:37" x14ac:dyDescent="0.3">
      <c r="A439">
        <v>7979</v>
      </c>
      <c r="B439" t="s">
        <v>219</v>
      </c>
      <c r="D439" t="s">
        <v>327</v>
      </c>
      <c r="E439">
        <v>99999999</v>
      </c>
      <c r="F439">
        <v>11111111</v>
      </c>
      <c r="G439">
        <v>1111111111</v>
      </c>
      <c r="H439" t="s">
        <v>4008</v>
      </c>
      <c r="I439">
        <v>99999999</v>
      </c>
      <c r="J439" s="188">
        <v>45236</v>
      </c>
      <c r="K439" t="s">
        <v>4008</v>
      </c>
      <c r="L439" t="s">
        <v>4008</v>
      </c>
      <c r="M439" t="s">
        <v>456</v>
      </c>
      <c r="N439" t="s">
        <v>122</v>
      </c>
      <c r="O439" t="s">
        <v>776</v>
      </c>
      <c r="P439" t="s">
        <v>221</v>
      </c>
      <c r="Q439" t="s">
        <v>82</v>
      </c>
      <c r="R439">
        <v>8</v>
      </c>
      <c r="S439">
        <v>29.010999999999999</v>
      </c>
      <c r="T439">
        <v>0</v>
      </c>
      <c r="U439">
        <v>1</v>
      </c>
      <c r="V439">
        <v>7</v>
      </c>
      <c r="W439">
        <v>41.11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8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</row>
    <row r="440" spans="1:37" x14ac:dyDescent="0.3">
      <c r="A440">
        <v>7979</v>
      </c>
      <c r="B440" t="s">
        <v>219</v>
      </c>
      <c r="D440" t="s">
        <v>327</v>
      </c>
      <c r="E440">
        <v>99999999</v>
      </c>
      <c r="F440">
        <v>11111111</v>
      </c>
      <c r="G440">
        <v>1111111111</v>
      </c>
      <c r="H440" t="s">
        <v>4009</v>
      </c>
      <c r="I440">
        <v>99999999</v>
      </c>
      <c r="J440" s="188">
        <v>45236</v>
      </c>
      <c r="K440" t="s">
        <v>4009</v>
      </c>
      <c r="L440" t="s">
        <v>4009</v>
      </c>
      <c r="M440" t="s">
        <v>777</v>
      </c>
      <c r="N440" t="s">
        <v>186</v>
      </c>
      <c r="O440" t="s">
        <v>778</v>
      </c>
      <c r="P440" t="s">
        <v>221</v>
      </c>
      <c r="Q440" t="s">
        <v>82</v>
      </c>
      <c r="R440">
        <v>1</v>
      </c>
      <c r="S440">
        <v>2</v>
      </c>
      <c r="T440">
        <v>0</v>
      </c>
      <c r="U440">
        <v>1</v>
      </c>
      <c r="V440">
        <v>1</v>
      </c>
      <c r="W440">
        <v>24.81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</row>
    <row r="441" spans="1:37" x14ac:dyDescent="0.3">
      <c r="A441">
        <v>7979</v>
      </c>
      <c r="B441" t="s">
        <v>219</v>
      </c>
      <c r="D441" t="s">
        <v>327</v>
      </c>
      <c r="E441">
        <v>99999999</v>
      </c>
      <c r="F441">
        <v>11111111</v>
      </c>
      <c r="G441">
        <v>1111111111</v>
      </c>
      <c r="H441" t="s">
        <v>4010</v>
      </c>
      <c r="I441">
        <v>99999999</v>
      </c>
      <c r="J441" s="188">
        <v>45236</v>
      </c>
      <c r="K441" t="s">
        <v>4010</v>
      </c>
      <c r="L441" t="s">
        <v>4010</v>
      </c>
      <c r="M441" t="s">
        <v>779</v>
      </c>
      <c r="N441" t="s">
        <v>233</v>
      </c>
      <c r="O441">
        <v>10065</v>
      </c>
      <c r="P441" t="s">
        <v>221</v>
      </c>
      <c r="Q441" t="s">
        <v>82</v>
      </c>
      <c r="R441">
        <v>1</v>
      </c>
      <c r="S441">
        <v>0.03</v>
      </c>
      <c r="T441">
        <v>0</v>
      </c>
      <c r="U441">
        <v>1</v>
      </c>
      <c r="V441">
        <v>1</v>
      </c>
      <c r="W441">
        <v>20.78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1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</row>
    <row r="442" spans="1:37" x14ac:dyDescent="0.3">
      <c r="A442">
        <v>7979</v>
      </c>
      <c r="B442" t="s">
        <v>219</v>
      </c>
      <c r="D442" t="s">
        <v>327</v>
      </c>
      <c r="E442">
        <v>99999999</v>
      </c>
      <c r="F442">
        <v>11111111</v>
      </c>
      <c r="G442">
        <v>1111111111</v>
      </c>
      <c r="H442" t="s">
        <v>4011</v>
      </c>
      <c r="I442">
        <v>99999999</v>
      </c>
      <c r="J442" s="188">
        <v>45236</v>
      </c>
      <c r="K442" t="s">
        <v>4011</v>
      </c>
      <c r="L442" t="s">
        <v>4011</v>
      </c>
      <c r="M442" t="s">
        <v>780</v>
      </c>
      <c r="N442" t="s">
        <v>228</v>
      </c>
      <c r="O442" t="s">
        <v>781</v>
      </c>
      <c r="P442" t="s">
        <v>221</v>
      </c>
      <c r="Q442" t="s">
        <v>82</v>
      </c>
      <c r="R442">
        <v>1</v>
      </c>
      <c r="S442">
        <v>1</v>
      </c>
      <c r="T442">
        <v>0</v>
      </c>
      <c r="U442">
        <v>1</v>
      </c>
      <c r="V442">
        <v>1</v>
      </c>
      <c r="W442">
        <v>31.36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1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</row>
    <row r="443" spans="1:37" x14ac:dyDescent="0.3">
      <c r="A443">
        <v>7979</v>
      </c>
      <c r="B443" t="s">
        <v>219</v>
      </c>
      <c r="D443" t="s">
        <v>327</v>
      </c>
      <c r="E443">
        <v>99999999</v>
      </c>
      <c r="F443">
        <v>11111111</v>
      </c>
      <c r="G443">
        <v>1111111111</v>
      </c>
      <c r="H443" t="s">
        <v>4012</v>
      </c>
      <c r="I443">
        <v>99999999</v>
      </c>
      <c r="J443" s="188">
        <v>45236</v>
      </c>
      <c r="K443" t="s">
        <v>4012</v>
      </c>
      <c r="L443" t="s">
        <v>4012</v>
      </c>
      <c r="M443" t="s">
        <v>724</v>
      </c>
      <c r="N443" t="s">
        <v>197</v>
      </c>
      <c r="O443" t="s">
        <v>725</v>
      </c>
      <c r="P443" t="s">
        <v>221</v>
      </c>
      <c r="Q443" t="s">
        <v>82</v>
      </c>
      <c r="R443">
        <v>3</v>
      </c>
      <c r="S443">
        <v>2.2000000000000002</v>
      </c>
      <c r="T443">
        <v>0</v>
      </c>
      <c r="U443">
        <v>1</v>
      </c>
      <c r="V443">
        <v>3</v>
      </c>
      <c r="W443">
        <v>30.05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3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</row>
    <row r="444" spans="1:37" x14ac:dyDescent="0.3">
      <c r="A444">
        <v>7979</v>
      </c>
      <c r="B444" t="s">
        <v>219</v>
      </c>
      <c r="D444" t="s">
        <v>327</v>
      </c>
      <c r="E444">
        <v>99999999</v>
      </c>
      <c r="F444">
        <v>11111111</v>
      </c>
      <c r="G444">
        <v>1111111111</v>
      </c>
      <c r="H444" t="s">
        <v>4013</v>
      </c>
      <c r="I444">
        <v>99999999</v>
      </c>
      <c r="J444" s="188">
        <v>45236</v>
      </c>
      <c r="K444" t="s">
        <v>4013</v>
      </c>
      <c r="L444" t="s">
        <v>4013</v>
      </c>
      <c r="M444" t="s">
        <v>334</v>
      </c>
      <c r="N444" t="s">
        <v>97</v>
      </c>
      <c r="O444" t="s">
        <v>782</v>
      </c>
      <c r="P444" t="s">
        <v>221</v>
      </c>
      <c r="Q444" t="s">
        <v>82</v>
      </c>
      <c r="R444">
        <v>4</v>
      </c>
      <c r="S444">
        <v>2</v>
      </c>
      <c r="T444">
        <v>0</v>
      </c>
      <c r="U444">
        <v>1</v>
      </c>
      <c r="V444">
        <v>1</v>
      </c>
      <c r="W444">
        <v>28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4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</row>
    <row r="445" spans="1:37" x14ac:dyDescent="0.3">
      <c r="A445">
        <v>7979</v>
      </c>
      <c r="B445" t="s">
        <v>219</v>
      </c>
      <c r="D445" t="s">
        <v>327</v>
      </c>
      <c r="E445">
        <v>99999999</v>
      </c>
      <c r="F445">
        <v>11111111</v>
      </c>
      <c r="G445">
        <v>1111111111</v>
      </c>
      <c r="H445" t="s">
        <v>4014</v>
      </c>
      <c r="I445">
        <v>99999999</v>
      </c>
      <c r="J445" s="188">
        <v>45236</v>
      </c>
      <c r="K445" t="s">
        <v>4014</v>
      </c>
      <c r="L445" t="s">
        <v>4014</v>
      </c>
      <c r="M445" t="s">
        <v>783</v>
      </c>
      <c r="N445" t="s">
        <v>99</v>
      </c>
      <c r="O445">
        <v>95227</v>
      </c>
      <c r="P445" t="s">
        <v>221</v>
      </c>
      <c r="Q445" t="s">
        <v>82</v>
      </c>
      <c r="R445">
        <v>1</v>
      </c>
      <c r="S445">
        <v>1</v>
      </c>
      <c r="T445">
        <v>0</v>
      </c>
      <c r="U445">
        <v>1</v>
      </c>
      <c r="V445">
        <v>1</v>
      </c>
      <c r="W445">
        <v>33.729999999999997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1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</row>
    <row r="446" spans="1:37" x14ac:dyDescent="0.3">
      <c r="A446">
        <v>7979</v>
      </c>
      <c r="B446" t="s">
        <v>219</v>
      </c>
      <c r="D446" t="s">
        <v>327</v>
      </c>
      <c r="E446">
        <v>99999999</v>
      </c>
      <c r="F446">
        <v>11111111</v>
      </c>
      <c r="G446">
        <v>1111111111</v>
      </c>
      <c r="H446" t="s">
        <v>4015</v>
      </c>
      <c r="I446">
        <v>99999999</v>
      </c>
      <c r="J446" s="188">
        <v>45236</v>
      </c>
      <c r="K446" t="s">
        <v>4015</v>
      </c>
      <c r="L446" t="s">
        <v>4015</v>
      </c>
      <c r="M446" t="s">
        <v>624</v>
      </c>
      <c r="N446" t="s">
        <v>164</v>
      </c>
      <c r="O446" t="s">
        <v>784</v>
      </c>
      <c r="P446" t="s">
        <v>221</v>
      </c>
      <c r="Q446" t="s">
        <v>82</v>
      </c>
      <c r="R446">
        <v>1</v>
      </c>
      <c r="S446">
        <v>0.7</v>
      </c>
      <c r="T446">
        <v>0</v>
      </c>
      <c r="U446">
        <v>1</v>
      </c>
      <c r="V446">
        <v>1</v>
      </c>
      <c r="W446">
        <v>21.21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1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</row>
    <row r="447" spans="1:37" x14ac:dyDescent="0.3">
      <c r="A447">
        <v>7979</v>
      </c>
      <c r="B447" t="s">
        <v>219</v>
      </c>
      <c r="D447" t="s">
        <v>327</v>
      </c>
      <c r="E447">
        <v>99999999</v>
      </c>
      <c r="F447">
        <v>11111111</v>
      </c>
      <c r="G447">
        <v>1111111111</v>
      </c>
      <c r="H447" t="s">
        <v>4016</v>
      </c>
      <c r="I447">
        <v>99999999</v>
      </c>
      <c r="J447" s="188">
        <v>45236</v>
      </c>
      <c r="K447" t="s">
        <v>4016</v>
      </c>
      <c r="L447" t="s">
        <v>4016</v>
      </c>
      <c r="M447" t="s">
        <v>564</v>
      </c>
      <c r="N447" t="s">
        <v>307</v>
      </c>
      <c r="O447" t="s">
        <v>785</v>
      </c>
      <c r="P447" t="s">
        <v>221</v>
      </c>
      <c r="Q447" t="s">
        <v>82</v>
      </c>
      <c r="R447">
        <v>1</v>
      </c>
      <c r="S447">
        <v>0.53</v>
      </c>
      <c r="T447">
        <v>0</v>
      </c>
      <c r="U447">
        <v>1</v>
      </c>
      <c r="V447">
        <v>1</v>
      </c>
      <c r="W447">
        <v>22.21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1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</row>
    <row r="448" spans="1:37" x14ac:dyDescent="0.3">
      <c r="A448">
        <v>7979</v>
      </c>
      <c r="B448" t="s">
        <v>219</v>
      </c>
      <c r="D448" t="s">
        <v>327</v>
      </c>
      <c r="E448">
        <v>99999999</v>
      </c>
      <c r="F448">
        <v>11111111</v>
      </c>
      <c r="G448">
        <v>1111111111</v>
      </c>
      <c r="H448" t="s">
        <v>4017</v>
      </c>
      <c r="I448">
        <v>99999999</v>
      </c>
      <c r="J448" s="188">
        <v>45236</v>
      </c>
      <c r="K448" t="s">
        <v>4017</v>
      </c>
      <c r="L448" t="s">
        <v>4017</v>
      </c>
      <c r="M448" t="s">
        <v>786</v>
      </c>
      <c r="N448" t="s">
        <v>402</v>
      </c>
      <c r="O448" t="s">
        <v>787</v>
      </c>
      <c r="P448" t="s">
        <v>221</v>
      </c>
      <c r="Q448" t="s">
        <v>82</v>
      </c>
      <c r="R448">
        <v>1</v>
      </c>
      <c r="S448">
        <v>0.5</v>
      </c>
      <c r="T448">
        <v>0</v>
      </c>
      <c r="U448">
        <v>1</v>
      </c>
      <c r="V448">
        <v>1</v>
      </c>
      <c r="W448">
        <v>20.78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1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</row>
    <row r="449" spans="1:37" x14ac:dyDescent="0.3">
      <c r="A449">
        <v>7979</v>
      </c>
      <c r="B449" t="s">
        <v>219</v>
      </c>
      <c r="D449" t="s">
        <v>327</v>
      </c>
      <c r="E449">
        <v>99999999</v>
      </c>
      <c r="F449">
        <v>11111111</v>
      </c>
      <c r="G449">
        <v>1111111111</v>
      </c>
      <c r="H449" t="s">
        <v>4018</v>
      </c>
      <c r="I449">
        <v>99999999</v>
      </c>
      <c r="J449" s="188">
        <v>45236</v>
      </c>
      <c r="K449" t="s">
        <v>4018</v>
      </c>
      <c r="L449" t="s">
        <v>4018</v>
      </c>
      <c r="M449" t="s">
        <v>788</v>
      </c>
      <c r="N449" t="s">
        <v>233</v>
      </c>
      <c r="O449" t="s">
        <v>789</v>
      </c>
      <c r="P449" t="s">
        <v>221</v>
      </c>
      <c r="Q449" t="s">
        <v>82</v>
      </c>
      <c r="R449">
        <v>1</v>
      </c>
      <c r="S449">
        <v>1.1299999999999999</v>
      </c>
      <c r="T449">
        <v>0</v>
      </c>
      <c r="U449">
        <v>1</v>
      </c>
      <c r="V449">
        <v>1</v>
      </c>
      <c r="W449">
        <v>31.36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</row>
    <row r="450" spans="1:37" x14ac:dyDescent="0.3">
      <c r="A450">
        <v>7979</v>
      </c>
      <c r="B450" t="s">
        <v>219</v>
      </c>
      <c r="D450" t="s">
        <v>327</v>
      </c>
      <c r="E450">
        <v>99999999</v>
      </c>
      <c r="F450">
        <v>11111111</v>
      </c>
      <c r="G450">
        <v>1111111111</v>
      </c>
      <c r="H450" t="s">
        <v>4019</v>
      </c>
      <c r="I450">
        <v>99999999</v>
      </c>
      <c r="J450" s="188">
        <v>45236</v>
      </c>
      <c r="K450" t="s">
        <v>4019</v>
      </c>
      <c r="L450" t="s">
        <v>4019</v>
      </c>
      <c r="M450" t="s">
        <v>790</v>
      </c>
      <c r="N450" t="s">
        <v>130</v>
      </c>
      <c r="O450">
        <v>80129</v>
      </c>
      <c r="P450" t="s">
        <v>221</v>
      </c>
      <c r="Q450" t="s">
        <v>82</v>
      </c>
      <c r="R450">
        <v>3</v>
      </c>
      <c r="S450">
        <v>3.4</v>
      </c>
      <c r="T450">
        <v>0</v>
      </c>
      <c r="U450">
        <v>1</v>
      </c>
      <c r="V450">
        <v>2</v>
      </c>
      <c r="W450">
        <v>23.59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3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</row>
    <row r="451" spans="1:37" x14ac:dyDescent="0.3">
      <c r="A451">
        <v>7979</v>
      </c>
      <c r="B451" t="s">
        <v>219</v>
      </c>
      <c r="D451" t="s">
        <v>327</v>
      </c>
      <c r="E451">
        <v>99999999</v>
      </c>
      <c r="F451">
        <v>11111111</v>
      </c>
      <c r="G451">
        <v>1111111111</v>
      </c>
      <c r="H451" t="s">
        <v>4020</v>
      </c>
      <c r="I451">
        <v>99999999</v>
      </c>
      <c r="J451" s="188">
        <v>45237</v>
      </c>
      <c r="K451" t="s">
        <v>4020</v>
      </c>
      <c r="L451" t="s">
        <v>4020</v>
      </c>
      <c r="M451" t="s">
        <v>791</v>
      </c>
      <c r="N451" t="s">
        <v>99</v>
      </c>
      <c r="O451">
        <v>95023</v>
      </c>
      <c r="P451" t="s">
        <v>221</v>
      </c>
      <c r="Q451" t="s">
        <v>82</v>
      </c>
      <c r="R451">
        <v>2</v>
      </c>
      <c r="S451">
        <v>0.75</v>
      </c>
      <c r="T451">
        <v>0</v>
      </c>
      <c r="U451">
        <v>1</v>
      </c>
      <c r="V451">
        <v>2</v>
      </c>
      <c r="W451">
        <v>26.06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2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</row>
    <row r="452" spans="1:37" x14ac:dyDescent="0.3">
      <c r="A452">
        <v>7979</v>
      </c>
      <c r="B452" t="s">
        <v>219</v>
      </c>
      <c r="D452" t="s">
        <v>327</v>
      </c>
      <c r="E452">
        <v>99999999</v>
      </c>
      <c r="F452">
        <v>11111111</v>
      </c>
      <c r="G452">
        <v>1111111111</v>
      </c>
      <c r="H452" t="s">
        <v>4021</v>
      </c>
      <c r="I452">
        <v>99999999</v>
      </c>
      <c r="J452" s="188">
        <v>45236</v>
      </c>
      <c r="K452" t="s">
        <v>4021</v>
      </c>
      <c r="L452" t="s">
        <v>4021</v>
      </c>
      <c r="M452" t="s">
        <v>792</v>
      </c>
      <c r="N452" t="s">
        <v>104</v>
      </c>
      <c r="O452" t="s">
        <v>793</v>
      </c>
      <c r="P452" t="s">
        <v>221</v>
      </c>
      <c r="Q452" t="s">
        <v>82</v>
      </c>
      <c r="R452">
        <v>1</v>
      </c>
      <c r="S452">
        <v>1.1000000000000001</v>
      </c>
      <c r="T452">
        <v>0</v>
      </c>
      <c r="U452">
        <v>1</v>
      </c>
      <c r="V452">
        <v>1</v>
      </c>
      <c r="W452">
        <v>21.21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1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</row>
    <row r="453" spans="1:37" x14ac:dyDescent="0.3">
      <c r="A453">
        <v>7979</v>
      </c>
      <c r="B453" t="s">
        <v>219</v>
      </c>
      <c r="D453" t="s">
        <v>327</v>
      </c>
      <c r="E453">
        <v>99999999</v>
      </c>
      <c r="F453">
        <v>11111111</v>
      </c>
      <c r="G453">
        <v>1111111111</v>
      </c>
      <c r="H453" t="s">
        <v>4022</v>
      </c>
      <c r="I453">
        <v>99999999</v>
      </c>
      <c r="J453" s="188">
        <v>45236</v>
      </c>
      <c r="K453" t="s">
        <v>4022</v>
      </c>
      <c r="L453" t="s">
        <v>4022</v>
      </c>
      <c r="M453" t="s">
        <v>258</v>
      </c>
      <c r="N453" t="s">
        <v>91</v>
      </c>
      <c r="O453" t="s">
        <v>794</v>
      </c>
      <c r="P453" t="s">
        <v>221</v>
      </c>
      <c r="Q453" t="s">
        <v>82</v>
      </c>
      <c r="R453">
        <v>1</v>
      </c>
      <c r="S453">
        <v>0.4</v>
      </c>
      <c r="T453">
        <v>0</v>
      </c>
      <c r="U453">
        <v>1</v>
      </c>
      <c r="V453">
        <v>1</v>
      </c>
      <c r="W453">
        <v>19.899999999999999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1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</row>
    <row r="454" spans="1:37" x14ac:dyDescent="0.3">
      <c r="A454">
        <v>7979</v>
      </c>
      <c r="B454" t="s">
        <v>219</v>
      </c>
      <c r="D454" t="s">
        <v>327</v>
      </c>
      <c r="E454">
        <v>99999999</v>
      </c>
      <c r="F454">
        <v>11111111</v>
      </c>
      <c r="G454">
        <v>1111111111</v>
      </c>
      <c r="H454" t="s">
        <v>4023</v>
      </c>
      <c r="I454">
        <v>99999999</v>
      </c>
      <c r="J454" s="188">
        <v>45236</v>
      </c>
      <c r="K454" t="s">
        <v>4023</v>
      </c>
      <c r="L454" t="s">
        <v>4023</v>
      </c>
      <c r="M454" t="s">
        <v>795</v>
      </c>
      <c r="N454" t="s">
        <v>141</v>
      </c>
      <c r="O454" t="s">
        <v>796</v>
      </c>
      <c r="P454" t="s">
        <v>221</v>
      </c>
      <c r="Q454" t="s">
        <v>82</v>
      </c>
      <c r="R454">
        <v>1</v>
      </c>
      <c r="S454">
        <v>1.21</v>
      </c>
      <c r="T454">
        <v>0</v>
      </c>
      <c r="U454">
        <v>1</v>
      </c>
      <c r="V454">
        <v>1</v>
      </c>
      <c r="W454">
        <v>31.36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1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</row>
    <row r="455" spans="1:37" x14ac:dyDescent="0.3">
      <c r="A455">
        <v>7979</v>
      </c>
      <c r="B455" t="s">
        <v>219</v>
      </c>
      <c r="D455" t="s">
        <v>327</v>
      </c>
      <c r="E455">
        <v>99999999</v>
      </c>
      <c r="F455">
        <v>11111111</v>
      </c>
      <c r="G455">
        <v>1111111111</v>
      </c>
      <c r="H455" t="s">
        <v>4024</v>
      </c>
      <c r="I455">
        <v>99999999</v>
      </c>
      <c r="J455" s="188">
        <v>45236</v>
      </c>
      <c r="K455" t="s">
        <v>4024</v>
      </c>
      <c r="L455" t="s">
        <v>4024</v>
      </c>
      <c r="M455" t="s">
        <v>797</v>
      </c>
      <c r="N455" t="s">
        <v>99</v>
      </c>
      <c r="O455" t="s">
        <v>798</v>
      </c>
      <c r="P455" t="s">
        <v>221</v>
      </c>
      <c r="Q455" t="s">
        <v>82</v>
      </c>
      <c r="R455">
        <v>1</v>
      </c>
      <c r="S455">
        <v>1.72</v>
      </c>
      <c r="T455">
        <v>0</v>
      </c>
      <c r="U455">
        <v>1</v>
      </c>
      <c r="V455">
        <v>1</v>
      </c>
      <c r="W455">
        <v>21.88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1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</row>
    <row r="456" spans="1:37" x14ac:dyDescent="0.3">
      <c r="A456">
        <v>7979</v>
      </c>
      <c r="B456" t="s">
        <v>219</v>
      </c>
      <c r="D456" t="s">
        <v>327</v>
      </c>
      <c r="E456">
        <v>99999999</v>
      </c>
      <c r="F456">
        <v>11111111</v>
      </c>
      <c r="G456">
        <v>1111111111</v>
      </c>
      <c r="H456" t="s">
        <v>4025</v>
      </c>
      <c r="I456">
        <v>99999999</v>
      </c>
      <c r="J456" s="188">
        <v>45236</v>
      </c>
      <c r="K456" t="s">
        <v>4025</v>
      </c>
      <c r="L456" t="s">
        <v>4025</v>
      </c>
      <c r="M456" t="s">
        <v>799</v>
      </c>
      <c r="N456" t="s">
        <v>97</v>
      </c>
      <c r="O456">
        <v>98223</v>
      </c>
      <c r="P456" t="s">
        <v>221</v>
      </c>
      <c r="Q456" t="s">
        <v>82</v>
      </c>
      <c r="R456">
        <v>1</v>
      </c>
      <c r="S456">
        <v>0.8</v>
      </c>
      <c r="T456">
        <v>0</v>
      </c>
      <c r="U456">
        <v>1</v>
      </c>
      <c r="V456">
        <v>1</v>
      </c>
      <c r="W456">
        <v>27.33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1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</row>
    <row r="457" spans="1:37" x14ac:dyDescent="0.3">
      <c r="A457">
        <v>7979</v>
      </c>
      <c r="B457" t="s">
        <v>219</v>
      </c>
      <c r="D457" t="s">
        <v>327</v>
      </c>
      <c r="E457">
        <v>99999999</v>
      </c>
      <c r="F457">
        <v>11111111</v>
      </c>
      <c r="G457">
        <v>1111111111</v>
      </c>
      <c r="H457" t="s">
        <v>4026</v>
      </c>
      <c r="I457">
        <v>99999999</v>
      </c>
      <c r="J457" s="188">
        <v>45236</v>
      </c>
      <c r="K457" t="s">
        <v>4026</v>
      </c>
      <c r="L457" t="s">
        <v>4026</v>
      </c>
      <c r="M457" t="s">
        <v>800</v>
      </c>
      <c r="N457" t="s">
        <v>197</v>
      </c>
      <c r="O457" t="s">
        <v>801</v>
      </c>
      <c r="P457" t="s">
        <v>221</v>
      </c>
      <c r="Q457" t="s">
        <v>82</v>
      </c>
      <c r="R457">
        <v>1</v>
      </c>
      <c r="S457">
        <v>1.4</v>
      </c>
      <c r="T457">
        <v>0</v>
      </c>
      <c r="U457">
        <v>1</v>
      </c>
      <c r="V457">
        <v>1</v>
      </c>
      <c r="W457">
        <v>30.47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1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</row>
    <row r="458" spans="1:37" x14ac:dyDescent="0.3">
      <c r="A458">
        <v>7979</v>
      </c>
      <c r="B458" t="s">
        <v>219</v>
      </c>
      <c r="D458" t="s">
        <v>327</v>
      </c>
      <c r="E458">
        <v>99999999</v>
      </c>
      <c r="F458">
        <v>11111111</v>
      </c>
      <c r="G458">
        <v>1111111111</v>
      </c>
      <c r="H458" t="s">
        <v>4027</v>
      </c>
      <c r="I458">
        <v>99999999</v>
      </c>
      <c r="J458" s="188">
        <v>45236</v>
      </c>
      <c r="K458" t="s">
        <v>4027</v>
      </c>
      <c r="L458" t="s">
        <v>4027</v>
      </c>
      <c r="M458" t="s">
        <v>802</v>
      </c>
      <c r="N458" t="s">
        <v>97</v>
      </c>
      <c r="O458" t="s">
        <v>803</v>
      </c>
      <c r="P458" t="s">
        <v>221</v>
      </c>
      <c r="Q458" t="s">
        <v>82</v>
      </c>
      <c r="R458">
        <v>2</v>
      </c>
      <c r="S458">
        <v>0.4</v>
      </c>
      <c r="T458">
        <v>0</v>
      </c>
      <c r="U458">
        <v>1</v>
      </c>
      <c r="V458">
        <v>2</v>
      </c>
      <c r="W458">
        <v>19.3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2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</row>
    <row r="459" spans="1:37" x14ac:dyDescent="0.3">
      <c r="A459">
        <v>7979</v>
      </c>
      <c r="B459" t="s">
        <v>219</v>
      </c>
      <c r="D459" t="s">
        <v>327</v>
      </c>
      <c r="E459">
        <v>99999999</v>
      </c>
      <c r="F459">
        <v>11111111</v>
      </c>
      <c r="G459">
        <v>1111111111</v>
      </c>
      <c r="H459" t="s">
        <v>4028</v>
      </c>
      <c r="I459">
        <v>99999999</v>
      </c>
      <c r="J459" s="188">
        <v>45236</v>
      </c>
      <c r="K459" t="s">
        <v>4028</v>
      </c>
      <c r="L459" t="s">
        <v>4028</v>
      </c>
      <c r="M459" t="s">
        <v>275</v>
      </c>
      <c r="N459" t="s">
        <v>135</v>
      </c>
      <c r="O459" t="s">
        <v>804</v>
      </c>
      <c r="P459" t="s">
        <v>221</v>
      </c>
      <c r="Q459" t="s">
        <v>82</v>
      </c>
      <c r="R459">
        <v>1</v>
      </c>
      <c r="S459">
        <v>0.3</v>
      </c>
      <c r="T459">
        <v>0</v>
      </c>
      <c r="U459">
        <v>1</v>
      </c>
      <c r="V459">
        <v>1</v>
      </c>
      <c r="W459">
        <v>19.3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1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</row>
    <row r="460" spans="1:37" x14ac:dyDescent="0.3">
      <c r="A460">
        <v>7979</v>
      </c>
      <c r="B460" t="s">
        <v>219</v>
      </c>
      <c r="D460" t="s">
        <v>327</v>
      </c>
      <c r="E460">
        <v>99999999</v>
      </c>
      <c r="F460">
        <v>11111111</v>
      </c>
      <c r="G460">
        <v>1111111111</v>
      </c>
      <c r="H460" t="s">
        <v>4029</v>
      </c>
      <c r="I460">
        <v>99999999</v>
      </c>
      <c r="J460" s="188">
        <v>45236</v>
      </c>
      <c r="K460" t="s">
        <v>4029</v>
      </c>
      <c r="L460" t="s">
        <v>4029</v>
      </c>
      <c r="M460" t="s">
        <v>805</v>
      </c>
      <c r="N460" t="s">
        <v>97</v>
      </c>
      <c r="O460" t="s">
        <v>806</v>
      </c>
      <c r="P460" t="s">
        <v>221</v>
      </c>
      <c r="Q460" t="s">
        <v>82</v>
      </c>
      <c r="R460">
        <v>1</v>
      </c>
      <c r="S460">
        <v>1.1000000000000001</v>
      </c>
      <c r="T460">
        <v>0</v>
      </c>
      <c r="U460">
        <v>1</v>
      </c>
      <c r="V460">
        <v>1</v>
      </c>
      <c r="W460">
        <v>29.46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1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</row>
    <row r="461" spans="1:37" x14ac:dyDescent="0.3">
      <c r="A461">
        <v>7979</v>
      </c>
      <c r="B461" t="s">
        <v>219</v>
      </c>
      <c r="D461" t="s">
        <v>327</v>
      </c>
      <c r="E461">
        <v>99999999</v>
      </c>
      <c r="F461">
        <v>11111111</v>
      </c>
      <c r="G461">
        <v>1111111111</v>
      </c>
      <c r="H461" t="s">
        <v>4030</v>
      </c>
      <c r="I461">
        <v>99999999</v>
      </c>
      <c r="J461" s="188">
        <v>45236</v>
      </c>
      <c r="K461" t="s">
        <v>4030</v>
      </c>
      <c r="L461" t="s">
        <v>4030</v>
      </c>
      <c r="M461" t="s">
        <v>807</v>
      </c>
      <c r="N461" t="s">
        <v>99</v>
      </c>
      <c r="O461">
        <v>94041</v>
      </c>
      <c r="P461" t="s">
        <v>221</v>
      </c>
      <c r="Q461" t="s">
        <v>82</v>
      </c>
      <c r="R461">
        <v>2</v>
      </c>
      <c r="S461">
        <v>5.39</v>
      </c>
      <c r="T461">
        <v>0</v>
      </c>
      <c r="U461">
        <v>1</v>
      </c>
      <c r="V461">
        <v>2</v>
      </c>
      <c r="W461">
        <v>21.49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2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</row>
    <row r="462" spans="1:37" x14ac:dyDescent="0.3">
      <c r="A462">
        <v>7979</v>
      </c>
      <c r="B462" t="s">
        <v>219</v>
      </c>
      <c r="D462" t="s">
        <v>327</v>
      </c>
      <c r="E462">
        <v>99999999</v>
      </c>
      <c r="F462">
        <v>11111111</v>
      </c>
      <c r="G462">
        <v>1111111111</v>
      </c>
      <c r="H462" t="s">
        <v>4031</v>
      </c>
      <c r="I462">
        <v>99999999</v>
      </c>
      <c r="J462" s="188">
        <v>45236</v>
      </c>
      <c r="K462" t="s">
        <v>4031</v>
      </c>
      <c r="L462" t="s">
        <v>4031</v>
      </c>
      <c r="M462" t="s">
        <v>808</v>
      </c>
      <c r="N462" t="s">
        <v>381</v>
      </c>
      <c r="O462" t="s">
        <v>809</v>
      </c>
      <c r="P462" t="s">
        <v>221</v>
      </c>
      <c r="Q462" t="s">
        <v>82</v>
      </c>
      <c r="R462">
        <v>2</v>
      </c>
      <c r="S462">
        <v>8.7799999999999994</v>
      </c>
      <c r="T462">
        <v>0</v>
      </c>
      <c r="U462">
        <v>1</v>
      </c>
      <c r="V462">
        <v>1</v>
      </c>
      <c r="W462">
        <v>34.479999999999997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2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</row>
    <row r="463" spans="1:37" x14ac:dyDescent="0.3">
      <c r="A463">
        <v>7979</v>
      </c>
      <c r="B463" t="s">
        <v>219</v>
      </c>
      <c r="D463" t="s">
        <v>327</v>
      </c>
      <c r="E463">
        <v>99999999</v>
      </c>
      <c r="F463">
        <v>11111111</v>
      </c>
      <c r="G463">
        <v>1111111111</v>
      </c>
      <c r="H463" t="s">
        <v>4032</v>
      </c>
      <c r="I463">
        <v>99999999</v>
      </c>
      <c r="J463" s="188">
        <v>45236</v>
      </c>
      <c r="K463" t="s">
        <v>4032</v>
      </c>
      <c r="L463" t="s">
        <v>4032</v>
      </c>
      <c r="M463" t="s">
        <v>810</v>
      </c>
      <c r="N463" t="s">
        <v>811</v>
      </c>
      <c r="O463" t="s">
        <v>812</v>
      </c>
      <c r="P463" t="s">
        <v>221</v>
      </c>
      <c r="Q463" t="s">
        <v>82</v>
      </c>
      <c r="R463">
        <v>1</v>
      </c>
      <c r="S463">
        <v>0.4</v>
      </c>
      <c r="T463">
        <v>0</v>
      </c>
      <c r="U463">
        <v>1</v>
      </c>
      <c r="V463">
        <v>1</v>
      </c>
      <c r="W463">
        <v>20.78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1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</row>
    <row r="464" spans="1:37" x14ac:dyDescent="0.3">
      <c r="A464">
        <v>7979</v>
      </c>
      <c r="B464" t="s">
        <v>219</v>
      </c>
      <c r="D464" t="s">
        <v>327</v>
      </c>
      <c r="E464">
        <v>99999999</v>
      </c>
      <c r="F464">
        <v>11111111</v>
      </c>
      <c r="G464">
        <v>1111111111</v>
      </c>
      <c r="H464" t="s">
        <v>4033</v>
      </c>
      <c r="I464">
        <v>99999999</v>
      </c>
      <c r="J464" s="188">
        <v>45236</v>
      </c>
      <c r="K464" t="s">
        <v>4033</v>
      </c>
      <c r="L464" t="s">
        <v>4033</v>
      </c>
      <c r="M464" t="s">
        <v>813</v>
      </c>
      <c r="N464" t="s">
        <v>814</v>
      </c>
      <c r="O464" t="s">
        <v>815</v>
      </c>
      <c r="P464" t="s">
        <v>221</v>
      </c>
      <c r="Q464" t="s">
        <v>82</v>
      </c>
      <c r="R464">
        <v>1</v>
      </c>
      <c r="S464">
        <v>1</v>
      </c>
      <c r="T464">
        <v>0</v>
      </c>
      <c r="U464">
        <v>1</v>
      </c>
      <c r="V464">
        <v>1</v>
      </c>
      <c r="W464">
        <v>29.22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1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</row>
    <row r="465" spans="1:37" x14ac:dyDescent="0.3">
      <c r="A465">
        <v>7979</v>
      </c>
      <c r="B465" t="s">
        <v>219</v>
      </c>
      <c r="D465" t="s">
        <v>327</v>
      </c>
      <c r="E465">
        <v>99999999</v>
      </c>
      <c r="F465">
        <v>11111111</v>
      </c>
      <c r="G465">
        <v>1111111111</v>
      </c>
      <c r="H465" t="s">
        <v>4034</v>
      </c>
      <c r="I465">
        <v>99999999</v>
      </c>
      <c r="J465" s="188">
        <v>45236</v>
      </c>
      <c r="K465" t="s">
        <v>4034</v>
      </c>
      <c r="L465" t="s">
        <v>4034</v>
      </c>
      <c r="M465" t="s">
        <v>659</v>
      </c>
      <c r="N465" t="s">
        <v>99</v>
      </c>
      <c r="O465" t="s">
        <v>660</v>
      </c>
      <c r="P465" t="s">
        <v>221</v>
      </c>
      <c r="Q465" t="s">
        <v>82</v>
      </c>
      <c r="R465">
        <v>1</v>
      </c>
      <c r="S465">
        <v>1</v>
      </c>
      <c r="T465">
        <v>0</v>
      </c>
      <c r="U465">
        <v>1</v>
      </c>
      <c r="V465">
        <v>1</v>
      </c>
      <c r="W465">
        <v>26.06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1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</row>
    <row r="466" spans="1:37" x14ac:dyDescent="0.3">
      <c r="A466">
        <v>7979</v>
      </c>
      <c r="B466" t="s">
        <v>219</v>
      </c>
      <c r="D466" t="s">
        <v>327</v>
      </c>
      <c r="E466">
        <v>99999999</v>
      </c>
      <c r="F466">
        <v>11111111</v>
      </c>
      <c r="G466">
        <v>1111111111</v>
      </c>
      <c r="H466" t="s">
        <v>4035</v>
      </c>
      <c r="I466">
        <v>99999999</v>
      </c>
      <c r="J466" s="188">
        <v>45236</v>
      </c>
      <c r="K466" t="s">
        <v>4035</v>
      </c>
      <c r="L466" t="s">
        <v>4035</v>
      </c>
      <c r="M466" t="s">
        <v>816</v>
      </c>
      <c r="N466" t="s">
        <v>381</v>
      </c>
      <c r="O466">
        <v>59718</v>
      </c>
      <c r="P466" t="s">
        <v>221</v>
      </c>
      <c r="Q466" t="s">
        <v>82</v>
      </c>
      <c r="R466">
        <v>1</v>
      </c>
      <c r="S466">
        <v>1.03</v>
      </c>
      <c r="T466">
        <v>0</v>
      </c>
      <c r="U466">
        <v>1</v>
      </c>
      <c r="V466">
        <v>1</v>
      </c>
      <c r="W466">
        <v>21.21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1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</row>
    <row r="467" spans="1:37" x14ac:dyDescent="0.3">
      <c r="A467">
        <v>7979</v>
      </c>
      <c r="B467" t="s">
        <v>219</v>
      </c>
      <c r="D467" t="s">
        <v>327</v>
      </c>
      <c r="E467">
        <v>99999999</v>
      </c>
      <c r="F467">
        <v>11111111</v>
      </c>
      <c r="G467">
        <v>1111111111</v>
      </c>
      <c r="H467" t="s">
        <v>4036</v>
      </c>
      <c r="I467">
        <v>99999999</v>
      </c>
      <c r="J467" s="188">
        <v>45236</v>
      </c>
      <c r="K467" t="s">
        <v>4036</v>
      </c>
      <c r="L467" t="s">
        <v>4036</v>
      </c>
      <c r="M467" t="s">
        <v>817</v>
      </c>
      <c r="N467" t="s">
        <v>231</v>
      </c>
      <c r="O467" t="s">
        <v>818</v>
      </c>
      <c r="P467" t="s">
        <v>221</v>
      </c>
      <c r="Q467" t="s">
        <v>82</v>
      </c>
      <c r="R467">
        <v>1</v>
      </c>
      <c r="S467">
        <v>0.19</v>
      </c>
      <c r="T467">
        <v>0</v>
      </c>
      <c r="U467">
        <v>1</v>
      </c>
      <c r="V467">
        <v>1</v>
      </c>
      <c r="W467">
        <v>20.78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1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</row>
    <row r="468" spans="1:37" x14ac:dyDescent="0.3">
      <c r="A468">
        <v>7979</v>
      </c>
      <c r="B468" t="s">
        <v>219</v>
      </c>
      <c r="D468" t="s">
        <v>327</v>
      </c>
      <c r="E468">
        <v>99999999</v>
      </c>
      <c r="F468">
        <v>11111111</v>
      </c>
      <c r="G468">
        <v>1111111111</v>
      </c>
      <c r="H468" t="s">
        <v>4037</v>
      </c>
      <c r="I468">
        <v>99999999</v>
      </c>
      <c r="J468" s="188">
        <v>45236</v>
      </c>
      <c r="K468" t="s">
        <v>4037</v>
      </c>
      <c r="L468" t="s">
        <v>4037</v>
      </c>
      <c r="M468" t="s">
        <v>819</v>
      </c>
      <c r="N468" t="s">
        <v>402</v>
      </c>
      <c r="O468" t="s">
        <v>820</v>
      </c>
      <c r="P468" t="s">
        <v>221</v>
      </c>
      <c r="Q468" t="s">
        <v>82</v>
      </c>
      <c r="R468">
        <v>2</v>
      </c>
      <c r="S468">
        <v>2.84</v>
      </c>
      <c r="T468">
        <v>0</v>
      </c>
      <c r="U468">
        <v>1</v>
      </c>
      <c r="V468">
        <v>1</v>
      </c>
      <c r="W468">
        <v>26.15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2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</row>
    <row r="469" spans="1:37" x14ac:dyDescent="0.3">
      <c r="A469">
        <v>7979</v>
      </c>
      <c r="B469" t="s">
        <v>219</v>
      </c>
      <c r="D469" t="s">
        <v>327</v>
      </c>
      <c r="E469">
        <v>99999999</v>
      </c>
      <c r="F469">
        <v>11111111</v>
      </c>
      <c r="G469">
        <v>1111111111</v>
      </c>
      <c r="H469" t="s">
        <v>4038</v>
      </c>
      <c r="I469">
        <v>99999999</v>
      </c>
      <c r="J469" s="188">
        <v>45236</v>
      </c>
      <c r="K469" t="s">
        <v>4038</v>
      </c>
      <c r="L469" t="s">
        <v>4038</v>
      </c>
      <c r="M469" t="s">
        <v>345</v>
      </c>
      <c r="N469" t="s">
        <v>197</v>
      </c>
      <c r="O469" t="s">
        <v>821</v>
      </c>
      <c r="P469" t="s">
        <v>221</v>
      </c>
      <c r="Q469" t="s">
        <v>82</v>
      </c>
      <c r="R469">
        <v>1</v>
      </c>
      <c r="S469">
        <v>1.1000000000000001</v>
      </c>
      <c r="T469">
        <v>0</v>
      </c>
      <c r="U469">
        <v>1</v>
      </c>
      <c r="V469">
        <v>1</v>
      </c>
      <c r="W469">
        <v>28.93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1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</row>
    <row r="470" spans="1:37" x14ac:dyDescent="0.3">
      <c r="A470">
        <v>7979</v>
      </c>
      <c r="B470" t="s">
        <v>219</v>
      </c>
      <c r="D470" t="s">
        <v>327</v>
      </c>
      <c r="E470">
        <v>99999999</v>
      </c>
      <c r="F470">
        <v>11111111</v>
      </c>
      <c r="G470">
        <v>1111111111</v>
      </c>
      <c r="H470" t="s">
        <v>4039</v>
      </c>
      <c r="I470">
        <v>99999999</v>
      </c>
      <c r="J470" s="188">
        <v>45236</v>
      </c>
      <c r="K470" t="s">
        <v>4039</v>
      </c>
      <c r="L470" t="s">
        <v>4039</v>
      </c>
      <c r="M470" t="s">
        <v>822</v>
      </c>
      <c r="N470" t="s">
        <v>381</v>
      </c>
      <c r="O470" t="s">
        <v>823</v>
      </c>
      <c r="P470" t="s">
        <v>221</v>
      </c>
      <c r="Q470" t="s">
        <v>82</v>
      </c>
      <c r="R470">
        <v>1</v>
      </c>
      <c r="S470">
        <v>1.52</v>
      </c>
      <c r="T470">
        <v>0</v>
      </c>
      <c r="U470">
        <v>1</v>
      </c>
      <c r="V470">
        <v>1</v>
      </c>
      <c r="W470">
        <v>36.950000000000003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1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</row>
    <row r="471" spans="1:37" x14ac:dyDescent="0.3">
      <c r="A471">
        <v>7979</v>
      </c>
      <c r="B471" t="s">
        <v>219</v>
      </c>
      <c r="D471" t="s">
        <v>327</v>
      </c>
      <c r="E471">
        <v>99999999</v>
      </c>
      <c r="F471">
        <v>11111111</v>
      </c>
      <c r="G471">
        <v>1111111111</v>
      </c>
      <c r="H471" t="s">
        <v>4040</v>
      </c>
      <c r="I471">
        <v>99999999</v>
      </c>
      <c r="J471" s="188">
        <v>45236</v>
      </c>
      <c r="K471" t="s">
        <v>4040</v>
      </c>
      <c r="L471" t="s">
        <v>4040</v>
      </c>
      <c r="M471" t="s">
        <v>824</v>
      </c>
      <c r="N471" t="s">
        <v>164</v>
      </c>
      <c r="O471" t="s">
        <v>825</v>
      </c>
      <c r="P471" t="s">
        <v>221</v>
      </c>
      <c r="Q471" t="s">
        <v>82</v>
      </c>
      <c r="R471">
        <v>1</v>
      </c>
      <c r="S471">
        <v>0.61599999999999999</v>
      </c>
      <c r="T471">
        <v>0</v>
      </c>
      <c r="U471">
        <v>1</v>
      </c>
      <c r="V471">
        <v>1</v>
      </c>
      <c r="W471">
        <v>29.46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1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</row>
    <row r="472" spans="1:37" x14ac:dyDescent="0.3">
      <c r="A472">
        <v>7979</v>
      </c>
      <c r="B472" t="s">
        <v>219</v>
      </c>
      <c r="D472" t="s">
        <v>327</v>
      </c>
      <c r="E472">
        <v>99999999</v>
      </c>
      <c r="F472">
        <v>11111111</v>
      </c>
      <c r="G472">
        <v>1111111111</v>
      </c>
      <c r="H472" t="s">
        <v>4041</v>
      </c>
      <c r="I472">
        <v>99999999</v>
      </c>
      <c r="J472" s="188">
        <v>45236</v>
      </c>
      <c r="K472" t="s">
        <v>4041</v>
      </c>
      <c r="L472" t="s">
        <v>4041</v>
      </c>
      <c r="M472" t="s">
        <v>580</v>
      </c>
      <c r="N472" t="s">
        <v>135</v>
      </c>
      <c r="O472" t="s">
        <v>826</v>
      </c>
      <c r="P472" t="s">
        <v>221</v>
      </c>
      <c r="Q472" t="s">
        <v>82</v>
      </c>
      <c r="R472">
        <v>1</v>
      </c>
      <c r="S472">
        <v>1</v>
      </c>
      <c r="T472">
        <v>0</v>
      </c>
      <c r="U472">
        <v>1</v>
      </c>
      <c r="V472">
        <v>1</v>
      </c>
      <c r="W472">
        <v>21.21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1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</row>
    <row r="473" spans="1:37" x14ac:dyDescent="0.3">
      <c r="A473">
        <v>7979</v>
      </c>
      <c r="B473" t="s">
        <v>219</v>
      </c>
      <c r="D473" t="s">
        <v>327</v>
      </c>
      <c r="E473">
        <v>99999999</v>
      </c>
      <c r="F473">
        <v>11111111</v>
      </c>
      <c r="G473">
        <v>1111111111</v>
      </c>
      <c r="H473" t="s">
        <v>4042</v>
      </c>
      <c r="I473">
        <v>99999999</v>
      </c>
      <c r="J473" s="188">
        <v>45236</v>
      </c>
      <c r="K473" t="s">
        <v>4042</v>
      </c>
      <c r="L473" t="s">
        <v>4042</v>
      </c>
      <c r="M473" t="s">
        <v>827</v>
      </c>
      <c r="N473" t="s">
        <v>381</v>
      </c>
      <c r="O473" t="s">
        <v>828</v>
      </c>
      <c r="P473" t="s">
        <v>221</v>
      </c>
      <c r="Q473" t="s">
        <v>82</v>
      </c>
      <c r="R473">
        <v>1</v>
      </c>
      <c r="S473">
        <v>0.89</v>
      </c>
      <c r="T473">
        <v>0</v>
      </c>
      <c r="U473">
        <v>1</v>
      </c>
      <c r="V473">
        <v>1</v>
      </c>
      <c r="W473">
        <v>27.33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1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</row>
    <row r="474" spans="1:37" x14ac:dyDescent="0.3">
      <c r="A474">
        <v>7979</v>
      </c>
      <c r="B474" t="s">
        <v>219</v>
      </c>
      <c r="D474" t="s">
        <v>327</v>
      </c>
      <c r="E474">
        <v>99999999</v>
      </c>
      <c r="F474">
        <v>11111111</v>
      </c>
      <c r="G474">
        <v>1111111111</v>
      </c>
      <c r="H474" t="s">
        <v>4043</v>
      </c>
      <c r="I474">
        <v>99999999</v>
      </c>
      <c r="J474" s="188">
        <v>45236</v>
      </c>
      <c r="K474" t="s">
        <v>4043</v>
      </c>
      <c r="L474" t="s">
        <v>4043</v>
      </c>
      <c r="M474" t="s">
        <v>829</v>
      </c>
      <c r="N474" t="s">
        <v>99</v>
      </c>
      <c r="O474" t="s">
        <v>830</v>
      </c>
      <c r="P474" t="s">
        <v>221</v>
      </c>
      <c r="Q474" t="s">
        <v>82</v>
      </c>
      <c r="R474">
        <v>1</v>
      </c>
      <c r="S474">
        <v>0.8</v>
      </c>
      <c r="T474">
        <v>0</v>
      </c>
      <c r="U474">
        <v>1</v>
      </c>
      <c r="V474">
        <v>1</v>
      </c>
      <c r="W474">
        <v>26.91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</row>
    <row r="475" spans="1:37" x14ac:dyDescent="0.3">
      <c r="A475">
        <v>7979</v>
      </c>
      <c r="B475" t="s">
        <v>219</v>
      </c>
      <c r="D475" t="s">
        <v>327</v>
      </c>
      <c r="E475">
        <v>99999999</v>
      </c>
      <c r="F475">
        <v>11111111</v>
      </c>
      <c r="G475">
        <v>1111111111</v>
      </c>
      <c r="H475" t="s">
        <v>4044</v>
      </c>
      <c r="I475">
        <v>99999999</v>
      </c>
      <c r="J475" s="188">
        <v>45236</v>
      </c>
      <c r="K475" t="s">
        <v>4044</v>
      </c>
      <c r="L475" t="s">
        <v>4044</v>
      </c>
      <c r="M475" t="s">
        <v>831</v>
      </c>
      <c r="N475" t="s">
        <v>130</v>
      </c>
      <c r="O475" t="s">
        <v>832</v>
      </c>
      <c r="P475" t="s">
        <v>221</v>
      </c>
      <c r="Q475" t="s">
        <v>82</v>
      </c>
      <c r="R475">
        <v>1</v>
      </c>
      <c r="S475">
        <v>1.47</v>
      </c>
      <c r="T475">
        <v>0</v>
      </c>
      <c r="U475">
        <v>1</v>
      </c>
      <c r="V475">
        <v>1</v>
      </c>
      <c r="W475">
        <v>21.54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1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</row>
    <row r="476" spans="1:37" x14ac:dyDescent="0.3">
      <c r="A476">
        <v>7979</v>
      </c>
      <c r="B476" t="s">
        <v>219</v>
      </c>
      <c r="D476" t="s">
        <v>327</v>
      </c>
      <c r="E476">
        <v>99999999</v>
      </c>
      <c r="F476">
        <v>11111111</v>
      </c>
      <c r="G476">
        <v>1111111111</v>
      </c>
      <c r="H476" t="s">
        <v>4045</v>
      </c>
      <c r="I476">
        <v>99999999</v>
      </c>
      <c r="J476" s="188">
        <v>45236</v>
      </c>
      <c r="K476" t="s">
        <v>4045</v>
      </c>
      <c r="L476" t="s">
        <v>4045</v>
      </c>
      <c r="M476" t="s">
        <v>189</v>
      </c>
      <c r="N476" t="s">
        <v>99</v>
      </c>
      <c r="O476" t="s">
        <v>833</v>
      </c>
      <c r="P476" t="s">
        <v>221</v>
      </c>
      <c r="Q476" t="s">
        <v>82</v>
      </c>
      <c r="R476">
        <v>1</v>
      </c>
      <c r="S476">
        <v>1</v>
      </c>
      <c r="T476">
        <v>0</v>
      </c>
      <c r="U476">
        <v>1</v>
      </c>
      <c r="V476">
        <v>1</v>
      </c>
      <c r="W476">
        <v>19.940000000000001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1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</row>
    <row r="477" spans="1:37" x14ac:dyDescent="0.3">
      <c r="A477">
        <v>7979</v>
      </c>
      <c r="B477" t="s">
        <v>219</v>
      </c>
      <c r="D477" t="s">
        <v>327</v>
      </c>
      <c r="E477">
        <v>99999999</v>
      </c>
      <c r="F477">
        <v>11111111</v>
      </c>
      <c r="G477">
        <v>1111111111</v>
      </c>
      <c r="H477" t="s">
        <v>4046</v>
      </c>
      <c r="I477">
        <v>99999999</v>
      </c>
      <c r="J477" s="188">
        <v>45236</v>
      </c>
      <c r="K477" t="s">
        <v>4046</v>
      </c>
      <c r="L477" t="s">
        <v>4046</v>
      </c>
      <c r="M477" t="s">
        <v>834</v>
      </c>
      <c r="N477" t="s">
        <v>99</v>
      </c>
      <c r="O477" t="s">
        <v>835</v>
      </c>
      <c r="P477" t="s">
        <v>221</v>
      </c>
      <c r="Q477" t="s">
        <v>82</v>
      </c>
      <c r="R477">
        <v>1</v>
      </c>
      <c r="S477">
        <v>1.1000000000000001</v>
      </c>
      <c r="T477">
        <v>0</v>
      </c>
      <c r="U477">
        <v>1</v>
      </c>
      <c r="V477">
        <v>1</v>
      </c>
      <c r="W477">
        <v>29.46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1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</row>
    <row r="478" spans="1:37" x14ac:dyDescent="0.3">
      <c r="A478">
        <v>7979</v>
      </c>
      <c r="B478" t="s">
        <v>219</v>
      </c>
      <c r="D478" t="s">
        <v>327</v>
      </c>
      <c r="E478">
        <v>99999999</v>
      </c>
      <c r="F478">
        <v>11111111</v>
      </c>
      <c r="G478">
        <v>1111111111</v>
      </c>
      <c r="H478" t="s">
        <v>4047</v>
      </c>
      <c r="I478">
        <v>99999999</v>
      </c>
      <c r="J478" s="188">
        <v>45236</v>
      </c>
      <c r="K478" t="s">
        <v>4047</v>
      </c>
      <c r="L478" t="s">
        <v>4047</v>
      </c>
      <c r="M478" t="s">
        <v>345</v>
      </c>
      <c r="N478" t="s">
        <v>197</v>
      </c>
      <c r="O478">
        <v>77484</v>
      </c>
      <c r="P478" t="s">
        <v>221</v>
      </c>
      <c r="Q478" t="s">
        <v>82</v>
      </c>
      <c r="R478">
        <v>2</v>
      </c>
      <c r="S478">
        <v>2</v>
      </c>
      <c r="T478">
        <v>0</v>
      </c>
      <c r="U478">
        <v>1</v>
      </c>
      <c r="V478">
        <v>1</v>
      </c>
      <c r="W478">
        <v>31.37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2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</row>
    <row r="479" spans="1:37" x14ac:dyDescent="0.3">
      <c r="A479">
        <v>7979</v>
      </c>
      <c r="B479" t="s">
        <v>219</v>
      </c>
      <c r="D479" t="s">
        <v>327</v>
      </c>
      <c r="E479">
        <v>99999999</v>
      </c>
      <c r="F479">
        <v>11111111</v>
      </c>
      <c r="G479">
        <v>1111111111</v>
      </c>
      <c r="H479" t="s">
        <v>4048</v>
      </c>
      <c r="I479">
        <v>99999999</v>
      </c>
      <c r="J479" s="188">
        <v>45236</v>
      </c>
      <c r="K479" t="s">
        <v>4048</v>
      </c>
      <c r="L479" t="s">
        <v>4048</v>
      </c>
      <c r="M479" t="s">
        <v>836</v>
      </c>
      <c r="N479" t="s">
        <v>197</v>
      </c>
      <c r="O479" t="s">
        <v>837</v>
      </c>
      <c r="P479" t="s">
        <v>221</v>
      </c>
      <c r="Q479" t="s">
        <v>82</v>
      </c>
      <c r="R479">
        <v>2</v>
      </c>
      <c r="S479">
        <v>2.5</v>
      </c>
      <c r="T479">
        <v>0</v>
      </c>
      <c r="U479">
        <v>1</v>
      </c>
      <c r="V479">
        <v>1</v>
      </c>
      <c r="W479">
        <v>23.35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2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</row>
    <row r="480" spans="1:37" x14ac:dyDescent="0.3">
      <c r="A480">
        <v>7979</v>
      </c>
      <c r="B480" t="s">
        <v>219</v>
      </c>
      <c r="D480" t="s">
        <v>327</v>
      </c>
      <c r="E480">
        <v>99999999</v>
      </c>
      <c r="F480">
        <v>11111111</v>
      </c>
      <c r="G480">
        <v>1111111111</v>
      </c>
      <c r="H480" t="s">
        <v>4049</v>
      </c>
      <c r="I480">
        <v>99999999</v>
      </c>
      <c r="J480" s="188">
        <v>45236</v>
      </c>
      <c r="K480" t="s">
        <v>4049</v>
      </c>
      <c r="L480" t="s">
        <v>4049</v>
      </c>
      <c r="M480" t="s">
        <v>838</v>
      </c>
      <c r="N480" t="s">
        <v>197</v>
      </c>
      <c r="O480">
        <v>77382</v>
      </c>
      <c r="P480" t="s">
        <v>221</v>
      </c>
      <c r="Q480" t="s">
        <v>82</v>
      </c>
      <c r="R480">
        <v>3</v>
      </c>
      <c r="S480">
        <v>2.5299999999999998</v>
      </c>
      <c r="T480">
        <v>0</v>
      </c>
      <c r="U480">
        <v>1</v>
      </c>
      <c r="V480">
        <v>3</v>
      </c>
      <c r="W480">
        <v>25.25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3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</row>
    <row r="481" spans="1:37" x14ac:dyDescent="0.3">
      <c r="A481">
        <v>7979</v>
      </c>
      <c r="B481" t="s">
        <v>219</v>
      </c>
      <c r="D481" t="s">
        <v>327</v>
      </c>
      <c r="E481">
        <v>99999999</v>
      </c>
      <c r="F481">
        <v>11111111</v>
      </c>
      <c r="G481">
        <v>1111111111</v>
      </c>
      <c r="H481" t="s">
        <v>4050</v>
      </c>
      <c r="I481">
        <v>99999999</v>
      </c>
      <c r="J481" s="188">
        <v>45236</v>
      </c>
      <c r="K481" t="s">
        <v>4050</v>
      </c>
      <c r="L481" t="s">
        <v>4050</v>
      </c>
      <c r="M481" t="s">
        <v>258</v>
      </c>
      <c r="N481" t="s">
        <v>91</v>
      </c>
      <c r="O481" t="s">
        <v>839</v>
      </c>
      <c r="P481" t="s">
        <v>221</v>
      </c>
      <c r="Q481" t="s">
        <v>82</v>
      </c>
      <c r="R481">
        <v>1</v>
      </c>
      <c r="S481">
        <v>0.6</v>
      </c>
      <c r="T481">
        <v>0</v>
      </c>
      <c r="U481">
        <v>1</v>
      </c>
      <c r="V481">
        <v>1</v>
      </c>
      <c r="W481">
        <v>21.54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1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</row>
    <row r="482" spans="1:37" x14ac:dyDescent="0.3">
      <c r="A482">
        <v>7979</v>
      </c>
      <c r="B482" t="s">
        <v>219</v>
      </c>
      <c r="D482" t="s">
        <v>327</v>
      </c>
      <c r="E482">
        <v>99999999</v>
      </c>
      <c r="F482">
        <v>11111111</v>
      </c>
      <c r="G482">
        <v>1111111111</v>
      </c>
      <c r="H482" t="s">
        <v>4051</v>
      </c>
      <c r="I482">
        <v>99999999</v>
      </c>
      <c r="J482" s="188">
        <v>45236</v>
      </c>
      <c r="K482" t="s">
        <v>4051</v>
      </c>
      <c r="L482" t="s">
        <v>4051</v>
      </c>
      <c r="M482" t="s">
        <v>129</v>
      </c>
      <c r="N482" t="s">
        <v>130</v>
      </c>
      <c r="O482" t="s">
        <v>840</v>
      </c>
      <c r="P482" t="s">
        <v>221</v>
      </c>
      <c r="Q482" t="s">
        <v>82</v>
      </c>
      <c r="R482">
        <v>1</v>
      </c>
      <c r="S482">
        <v>0.01</v>
      </c>
      <c r="T482">
        <v>0</v>
      </c>
      <c r="U482">
        <v>1</v>
      </c>
      <c r="V482">
        <v>1</v>
      </c>
      <c r="W482">
        <v>19.899999999999999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1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</row>
    <row r="483" spans="1:37" x14ac:dyDescent="0.3">
      <c r="A483">
        <v>7979</v>
      </c>
      <c r="B483" t="s">
        <v>219</v>
      </c>
      <c r="D483" t="s">
        <v>327</v>
      </c>
      <c r="E483">
        <v>99999999</v>
      </c>
      <c r="F483">
        <v>11111111</v>
      </c>
      <c r="G483">
        <v>1111111111</v>
      </c>
      <c r="H483" t="s">
        <v>4052</v>
      </c>
      <c r="I483">
        <v>99999999</v>
      </c>
      <c r="J483" s="188">
        <v>45236</v>
      </c>
      <c r="K483" t="s">
        <v>4052</v>
      </c>
      <c r="L483" t="s">
        <v>4052</v>
      </c>
      <c r="M483" t="s">
        <v>369</v>
      </c>
      <c r="N483" t="s">
        <v>99</v>
      </c>
      <c r="O483" t="s">
        <v>841</v>
      </c>
      <c r="P483" t="s">
        <v>221</v>
      </c>
      <c r="Q483" t="s">
        <v>82</v>
      </c>
      <c r="R483">
        <v>1</v>
      </c>
      <c r="S483">
        <v>1.1299999999999999</v>
      </c>
      <c r="T483">
        <v>0</v>
      </c>
      <c r="U483">
        <v>1</v>
      </c>
      <c r="V483">
        <v>1</v>
      </c>
      <c r="W483">
        <v>21.21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</row>
    <row r="484" spans="1:37" x14ac:dyDescent="0.3">
      <c r="A484">
        <v>7979</v>
      </c>
      <c r="B484" t="s">
        <v>219</v>
      </c>
      <c r="D484" t="s">
        <v>327</v>
      </c>
      <c r="E484">
        <v>99999999</v>
      </c>
      <c r="F484">
        <v>11111111</v>
      </c>
      <c r="G484">
        <v>1111111111</v>
      </c>
      <c r="H484" t="s">
        <v>4053</v>
      </c>
      <c r="I484">
        <v>99999999</v>
      </c>
      <c r="J484" s="188">
        <v>45236</v>
      </c>
      <c r="K484" t="s">
        <v>4053</v>
      </c>
      <c r="L484" t="s">
        <v>4053</v>
      </c>
      <c r="M484" t="s">
        <v>630</v>
      </c>
      <c r="N484" t="s">
        <v>104</v>
      </c>
      <c r="O484" t="s">
        <v>842</v>
      </c>
      <c r="P484" t="s">
        <v>221</v>
      </c>
      <c r="Q484" t="s">
        <v>82</v>
      </c>
      <c r="R484">
        <v>2</v>
      </c>
      <c r="S484">
        <v>0.5</v>
      </c>
      <c r="T484">
        <v>0</v>
      </c>
      <c r="U484">
        <v>1</v>
      </c>
      <c r="V484">
        <v>1</v>
      </c>
      <c r="W484">
        <v>19.3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2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</row>
    <row r="485" spans="1:37" x14ac:dyDescent="0.3">
      <c r="A485">
        <v>7979</v>
      </c>
      <c r="B485" t="s">
        <v>219</v>
      </c>
      <c r="D485" t="s">
        <v>327</v>
      </c>
      <c r="E485">
        <v>99999999</v>
      </c>
      <c r="F485">
        <v>11111111</v>
      </c>
      <c r="G485">
        <v>1111111111</v>
      </c>
      <c r="H485" t="s">
        <v>4054</v>
      </c>
      <c r="I485">
        <v>99999999</v>
      </c>
      <c r="J485" s="188">
        <v>45236</v>
      </c>
      <c r="K485" t="s">
        <v>4054</v>
      </c>
      <c r="L485" t="s">
        <v>4054</v>
      </c>
      <c r="M485" t="s">
        <v>843</v>
      </c>
      <c r="N485" t="s">
        <v>99</v>
      </c>
      <c r="O485" t="s">
        <v>844</v>
      </c>
      <c r="P485" t="s">
        <v>221</v>
      </c>
      <c r="Q485" t="s">
        <v>82</v>
      </c>
      <c r="R485">
        <v>1</v>
      </c>
      <c r="S485">
        <v>0.4</v>
      </c>
      <c r="T485">
        <v>0</v>
      </c>
      <c r="U485">
        <v>1</v>
      </c>
      <c r="V485">
        <v>1</v>
      </c>
      <c r="W485">
        <v>24.32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1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</row>
    <row r="486" spans="1:37" x14ac:dyDescent="0.3">
      <c r="A486">
        <v>7979</v>
      </c>
      <c r="B486" t="s">
        <v>219</v>
      </c>
      <c r="D486" t="s">
        <v>327</v>
      </c>
      <c r="E486">
        <v>99999999</v>
      </c>
      <c r="F486">
        <v>11111111</v>
      </c>
      <c r="G486">
        <v>1111111111</v>
      </c>
      <c r="H486" t="s">
        <v>4055</v>
      </c>
      <c r="I486">
        <v>99999999</v>
      </c>
      <c r="J486" s="188">
        <v>45236</v>
      </c>
      <c r="K486" t="s">
        <v>4055</v>
      </c>
      <c r="L486" t="s">
        <v>4055</v>
      </c>
      <c r="M486" t="s">
        <v>845</v>
      </c>
      <c r="N486" t="s">
        <v>231</v>
      </c>
      <c r="O486">
        <v>1938</v>
      </c>
      <c r="P486" t="s">
        <v>221</v>
      </c>
      <c r="Q486" t="s">
        <v>82</v>
      </c>
      <c r="R486">
        <v>1</v>
      </c>
      <c r="S486">
        <v>1.42</v>
      </c>
      <c r="T486">
        <v>0</v>
      </c>
      <c r="U486">
        <v>1</v>
      </c>
      <c r="V486">
        <v>1</v>
      </c>
      <c r="W486">
        <v>29.22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1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</row>
    <row r="487" spans="1:37" x14ac:dyDescent="0.3">
      <c r="A487">
        <v>7979</v>
      </c>
      <c r="B487" t="s">
        <v>219</v>
      </c>
      <c r="D487" t="s">
        <v>327</v>
      </c>
      <c r="E487">
        <v>99999999</v>
      </c>
      <c r="F487">
        <v>11111111</v>
      </c>
      <c r="G487">
        <v>1111111111</v>
      </c>
      <c r="H487" t="s">
        <v>4056</v>
      </c>
      <c r="I487">
        <v>99999999</v>
      </c>
      <c r="J487" s="188">
        <v>45236</v>
      </c>
      <c r="K487" t="s">
        <v>4056</v>
      </c>
      <c r="L487" t="s">
        <v>4056</v>
      </c>
      <c r="M487" t="s">
        <v>624</v>
      </c>
      <c r="N487" t="s">
        <v>164</v>
      </c>
      <c r="O487" t="s">
        <v>846</v>
      </c>
      <c r="P487" t="s">
        <v>221</v>
      </c>
      <c r="Q487" t="s">
        <v>82</v>
      </c>
      <c r="R487">
        <v>1</v>
      </c>
      <c r="S487">
        <v>0.28999999999999998</v>
      </c>
      <c r="T487">
        <v>0</v>
      </c>
      <c r="U487">
        <v>1</v>
      </c>
      <c r="V487">
        <v>1</v>
      </c>
      <c r="W487">
        <v>19.3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1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</row>
    <row r="488" spans="1:37" x14ac:dyDescent="0.3">
      <c r="A488">
        <v>7979</v>
      </c>
      <c r="B488" t="s">
        <v>219</v>
      </c>
      <c r="D488" t="s">
        <v>327</v>
      </c>
      <c r="E488">
        <v>99999999</v>
      </c>
      <c r="F488">
        <v>11111111</v>
      </c>
      <c r="G488">
        <v>1111111111</v>
      </c>
      <c r="H488" t="s">
        <v>4057</v>
      </c>
      <c r="I488">
        <v>99999999</v>
      </c>
      <c r="J488" s="188">
        <v>45236</v>
      </c>
      <c r="K488" t="s">
        <v>4057</v>
      </c>
      <c r="L488" t="s">
        <v>4057</v>
      </c>
      <c r="M488" t="s">
        <v>847</v>
      </c>
      <c r="N488" t="s">
        <v>197</v>
      </c>
      <c r="O488">
        <v>78738</v>
      </c>
      <c r="P488" t="s">
        <v>221</v>
      </c>
      <c r="Q488" t="s">
        <v>82</v>
      </c>
      <c r="R488">
        <v>5</v>
      </c>
      <c r="S488">
        <v>2.14</v>
      </c>
      <c r="T488">
        <v>0</v>
      </c>
      <c r="U488">
        <v>1</v>
      </c>
      <c r="V488">
        <v>3</v>
      </c>
      <c r="W488">
        <v>23.35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5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</row>
    <row r="489" spans="1:37" x14ac:dyDescent="0.3">
      <c r="A489">
        <v>7979</v>
      </c>
      <c r="B489" t="s">
        <v>219</v>
      </c>
      <c r="D489" t="s">
        <v>327</v>
      </c>
      <c r="E489">
        <v>99999999</v>
      </c>
      <c r="F489">
        <v>11111111</v>
      </c>
      <c r="G489">
        <v>1111111111</v>
      </c>
      <c r="H489" t="s">
        <v>4058</v>
      </c>
      <c r="I489">
        <v>99999999</v>
      </c>
      <c r="J489" s="188">
        <v>45236</v>
      </c>
      <c r="K489" t="s">
        <v>4058</v>
      </c>
      <c r="L489" t="s">
        <v>4058</v>
      </c>
      <c r="M489" t="s">
        <v>848</v>
      </c>
      <c r="N489" t="s">
        <v>130</v>
      </c>
      <c r="O489" t="s">
        <v>849</v>
      </c>
      <c r="P489" t="s">
        <v>221</v>
      </c>
      <c r="Q489" t="s">
        <v>82</v>
      </c>
      <c r="R489">
        <v>1</v>
      </c>
      <c r="S489">
        <v>0.8</v>
      </c>
      <c r="T489">
        <v>0</v>
      </c>
      <c r="U489">
        <v>1</v>
      </c>
      <c r="V489">
        <v>1</v>
      </c>
      <c r="W489">
        <v>29.8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1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</row>
    <row r="490" spans="1:37" x14ac:dyDescent="0.3">
      <c r="A490">
        <v>7979</v>
      </c>
      <c r="B490" t="s">
        <v>219</v>
      </c>
      <c r="D490" t="s">
        <v>327</v>
      </c>
      <c r="E490">
        <v>99999999</v>
      </c>
      <c r="F490">
        <v>11111111</v>
      </c>
      <c r="G490">
        <v>1111111111</v>
      </c>
      <c r="H490" t="s">
        <v>4059</v>
      </c>
      <c r="I490">
        <v>99999999</v>
      </c>
      <c r="J490" s="188">
        <v>45236</v>
      </c>
      <c r="K490" t="s">
        <v>4059</v>
      </c>
      <c r="L490" t="s">
        <v>4059</v>
      </c>
      <c r="M490" t="s">
        <v>850</v>
      </c>
      <c r="N490" t="s">
        <v>130</v>
      </c>
      <c r="O490" t="s">
        <v>851</v>
      </c>
      <c r="P490" t="s">
        <v>221</v>
      </c>
      <c r="Q490" t="s">
        <v>82</v>
      </c>
      <c r="R490">
        <v>1</v>
      </c>
      <c r="S490">
        <v>1.2</v>
      </c>
      <c r="T490">
        <v>0</v>
      </c>
      <c r="U490">
        <v>1</v>
      </c>
      <c r="V490">
        <v>1</v>
      </c>
      <c r="W490">
        <v>27.66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1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</row>
    <row r="491" spans="1:37" x14ac:dyDescent="0.3">
      <c r="A491">
        <v>7979</v>
      </c>
      <c r="B491" t="s">
        <v>219</v>
      </c>
      <c r="D491" t="s">
        <v>327</v>
      </c>
      <c r="E491">
        <v>99999999</v>
      </c>
      <c r="F491">
        <v>11111111</v>
      </c>
      <c r="G491">
        <v>1111111111</v>
      </c>
      <c r="H491" t="s">
        <v>4060</v>
      </c>
      <c r="I491">
        <v>99999999</v>
      </c>
      <c r="J491" s="188">
        <v>45236</v>
      </c>
      <c r="K491" t="s">
        <v>4060</v>
      </c>
      <c r="L491" t="s">
        <v>4060</v>
      </c>
      <c r="M491" t="s">
        <v>852</v>
      </c>
      <c r="N491" t="s">
        <v>130</v>
      </c>
      <c r="O491" t="s">
        <v>853</v>
      </c>
      <c r="P491" t="s">
        <v>221</v>
      </c>
      <c r="Q491" t="s">
        <v>82</v>
      </c>
      <c r="R491">
        <v>1</v>
      </c>
      <c r="S491">
        <v>0.15</v>
      </c>
      <c r="T491">
        <v>0</v>
      </c>
      <c r="U491">
        <v>1</v>
      </c>
      <c r="V491">
        <v>1</v>
      </c>
      <c r="W491">
        <v>34.97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1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</row>
    <row r="492" spans="1:37" x14ac:dyDescent="0.3">
      <c r="A492">
        <v>7979</v>
      </c>
      <c r="B492" t="s">
        <v>219</v>
      </c>
      <c r="D492" t="s">
        <v>327</v>
      </c>
      <c r="E492">
        <v>99999999</v>
      </c>
      <c r="F492">
        <v>11111111</v>
      </c>
      <c r="G492">
        <v>1111111111</v>
      </c>
      <c r="H492" t="s">
        <v>4061</v>
      </c>
      <c r="I492">
        <v>99999999</v>
      </c>
      <c r="J492" s="188">
        <v>45236</v>
      </c>
      <c r="K492" t="s">
        <v>4061</v>
      </c>
      <c r="L492" t="s">
        <v>4061</v>
      </c>
      <c r="M492" t="s">
        <v>816</v>
      </c>
      <c r="N492" t="s">
        <v>381</v>
      </c>
      <c r="O492" t="s">
        <v>854</v>
      </c>
      <c r="P492" t="s">
        <v>221</v>
      </c>
      <c r="Q492" t="s">
        <v>82</v>
      </c>
      <c r="R492">
        <v>1</v>
      </c>
      <c r="S492">
        <v>0.68</v>
      </c>
      <c r="T492">
        <v>0</v>
      </c>
      <c r="U492">
        <v>1</v>
      </c>
      <c r="V492">
        <v>1</v>
      </c>
      <c r="W492">
        <v>21.21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1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</row>
    <row r="493" spans="1:37" x14ac:dyDescent="0.3">
      <c r="A493">
        <v>7979</v>
      </c>
      <c r="B493" t="s">
        <v>219</v>
      </c>
      <c r="D493" t="s">
        <v>327</v>
      </c>
      <c r="E493">
        <v>99999999</v>
      </c>
      <c r="F493">
        <v>11111111</v>
      </c>
      <c r="G493">
        <v>1111111111</v>
      </c>
      <c r="H493" t="s">
        <v>4062</v>
      </c>
      <c r="I493">
        <v>99999999</v>
      </c>
      <c r="J493" s="188">
        <v>45236</v>
      </c>
      <c r="K493" t="s">
        <v>4062</v>
      </c>
      <c r="L493" t="s">
        <v>4062</v>
      </c>
      <c r="M493" t="s">
        <v>855</v>
      </c>
      <c r="N493" t="s">
        <v>122</v>
      </c>
      <c r="O493" t="s">
        <v>856</v>
      </c>
      <c r="P493" t="s">
        <v>221</v>
      </c>
      <c r="Q493" t="s">
        <v>82</v>
      </c>
      <c r="R493">
        <v>1</v>
      </c>
      <c r="S493">
        <v>0.45</v>
      </c>
      <c r="T493">
        <v>0</v>
      </c>
      <c r="U493">
        <v>1</v>
      </c>
      <c r="V493">
        <v>1</v>
      </c>
      <c r="W493">
        <v>19.899999999999999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1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</row>
    <row r="494" spans="1:37" x14ac:dyDescent="0.3">
      <c r="A494">
        <v>7979</v>
      </c>
      <c r="B494" t="s">
        <v>219</v>
      </c>
      <c r="D494" t="s">
        <v>327</v>
      </c>
      <c r="E494">
        <v>99999999</v>
      </c>
      <c r="F494">
        <v>11111111</v>
      </c>
      <c r="G494">
        <v>1111111111</v>
      </c>
      <c r="H494" t="s">
        <v>4063</v>
      </c>
      <c r="I494">
        <v>99999999</v>
      </c>
      <c r="J494" s="188">
        <v>45236</v>
      </c>
      <c r="K494" t="s">
        <v>4063</v>
      </c>
      <c r="L494" t="s">
        <v>4063</v>
      </c>
      <c r="M494" t="s">
        <v>850</v>
      </c>
      <c r="N494" t="s">
        <v>130</v>
      </c>
      <c r="O494">
        <v>80487</v>
      </c>
      <c r="P494" t="s">
        <v>221</v>
      </c>
      <c r="Q494" t="s">
        <v>82</v>
      </c>
      <c r="R494">
        <v>1</v>
      </c>
      <c r="S494">
        <v>0.5</v>
      </c>
      <c r="T494">
        <v>0</v>
      </c>
      <c r="U494">
        <v>1</v>
      </c>
      <c r="V494">
        <v>1</v>
      </c>
      <c r="W494">
        <v>26.02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1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</row>
    <row r="495" spans="1:37" x14ac:dyDescent="0.3">
      <c r="A495">
        <v>7979</v>
      </c>
      <c r="B495" t="s">
        <v>219</v>
      </c>
      <c r="D495" t="s">
        <v>327</v>
      </c>
      <c r="E495">
        <v>99999999</v>
      </c>
      <c r="F495">
        <v>11111111</v>
      </c>
      <c r="G495">
        <v>1111111111</v>
      </c>
      <c r="H495" t="s">
        <v>4064</v>
      </c>
      <c r="I495">
        <v>99999999</v>
      </c>
      <c r="J495" s="188">
        <v>45236</v>
      </c>
      <c r="K495" t="s">
        <v>4064</v>
      </c>
      <c r="L495" t="s">
        <v>4064</v>
      </c>
      <c r="M495" t="s">
        <v>632</v>
      </c>
      <c r="N495" t="s">
        <v>97</v>
      </c>
      <c r="O495" t="s">
        <v>857</v>
      </c>
      <c r="P495" t="s">
        <v>221</v>
      </c>
      <c r="Q495" t="s">
        <v>82</v>
      </c>
      <c r="R495">
        <v>3</v>
      </c>
      <c r="S495">
        <v>0.54</v>
      </c>
      <c r="T495">
        <v>0</v>
      </c>
      <c r="U495">
        <v>1</v>
      </c>
      <c r="V495">
        <v>2</v>
      </c>
      <c r="W495">
        <v>21.21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3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</row>
    <row r="496" spans="1:37" x14ac:dyDescent="0.3">
      <c r="A496">
        <v>7979</v>
      </c>
      <c r="B496" t="s">
        <v>219</v>
      </c>
      <c r="D496" t="s">
        <v>327</v>
      </c>
      <c r="E496">
        <v>99999999</v>
      </c>
      <c r="F496">
        <v>11111111</v>
      </c>
      <c r="G496">
        <v>1111111111</v>
      </c>
      <c r="H496" t="s">
        <v>4065</v>
      </c>
      <c r="I496">
        <v>99999999</v>
      </c>
      <c r="J496" s="188">
        <v>45236</v>
      </c>
      <c r="K496" t="s">
        <v>4065</v>
      </c>
      <c r="L496" t="s">
        <v>4065</v>
      </c>
      <c r="M496" t="s">
        <v>858</v>
      </c>
      <c r="N496" t="s">
        <v>164</v>
      </c>
      <c r="O496" t="s">
        <v>859</v>
      </c>
      <c r="P496" t="s">
        <v>221</v>
      </c>
      <c r="Q496" t="s">
        <v>82</v>
      </c>
      <c r="R496">
        <v>1</v>
      </c>
      <c r="S496">
        <v>1.2</v>
      </c>
      <c r="T496">
        <v>0</v>
      </c>
      <c r="U496">
        <v>1</v>
      </c>
      <c r="V496">
        <v>1</v>
      </c>
      <c r="W496">
        <v>26.06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1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</row>
    <row r="497" spans="1:37" x14ac:dyDescent="0.3">
      <c r="A497">
        <v>7979</v>
      </c>
      <c r="B497" t="s">
        <v>219</v>
      </c>
      <c r="D497" t="s">
        <v>327</v>
      </c>
      <c r="E497">
        <v>99999999</v>
      </c>
      <c r="F497">
        <v>11111111</v>
      </c>
      <c r="G497">
        <v>1111111111</v>
      </c>
      <c r="H497" t="s">
        <v>4066</v>
      </c>
      <c r="I497">
        <v>99999999</v>
      </c>
      <c r="J497" s="188">
        <v>45236</v>
      </c>
      <c r="K497" t="s">
        <v>4066</v>
      </c>
      <c r="L497" t="s">
        <v>4066</v>
      </c>
      <c r="M497" t="s">
        <v>860</v>
      </c>
      <c r="N497" t="s">
        <v>197</v>
      </c>
      <c r="O497">
        <v>76092</v>
      </c>
      <c r="P497" t="s">
        <v>221</v>
      </c>
      <c r="Q497" t="s">
        <v>82</v>
      </c>
      <c r="R497">
        <v>1</v>
      </c>
      <c r="S497">
        <v>0.5</v>
      </c>
      <c r="T497">
        <v>0</v>
      </c>
      <c r="U497">
        <v>1</v>
      </c>
      <c r="V497">
        <v>1</v>
      </c>
      <c r="W497">
        <v>20.36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1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</row>
    <row r="498" spans="1:37" x14ac:dyDescent="0.3">
      <c r="A498">
        <v>7979</v>
      </c>
      <c r="B498" t="s">
        <v>219</v>
      </c>
      <c r="D498" t="s">
        <v>327</v>
      </c>
      <c r="E498">
        <v>99999999</v>
      </c>
      <c r="F498">
        <v>11111111</v>
      </c>
      <c r="G498">
        <v>1111111111</v>
      </c>
      <c r="H498" t="s">
        <v>4067</v>
      </c>
      <c r="I498">
        <v>99999999</v>
      </c>
      <c r="J498" s="188">
        <v>45236</v>
      </c>
      <c r="K498" t="s">
        <v>4067</v>
      </c>
      <c r="L498" t="s">
        <v>4067</v>
      </c>
      <c r="M498" t="s">
        <v>861</v>
      </c>
      <c r="N498" t="s">
        <v>97</v>
      </c>
      <c r="O498" t="s">
        <v>862</v>
      </c>
      <c r="P498" t="s">
        <v>221</v>
      </c>
      <c r="Q498" t="s">
        <v>82</v>
      </c>
      <c r="R498">
        <v>1</v>
      </c>
      <c r="S498">
        <v>0.28000000000000003</v>
      </c>
      <c r="T498">
        <v>0</v>
      </c>
      <c r="U498">
        <v>1</v>
      </c>
      <c r="V498">
        <v>1</v>
      </c>
      <c r="W498">
        <v>27.56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1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</row>
    <row r="499" spans="1:37" x14ac:dyDescent="0.3">
      <c r="A499">
        <v>7979</v>
      </c>
      <c r="B499" t="s">
        <v>219</v>
      </c>
      <c r="D499" t="s">
        <v>327</v>
      </c>
      <c r="E499">
        <v>99999999</v>
      </c>
      <c r="F499">
        <v>11111111</v>
      </c>
      <c r="G499">
        <v>1111111111</v>
      </c>
      <c r="H499" t="s">
        <v>4068</v>
      </c>
      <c r="I499">
        <v>99999999</v>
      </c>
      <c r="J499" s="188">
        <v>45236</v>
      </c>
      <c r="K499" t="s">
        <v>4068</v>
      </c>
      <c r="L499" t="s">
        <v>4068</v>
      </c>
      <c r="M499" t="s">
        <v>863</v>
      </c>
      <c r="N499" t="s">
        <v>402</v>
      </c>
      <c r="O499">
        <v>22066</v>
      </c>
      <c r="P499" t="s">
        <v>221</v>
      </c>
      <c r="Q499" t="s">
        <v>82</v>
      </c>
      <c r="R499">
        <v>1</v>
      </c>
      <c r="S499">
        <v>1.21</v>
      </c>
      <c r="T499">
        <v>0</v>
      </c>
      <c r="U499">
        <v>1</v>
      </c>
      <c r="V499">
        <v>1</v>
      </c>
      <c r="W499">
        <v>29.22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1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</row>
    <row r="500" spans="1:37" x14ac:dyDescent="0.3">
      <c r="A500">
        <v>7979</v>
      </c>
      <c r="B500" t="s">
        <v>219</v>
      </c>
      <c r="D500" t="s">
        <v>327</v>
      </c>
      <c r="E500">
        <v>99999999</v>
      </c>
      <c r="F500">
        <v>11111111</v>
      </c>
      <c r="G500">
        <v>1111111111</v>
      </c>
      <c r="H500" t="s">
        <v>4069</v>
      </c>
      <c r="I500">
        <v>99999999</v>
      </c>
      <c r="J500" s="188">
        <v>45236</v>
      </c>
      <c r="K500" t="s">
        <v>4069</v>
      </c>
      <c r="L500" t="s">
        <v>4069</v>
      </c>
      <c r="M500" t="s">
        <v>864</v>
      </c>
      <c r="N500" t="s">
        <v>118</v>
      </c>
      <c r="O500">
        <v>18041</v>
      </c>
      <c r="P500" t="s">
        <v>221</v>
      </c>
      <c r="Q500" t="s">
        <v>82</v>
      </c>
      <c r="R500">
        <v>1</v>
      </c>
      <c r="S500">
        <v>0.8</v>
      </c>
      <c r="T500">
        <v>0</v>
      </c>
      <c r="U500">
        <v>1</v>
      </c>
      <c r="V500">
        <v>1</v>
      </c>
      <c r="W500">
        <v>23.1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1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</row>
    <row r="501" spans="1:37" x14ac:dyDescent="0.3">
      <c r="A501">
        <v>7979</v>
      </c>
      <c r="B501" t="s">
        <v>219</v>
      </c>
      <c r="D501" t="s">
        <v>327</v>
      </c>
      <c r="E501">
        <v>99999999</v>
      </c>
      <c r="F501">
        <v>11111111</v>
      </c>
      <c r="G501">
        <v>1111111111</v>
      </c>
      <c r="H501" t="s">
        <v>4070</v>
      </c>
      <c r="I501">
        <v>99999999</v>
      </c>
      <c r="J501" s="188">
        <v>45236</v>
      </c>
      <c r="K501" t="s">
        <v>4070</v>
      </c>
      <c r="L501" t="s">
        <v>4070</v>
      </c>
      <c r="M501" t="s">
        <v>865</v>
      </c>
      <c r="N501" t="s">
        <v>91</v>
      </c>
      <c r="O501" t="s">
        <v>866</v>
      </c>
      <c r="P501" t="s">
        <v>221</v>
      </c>
      <c r="Q501" t="s">
        <v>82</v>
      </c>
      <c r="R501">
        <v>2</v>
      </c>
      <c r="S501">
        <v>1.72</v>
      </c>
      <c r="T501">
        <v>0</v>
      </c>
      <c r="U501">
        <v>1</v>
      </c>
      <c r="V501">
        <v>1</v>
      </c>
      <c r="W501">
        <v>22.67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2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</row>
    <row r="502" spans="1:37" x14ac:dyDescent="0.3">
      <c r="A502">
        <v>7979</v>
      </c>
      <c r="B502" t="s">
        <v>219</v>
      </c>
      <c r="D502" t="s">
        <v>327</v>
      </c>
      <c r="E502">
        <v>99999999</v>
      </c>
      <c r="F502">
        <v>11111111</v>
      </c>
      <c r="G502">
        <v>1111111111</v>
      </c>
      <c r="H502" t="s">
        <v>4071</v>
      </c>
      <c r="I502">
        <v>99999999</v>
      </c>
      <c r="J502" s="188">
        <v>45236</v>
      </c>
      <c r="K502" t="s">
        <v>4071</v>
      </c>
      <c r="L502" t="s">
        <v>4071</v>
      </c>
      <c r="M502" t="s">
        <v>562</v>
      </c>
      <c r="N502" t="s">
        <v>197</v>
      </c>
      <c r="O502" t="s">
        <v>563</v>
      </c>
      <c r="P502" t="s">
        <v>221</v>
      </c>
      <c r="Q502" t="s">
        <v>82</v>
      </c>
      <c r="R502">
        <v>1</v>
      </c>
      <c r="S502">
        <v>1.8</v>
      </c>
      <c r="T502">
        <v>0</v>
      </c>
      <c r="U502">
        <v>1</v>
      </c>
      <c r="V502">
        <v>1</v>
      </c>
      <c r="W502">
        <v>23.35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1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</row>
    <row r="503" spans="1:37" x14ac:dyDescent="0.3">
      <c r="A503">
        <v>7979</v>
      </c>
      <c r="B503" t="s">
        <v>219</v>
      </c>
      <c r="D503" t="s">
        <v>327</v>
      </c>
      <c r="E503">
        <v>99999999</v>
      </c>
      <c r="F503">
        <v>11111111</v>
      </c>
      <c r="G503">
        <v>1111111111</v>
      </c>
      <c r="H503" t="s">
        <v>4072</v>
      </c>
      <c r="I503">
        <v>99999999</v>
      </c>
      <c r="J503" s="188">
        <v>45236</v>
      </c>
      <c r="K503" t="s">
        <v>4072</v>
      </c>
      <c r="L503" t="s">
        <v>4072</v>
      </c>
      <c r="M503" t="s">
        <v>867</v>
      </c>
      <c r="N503" t="s">
        <v>231</v>
      </c>
      <c r="O503" t="s">
        <v>868</v>
      </c>
      <c r="P503" t="s">
        <v>221</v>
      </c>
      <c r="Q503" t="s">
        <v>82</v>
      </c>
      <c r="R503">
        <v>1</v>
      </c>
      <c r="S503">
        <v>0.03</v>
      </c>
      <c r="T503">
        <v>0</v>
      </c>
      <c r="U503">
        <v>1</v>
      </c>
      <c r="V503">
        <v>1</v>
      </c>
      <c r="W503">
        <v>26.9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1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</row>
    <row r="504" spans="1:37" x14ac:dyDescent="0.3">
      <c r="A504">
        <v>7979</v>
      </c>
      <c r="B504" t="s">
        <v>219</v>
      </c>
      <c r="D504" t="s">
        <v>327</v>
      </c>
      <c r="E504">
        <v>99999999</v>
      </c>
      <c r="F504">
        <v>11111111</v>
      </c>
      <c r="G504">
        <v>1111111111</v>
      </c>
      <c r="H504" t="s">
        <v>4073</v>
      </c>
      <c r="I504">
        <v>99999999</v>
      </c>
      <c r="J504" s="188">
        <v>45236</v>
      </c>
      <c r="K504" t="s">
        <v>4073</v>
      </c>
      <c r="L504" t="s">
        <v>4073</v>
      </c>
      <c r="M504" t="s">
        <v>111</v>
      </c>
      <c r="N504" t="s">
        <v>99</v>
      </c>
      <c r="O504">
        <v>95603</v>
      </c>
      <c r="P504" t="s">
        <v>221</v>
      </c>
      <c r="Q504" t="s">
        <v>82</v>
      </c>
      <c r="R504">
        <v>3</v>
      </c>
      <c r="S504">
        <v>2.9</v>
      </c>
      <c r="T504">
        <v>0</v>
      </c>
      <c r="U504">
        <v>1</v>
      </c>
      <c r="V504">
        <v>3</v>
      </c>
      <c r="W504">
        <v>25.66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3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</row>
    <row r="505" spans="1:37" x14ac:dyDescent="0.3">
      <c r="A505">
        <v>7979</v>
      </c>
      <c r="B505" t="s">
        <v>219</v>
      </c>
      <c r="D505" t="s">
        <v>327</v>
      </c>
      <c r="E505">
        <v>99999999</v>
      </c>
      <c r="F505">
        <v>11111111</v>
      </c>
      <c r="G505">
        <v>1111111111</v>
      </c>
      <c r="H505" t="s">
        <v>4074</v>
      </c>
      <c r="I505">
        <v>99999999</v>
      </c>
      <c r="J505" s="188">
        <v>45236</v>
      </c>
      <c r="K505" t="s">
        <v>4074</v>
      </c>
      <c r="L505" t="s">
        <v>4074</v>
      </c>
      <c r="M505" t="s">
        <v>869</v>
      </c>
      <c r="N505" t="s">
        <v>135</v>
      </c>
      <c r="O505" t="s">
        <v>870</v>
      </c>
      <c r="P505" t="s">
        <v>221</v>
      </c>
      <c r="Q505" t="s">
        <v>82</v>
      </c>
      <c r="R505">
        <v>4</v>
      </c>
      <c r="S505">
        <v>0.63</v>
      </c>
      <c r="T505">
        <v>0</v>
      </c>
      <c r="U505">
        <v>1</v>
      </c>
      <c r="V505">
        <v>2</v>
      </c>
      <c r="W505">
        <v>21.21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4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</row>
    <row r="506" spans="1:37" x14ac:dyDescent="0.3">
      <c r="A506">
        <v>7979</v>
      </c>
      <c r="B506" t="s">
        <v>219</v>
      </c>
      <c r="D506" t="s">
        <v>327</v>
      </c>
      <c r="E506">
        <v>99999999</v>
      </c>
      <c r="F506">
        <v>11111111</v>
      </c>
      <c r="G506">
        <v>1111111111</v>
      </c>
      <c r="H506" t="s">
        <v>4075</v>
      </c>
      <c r="I506">
        <v>99999999</v>
      </c>
      <c r="J506" s="188">
        <v>45236</v>
      </c>
      <c r="K506" t="s">
        <v>4075</v>
      </c>
      <c r="L506" t="s">
        <v>4075</v>
      </c>
      <c r="M506" t="s">
        <v>743</v>
      </c>
      <c r="N506" t="s">
        <v>97</v>
      </c>
      <c r="O506" t="s">
        <v>871</v>
      </c>
      <c r="P506" t="s">
        <v>221</v>
      </c>
      <c r="Q506" t="s">
        <v>82</v>
      </c>
      <c r="R506">
        <v>2</v>
      </c>
      <c r="S506">
        <v>1.6</v>
      </c>
      <c r="T506">
        <v>0</v>
      </c>
      <c r="U506">
        <v>1</v>
      </c>
      <c r="V506">
        <v>1</v>
      </c>
      <c r="W506">
        <v>21.88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2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</row>
    <row r="507" spans="1:37" x14ac:dyDescent="0.3">
      <c r="A507">
        <v>7979</v>
      </c>
      <c r="B507" t="s">
        <v>219</v>
      </c>
      <c r="D507" t="s">
        <v>327</v>
      </c>
      <c r="E507">
        <v>99999999</v>
      </c>
      <c r="F507">
        <v>11111111</v>
      </c>
      <c r="G507">
        <v>1111111111</v>
      </c>
      <c r="H507" t="s">
        <v>4076</v>
      </c>
      <c r="I507">
        <v>99999999</v>
      </c>
      <c r="J507" s="188">
        <v>45236</v>
      </c>
      <c r="K507" t="s">
        <v>4076</v>
      </c>
      <c r="L507" t="s">
        <v>4076</v>
      </c>
      <c r="M507" t="s">
        <v>872</v>
      </c>
      <c r="N507" t="s">
        <v>99</v>
      </c>
      <c r="O507" t="s">
        <v>873</v>
      </c>
      <c r="P507" t="s">
        <v>221</v>
      </c>
      <c r="Q507" t="s">
        <v>82</v>
      </c>
      <c r="R507">
        <v>2</v>
      </c>
      <c r="S507">
        <v>2.15</v>
      </c>
      <c r="T507">
        <v>0</v>
      </c>
      <c r="U507">
        <v>1</v>
      </c>
      <c r="V507">
        <v>2</v>
      </c>
      <c r="W507">
        <v>21.88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2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</row>
    <row r="508" spans="1:37" x14ac:dyDescent="0.3">
      <c r="A508">
        <v>7979</v>
      </c>
      <c r="B508" t="s">
        <v>219</v>
      </c>
      <c r="D508" t="s">
        <v>327</v>
      </c>
      <c r="E508">
        <v>99999999</v>
      </c>
      <c r="F508">
        <v>11111111</v>
      </c>
      <c r="G508">
        <v>1111111111</v>
      </c>
      <c r="H508" t="s">
        <v>4077</v>
      </c>
      <c r="I508">
        <v>99999999</v>
      </c>
      <c r="J508" s="188">
        <v>45236</v>
      </c>
      <c r="K508" t="s">
        <v>4077</v>
      </c>
      <c r="L508" t="s">
        <v>4077</v>
      </c>
      <c r="M508" t="s">
        <v>510</v>
      </c>
      <c r="N508" t="s">
        <v>97</v>
      </c>
      <c r="O508" t="s">
        <v>874</v>
      </c>
      <c r="P508" t="s">
        <v>221</v>
      </c>
      <c r="Q508" t="s">
        <v>82</v>
      </c>
      <c r="R508">
        <v>1</v>
      </c>
      <c r="S508">
        <v>0.09</v>
      </c>
      <c r="T508">
        <v>0</v>
      </c>
      <c r="U508">
        <v>1</v>
      </c>
      <c r="V508">
        <v>1</v>
      </c>
      <c r="W508">
        <v>25.42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1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</row>
    <row r="509" spans="1:37" x14ac:dyDescent="0.3">
      <c r="A509">
        <v>7979</v>
      </c>
      <c r="B509" t="s">
        <v>219</v>
      </c>
      <c r="D509" t="s">
        <v>327</v>
      </c>
      <c r="E509">
        <v>99999999</v>
      </c>
      <c r="F509">
        <v>11111111</v>
      </c>
      <c r="G509">
        <v>1111111111</v>
      </c>
      <c r="H509" t="s">
        <v>4078</v>
      </c>
      <c r="I509">
        <v>99999999</v>
      </c>
      <c r="J509" s="188">
        <v>45236</v>
      </c>
      <c r="K509" t="s">
        <v>4078</v>
      </c>
      <c r="L509" t="s">
        <v>4078</v>
      </c>
      <c r="M509" t="s">
        <v>875</v>
      </c>
      <c r="N509" t="s">
        <v>97</v>
      </c>
      <c r="O509" t="s">
        <v>876</v>
      </c>
      <c r="P509" t="s">
        <v>221</v>
      </c>
      <c r="Q509" t="s">
        <v>82</v>
      </c>
      <c r="R509">
        <v>1</v>
      </c>
      <c r="S509">
        <v>0.8</v>
      </c>
      <c r="T509">
        <v>0</v>
      </c>
      <c r="U509">
        <v>1</v>
      </c>
      <c r="V509">
        <v>1</v>
      </c>
      <c r="W509">
        <v>21.21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</row>
    <row r="510" spans="1:37" x14ac:dyDescent="0.3">
      <c r="A510">
        <v>7979</v>
      </c>
      <c r="B510" t="s">
        <v>219</v>
      </c>
      <c r="D510" t="s">
        <v>327</v>
      </c>
      <c r="E510">
        <v>99999999</v>
      </c>
      <c r="F510">
        <v>11111111</v>
      </c>
      <c r="G510">
        <v>1111111111</v>
      </c>
      <c r="H510" t="s">
        <v>4079</v>
      </c>
      <c r="I510">
        <v>99999999</v>
      </c>
      <c r="J510" s="188">
        <v>45236</v>
      </c>
      <c r="K510" t="s">
        <v>4079</v>
      </c>
      <c r="L510" t="s">
        <v>4079</v>
      </c>
      <c r="M510" t="s">
        <v>877</v>
      </c>
      <c r="N510" t="s">
        <v>197</v>
      </c>
      <c r="O510" t="s">
        <v>878</v>
      </c>
      <c r="P510" t="s">
        <v>221</v>
      </c>
      <c r="Q510" t="s">
        <v>82</v>
      </c>
      <c r="R510">
        <v>1</v>
      </c>
      <c r="S510">
        <v>0.93</v>
      </c>
      <c r="T510">
        <v>0</v>
      </c>
      <c r="U510">
        <v>1</v>
      </c>
      <c r="V510">
        <v>1</v>
      </c>
      <c r="W510">
        <v>22.81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1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</row>
    <row r="511" spans="1:37" x14ac:dyDescent="0.3">
      <c r="A511">
        <v>7979</v>
      </c>
      <c r="B511" t="s">
        <v>219</v>
      </c>
      <c r="D511" t="s">
        <v>327</v>
      </c>
      <c r="E511">
        <v>99999999</v>
      </c>
      <c r="F511">
        <v>11111111</v>
      </c>
      <c r="G511">
        <v>1111111111</v>
      </c>
      <c r="H511" t="s">
        <v>4080</v>
      </c>
      <c r="I511">
        <v>99999999</v>
      </c>
      <c r="J511" s="188">
        <v>45236</v>
      </c>
      <c r="K511" t="s">
        <v>4080</v>
      </c>
      <c r="L511" t="s">
        <v>4080</v>
      </c>
      <c r="M511" t="s">
        <v>879</v>
      </c>
      <c r="N511" t="s">
        <v>164</v>
      </c>
      <c r="O511">
        <v>97333</v>
      </c>
      <c r="P511" t="s">
        <v>221</v>
      </c>
      <c r="Q511" t="s">
        <v>82</v>
      </c>
      <c r="R511">
        <v>1</v>
      </c>
      <c r="S511">
        <v>1</v>
      </c>
      <c r="T511">
        <v>0</v>
      </c>
      <c r="U511">
        <v>1</v>
      </c>
      <c r="V511">
        <v>1</v>
      </c>
      <c r="W511">
        <v>27.33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1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</row>
    <row r="512" spans="1:37" x14ac:dyDescent="0.3">
      <c r="A512">
        <v>7979</v>
      </c>
      <c r="B512" t="s">
        <v>219</v>
      </c>
      <c r="D512" t="s">
        <v>327</v>
      </c>
      <c r="E512">
        <v>99999999</v>
      </c>
      <c r="F512">
        <v>11111111</v>
      </c>
      <c r="G512">
        <v>1111111111</v>
      </c>
      <c r="H512" t="s">
        <v>4081</v>
      </c>
      <c r="I512">
        <v>99999999</v>
      </c>
      <c r="J512" s="188">
        <v>45236</v>
      </c>
      <c r="K512" t="s">
        <v>4081</v>
      </c>
      <c r="L512" t="s">
        <v>4081</v>
      </c>
      <c r="M512" t="s">
        <v>880</v>
      </c>
      <c r="N512" t="s">
        <v>197</v>
      </c>
      <c r="O512" t="s">
        <v>881</v>
      </c>
      <c r="P512" t="s">
        <v>221</v>
      </c>
      <c r="Q512" t="s">
        <v>82</v>
      </c>
      <c r="R512">
        <v>1</v>
      </c>
      <c r="S512">
        <v>1.1299999999999999</v>
      </c>
      <c r="T512">
        <v>0</v>
      </c>
      <c r="U512">
        <v>1</v>
      </c>
      <c r="V512">
        <v>1</v>
      </c>
      <c r="W512">
        <v>30.47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1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</row>
    <row r="513" spans="1:37" x14ac:dyDescent="0.3">
      <c r="A513">
        <v>7979</v>
      </c>
      <c r="B513" t="s">
        <v>219</v>
      </c>
      <c r="D513" t="s">
        <v>327</v>
      </c>
      <c r="E513">
        <v>99999999</v>
      </c>
      <c r="F513">
        <v>11111111</v>
      </c>
      <c r="G513">
        <v>1111111111</v>
      </c>
      <c r="H513" t="s">
        <v>4082</v>
      </c>
      <c r="I513">
        <v>99999999</v>
      </c>
      <c r="J513" s="188">
        <v>45236</v>
      </c>
      <c r="K513" t="s">
        <v>4082</v>
      </c>
      <c r="L513" t="s">
        <v>4082</v>
      </c>
      <c r="M513" t="s">
        <v>882</v>
      </c>
      <c r="N513" t="s">
        <v>99</v>
      </c>
      <c r="O513" t="s">
        <v>883</v>
      </c>
      <c r="P513" t="s">
        <v>221</v>
      </c>
      <c r="Q513" t="s">
        <v>82</v>
      </c>
      <c r="R513">
        <v>5</v>
      </c>
      <c r="S513">
        <v>3</v>
      </c>
      <c r="T513">
        <v>0</v>
      </c>
      <c r="U513">
        <v>1</v>
      </c>
      <c r="V513">
        <v>2</v>
      </c>
      <c r="W513">
        <v>22.52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5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</row>
    <row r="514" spans="1:37" x14ac:dyDescent="0.3">
      <c r="A514">
        <v>7979</v>
      </c>
      <c r="B514" t="s">
        <v>219</v>
      </c>
      <c r="D514" t="s">
        <v>327</v>
      </c>
      <c r="E514">
        <v>99999999</v>
      </c>
      <c r="F514">
        <v>11111111</v>
      </c>
      <c r="G514">
        <v>1111111111</v>
      </c>
      <c r="H514" t="s">
        <v>4083</v>
      </c>
      <c r="I514">
        <v>99999999</v>
      </c>
      <c r="J514" s="188">
        <v>45236</v>
      </c>
      <c r="K514" t="s">
        <v>4083</v>
      </c>
      <c r="L514" t="s">
        <v>4083</v>
      </c>
      <c r="M514" t="s">
        <v>884</v>
      </c>
      <c r="N514" t="s">
        <v>161</v>
      </c>
      <c r="O514" t="s">
        <v>885</v>
      </c>
      <c r="P514" t="s">
        <v>221</v>
      </c>
      <c r="Q514" t="s">
        <v>82</v>
      </c>
      <c r="R514">
        <v>1</v>
      </c>
      <c r="S514">
        <v>0.19</v>
      </c>
      <c r="T514">
        <v>0</v>
      </c>
      <c r="U514">
        <v>1</v>
      </c>
      <c r="V514">
        <v>1</v>
      </c>
      <c r="W514">
        <v>26.65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</row>
    <row r="515" spans="1:37" x14ac:dyDescent="0.3">
      <c r="A515">
        <v>7979</v>
      </c>
      <c r="B515" t="s">
        <v>219</v>
      </c>
      <c r="D515" t="s">
        <v>327</v>
      </c>
      <c r="E515">
        <v>99999999</v>
      </c>
      <c r="F515">
        <v>11111111</v>
      </c>
      <c r="G515">
        <v>1111111111</v>
      </c>
      <c r="H515" t="s">
        <v>4084</v>
      </c>
      <c r="I515">
        <v>99999999</v>
      </c>
      <c r="J515" s="188">
        <v>45236</v>
      </c>
      <c r="K515" t="s">
        <v>4084</v>
      </c>
      <c r="L515" t="s">
        <v>4084</v>
      </c>
      <c r="M515" t="s">
        <v>760</v>
      </c>
      <c r="N515" t="s">
        <v>197</v>
      </c>
      <c r="O515" t="s">
        <v>886</v>
      </c>
      <c r="P515" t="s">
        <v>221</v>
      </c>
      <c r="Q515" t="s">
        <v>82</v>
      </c>
      <c r="R515">
        <v>2</v>
      </c>
      <c r="S515">
        <v>0.85</v>
      </c>
      <c r="T515">
        <v>0</v>
      </c>
      <c r="U515">
        <v>1</v>
      </c>
      <c r="V515">
        <v>2</v>
      </c>
      <c r="W515">
        <v>22.21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2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</row>
    <row r="516" spans="1:37" x14ac:dyDescent="0.3">
      <c r="A516">
        <v>7979</v>
      </c>
      <c r="B516" t="s">
        <v>219</v>
      </c>
      <c r="D516" t="s">
        <v>327</v>
      </c>
      <c r="E516">
        <v>99999999</v>
      </c>
      <c r="F516">
        <v>11111111</v>
      </c>
      <c r="G516">
        <v>1111111111</v>
      </c>
      <c r="H516" t="s">
        <v>4085</v>
      </c>
      <c r="I516">
        <v>99999999</v>
      </c>
      <c r="J516" s="188">
        <v>45236</v>
      </c>
      <c r="K516" t="s">
        <v>4085</v>
      </c>
      <c r="L516" t="s">
        <v>4085</v>
      </c>
      <c r="M516" t="s">
        <v>887</v>
      </c>
      <c r="N516" t="s">
        <v>80</v>
      </c>
      <c r="O516" t="s">
        <v>888</v>
      </c>
      <c r="P516" t="s">
        <v>221</v>
      </c>
      <c r="Q516" t="s">
        <v>82</v>
      </c>
      <c r="R516">
        <v>1</v>
      </c>
      <c r="S516">
        <v>0.5</v>
      </c>
      <c r="T516">
        <v>0</v>
      </c>
      <c r="U516">
        <v>1</v>
      </c>
      <c r="V516">
        <v>1</v>
      </c>
      <c r="W516">
        <v>20.78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1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</row>
    <row r="517" spans="1:37" x14ac:dyDescent="0.3">
      <c r="A517">
        <v>7979</v>
      </c>
      <c r="B517" t="s">
        <v>219</v>
      </c>
      <c r="D517" t="s">
        <v>327</v>
      </c>
      <c r="E517">
        <v>99999999</v>
      </c>
      <c r="F517">
        <v>11111111</v>
      </c>
      <c r="G517">
        <v>1111111111</v>
      </c>
      <c r="H517" t="s">
        <v>4086</v>
      </c>
      <c r="I517">
        <v>99999999</v>
      </c>
      <c r="J517" s="188">
        <v>45236</v>
      </c>
      <c r="K517" t="s">
        <v>4086</v>
      </c>
      <c r="L517" t="s">
        <v>4086</v>
      </c>
      <c r="M517" t="s">
        <v>889</v>
      </c>
      <c r="N517" t="s">
        <v>307</v>
      </c>
      <c r="O517">
        <v>74745</v>
      </c>
      <c r="P517" t="s">
        <v>221</v>
      </c>
      <c r="Q517" t="s">
        <v>82</v>
      </c>
      <c r="R517">
        <v>1</v>
      </c>
      <c r="S517">
        <v>4</v>
      </c>
      <c r="T517">
        <v>0</v>
      </c>
      <c r="U517">
        <v>1</v>
      </c>
      <c r="V517">
        <v>1</v>
      </c>
      <c r="W517">
        <v>31.23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1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</row>
    <row r="518" spans="1:37" x14ac:dyDescent="0.3">
      <c r="A518">
        <v>7979</v>
      </c>
      <c r="B518" t="s">
        <v>219</v>
      </c>
      <c r="D518" t="s">
        <v>327</v>
      </c>
      <c r="E518">
        <v>99999999</v>
      </c>
      <c r="F518">
        <v>11111111</v>
      </c>
      <c r="G518">
        <v>1111111111</v>
      </c>
      <c r="H518" t="s">
        <v>4087</v>
      </c>
      <c r="I518">
        <v>99999999</v>
      </c>
      <c r="J518" s="188">
        <v>45236</v>
      </c>
      <c r="K518" t="s">
        <v>4087</v>
      </c>
      <c r="L518" t="s">
        <v>4087</v>
      </c>
      <c r="M518" t="s">
        <v>890</v>
      </c>
      <c r="N518" t="s">
        <v>164</v>
      </c>
      <c r="O518" t="s">
        <v>891</v>
      </c>
      <c r="P518" t="s">
        <v>221</v>
      </c>
      <c r="Q518" t="s">
        <v>82</v>
      </c>
      <c r="R518">
        <v>2</v>
      </c>
      <c r="S518">
        <v>0.5</v>
      </c>
      <c r="T518">
        <v>0</v>
      </c>
      <c r="U518">
        <v>1</v>
      </c>
      <c r="V518">
        <v>1</v>
      </c>
      <c r="W518">
        <v>25.42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2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</row>
    <row r="519" spans="1:37" x14ac:dyDescent="0.3">
      <c r="A519">
        <v>7979</v>
      </c>
      <c r="B519" t="s">
        <v>219</v>
      </c>
      <c r="D519" t="s">
        <v>327</v>
      </c>
      <c r="E519">
        <v>99999999</v>
      </c>
      <c r="F519">
        <v>11111111</v>
      </c>
      <c r="G519">
        <v>1111111111</v>
      </c>
      <c r="H519" t="s">
        <v>4088</v>
      </c>
      <c r="I519">
        <v>99999999</v>
      </c>
      <c r="J519" s="188">
        <v>45236</v>
      </c>
      <c r="K519" t="s">
        <v>4088</v>
      </c>
      <c r="L519" t="s">
        <v>4088</v>
      </c>
      <c r="M519" t="s">
        <v>138</v>
      </c>
      <c r="N519" t="s">
        <v>197</v>
      </c>
      <c r="O519">
        <v>77316</v>
      </c>
      <c r="P519" t="s">
        <v>221</v>
      </c>
      <c r="Q519" t="s">
        <v>82</v>
      </c>
      <c r="R519">
        <v>5</v>
      </c>
      <c r="S519">
        <v>0.45</v>
      </c>
      <c r="T519">
        <v>0</v>
      </c>
      <c r="U519">
        <v>1</v>
      </c>
      <c r="V519">
        <v>2</v>
      </c>
      <c r="W519">
        <v>26.65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5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</row>
    <row r="520" spans="1:37" x14ac:dyDescent="0.3">
      <c r="A520">
        <v>7979</v>
      </c>
      <c r="B520" t="s">
        <v>219</v>
      </c>
      <c r="D520" t="s">
        <v>327</v>
      </c>
      <c r="E520">
        <v>99999999</v>
      </c>
      <c r="F520">
        <v>11111111</v>
      </c>
      <c r="G520">
        <v>1111111111</v>
      </c>
      <c r="H520" t="s">
        <v>4089</v>
      </c>
      <c r="I520">
        <v>99999999</v>
      </c>
      <c r="J520" s="188">
        <v>45236</v>
      </c>
      <c r="K520" t="s">
        <v>4089</v>
      </c>
      <c r="L520" t="s">
        <v>4089</v>
      </c>
      <c r="M520" t="s">
        <v>892</v>
      </c>
      <c r="N520" t="s">
        <v>522</v>
      </c>
      <c r="O520" t="s">
        <v>893</v>
      </c>
      <c r="P520" t="s">
        <v>221</v>
      </c>
      <c r="Q520" t="s">
        <v>82</v>
      </c>
      <c r="R520">
        <v>1</v>
      </c>
      <c r="S520">
        <v>1.1299999999999999</v>
      </c>
      <c r="T520">
        <v>0</v>
      </c>
      <c r="U520">
        <v>1</v>
      </c>
      <c r="V520">
        <v>1</v>
      </c>
      <c r="W520">
        <v>23.1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1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</row>
    <row r="521" spans="1:37" x14ac:dyDescent="0.3">
      <c r="A521">
        <v>7979</v>
      </c>
      <c r="B521" t="s">
        <v>219</v>
      </c>
      <c r="D521" t="s">
        <v>327</v>
      </c>
      <c r="E521">
        <v>99999999</v>
      </c>
      <c r="F521">
        <v>11111111</v>
      </c>
      <c r="G521">
        <v>1111111111</v>
      </c>
      <c r="H521" t="s">
        <v>4090</v>
      </c>
      <c r="I521">
        <v>99999999</v>
      </c>
      <c r="J521" s="188">
        <v>45236</v>
      </c>
      <c r="K521" t="s">
        <v>4090</v>
      </c>
      <c r="L521" t="s">
        <v>4090</v>
      </c>
      <c r="M521" t="s">
        <v>562</v>
      </c>
      <c r="N521" t="s">
        <v>197</v>
      </c>
      <c r="O521" t="s">
        <v>894</v>
      </c>
      <c r="P521" t="s">
        <v>221</v>
      </c>
      <c r="Q521" t="s">
        <v>82</v>
      </c>
      <c r="R521">
        <v>1</v>
      </c>
      <c r="S521">
        <v>0.75</v>
      </c>
      <c r="T521">
        <v>0</v>
      </c>
      <c r="U521">
        <v>1</v>
      </c>
      <c r="V521">
        <v>1</v>
      </c>
      <c r="W521">
        <v>22.21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1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</row>
    <row r="522" spans="1:37" x14ac:dyDescent="0.3">
      <c r="A522">
        <v>7979</v>
      </c>
      <c r="B522" t="s">
        <v>219</v>
      </c>
      <c r="D522" t="s">
        <v>327</v>
      </c>
      <c r="E522">
        <v>99999999</v>
      </c>
      <c r="F522">
        <v>11111111</v>
      </c>
      <c r="G522">
        <v>1111111111</v>
      </c>
      <c r="H522" t="s">
        <v>4091</v>
      </c>
      <c r="I522">
        <v>99999999</v>
      </c>
      <c r="J522" s="188">
        <v>45236</v>
      </c>
      <c r="K522" t="s">
        <v>4091</v>
      </c>
      <c r="L522" t="s">
        <v>4091</v>
      </c>
      <c r="M522" t="s">
        <v>895</v>
      </c>
      <c r="N522" t="s">
        <v>91</v>
      </c>
      <c r="O522" t="s">
        <v>896</v>
      </c>
      <c r="P522" t="s">
        <v>221</v>
      </c>
      <c r="Q522" t="s">
        <v>82</v>
      </c>
      <c r="R522">
        <v>1</v>
      </c>
      <c r="S522">
        <v>1</v>
      </c>
      <c r="T522">
        <v>0</v>
      </c>
      <c r="U522">
        <v>1</v>
      </c>
      <c r="V522">
        <v>1</v>
      </c>
      <c r="W522">
        <v>21.54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1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</row>
    <row r="523" spans="1:37" x14ac:dyDescent="0.3">
      <c r="A523">
        <v>7979</v>
      </c>
      <c r="B523" t="s">
        <v>219</v>
      </c>
      <c r="D523" t="s">
        <v>327</v>
      </c>
      <c r="E523">
        <v>99999999</v>
      </c>
      <c r="F523">
        <v>11111111</v>
      </c>
      <c r="G523">
        <v>1111111111</v>
      </c>
      <c r="H523" t="s">
        <v>4092</v>
      </c>
      <c r="I523">
        <v>99999999</v>
      </c>
      <c r="J523" s="188">
        <v>45236</v>
      </c>
      <c r="K523" t="s">
        <v>4092</v>
      </c>
      <c r="L523" t="s">
        <v>4092</v>
      </c>
      <c r="M523" t="s">
        <v>897</v>
      </c>
      <c r="N523" t="s">
        <v>197</v>
      </c>
      <c r="O523" t="s">
        <v>898</v>
      </c>
      <c r="P523" t="s">
        <v>221</v>
      </c>
      <c r="Q523" t="s">
        <v>82</v>
      </c>
      <c r="R523">
        <v>2</v>
      </c>
      <c r="S523">
        <v>3</v>
      </c>
      <c r="T523">
        <v>0</v>
      </c>
      <c r="U523">
        <v>1</v>
      </c>
      <c r="V523">
        <v>1</v>
      </c>
      <c r="W523">
        <v>25.25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2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</row>
    <row r="524" spans="1:37" x14ac:dyDescent="0.3">
      <c r="A524">
        <v>7979</v>
      </c>
      <c r="B524" t="s">
        <v>219</v>
      </c>
      <c r="D524" t="s">
        <v>327</v>
      </c>
      <c r="E524">
        <v>99999999</v>
      </c>
      <c r="F524">
        <v>11111111</v>
      </c>
      <c r="G524">
        <v>1111111111</v>
      </c>
      <c r="H524" t="s">
        <v>4093</v>
      </c>
      <c r="I524">
        <v>99999999</v>
      </c>
      <c r="J524" s="188">
        <v>45236</v>
      </c>
      <c r="K524" t="s">
        <v>4093</v>
      </c>
      <c r="L524" t="s">
        <v>4093</v>
      </c>
      <c r="M524" t="s">
        <v>899</v>
      </c>
      <c r="N524" t="s">
        <v>85</v>
      </c>
      <c r="O524" t="s">
        <v>900</v>
      </c>
      <c r="P524" t="s">
        <v>221</v>
      </c>
      <c r="Q524" t="s">
        <v>82</v>
      </c>
      <c r="R524">
        <v>1</v>
      </c>
      <c r="S524">
        <v>1.1299999999999999</v>
      </c>
      <c r="T524">
        <v>0</v>
      </c>
      <c r="U524">
        <v>1</v>
      </c>
      <c r="V524">
        <v>1</v>
      </c>
      <c r="W524">
        <v>24.77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1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</row>
    <row r="525" spans="1:37" x14ac:dyDescent="0.3">
      <c r="A525">
        <v>7979</v>
      </c>
      <c r="B525" t="s">
        <v>219</v>
      </c>
      <c r="D525" t="s">
        <v>327</v>
      </c>
      <c r="E525">
        <v>99999999</v>
      </c>
      <c r="F525">
        <v>11111111</v>
      </c>
      <c r="G525">
        <v>1111111111</v>
      </c>
      <c r="H525" t="s">
        <v>4094</v>
      </c>
      <c r="I525">
        <v>99999999</v>
      </c>
      <c r="J525" s="188">
        <v>45236</v>
      </c>
      <c r="K525" t="s">
        <v>4094</v>
      </c>
      <c r="L525" t="s">
        <v>4094</v>
      </c>
      <c r="M525" t="s">
        <v>901</v>
      </c>
      <c r="N525" t="s">
        <v>97</v>
      </c>
      <c r="O525" t="s">
        <v>902</v>
      </c>
      <c r="P525" t="s">
        <v>221</v>
      </c>
      <c r="Q525" t="s">
        <v>82</v>
      </c>
      <c r="R525">
        <v>1</v>
      </c>
      <c r="S525">
        <v>0.33</v>
      </c>
      <c r="T525">
        <v>0</v>
      </c>
      <c r="U525">
        <v>1</v>
      </c>
      <c r="V525">
        <v>1</v>
      </c>
      <c r="W525">
        <v>25.42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1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</row>
    <row r="526" spans="1:37" x14ac:dyDescent="0.3">
      <c r="A526">
        <v>7979</v>
      </c>
      <c r="B526" t="s">
        <v>219</v>
      </c>
      <c r="D526" t="s">
        <v>327</v>
      </c>
      <c r="E526">
        <v>99999999</v>
      </c>
      <c r="F526">
        <v>11111111</v>
      </c>
      <c r="G526">
        <v>1111111111</v>
      </c>
      <c r="H526" t="s">
        <v>4095</v>
      </c>
      <c r="I526">
        <v>99999999</v>
      </c>
      <c r="J526" s="188">
        <v>45236</v>
      </c>
      <c r="K526" t="s">
        <v>4095</v>
      </c>
      <c r="L526" t="s">
        <v>4095</v>
      </c>
      <c r="M526" t="s">
        <v>903</v>
      </c>
      <c r="N526" t="s">
        <v>125</v>
      </c>
      <c r="O526" t="s">
        <v>904</v>
      </c>
      <c r="P526" t="s">
        <v>221</v>
      </c>
      <c r="Q526" t="s">
        <v>82</v>
      </c>
      <c r="R526">
        <v>1</v>
      </c>
      <c r="S526">
        <v>1.21</v>
      </c>
      <c r="T526">
        <v>0</v>
      </c>
      <c r="U526">
        <v>1</v>
      </c>
      <c r="V526">
        <v>1</v>
      </c>
      <c r="W526">
        <v>23.1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</row>
    <row r="527" spans="1:37" x14ac:dyDescent="0.3">
      <c r="A527">
        <v>7979</v>
      </c>
      <c r="B527" t="s">
        <v>219</v>
      </c>
      <c r="D527" t="s">
        <v>327</v>
      </c>
      <c r="E527">
        <v>99999999</v>
      </c>
      <c r="F527">
        <v>11111111</v>
      </c>
      <c r="G527">
        <v>1111111111</v>
      </c>
      <c r="H527" t="s">
        <v>4096</v>
      </c>
      <c r="I527">
        <v>99999999</v>
      </c>
      <c r="J527" s="188">
        <v>45236</v>
      </c>
      <c r="K527" t="s">
        <v>4096</v>
      </c>
      <c r="L527" t="s">
        <v>4096</v>
      </c>
      <c r="M527" t="s">
        <v>905</v>
      </c>
      <c r="N527" t="s">
        <v>99</v>
      </c>
      <c r="O527" t="s">
        <v>906</v>
      </c>
      <c r="P527" t="s">
        <v>221</v>
      </c>
      <c r="Q527" t="s">
        <v>82</v>
      </c>
      <c r="R527">
        <v>1</v>
      </c>
      <c r="S527">
        <v>0.4</v>
      </c>
      <c r="T527">
        <v>0</v>
      </c>
      <c r="U527">
        <v>1</v>
      </c>
      <c r="V527">
        <v>1</v>
      </c>
      <c r="W527">
        <v>19.3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1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</row>
    <row r="528" spans="1:37" x14ac:dyDescent="0.3">
      <c r="A528">
        <v>7979</v>
      </c>
      <c r="B528" t="s">
        <v>219</v>
      </c>
      <c r="D528" t="s">
        <v>327</v>
      </c>
      <c r="E528">
        <v>99999999</v>
      </c>
      <c r="F528">
        <v>11111111</v>
      </c>
      <c r="G528">
        <v>1111111111</v>
      </c>
      <c r="H528" t="s">
        <v>4097</v>
      </c>
      <c r="I528">
        <v>99999999</v>
      </c>
      <c r="J528" s="188">
        <v>45236</v>
      </c>
      <c r="K528" t="s">
        <v>4097</v>
      </c>
      <c r="L528" t="s">
        <v>4097</v>
      </c>
      <c r="M528" t="s">
        <v>907</v>
      </c>
      <c r="N528" t="s">
        <v>99</v>
      </c>
      <c r="O528" t="s">
        <v>908</v>
      </c>
      <c r="P528" t="s">
        <v>221</v>
      </c>
      <c r="Q528" t="s">
        <v>82</v>
      </c>
      <c r="R528">
        <v>2</v>
      </c>
      <c r="S528">
        <v>1</v>
      </c>
      <c r="T528">
        <v>0</v>
      </c>
      <c r="U528">
        <v>1</v>
      </c>
      <c r="V528">
        <v>2</v>
      </c>
      <c r="W528">
        <v>18.649999999999999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2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</row>
    <row r="529" spans="1:37" x14ac:dyDescent="0.3">
      <c r="A529">
        <v>7979</v>
      </c>
      <c r="B529" t="s">
        <v>219</v>
      </c>
      <c r="D529" t="s">
        <v>327</v>
      </c>
      <c r="E529">
        <v>99999999</v>
      </c>
      <c r="F529">
        <v>11111111</v>
      </c>
      <c r="G529">
        <v>1111111111</v>
      </c>
      <c r="H529" t="s">
        <v>4098</v>
      </c>
      <c r="I529">
        <v>99999999</v>
      </c>
      <c r="J529" s="188">
        <v>45236</v>
      </c>
      <c r="K529" t="s">
        <v>4098</v>
      </c>
      <c r="L529" t="s">
        <v>4098</v>
      </c>
      <c r="M529" t="s">
        <v>155</v>
      </c>
      <c r="N529" t="s">
        <v>99</v>
      </c>
      <c r="O529" t="s">
        <v>909</v>
      </c>
      <c r="P529" t="s">
        <v>221</v>
      </c>
      <c r="Q529" t="s">
        <v>82</v>
      </c>
      <c r="R529">
        <v>1</v>
      </c>
      <c r="S529">
        <v>0.4</v>
      </c>
      <c r="T529">
        <v>0</v>
      </c>
      <c r="U529">
        <v>1</v>
      </c>
      <c r="V529">
        <v>1</v>
      </c>
      <c r="W529">
        <v>19.3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1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</row>
    <row r="530" spans="1:37" x14ac:dyDescent="0.3">
      <c r="A530">
        <v>7979</v>
      </c>
      <c r="B530" t="s">
        <v>219</v>
      </c>
      <c r="D530" t="s">
        <v>327</v>
      </c>
      <c r="E530">
        <v>99999999</v>
      </c>
      <c r="F530">
        <v>11111111</v>
      </c>
      <c r="G530">
        <v>1111111111</v>
      </c>
      <c r="H530" t="s">
        <v>4099</v>
      </c>
      <c r="I530">
        <v>99999999</v>
      </c>
      <c r="J530" s="188">
        <v>45236</v>
      </c>
      <c r="K530" t="s">
        <v>4099</v>
      </c>
      <c r="L530" t="s">
        <v>4099</v>
      </c>
      <c r="M530" t="s">
        <v>565</v>
      </c>
      <c r="N530" t="s">
        <v>381</v>
      </c>
      <c r="O530" t="s">
        <v>910</v>
      </c>
      <c r="P530" t="s">
        <v>221</v>
      </c>
      <c r="Q530" t="s">
        <v>82</v>
      </c>
      <c r="R530">
        <v>1</v>
      </c>
      <c r="S530">
        <v>0.33</v>
      </c>
      <c r="T530">
        <v>0</v>
      </c>
      <c r="U530">
        <v>1</v>
      </c>
      <c r="V530">
        <v>1</v>
      </c>
      <c r="W530">
        <v>26.02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1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</row>
    <row r="531" spans="1:37" x14ac:dyDescent="0.3">
      <c r="A531">
        <v>7979</v>
      </c>
      <c r="B531" t="s">
        <v>219</v>
      </c>
      <c r="D531" t="s">
        <v>327</v>
      </c>
      <c r="E531">
        <v>99999999</v>
      </c>
      <c r="F531">
        <v>11111111</v>
      </c>
      <c r="G531">
        <v>1111111111</v>
      </c>
      <c r="H531" t="s">
        <v>4100</v>
      </c>
      <c r="I531">
        <v>99999999</v>
      </c>
      <c r="J531" s="188">
        <v>45236</v>
      </c>
      <c r="K531" t="s">
        <v>4100</v>
      </c>
      <c r="L531" t="s">
        <v>4100</v>
      </c>
      <c r="M531" t="s">
        <v>911</v>
      </c>
      <c r="N531" t="s">
        <v>97</v>
      </c>
      <c r="O531" t="s">
        <v>912</v>
      </c>
      <c r="P531" t="s">
        <v>221</v>
      </c>
      <c r="Q531" t="s">
        <v>82</v>
      </c>
      <c r="R531">
        <v>2</v>
      </c>
      <c r="S531">
        <v>1.1599999999999999</v>
      </c>
      <c r="T531">
        <v>0</v>
      </c>
      <c r="U531">
        <v>1</v>
      </c>
      <c r="V531">
        <v>2</v>
      </c>
      <c r="W531">
        <v>21.21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2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</row>
    <row r="532" spans="1:37" x14ac:dyDescent="0.3">
      <c r="A532">
        <v>7979</v>
      </c>
      <c r="B532" t="s">
        <v>219</v>
      </c>
      <c r="D532" t="s">
        <v>327</v>
      </c>
      <c r="E532">
        <v>99999999</v>
      </c>
      <c r="F532">
        <v>11111111</v>
      </c>
      <c r="G532">
        <v>1111111111</v>
      </c>
      <c r="H532" t="s">
        <v>4101</v>
      </c>
      <c r="I532">
        <v>99999999</v>
      </c>
      <c r="J532" s="188">
        <v>45236</v>
      </c>
      <c r="K532" t="s">
        <v>4101</v>
      </c>
      <c r="L532" t="s">
        <v>4101</v>
      </c>
      <c r="M532" t="s">
        <v>754</v>
      </c>
      <c r="N532" t="s">
        <v>130</v>
      </c>
      <c r="O532" t="s">
        <v>913</v>
      </c>
      <c r="P532" t="s">
        <v>221</v>
      </c>
      <c r="Q532" t="s">
        <v>82</v>
      </c>
      <c r="R532">
        <v>1</v>
      </c>
      <c r="S532">
        <v>0.3</v>
      </c>
      <c r="T532">
        <v>0</v>
      </c>
      <c r="U532">
        <v>1</v>
      </c>
      <c r="V532">
        <v>1</v>
      </c>
      <c r="W532">
        <v>19.899999999999999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1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</row>
    <row r="533" spans="1:37" x14ac:dyDescent="0.3">
      <c r="A533">
        <v>7979</v>
      </c>
      <c r="B533" t="s">
        <v>219</v>
      </c>
      <c r="D533" t="s">
        <v>327</v>
      </c>
      <c r="E533">
        <v>99999999</v>
      </c>
      <c r="F533">
        <v>11111111</v>
      </c>
      <c r="G533">
        <v>1111111111</v>
      </c>
      <c r="H533" t="s">
        <v>4102</v>
      </c>
      <c r="I533">
        <v>99999999</v>
      </c>
      <c r="J533" s="188">
        <v>45236</v>
      </c>
      <c r="K533" t="s">
        <v>4102</v>
      </c>
      <c r="L533" t="s">
        <v>4102</v>
      </c>
      <c r="M533" t="s">
        <v>792</v>
      </c>
      <c r="N533" t="s">
        <v>104</v>
      </c>
      <c r="O533" t="s">
        <v>914</v>
      </c>
      <c r="P533" t="s">
        <v>221</v>
      </c>
      <c r="Q533" t="s">
        <v>82</v>
      </c>
      <c r="R533">
        <v>4</v>
      </c>
      <c r="S533">
        <v>1.66</v>
      </c>
      <c r="T533">
        <v>0</v>
      </c>
      <c r="U533">
        <v>1</v>
      </c>
      <c r="V533">
        <v>3</v>
      </c>
      <c r="W533">
        <v>21.88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4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</row>
    <row r="534" spans="1:37" x14ac:dyDescent="0.3">
      <c r="A534">
        <v>7979</v>
      </c>
      <c r="B534" t="s">
        <v>219</v>
      </c>
      <c r="D534" t="s">
        <v>327</v>
      </c>
      <c r="E534">
        <v>99999999</v>
      </c>
      <c r="F534">
        <v>11111111</v>
      </c>
      <c r="G534">
        <v>1111111111</v>
      </c>
      <c r="H534" t="s">
        <v>4103</v>
      </c>
      <c r="I534">
        <v>99999999</v>
      </c>
      <c r="J534" s="188">
        <v>45236</v>
      </c>
      <c r="K534" t="s">
        <v>4103</v>
      </c>
      <c r="L534" t="s">
        <v>4103</v>
      </c>
      <c r="M534" t="s">
        <v>915</v>
      </c>
      <c r="N534" t="s">
        <v>164</v>
      </c>
      <c r="O534" t="s">
        <v>916</v>
      </c>
      <c r="P534" t="s">
        <v>221</v>
      </c>
      <c r="Q534" t="s">
        <v>82</v>
      </c>
      <c r="R534">
        <v>1</v>
      </c>
      <c r="S534">
        <v>0.3</v>
      </c>
      <c r="T534">
        <v>0</v>
      </c>
      <c r="U534">
        <v>1</v>
      </c>
      <c r="V534">
        <v>1</v>
      </c>
      <c r="W534">
        <v>19.3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1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</row>
    <row r="535" spans="1:37" x14ac:dyDescent="0.3">
      <c r="A535">
        <v>7979</v>
      </c>
      <c r="B535" t="s">
        <v>219</v>
      </c>
      <c r="D535" t="s">
        <v>327</v>
      </c>
      <c r="E535">
        <v>99999999</v>
      </c>
      <c r="F535">
        <v>11111111</v>
      </c>
      <c r="G535">
        <v>1111111111</v>
      </c>
      <c r="H535" t="s">
        <v>4104</v>
      </c>
      <c r="I535">
        <v>99999999</v>
      </c>
      <c r="J535" s="188">
        <v>45236</v>
      </c>
      <c r="K535" t="s">
        <v>4104</v>
      </c>
      <c r="L535" t="s">
        <v>4104</v>
      </c>
      <c r="M535" t="s">
        <v>917</v>
      </c>
      <c r="N535" t="s">
        <v>125</v>
      </c>
      <c r="O535" t="s">
        <v>918</v>
      </c>
      <c r="P535" t="s">
        <v>221</v>
      </c>
      <c r="Q535" t="s">
        <v>82</v>
      </c>
      <c r="R535">
        <v>1</v>
      </c>
      <c r="S535">
        <v>1.1000000000000001</v>
      </c>
      <c r="T535">
        <v>0</v>
      </c>
      <c r="U535">
        <v>1</v>
      </c>
      <c r="V535">
        <v>1</v>
      </c>
      <c r="W535">
        <v>29.22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</row>
    <row r="536" spans="1:37" x14ac:dyDescent="0.3">
      <c r="A536">
        <v>7979</v>
      </c>
      <c r="B536" t="s">
        <v>219</v>
      </c>
      <c r="D536" t="s">
        <v>327</v>
      </c>
      <c r="E536">
        <v>99999999</v>
      </c>
      <c r="F536">
        <v>11111111</v>
      </c>
      <c r="G536">
        <v>1111111111</v>
      </c>
      <c r="H536" t="s">
        <v>4105</v>
      </c>
      <c r="I536">
        <v>99999999</v>
      </c>
      <c r="J536" s="188">
        <v>45236</v>
      </c>
      <c r="K536" t="s">
        <v>4105</v>
      </c>
      <c r="L536" t="s">
        <v>4105</v>
      </c>
      <c r="M536" t="s">
        <v>919</v>
      </c>
      <c r="N536" t="s">
        <v>814</v>
      </c>
      <c r="O536" t="s">
        <v>920</v>
      </c>
      <c r="P536" t="s">
        <v>221</v>
      </c>
      <c r="Q536" t="s">
        <v>82</v>
      </c>
      <c r="R536">
        <v>1</v>
      </c>
      <c r="S536">
        <v>1.21</v>
      </c>
      <c r="T536">
        <v>0</v>
      </c>
      <c r="U536">
        <v>1</v>
      </c>
      <c r="V536">
        <v>1</v>
      </c>
      <c r="W536">
        <v>23.1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1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</row>
    <row r="537" spans="1:37" x14ac:dyDescent="0.3">
      <c r="A537">
        <v>7979</v>
      </c>
      <c r="B537" t="s">
        <v>219</v>
      </c>
      <c r="D537" t="s">
        <v>327</v>
      </c>
      <c r="E537">
        <v>99999999</v>
      </c>
      <c r="F537">
        <v>11111111</v>
      </c>
      <c r="G537">
        <v>1111111111</v>
      </c>
      <c r="H537" t="s">
        <v>4106</v>
      </c>
      <c r="I537">
        <v>99999999</v>
      </c>
      <c r="J537" s="188">
        <v>45236</v>
      </c>
      <c r="K537" t="s">
        <v>4106</v>
      </c>
      <c r="L537" t="s">
        <v>4106</v>
      </c>
      <c r="M537" t="s">
        <v>921</v>
      </c>
      <c r="N537" t="s">
        <v>130</v>
      </c>
      <c r="O537">
        <v>80124</v>
      </c>
      <c r="P537" t="s">
        <v>221</v>
      </c>
      <c r="Q537" t="s">
        <v>82</v>
      </c>
      <c r="R537">
        <v>1</v>
      </c>
      <c r="S537">
        <v>1</v>
      </c>
      <c r="T537">
        <v>0</v>
      </c>
      <c r="U537">
        <v>1</v>
      </c>
      <c r="V537">
        <v>1</v>
      </c>
      <c r="W537">
        <v>21.54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</row>
    <row r="538" spans="1:37" x14ac:dyDescent="0.3">
      <c r="A538">
        <v>7979</v>
      </c>
      <c r="B538" t="s">
        <v>219</v>
      </c>
      <c r="D538" t="s">
        <v>327</v>
      </c>
      <c r="E538">
        <v>99999999</v>
      </c>
      <c r="F538">
        <v>11111111</v>
      </c>
      <c r="G538">
        <v>1111111111</v>
      </c>
      <c r="H538" t="s">
        <v>4107</v>
      </c>
      <c r="I538">
        <v>99999999</v>
      </c>
      <c r="J538" s="188">
        <v>45236</v>
      </c>
      <c r="K538" t="s">
        <v>4107</v>
      </c>
      <c r="L538" t="s">
        <v>4107</v>
      </c>
      <c r="M538" t="s">
        <v>922</v>
      </c>
      <c r="N538" t="s">
        <v>135</v>
      </c>
      <c r="O538" t="s">
        <v>923</v>
      </c>
      <c r="P538" t="s">
        <v>221</v>
      </c>
      <c r="Q538" t="s">
        <v>82</v>
      </c>
      <c r="R538">
        <v>1</v>
      </c>
      <c r="S538">
        <v>0.4</v>
      </c>
      <c r="T538">
        <v>0</v>
      </c>
      <c r="U538">
        <v>1</v>
      </c>
      <c r="V538">
        <v>1</v>
      </c>
      <c r="W538">
        <v>19.3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1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</row>
    <row r="539" spans="1:37" x14ac:dyDescent="0.3">
      <c r="A539">
        <v>7979</v>
      </c>
      <c r="B539" t="s">
        <v>219</v>
      </c>
      <c r="D539" t="s">
        <v>327</v>
      </c>
      <c r="E539">
        <v>99999999</v>
      </c>
      <c r="F539">
        <v>11111111</v>
      </c>
      <c r="G539">
        <v>1111111111</v>
      </c>
      <c r="H539" t="s">
        <v>4108</v>
      </c>
      <c r="I539">
        <v>99999999</v>
      </c>
      <c r="J539" s="188">
        <v>45236</v>
      </c>
      <c r="K539" t="s">
        <v>4108</v>
      </c>
      <c r="L539" t="s">
        <v>4108</v>
      </c>
      <c r="M539" t="s">
        <v>592</v>
      </c>
      <c r="N539" t="s">
        <v>99</v>
      </c>
      <c r="O539" t="s">
        <v>924</v>
      </c>
      <c r="P539" t="s">
        <v>221</v>
      </c>
      <c r="Q539" t="s">
        <v>82</v>
      </c>
      <c r="R539">
        <v>5</v>
      </c>
      <c r="S539">
        <v>2.72</v>
      </c>
      <c r="T539">
        <v>0</v>
      </c>
      <c r="U539">
        <v>1</v>
      </c>
      <c r="V539">
        <v>2</v>
      </c>
      <c r="W539">
        <v>20.77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5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</row>
    <row r="540" spans="1:37" x14ac:dyDescent="0.3">
      <c r="A540">
        <v>7979</v>
      </c>
      <c r="B540" t="s">
        <v>219</v>
      </c>
      <c r="D540" t="s">
        <v>327</v>
      </c>
      <c r="E540">
        <v>99999999</v>
      </c>
      <c r="F540">
        <v>11111111</v>
      </c>
      <c r="G540">
        <v>1111111111</v>
      </c>
      <c r="H540" t="s">
        <v>4109</v>
      </c>
      <c r="I540">
        <v>99999999</v>
      </c>
      <c r="J540" s="188">
        <v>45236</v>
      </c>
      <c r="K540" t="s">
        <v>4109</v>
      </c>
      <c r="L540" t="s">
        <v>4109</v>
      </c>
      <c r="M540" t="s">
        <v>925</v>
      </c>
      <c r="N540" t="s">
        <v>104</v>
      </c>
      <c r="O540" t="s">
        <v>926</v>
      </c>
      <c r="P540" t="s">
        <v>221</v>
      </c>
      <c r="Q540" t="s">
        <v>82</v>
      </c>
      <c r="R540">
        <v>1</v>
      </c>
      <c r="S540">
        <v>0.5</v>
      </c>
      <c r="T540">
        <v>0</v>
      </c>
      <c r="U540">
        <v>1</v>
      </c>
      <c r="V540">
        <v>1</v>
      </c>
      <c r="W540">
        <v>28.16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1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</row>
    <row r="541" spans="1:37" x14ac:dyDescent="0.3">
      <c r="A541">
        <v>7979</v>
      </c>
      <c r="B541" t="s">
        <v>219</v>
      </c>
      <c r="D541" t="s">
        <v>327</v>
      </c>
      <c r="E541">
        <v>99999999</v>
      </c>
      <c r="F541">
        <v>11111111</v>
      </c>
      <c r="G541">
        <v>1111111111</v>
      </c>
      <c r="H541" t="s">
        <v>4110</v>
      </c>
      <c r="I541">
        <v>99999999</v>
      </c>
      <c r="J541" s="188">
        <v>45236</v>
      </c>
      <c r="K541" t="s">
        <v>4110</v>
      </c>
      <c r="L541" t="s">
        <v>4110</v>
      </c>
      <c r="M541" t="s">
        <v>927</v>
      </c>
      <c r="N541" t="s">
        <v>265</v>
      </c>
      <c r="O541">
        <v>29170</v>
      </c>
      <c r="P541" t="s">
        <v>221</v>
      </c>
      <c r="Q541" t="s">
        <v>82</v>
      </c>
      <c r="R541">
        <v>1</v>
      </c>
      <c r="S541">
        <v>0.19</v>
      </c>
      <c r="T541">
        <v>0</v>
      </c>
      <c r="U541">
        <v>1</v>
      </c>
      <c r="V541">
        <v>1</v>
      </c>
      <c r="W541">
        <v>20.78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1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</row>
    <row r="542" spans="1:37" x14ac:dyDescent="0.3">
      <c r="A542">
        <v>7979</v>
      </c>
      <c r="B542" t="s">
        <v>219</v>
      </c>
      <c r="D542" t="s">
        <v>327</v>
      </c>
      <c r="E542">
        <v>99999999</v>
      </c>
      <c r="F542">
        <v>11111111</v>
      </c>
      <c r="G542">
        <v>1111111111</v>
      </c>
      <c r="H542" t="s">
        <v>4111</v>
      </c>
      <c r="I542">
        <v>99999999</v>
      </c>
      <c r="J542" s="188">
        <v>45236</v>
      </c>
      <c r="K542" t="s">
        <v>4111</v>
      </c>
      <c r="L542" t="s">
        <v>4111</v>
      </c>
      <c r="M542" t="s">
        <v>928</v>
      </c>
      <c r="N542" t="s">
        <v>118</v>
      </c>
      <c r="O542">
        <v>18974</v>
      </c>
      <c r="P542" t="s">
        <v>221</v>
      </c>
      <c r="Q542" t="s">
        <v>82</v>
      </c>
      <c r="R542">
        <v>1</v>
      </c>
      <c r="S542">
        <v>0.19</v>
      </c>
      <c r="T542">
        <v>0</v>
      </c>
      <c r="U542">
        <v>1</v>
      </c>
      <c r="V542">
        <v>1</v>
      </c>
      <c r="W542">
        <v>20.78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1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</row>
    <row r="543" spans="1:37" x14ac:dyDescent="0.3">
      <c r="A543">
        <v>7979</v>
      </c>
      <c r="B543" t="s">
        <v>219</v>
      </c>
      <c r="D543" t="s">
        <v>327</v>
      </c>
      <c r="E543">
        <v>99999999</v>
      </c>
      <c r="F543">
        <v>11111111</v>
      </c>
      <c r="G543">
        <v>1111111111</v>
      </c>
      <c r="H543" t="s">
        <v>4112</v>
      </c>
      <c r="I543">
        <v>99999999</v>
      </c>
      <c r="J543" s="188">
        <v>45236</v>
      </c>
      <c r="K543" t="s">
        <v>4112</v>
      </c>
      <c r="L543" t="s">
        <v>4112</v>
      </c>
      <c r="M543" t="s">
        <v>929</v>
      </c>
      <c r="N543" t="s">
        <v>151</v>
      </c>
      <c r="O543" t="s">
        <v>930</v>
      </c>
      <c r="P543" t="s">
        <v>221</v>
      </c>
      <c r="Q543" t="s">
        <v>82</v>
      </c>
      <c r="R543">
        <v>2</v>
      </c>
      <c r="S543">
        <v>2</v>
      </c>
      <c r="T543">
        <v>0</v>
      </c>
      <c r="U543">
        <v>1</v>
      </c>
      <c r="V543">
        <v>1</v>
      </c>
      <c r="W543">
        <v>30.93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2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</row>
    <row r="544" spans="1:37" x14ac:dyDescent="0.3">
      <c r="A544">
        <v>7979</v>
      </c>
      <c r="B544" t="s">
        <v>219</v>
      </c>
      <c r="D544" t="s">
        <v>327</v>
      </c>
      <c r="E544">
        <v>99999999</v>
      </c>
      <c r="F544">
        <v>11111111</v>
      </c>
      <c r="G544">
        <v>1111111111</v>
      </c>
      <c r="H544" t="s">
        <v>4113</v>
      </c>
      <c r="I544">
        <v>99999999</v>
      </c>
      <c r="J544" s="188">
        <v>45236</v>
      </c>
      <c r="K544" t="s">
        <v>4113</v>
      </c>
      <c r="L544" t="s">
        <v>4113</v>
      </c>
      <c r="M544" t="s">
        <v>931</v>
      </c>
      <c r="N544" t="s">
        <v>97</v>
      </c>
      <c r="O544" t="s">
        <v>932</v>
      </c>
      <c r="P544" t="s">
        <v>221</v>
      </c>
      <c r="Q544" t="s">
        <v>82</v>
      </c>
      <c r="R544">
        <v>1</v>
      </c>
      <c r="S544">
        <v>0.6</v>
      </c>
      <c r="T544">
        <v>0</v>
      </c>
      <c r="U544">
        <v>1</v>
      </c>
      <c r="V544">
        <v>1</v>
      </c>
      <c r="W544">
        <v>21.21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1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</row>
    <row r="545" spans="1:37" x14ac:dyDescent="0.3">
      <c r="A545">
        <v>7979</v>
      </c>
      <c r="B545" t="s">
        <v>219</v>
      </c>
      <c r="D545" t="s">
        <v>327</v>
      </c>
      <c r="E545">
        <v>99999999</v>
      </c>
      <c r="F545">
        <v>11111111</v>
      </c>
      <c r="G545">
        <v>1111111111</v>
      </c>
      <c r="H545" t="s">
        <v>4114</v>
      </c>
      <c r="I545">
        <v>99999999</v>
      </c>
      <c r="J545" s="188">
        <v>45236</v>
      </c>
      <c r="K545" t="s">
        <v>4114</v>
      </c>
      <c r="L545" t="s">
        <v>4114</v>
      </c>
      <c r="M545" t="s">
        <v>275</v>
      </c>
      <c r="N545" t="s">
        <v>135</v>
      </c>
      <c r="O545" t="s">
        <v>933</v>
      </c>
      <c r="P545" t="s">
        <v>221</v>
      </c>
      <c r="Q545" t="s">
        <v>82</v>
      </c>
      <c r="R545">
        <v>3</v>
      </c>
      <c r="S545">
        <v>2.5</v>
      </c>
      <c r="T545">
        <v>0</v>
      </c>
      <c r="U545">
        <v>1</v>
      </c>
      <c r="V545">
        <v>3</v>
      </c>
      <c r="W545">
        <v>28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3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</row>
    <row r="546" spans="1:37" x14ac:dyDescent="0.3">
      <c r="A546">
        <v>7979</v>
      </c>
      <c r="B546" t="s">
        <v>219</v>
      </c>
      <c r="D546" t="s">
        <v>327</v>
      </c>
      <c r="E546">
        <v>99999999</v>
      </c>
      <c r="F546">
        <v>11111111</v>
      </c>
      <c r="G546">
        <v>1111111111</v>
      </c>
      <c r="H546" t="s">
        <v>4115</v>
      </c>
      <c r="I546">
        <v>99999999</v>
      </c>
      <c r="J546" s="188">
        <v>45236</v>
      </c>
      <c r="K546" t="s">
        <v>4115</v>
      </c>
      <c r="L546" t="s">
        <v>4115</v>
      </c>
      <c r="M546" t="s">
        <v>275</v>
      </c>
      <c r="N546" t="s">
        <v>135</v>
      </c>
      <c r="O546" t="s">
        <v>934</v>
      </c>
      <c r="P546" t="s">
        <v>221</v>
      </c>
      <c r="Q546" t="s">
        <v>82</v>
      </c>
      <c r="R546">
        <v>2</v>
      </c>
      <c r="S546">
        <v>3</v>
      </c>
      <c r="T546">
        <v>0</v>
      </c>
      <c r="U546">
        <v>1</v>
      </c>
      <c r="V546">
        <v>2</v>
      </c>
      <c r="W546">
        <v>21.88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2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</row>
    <row r="547" spans="1:37" x14ac:dyDescent="0.3">
      <c r="A547">
        <v>7979</v>
      </c>
      <c r="B547" t="s">
        <v>219</v>
      </c>
      <c r="D547" t="s">
        <v>327</v>
      </c>
      <c r="E547">
        <v>99999999</v>
      </c>
      <c r="F547">
        <v>11111111</v>
      </c>
      <c r="G547">
        <v>1111111111</v>
      </c>
      <c r="H547" t="s">
        <v>4116</v>
      </c>
      <c r="I547">
        <v>99999999</v>
      </c>
      <c r="J547" s="188">
        <v>45236</v>
      </c>
      <c r="K547" t="s">
        <v>4116</v>
      </c>
      <c r="L547" t="s">
        <v>4116</v>
      </c>
      <c r="M547" t="s">
        <v>640</v>
      </c>
      <c r="N547" t="s">
        <v>85</v>
      </c>
      <c r="O547" t="s">
        <v>935</v>
      </c>
      <c r="P547" t="s">
        <v>221</v>
      </c>
      <c r="Q547" t="s">
        <v>82</v>
      </c>
      <c r="R547">
        <v>1</v>
      </c>
      <c r="S547">
        <v>1</v>
      </c>
      <c r="T547">
        <v>0</v>
      </c>
      <c r="U547">
        <v>1</v>
      </c>
      <c r="V547">
        <v>1</v>
      </c>
      <c r="W547">
        <v>26.91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1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</row>
    <row r="548" spans="1:37" x14ac:dyDescent="0.3">
      <c r="A548">
        <v>7979</v>
      </c>
      <c r="B548" t="s">
        <v>219</v>
      </c>
      <c r="D548" t="s">
        <v>327</v>
      </c>
      <c r="E548">
        <v>99999999</v>
      </c>
      <c r="F548">
        <v>11111111</v>
      </c>
      <c r="G548">
        <v>1111111111</v>
      </c>
      <c r="H548" t="s">
        <v>4117</v>
      </c>
      <c r="I548">
        <v>99999999</v>
      </c>
      <c r="J548" s="188">
        <v>45236</v>
      </c>
      <c r="K548" t="s">
        <v>4117</v>
      </c>
      <c r="L548" t="s">
        <v>4117</v>
      </c>
      <c r="M548" t="s">
        <v>936</v>
      </c>
      <c r="N548" t="s">
        <v>197</v>
      </c>
      <c r="O548">
        <v>75062</v>
      </c>
      <c r="P548" t="s">
        <v>221</v>
      </c>
      <c r="Q548" t="s">
        <v>82</v>
      </c>
      <c r="R548">
        <v>1</v>
      </c>
      <c r="S548">
        <v>1.6</v>
      </c>
      <c r="T548">
        <v>0</v>
      </c>
      <c r="U548">
        <v>1</v>
      </c>
      <c r="V548">
        <v>1</v>
      </c>
      <c r="W548">
        <v>23.35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1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</row>
    <row r="549" spans="1:37" x14ac:dyDescent="0.3">
      <c r="A549">
        <v>7979</v>
      </c>
      <c r="B549" t="s">
        <v>219</v>
      </c>
      <c r="D549" t="s">
        <v>327</v>
      </c>
      <c r="E549">
        <v>99999999</v>
      </c>
      <c r="F549">
        <v>11111111</v>
      </c>
      <c r="G549">
        <v>1111111111</v>
      </c>
      <c r="H549" t="s">
        <v>4118</v>
      </c>
      <c r="I549">
        <v>99999999</v>
      </c>
      <c r="J549" s="188">
        <v>45236</v>
      </c>
      <c r="K549" t="s">
        <v>4118</v>
      </c>
      <c r="L549" t="s">
        <v>4118</v>
      </c>
      <c r="M549" t="s">
        <v>937</v>
      </c>
      <c r="N549" t="s">
        <v>197</v>
      </c>
      <c r="O549">
        <v>76571</v>
      </c>
      <c r="P549" t="s">
        <v>221</v>
      </c>
      <c r="Q549" t="s">
        <v>82</v>
      </c>
      <c r="R549">
        <v>1</v>
      </c>
      <c r="S549">
        <v>1</v>
      </c>
      <c r="T549">
        <v>0</v>
      </c>
      <c r="U549">
        <v>1</v>
      </c>
      <c r="V549">
        <v>1</v>
      </c>
      <c r="W549">
        <v>28.33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1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</row>
    <row r="550" spans="1:37" x14ac:dyDescent="0.3">
      <c r="A550">
        <v>7979</v>
      </c>
      <c r="B550" t="s">
        <v>219</v>
      </c>
      <c r="D550" t="s">
        <v>327</v>
      </c>
      <c r="E550">
        <v>99999999</v>
      </c>
      <c r="F550">
        <v>11111111</v>
      </c>
      <c r="G550">
        <v>1111111111</v>
      </c>
      <c r="H550" t="s">
        <v>4119</v>
      </c>
      <c r="I550">
        <v>99999999</v>
      </c>
      <c r="J550" s="188">
        <v>45236</v>
      </c>
      <c r="K550" t="s">
        <v>4119</v>
      </c>
      <c r="L550" t="s">
        <v>4119</v>
      </c>
      <c r="M550" t="s">
        <v>938</v>
      </c>
      <c r="N550" t="s">
        <v>99</v>
      </c>
      <c r="O550" t="s">
        <v>939</v>
      </c>
      <c r="P550" t="s">
        <v>221</v>
      </c>
      <c r="Q550" t="s">
        <v>82</v>
      </c>
      <c r="R550">
        <v>2</v>
      </c>
      <c r="S550">
        <v>3</v>
      </c>
      <c r="T550">
        <v>0</v>
      </c>
      <c r="U550">
        <v>1</v>
      </c>
      <c r="V550">
        <v>1</v>
      </c>
      <c r="W550">
        <v>20.77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2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</row>
    <row r="551" spans="1:37" x14ac:dyDescent="0.3">
      <c r="A551">
        <v>7979</v>
      </c>
      <c r="B551" t="s">
        <v>219</v>
      </c>
      <c r="D551" t="s">
        <v>327</v>
      </c>
      <c r="E551">
        <v>99999999</v>
      </c>
      <c r="F551">
        <v>11111111</v>
      </c>
      <c r="G551">
        <v>1111111111</v>
      </c>
      <c r="H551" t="s">
        <v>4120</v>
      </c>
      <c r="I551">
        <v>99999999</v>
      </c>
      <c r="J551" s="188">
        <v>45236</v>
      </c>
      <c r="K551" t="s">
        <v>4120</v>
      </c>
      <c r="L551" t="s">
        <v>4120</v>
      </c>
      <c r="M551" t="s">
        <v>754</v>
      </c>
      <c r="N551" t="s">
        <v>130</v>
      </c>
      <c r="O551" t="s">
        <v>940</v>
      </c>
      <c r="P551" t="s">
        <v>221</v>
      </c>
      <c r="Q551" t="s">
        <v>82</v>
      </c>
      <c r="R551">
        <v>1</v>
      </c>
      <c r="S551">
        <v>0.25</v>
      </c>
      <c r="T551">
        <v>0</v>
      </c>
      <c r="U551">
        <v>1</v>
      </c>
      <c r="V551">
        <v>1</v>
      </c>
      <c r="W551">
        <v>19.899999999999999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1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</row>
    <row r="552" spans="1:37" x14ac:dyDescent="0.3">
      <c r="A552">
        <v>7979</v>
      </c>
      <c r="B552" t="s">
        <v>219</v>
      </c>
      <c r="D552" t="s">
        <v>327</v>
      </c>
      <c r="E552">
        <v>99999999</v>
      </c>
      <c r="F552">
        <v>11111111</v>
      </c>
      <c r="G552">
        <v>1111111111</v>
      </c>
      <c r="H552" t="s">
        <v>4121</v>
      </c>
      <c r="I552">
        <v>99999999</v>
      </c>
      <c r="J552" s="188">
        <v>45236</v>
      </c>
      <c r="K552" t="s">
        <v>4121</v>
      </c>
      <c r="L552" t="s">
        <v>4121</v>
      </c>
      <c r="M552" t="s">
        <v>941</v>
      </c>
      <c r="N552" t="s">
        <v>99</v>
      </c>
      <c r="O552" t="s">
        <v>942</v>
      </c>
      <c r="P552" t="s">
        <v>221</v>
      </c>
      <c r="Q552" t="s">
        <v>82</v>
      </c>
      <c r="R552">
        <v>2</v>
      </c>
      <c r="S552">
        <v>1.1259999999999999</v>
      </c>
      <c r="T552">
        <v>0</v>
      </c>
      <c r="U552">
        <v>1</v>
      </c>
      <c r="V552">
        <v>2</v>
      </c>
      <c r="W552">
        <v>19.940000000000001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2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</row>
    <row r="553" spans="1:37" x14ac:dyDescent="0.3">
      <c r="A553">
        <v>7979</v>
      </c>
      <c r="B553" t="s">
        <v>219</v>
      </c>
      <c r="D553" t="s">
        <v>327</v>
      </c>
      <c r="E553">
        <v>99999999</v>
      </c>
      <c r="F553">
        <v>11111111</v>
      </c>
      <c r="G553">
        <v>1111111111</v>
      </c>
      <c r="H553" t="s">
        <v>4122</v>
      </c>
      <c r="I553">
        <v>99999999</v>
      </c>
      <c r="J553" s="188">
        <v>45236</v>
      </c>
      <c r="K553" t="s">
        <v>4122</v>
      </c>
      <c r="L553" t="s">
        <v>4122</v>
      </c>
      <c r="M553" t="s">
        <v>943</v>
      </c>
      <c r="N553" t="s">
        <v>141</v>
      </c>
      <c r="O553" t="s">
        <v>944</v>
      </c>
      <c r="P553" t="s">
        <v>221</v>
      </c>
      <c r="Q553" t="s">
        <v>82</v>
      </c>
      <c r="R553">
        <v>1</v>
      </c>
      <c r="S553">
        <v>1.21</v>
      </c>
      <c r="T553">
        <v>0</v>
      </c>
      <c r="U553">
        <v>1</v>
      </c>
      <c r="V553">
        <v>1</v>
      </c>
      <c r="W553">
        <v>23.1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1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</row>
    <row r="554" spans="1:37" x14ac:dyDescent="0.3">
      <c r="A554">
        <v>7979</v>
      </c>
      <c r="B554" t="s">
        <v>219</v>
      </c>
      <c r="D554" t="s">
        <v>327</v>
      </c>
      <c r="E554">
        <v>99999999</v>
      </c>
      <c r="F554">
        <v>11111111</v>
      </c>
      <c r="G554">
        <v>1111111111</v>
      </c>
      <c r="H554" t="s">
        <v>4123</v>
      </c>
      <c r="I554">
        <v>99999999</v>
      </c>
      <c r="J554" s="188">
        <v>45236</v>
      </c>
      <c r="K554" t="s">
        <v>4123</v>
      </c>
      <c r="L554" t="s">
        <v>4123</v>
      </c>
      <c r="M554" t="s">
        <v>945</v>
      </c>
      <c r="N554" t="s">
        <v>118</v>
      </c>
      <c r="O554" t="s">
        <v>946</v>
      </c>
      <c r="P554" t="s">
        <v>221</v>
      </c>
      <c r="Q554" t="s">
        <v>82</v>
      </c>
      <c r="R554">
        <v>1</v>
      </c>
      <c r="S554">
        <v>1</v>
      </c>
      <c r="T554">
        <v>0</v>
      </c>
      <c r="U554">
        <v>1</v>
      </c>
      <c r="V554">
        <v>1</v>
      </c>
      <c r="W554">
        <v>31.36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1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</row>
    <row r="555" spans="1:37" x14ac:dyDescent="0.3">
      <c r="A555">
        <v>7979</v>
      </c>
      <c r="B555" t="s">
        <v>219</v>
      </c>
      <c r="D555" t="s">
        <v>327</v>
      </c>
      <c r="E555">
        <v>99999999</v>
      </c>
      <c r="F555">
        <v>11111111</v>
      </c>
      <c r="G555">
        <v>1111111111</v>
      </c>
      <c r="H555" t="s">
        <v>4124</v>
      </c>
      <c r="I555">
        <v>99999999</v>
      </c>
      <c r="J555" s="188">
        <v>45236</v>
      </c>
      <c r="K555" t="s">
        <v>4124</v>
      </c>
      <c r="L555" t="s">
        <v>4124</v>
      </c>
      <c r="M555" t="s">
        <v>947</v>
      </c>
      <c r="N555" t="s">
        <v>118</v>
      </c>
      <c r="O555" t="s">
        <v>948</v>
      </c>
      <c r="P555" t="s">
        <v>221</v>
      </c>
      <c r="Q555" t="s">
        <v>82</v>
      </c>
      <c r="R555">
        <v>1</v>
      </c>
      <c r="S555">
        <v>1.21</v>
      </c>
      <c r="T555">
        <v>0</v>
      </c>
      <c r="U555">
        <v>1</v>
      </c>
      <c r="V555">
        <v>1</v>
      </c>
      <c r="W555">
        <v>23.1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1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</row>
    <row r="556" spans="1:37" x14ac:dyDescent="0.3">
      <c r="A556">
        <v>7979</v>
      </c>
      <c r="B556" t="s">
        <v>219</v>
      </c>
      <c r="D556" t="s">
        <v>327</v>
      </c>
      <c r="E556">
        <v>99999999</v>
      </c>
      <c r="F556">
        <v>11111111</v>
      </c>
      <c r="G556">
        <v>1111111111</v>
      </c>
      <c r="H556" t="s">
        <v>4125</v>
      </c>
      <c r="I556">
        <v>99999999</v>
      </c>
      <c r="J556" s="188">
        <v>45236</v>
      </c>
      <c r="K556" t="s">
        <v>4125</v>
      </c>
      <c r="L556" t="s">
        <v>4125</v>
      </c>
      <c r="M556" t="s">
        <v>754</v>
      </c>
      <c r="N556" t="s">
        <v>130</v>
      </c>
      <c r="O556">
        <v>80304</v>
      </c>
      <c r="P556" t="s">
        <v>221</v>
      </c>
      <c r="Q556" t="s">
        <v>82</v>
      </c>
      <c r="R556">
        <v>2</v>
      </c>
      <c r="S556">
        <v>0.81299999999999994</v>
      </c>
      <c r="T556">
        <v>0</v>
      </c>
      <c r="U556">
        <v>1</v>
      </c>
      <c r="V556">
        <v>2</v>
      </c>
      <c r="W556">
        <v>21.54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2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</row>
    <row r="557" spans="1:37" x14ac:dyDescent="0.3">
      <c r="A557">
        <v>7979</v>
      </c>
      <c r="B557" t="s">
        <v>219</v>
      </c>
      <c r="D557" t="s">
        <v>327</v>
      </c>
      <c r="E557">
        <v>99999999</v>
      </c>
      <c r="F557">
        <v>11111111</v>
      </c>
      <c r="G557">
        <v>1111111111</v>
      </c>
      <c r="H557" t="s">
        <v>4126</v>
      </c>
      <c r="I557">
        <v>99999999</v>
      </c>
      <c r="J557" s="188">
        <v>45236</v>
      </c>
      <c r="K557" t="s">
        <v>4126</v>
      </c>
      <c r="L557" t="s">
        <v>4126</v>
      </c>
      <c r="M557" t="s">
        <v>949</v>
      </c>
      <c r="N557" t="s">
        <v>950</v>
      </c>
      <c r="O557" t="s">
        <v>951</v>
      </c>
      <c r="P557" t="s">
        <v>221</v>
      </c>
      <c r="Q557" t="s">
        <v>82</v>
      </c>
      <c r="R557">
        <v>1</v>
      </c>
      <c r="S557">
        <v>0.4</v>
      </c>
      <c r="T557">
        <v>0</v>
      </c>
      <c r="U557">
        <v>1</v>
      </c>
      <c r="V557">
        <v>1</v>
      </c>
      <c r="W557">
        <v>20.52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</row>
    <row r="558" spans="1:37" x14ac:dyDescent="0.3">
      <c r="A558">
        <v>7979</v>
      </c>
      <c r="B558" t="s">
        <v>219</v>
      </c>
      <c r="D558" t="s">
        <v>327</v>
      </c>
      <c r="E558">
        <v>99999999</v>
      </c>
      <c r="F558">
        <v>11111111</v>
      </c>
      <c r="G558">
        <v>1111111111</v>
      </c>
      <c r="H558" t="s">
        <v>4127</v>
      </c>
      <c r="I558">
        <v>99999999</v>
      </c>
      <c r="J558" s="188">
        <v>45236</v>
      </c>
      <c r="K558" t="s">
        <v>4127</v>
      </c>
      <c r="L558" t="s">
        <v>4127</v>
      </c>
      <c r="M558" t="s">
        <v>952</v>
      </c>
      <c r="N558" t="s">
        <v>228</v>
      </c>
      <c r="O558" t="s">
        <v>953</v>
      </c>
      <c r="P558" t="s">
        <v>221</v>
      </c>
      <c r="Q558" t="s">
        <v>82</v>
      </c>
      <c r="R558">
        <v>1</v>
      </c>
      <c r="S558">
        <v>0.438</v>
      </c>
      <c r="T558">
        <v>0</v>
      </c>
      <c r="U558">
        <v>1</v>
      </c>
      <c r="V558">
        <v>1</v>
      </c>
      <c r="W558">
        <v>26.9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1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</row>
    <row r="559" spans="1:37" x14ac:dyDescent="0.3">
      <c r="A559">
        <v>7979</v>
      </c>
      <c r="B559" t="s">
        <v>219</v>
      </c>
      <c r="D559" t="s">
        <v>327</v>
      </c>
      <c r="E559">
        <v>99999999</v>
      </c>
      <c r="F559">
        <v>11111111</v>
      </c>
      <c r="G559">
        <v>1111111111</v>
      </c>
      <c r="H559" t="s">
        <v>4128</v>
      </c>
      <c r="I559">
        <v>99999999</v>
      </c>
      <c r="J559" s="188">
        <v>45236</v>
      </c>
      <c r="K559" t="s">
        <v>4128</v>
      </c>
      <c r="L559" t="s">
        <v>4128</v>
      </c>
      <c r="M559" t="s">
        <v>954</v>
      </c>
      <c r="N559" t="s">
        <v>402</v>
      </c>
      <c r="O559" t="s">
        <v>955</v>
      </c>
      <c r="P559" t="s">
        <v>221</v>
      </c>
      <c r="Q559" t="s">
        <v>82</v>
      </c>
      <c r="R559">
        <v>1</v>
      </c>
      <c r="S559">
        <v>0.8</v>
      </c>
      <c r="T559">
        <v>0</v>
      </c>
      <c r="U559">
        <v>1</v>
      </c>
      <c r="V559">
        <v>1</v>
      </c>
      <c r="W559">
        <v>29.22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1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</row>
    <row r="560" spans="1:37" x14ac:dyDescent="0.3">
      <c r="A560">
        <v>7979</v>
      </c>
      <c r="B560" t="s">
        <v>219</v>
      </c>
      <c r="D560" t="s">
        <v>327</v>
      </c>
      <c r="E560">
        <v>99999999</v>
      </c>
      <c r="F560">
        <v>11111111</v>
      </c>
      <c r="G560">
        <v>1111111111</v>
      </c>
      <c r="H560" t="s">
        <v>4129</v>
      </c>
      <c r="I560">
        <v>99999999</v>
      </c>
      <c r="J560" s="188">
        <v>45236</v>
      </c>
      <c r="K560" t="s">
        <v>4129</v>
      </c>
      <c r="L560" t="s">
        <v>4129</v>
      </c>
      <c r="M560" t="s">
        <v>484</v>
      </c>
      <c r="N560" t="s">
        <v>99</v>
      </c>
      <c r="O560" t="s">
        <v>956</v>
      </c>
      <c r="P560" t="s">
        <v>221</v>
      </c>
      <c r="Q560" t="s">
        <v>82</v>
      </c>
      <c r="R560">
        <v>1</v>
      </c>
      <c r="S560">
        <v>0.8</v>
      </c>
      <c r="T560">
        <v>0</v>
      </c>
      <c r="U560">
        <v>1</v>
      </c>
      <c r="V560">
        <v>1</v>
      </c>
      <c r="W560">
        <v>21.21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1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</row>
    <row r="561" spans="1:37" x14ac:dyDescent="0.3">
      <c r="A561">
        <v>7979</v>
      </c>
      <c r="B561" t="s">
        <v>219</v>
      </c>
      <c r="D561" t="s">
        <v>327</v>
      </c>
      <c r="E561">
        <v>99999999</v>
      </c>
      <c r="F561">
        <v>11111111</v>
      </c>
      <c r="G561">
        <v>1111111111</v>
      </c>
      <c r="H561" t="s">
        <v>4130</v>
      </c>
      <c r="I561">
        <v>99999999</v>
      </c>
      <c r="J561" s="188">
        <v>45236</v>
      </c>
      <c r="K561" t="s">
        <v>4130</v>
      </c>
      <c r="L561" t="s">
        <v>4130</v>
      </c>
      <c r="M561" t="s">
        <v>729</v>
      </c>
      <c r="N561" t="s">
        <v>814</v>
      </c>
      <c r="O561" t="s">
        <v>957</v>
      </c>
      <c r="P561" t="s">
        <v>221</v>
      </c>
      <c r="Q561" t="s">
        <v>82</v>
      </c>
      <c r="R561">
        <v>1</v>
      </c>
      <c r="S561">
        <v>0.44</v>
      </c>
      <c r="T561">
        <v>0</v>
      </c>
      <c r="U561">
        <v>1</v>
      </c>
      <c r="V561">
        <v>1</v>
      </c>
      <c r="W561">
        <v>20.78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1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</row>
    <row r="562" spans="1:37" x14ac:dyDescent="0.3">
      <c r="A562">
        <v>7979</v>
      </c>
      <c r="B562" t="s">
        <v>219</v>
      </c>
      <c r="D562" t="s">
        <v>327</v>
      </c>
      <c r="E562">
        <v>99999999</v>
      </c>
      <c r="F562">
        <v>11111111</v>
      </c>
      <c r="G562">
        <v>1111111111</v>
      </c>
      <c r="H562" t="s">
        <v>4131</v>
      </c>
      <c r="I562">
        <v>99999999</v>
      </c>
      <c r="J562" s="188">
        <v>45236</v>
      </c>
      <c r="K562" t="s">
        <v>4131</v>
      </c>
      <c r="L562" t="s">
        <v>4131</v>
      </c>
      <c r="M562" t="s">
        <v>594</v>
      </c>
      <c r="N562" t="s">
        <v>307</v>
      </c>
      <c r="O562" t="s">
        <v>958</v>
      </c>
      <c r="P562" t="s">
        <v>221</v>
      </c>
      <c r="Q562" t="s">
        <v>82</v>
      </c>
      <c r="R562">
        <v>1</v>
      </c>
      <c r="S562">
        <v>0.77</v>
      </c>
      <c r="T562">
        <v>0</v>
      </c>
      <c r="U562">
        <v>1</v>
      </c>
      <c r="V562">
        <v>1</v>
      </c>
      <c r="W562">
        <v>22.21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1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</row>
    <row r="563" spans="1:37" x14ac:dyDescent="0.3">
      <c r="A563">
        <v>7979</v>
      </c>
      <c r="B563" t="s">
        <v>219</v>
      </c>
      <c r="D563" t="s">
        <v>327</v>
      </c>
      <c r="E563">
        <v>99999999</v>
      </c>
      <c r="F563">
        <v>11111111</v>
      </c>
      <c r="G563">
        <v>1111111111</v>
      </c>
      <c r="H563" t="s">
        <v>4132</v>
      </c>
      <c r="I563">
        <v>99999999</v>
      </c>
      <c r="J563" s="188">
        <v>45236</v>
      </c>
      <c r="K563" t="s">
        <v>4132</v>
      </c>
      <c r="L563" t="s">
        <v>4132</v>
      </c>
      <c r="M563" t="s">
        <v>754</v>
      </c>
      <c r="N563" t="s">
        <v>130</v>
      </c>
      <c r="O563" t="s">
        <v>959</v>
      </c>
      <c r="P563" t="s">
        <v>221</v>
      </c>
      <c r="Q563" t="s">
        <v>82</v>
      </c>
      <c r="R563">
        <v>1</v>
      </c>
      <c r="S563">
        <v>3.2</v>
      </c>
      <c r="T563">
        <v>0</v>
      </c>
      <c r="U563">
        <v>1</v>
      </c>
      <c r="V563">
        <v>1</v>
      </c>
      <c r="W563">
        <v>23.59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1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</row>
    <row r="564" spans="1:37" x14ac:dyDescent="0.3">
      <c r="A564">
        <v>7979</v>
      </c>
      <c r="B564" t="s">
        <v>219</v>
      </c>
      <c r="D564" t="s">
        <v>327</v>
      </c>
      <c r="E564">
        <v>99999999</v>
      </c>
      <c r="F564">
        <v>11111111</v>
      </c>
      <c r="G564">
        <v>1111111111</v>
      </c>
      <c r="H564" t="s">
        <v>4133</v>
      </c>
      <c r="I564">
        <v>99999999</v>
      </c>
      <c r="J564" s="188">
        <v>45236</v>
      </c>
      <c r="K564" t="s">
        <v>4133</v>
      </c>
      <c r="L564" t="s">
        <v>4133</v>
      </c>
      <c r="M564" t="s">
        <v>113</v>
      </c>
      <c r="N564" t="s">
        <v>99</v>
      </c>
      <c r="O564" t="s">
        <v>960</v>
      </c>
      <c r="P564" t="s">
        <v>221</v>
      </c>
      <c r="Q564" t="s">
        <v>82</v>
      </c>
      <c r="R564">
        <v>3</v>
      </c>
      <c r="S564">
        <v>3.9</v>
      </c>
      <c r="T564">
        <v>0</v>
      </c>
      <c r="U564">
        <v>1</v>
      </c>
      <c r="V564">
        <v>1</v>
      </c>
      <c r="W564">
        <v>26.02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3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</row>
    <row r="565" spans="1:37" x14ac:dyDescent="0.3">
      <c r="A565">
        <v>7979</v>
      </c>
      <c r="B565" t="s">
        <v>219</v>
      </c>
      <c r="D565" t="s">
        <v>327</v>
      </c>
      <c r="E565">
        <v>99999999</v>
      </c>
      <c r="F565">
        <v>11111111</v>
      </c>
      <c r="G565">
        <v>1111111111</v>
      </c>
      <c r="H565" t="s">
        <v>4134</v>
      </c>
      <c r="I565">
        <v>99999999</v>
      </c>
      <c r="J565" s="188">
        <v>45236</v>
      </c>
      <c r="K565" t="s">
        <v>4134</v>
      </c>
      <c r="L565" t="s">
        <v>4134</v>
      </c>
      <c r="M565" t="s">
        <v>260</v>
      </c>
      <c r="N565" t="s">
        <v>130</v>
      </c>
      <c r="O565" t="s">
        <v>961</v>
      </c>
      <c r="P565" t="s">
        <v>221</v>
      </c>
      <c r="Q565" t="s">
        <v>82</v>
      </c>
      <c r="R565">
        <v>1</v>
      </c>
      <c r="S565">
        <v>0.45</v>
      </c>
      <c r="T565">
        <v>0</v>
      </c>
      <c r="U565">
        <v>1</v>
      </c>
      <c r="V565">
        <v>1</v>
      </c>
      <c r="W565">
        <v>28.16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1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</row>
    <row r="566" spans="1:37" x14ac:dyDescent="0.3">
      <c r="A566">
        <v>7979</v>
      </c>
      <c r="B566" t="s">
        <v>219</v>
      </c>
      <c r="D566" t="s">
        <v>327</v>
      </c>
      <c r="E566">
        <v>99999999</v>
      </c>
      <c r="F566">
        <v>11111111</v>
      </c>
      <c r="G566">
        <v>1111111111</v>
      </c>
      <c r="H566" t="s">
        <v>4135</v>
      </c>
      <c r="I566">
        <v>99999999</v>
      </c>
      <c r="J566" s="188">
        <v>45236</v>
      </c>
      <c r="K566" t="s">
        <v>4135</v>
      </c>
      <c r="L566" t="s">
        <v>4135</v>
      </c>
      <c r="M566" t="s">
        <v>962</v>
      </c>
      <c r="N566" t="s">
        <v>197</v>
      </c>
      <c r="O566">
        <v>77571</v>
      </c>
      <c r="P566" t="s">
        <v>221</v>
      </c>
      <c r="Q566" t="s">
        <v>82</v>
      </c>
      <c r="R566">
        <v>1</v>
      </c>
      <c r="S566">
        <v>0.35</v>
      </c>
      <c r="T566">
        <v>0</v>
      </c>
      <c r="U566">
        <v>1</v>
      </c>
      <c r="V566">
        <v>1</v>
      </c>
      <c r="W566">
        <v>20.52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1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</row>
    <row r="567" spans="1:37" x14ac:dyDescent="0.3">
      <c r="A567">
        <v>7979</v>
      </c>
      <c r="B567" t="s">
        <v>219</v>
      </c>
      <c r="D567" t="s">
        <v>327</v>
      </c>
      <c r="E567">
        <v>99999999</v>
      </c>
      <c r="F567">
        <v>11111111</v>
      </c>
      <c r="G567">
        <v>1111111111</v>
      </c>
      <c r="H567" t="s">
        <v>4136</v>
      </c>
      <c r="I567">
        <v>99999999</v>
      </c>
      <c r="J567" s="188">
        <v>45236</v>
      </c>
      <c r="K567" t="s">
        <v>4136</v>
      </c>
      <c r="L567" t="s">
        <v>4136</v>
      </c>
      <c r="M567" t="s">
        <v>963</v>
      </c>
      <c r="N567" t="s">
        <v>402</v>
      </c>
      <c r="O567" t="s">
        <v>964</v>
      </c>
      <c r="P567" t="s">
        <v>221</v>
      </c>
      <c r="Q567" t="s">
        <v>82</v>
      </c>
      <c r="R567">
        <v>1</v>
      </c>
      <c r="S567">
        <v>0.19</v>
      </c>
      <c r="T567">
        <v>0</v>
      </c>
      <c r="U567">
        <v>1</v>
      </c>
      <c r="V567">
        <v>1</v>
      </c>
      <c r="W567">
        <v>29.04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1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</row>
    <row r="568" spans="1:37" x14ac:dyDescent="0.3">
      <c r="A568">
        <v>7979</v>
      </c>
      <c r="B568" t="s">
        <v>219</v>
      </c>
      <c r="D568" t="s">
        <v>327</v>
      </c>
      <c r="E568">
        <v>99999999</v>
      </c>
      <c r="F568">
        <v>11111111</v>
      </c>
      <c r="G568">
        <v>1111111111</v>
      </c>
      <c r="H568" t="s">
        <v>4137</v>
      </c>
      <c r="I568">
        <v>99999999</v>
      </c>
      <c r="J568" s="188">
        <v>45236</v>
      </c>
      <c r="K568" t="s">
        <v>4137</v>
      </c>
      <c r="L568" t="s">
        <v>4137</v>
      </c>
      <c r="M568" t="s">
        <v>965</v>
      </c>
      <c r="N568" t="s">
        <v>814</v>
      </c>
      <c r="O568" t="s">
        <v>966</v>
      </c>
      <c r="P568" t="s">
        <v>221</v>
      </c>
      <c r="Q568" t="s">
        <v>82</v>
      </c>
      <c r="R568">
        <v>1</v>
      </c>
      <c r="S568">
        <v>1</v>
      </c>
      <c r="T568">
        <v>0</v>
      </c>
      <c r="U568">
        <v>1</v>
      </c>
      <c r="V568">
        <v>1</v>
      </c>
      <c r="W568">
        <v>31.36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1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</row>
    <row r="569" spans="1:37" x14ac:dyDescent="0.3">
      <c r="A569">
        <v>7979</v>
      </c>
      <c r="B569" t="s">
        <v>219</v>
      </c>
      <c r="D569" t="s">
        <v>327</v>
      </c>
      <c r="E569">
        <v>99999999</v>
      </c>
      <c r="F569">
        <v>11111111</v>
      </c>
      <c r="G569">
        <v>1111111111</v>
      </c>
      <c r="H569" t="s">
        <v>4138</v>
      </c>
      <c r="I569">
        <v>99999999</v>
      </c>
      <c r="J569" s="188">
        <v>45236</v>
      </c>
      <c r="K569" t="s">
        <v>4138</v>
      </c>
      <c r="L569" t="s">
        <v>4138</v>
      </c>
      <c r="M569" t="s">
        <v>887</v>
      </c>
      <c r="N569" t="s">
        <v>80</v>
      </c>
      <c r="O569" t="s">
        <v>967</v>
      </c>
      <c r="P569" t="s">
        <v>221</v>
      </c>
      <c r="Q569" t="s">
        <v>82</v>
      </c>
      <c r="R569">
        <v>1</v>
      </c>
      <c r="S569">
        <v>1</v>
      </c>
      <c r="T569">
        <v>0</v>
      </c>
      <c r="U569">
        <v>1</v>
      </c>
      <c r="V569">
        <v>1</v>
      </c>
      <c r="W569">
        <v>23.1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1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</row>
    <row r="570" spans="1:37" x14ac:dyDescent="0.3">
      <c r="A570">
        <v>7979</v>
      </c>
      <c r="B570" t="s">
        <v>219</v>
      </c>
      <c r="D570" t="s">
        <v>327</v>
      </c>
      <c r="E570">
        <v>99999999</v>
      </c>
      <c r="F570">
        <v>11111111</v>
      </c>
      <c r="G570">
        <v>1111111111</v>
      </c>
      <c r="H570" t="s">
        <v>4139</v>
      </c>
      <c r="I570">
        <v>99999999</v>
      </c>
      <c r="J570" s="188">
        <v>45236</v>
      </c>
      <c r="K570" t="s">
        <v>4139</v>
      </c>
      <c r="L570" t="s">
        <v>4139</v>
      </c>
      <c r="M570" t="s">
        <v>712</v>
      </c>
      <c r="N570" t="s">
        <v>197</v>
      </c>
      <c r="O570" t="s">
        <v>968</v>
      </c>
      <c r="P570" t="s">
        <v>221</v>
      </c>
      <c r="Q570" t="s">
        <v>82</v>
      </c>
      <c r="R570">
        <v>1</v>
      </c>
      <c r="S570">
        <v>1.3</v>
      </c>
      <c r="T570">
        <v>0</v>
      </c>
      <c r="U570">
        <v>1</v>
      </c>
      <c r="V570">
        <v>1</v>
      </c>
      <c r="W570">
        <v>28.33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1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</row>
    <row r="571" spans="1:37" x14ac:dyDescent="0.3">
      <c r="A571">
        <v>7979</v>
      </c>
      <c r="B571" t="s">
        <v>219</v>
      </c>
      <c r="D571" t="s">
        <v>327</v>
      </c>
      <c r="E571">
        <v>99999999</v>
      </c>
      <c r="F571">
        <v>11111111</v>
      </c>
      <c r="G571">
        <v>1111111111</v>
      </c>
      <c r="H571" t="s">
        <v>4140</v>
      </c>
      <c r="I571">
        <v>99999999</v>
      </c>
      <c r="J571" s="188">
        <v>45236</v>
      </c>
      <c r="K571" t="s">
        <v>4140</v>
      </c>
      <c r="L571" t="s">
        <v>4140</v>
      </c>
      <c r="M571" t="s">
        <v>594</v>
      </c>
      <c r="N571" t="s">
        <v>307</v>
      </c>
      <c r="O571" t="s">
        <v>969</v>
      </c>
      <c r="P571" t="s">
        <v>221</v>
      </c>
      <c r="Q571" t="s">
        <v>82</v>
      </c>
      <c r="R571">
        <v>1</v>
      </c>
      <c r="S571">
        <v>1.1299999999999999</v>
      </c>
      <c r="T571">
        <v>0</v>
      </c>
      <c r="U571">
        <v>1</v>
      </c>
      <c r="V571">
        <v>1</v>
      </c>
      <c r="W571">
        <v>28.33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1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</row>
    <row r="572" spans="1:37" x14ac:dyDescent="0.3">
      <c r="A572">
        <v>7979</v>
      </c>
      <c r="B572" t="s">
        <v>219</v>
      </c>
      <c r="D572" t="s">
        <v>327</v>
      </c>
      <c r="E572">
        <v>99999999</v>
      </c>
      <c r="F572">
        <v>11111111</v>
      </c>
      <c r="G572">
        <v>1111111111</v>
      </c>
      <c r="H572" t="s">
        <v>4141</v>
      </c>
      <c r="I572">
        <v>99999999</v>
      </c>
      <c r="J572" s="188">
        <v>45236</v>
      </c>
      <c r="K572" t="s">
        <v>4141</v>
      </c>
      <c r="L572" t="s">
        <v>4141</v>
      </c>
      <c r="M572" t="s">
        <v>970</v>
      </c>
      <c r="N572" t="s">
        <v>125</v>
      </c>
      <c r="O572">
        <v>48301</v>
      </c>
      <c r="P572" t="s">
        <v>221</v>
      </c>
      <c r="Q572" t="s">
        <v>82</v>
      </c>
      <c r="R572">
        <v>2</v>
      </c>
      <c r="S572">
        <v>2.5</v>
      </c>
      <c r="T572">
        <v>0</v>
      </c>
      <c r="U572">
        <v>1</v>
      </c>
      <c r="V572">
        <v>1</v>
      </c>
      <c r="W572">
        <v>24.81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2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</row>
    <row r="573" spans="1:37" x14ac:dyDescent="0.3">
      <c r="A573">
        <v>7979</v>
      </c>
      <c r="B573" t="s">
        <v>219</v>
      </c>
      <c r="D573" t="s">
        <v>327</v>
      </c>
      <c r="E573">
        <v>99999999</v>
      </c>
      <c r="F573">
        <v>11111111</v>
      </c>
      <c r="G573">
        <v>1111111111</v>
      </c>
      <c r="H573" t="s">
        <v>4142</v>
      </c>
      <c r="I573">
        <v>99999999</v>
      </c>
      <c r="J573" s="188">
        <v>45236</v>
      </c>
      <c r="K573" t="s">
        <v>4142</v>
      </c>
      <c r="L573" t="s">
        <v>4142</v>
      </c>
      <c r="M573" t="s">
        <v>95</v>
      </c>
      <c r="N573" t="s">
        <v>91</v>
      </c>
      <c r="O573" t="s">
        <v>971</v>
      </c>
      <c r="P573" t="s">
        <v>221</v>
      </c>
      <c r="Q573" t="s">
        <v>82</v>
      </c>
      <c r="R573">
        <v>1</v>
      </c>
      <c r="S573">
        <v>0.03</v>
      </c>
      <c r="T573">
        <v>0</v>
      </c>
      <c r="U573">
        <v>1</v>
      </c>
      <c r="V573">
        <v>1</v>
      </c>
      <c r="W573">
        <v>19.899999999999999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1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</row>
    <row r="574" spans="1:37" x14ac:dyDescent="0.3">
      <c r="A574">
        <v>7979</v>
      </c>
      <c r="B574" t="s">
        <v>219</v>
      </c>
      <c r="D574" t="s">
        <v>327</v>
      </c>
      <c r="E574">
        <v>99999999</v>
      </c>
      <c r="F574">
        <v>11111111</v>
      </c>
      <c r="G574">
        <v>1111111111</v>
      </c>
      <c r="H574" t="s">
        <v>4143</v>
      </c>
      <c r="I574">
        <v>99999999</v>
      </c>
      <c r="J574" s="188">
        <v>45236</v>
      </c>
      <c r="K574" t="s">
        <v>4143</v>
      </c>
      <c r="L574" t="s">
        <v>4143</v>
      </c>
      <c r="M574" t="s">
        <v>972</v>
      </c>
      <c r="N574" t="s">
        <v>231</v>
      </c>
      <c r="O574" t="s">
        <v>973</v>
      </c>
      <c r="P574" t="s">
        <v>221</v>
      </c>
      <c r="Q574" t="s">
        <v>82</v>
      </c>
      <c r="R574">
        <v>1</v>
      </c>
      <c r="S574">
        <v>1.1499999999999999</v>
      </c>
      <c r="T574">
        <v>0</v>
      </c>
      <c r="U574">
        <v>1</v>
      </c>
      <c r="V574">
        <v>1</v>
      </c>
      <c r="W574">
        <v>29.22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1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</row>
    <row r="575" spans="1:37" x14ac:dyDescent="0.3">
      <c r="A575">
        <v>7979</v>
      </c>
      <c r="B575" t="s">
        <v>219</v>
      </c>
      <c r="D575" t="s">
        <v>327</v>
      </c>
      <c r="E575">
        <v>99999999</v>
      </c>
      <c r="F575">
        <v>11111111</v>
      </c>
      <c r="G575">
        <v>1111111111</v>
      </c>
      <c r="H575" t="s">
        <v>4144</v>
      </c>
      <c r="I575">
        <v>99999999</v>
      </c>
      <c r="J575" s="188">
        <v>45236</v>
      </c>
      <c r="K575" t="s">
        <v>4144</v>
      </c>
      <c r="L575" t="s">
        <v>4144</v>
      </c>
      <c r="M575" t="s">
        <v>396</v>
      </c>
      <c r="N575" t="s">
        <v>99</v>
      </c>
      <c r="O575" t="s">
        <v>974</v>
      </c>
      <c r="P575" t="s">
        <v>221</v>
      </c>
      <c r="Q575" t="s">
        <v>82</v>
      </c>
      <c r="R575">
        <v>1</v>
      </c>
      <c r="S575">
        <v>1.32</v>
      </c>
      <c r="T575">
        <v>0</v>
      </c>
      <c r="U575">
        <v>1</v>
      </c>
      <c r="V575">
        <v>1</v>
      </c>
      <c r="W575">
        <v>19.940000000000001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1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</row>
    <row r="576" spans="1:37" x14ac:dyDescent="0.3">
      <c r="A576">
        <v>7979</v>
      </c>
      <c r="B576" t="s">
        <v>219</v>
      </c>
      <c r="D576" t="s">
        <v>327</v>
      </c>
      <c r="E576">
        <v>99999999</v>
      </c>
      <c r="F576">
        <v>11111111</v>
      </c>
      <c r="G576">
        <v>1111111111</v>
      </c>
      <c r="H576" t="s">
        <v>4145</v>
      </c>
      <c r="I576">
        <v>99999999</v>
      </c>
      <c r="J576" s="188">
        <v>45236</v>
      </c>
      <c r="K576" t="s">
        <v>4145</v>
      </c>
      <c r="L576" t="s">
        <v>4145</v>
      </c>
      <c r="M576" t="s">
        <v>975</v>
      </c>
      <c r="N576" t="s">
        <v>307</v>
      </c>
      <c r="O576" t="s">
        <v>976</v>
      </c>
      <c r="P576" t="s">
        <v>221</v>
      </c>
      <c r="Q576" t="s">
        <v>82</v>
      </c>
      <c r="R576">
        <v>3</v>
      </c>
      <c r="S576">
        <v>0.12</v>
      </c>
      <c r="T576">
        <v>0</v>
      </c>
      <c r="U576">
        <v>1</v>
      </c>
      <c r="V576">
        <v>1</v>
      </c>
      <c r="W576">
        <v>28.62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3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</row>
    <row r="577" spans="1:37" x14ac:dyDescent="0.3">
      <c r="A577">
        <v>7979</v>
      </c>
      <c r="B577" t="s">
        <v>219</v>
      </c>
      <c r="D577" t="s">
        <v>327</v>
      </c>
      <c r="E577">
        <v>99999999</v>
      </c>
      <c r="F577">
        <v>11111111</v>
      </c>
      <c r="G577">
        <v>1111111111</v>
      </c>
      <c r="H577" t="s">
        <v>4146</v>
      </c>
      <c r="I577">
        <v>99999999</v>
      </c>
      <c r="J577" s="188">
        <v>45236</v>
      </c>
      <c r="K577" t="s">
        <v>4146</v>
      </c>
      <c r="L577" t="s">
        <v>4146</v>
      </c>
      <c r="M577" t="s">
        <v>514</v>
      </c>
      <c r="N577" t="s">
        <v>99</v>
      </c>
      <c r="O577" t="s">
        <v>977</v>
      </c>
      <c r="P577" t="s">
        <v>221</v>
      </c>
      <c r="Q577" t="s">
        <v>82</v>
      </c>
      <c r="R577">
        <v>1</v>
      </c>
      <c r="S577">
        <v>0.8</v>
      </c>
      <c r="T577">
        <v>0</v>
      </c>
      <c r="U577">
        <v>1</v>
      </c>
      <c r="V577">
        <v>1</v>
      </c>
      <c r="W577">
        <v>18.649999999999999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1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</row>
    <row r="578" spans="1:37" x14ac:dyDescent="0.3">
      <c r="A578">
        <v>7979</v>
      </c>
      <c r="B578" t="s">
        <v>219</v>
      </c>
      <c r="D578" t="s">
        <v>327</v>
      </c>
      <c r="E578">
        <v>99999999</v>
      </c>
      <c r="F578">
        <v>11111111</v>
      </c>
      <c r="G578">
        <v>1111111111</v>
      </c>
      <c r="H578" t="s">
        <v>4147</v>
      </c>
      <c r="I578">
        <v>99999999</v>
      </c>
      <c r="J578" s="188">
        <v>45236</v>
      </c>
      <c r="K578" t="s">
        <v>4147</v>
      </c>
      <c r="L578" t="s">
        <v>4147</v>
      </c>
      <c r="M578" t="s">
        <v>978</v>
      </c>
      <c r="N578" t="s">
        <v>402</v>
      </c>
      <c r="O578">
        <v>23185</v>
      </c>
      <c r="P578" t="s">
        <v>221</v>
      </c>
      <c r="Q578" t="s">
        <v>82</v>
      </c>
      <c r="R578">
        <v>1</v>
      </c>
      <c r="S578">
        <v>1.1299999999999999</v>
      </c>
      <c r="T578">
        <v>0</v>
      </c>
      <c r="U578">
        <v>1</v>
      </c>
      <c r="V578">
        <v>1</v>
      </c>
      <c r="W578">
        <v>23.1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1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</row>
    <row r="579" spans="1:37" x14ac:dyDescent="0.3">
      <c r="A579">
        <v>7979</v>
      </c>
      <c r="B579" t="s">
        <v>219</v>
      </c>
      <c r="D579" t="s">
        <v>327</v>
      </c>
      <c r="E579">
        <v>99999999</v>
      </c>
      <c r="F579">
        <v>11111111</v>
      </c>
      <c r="G579">
        <v>1111111111</v>
      </c>
      <c r="H579" t="s">
        <v>4148</v>
      </c>
      <c r="I579">
        <v>99999999</v>
      </c>
      <c r="J579" s="188">
        <v>45236</v>
      </c>
      <c r="K579" t="s">
        <v>4148</v>
      </c>
      <c r="L579" t="s">
        <v>4148</v>
      </c>
      <c r="M579" t="s">
        <v>502</v>
      </c>
      <c r="N579" t="s">
        <v>91</v>
      </c>
      <c r="O579">
        <v>85390</v>
      </c>
      <c r="P579" t="s">
        <v>221</v>
      </c>
      <c r="Q579" t="s">
        <v>82</v>
      </c>
      <c r="R579">
        <v>1</v>
      </c>
      <c r="S579">
        <v>0.16</v>
      </c>
      <c r="T579">
        <v>0</v>
      </c>
      <c r="U579">
        <v>1</v>
      </c>
      <c r="V579">
        <v>1</v>
      </c>
      <c r="W579">
        <v>28.16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</row>
    <row r="580" spans="1:37" x14ac:dyDescent="0.3">
      <c r="A580">
        <v>7979</v>
      </c>
      <c r="B580" t="s">
        <v>219</v>
      </c>
      <c r="D580" t="s">
        <v>327</v>
      </c>
      <c r="E580">
        <v>99999999</v>
      </c>
      <c r="F580">
        <v>11111111</v>
      </c>
      <c r="G580">
        <v>1111111111</v>
      </c>
      <c r="H580" t="s">
        <v>4149</v>
      </c>
      <c r="I580">
        <v>99999999</v>
      </c>
      <c r="J580" s="188">
        <v>45236</v>
      </c>
      <c r="K580" t="s">
        <v>4149</v>
      </c>
      <c r="L580" t="s">
        <v>4149</v>
      </c>
      <c r="M580" t="s">
        <v>979</v>
      </c>
      <c r="N580" t="s">
        <v>980</v>
      </c>
      <c r="O580" t="s">
        <v>981</v>
      </c>
      <c r="P580" t="s">
        <v>221</v>
      </c>
      <c r="Q580" t="s">
        <v>82</v>
      </c>
      <c r="R580">
        <v>1</v>
      </c>
      <c r="S580">
        <v>0.88</v>
      </c>
      <c r="T580">
        <v>0</v>
      </c>
      <c r="U580">
        <v>1</v>
      </c>
      <c r="V580">
        <v>1</v>
      </c>
      <c r="W580">
        <v>28.93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1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</row>
    <row r="581" spans="1:37" x14ac:dyDescent="0.3">
      <c r="A581">
        <v>7979</v>
      </c>
      <c r="B581" t="s">
        <v>219</v>
      </c>
      <c r="D581" t="s">
        <v>327</v>
      </c>
      <c r="E581">
        <v>99999999</v>
      </c>
      <c r="F581">
        <v>11111111</v>
      </c>
      <c r="G581">
        <v>1111111111</v>
      </c>
      <c r="H581" t="s">
        <v>4150</v>
      </c>
      <c r="I581">
        <v>99999999</v>
      </c>
      <c r="J581" s="188">
        <v>45236</v>
      </c>
      <c r="K581" t="s">
        <v>4150</v>
      </c>
      <c r="L581" t="s">
        <v>4150</v>
      </c>
      <c r="M581" t="s">
        <v>982</v>
      </c>
      <c r="N581" t="s">
        <v>983</v>
      </c>
      <c r="O581" t="s">
        <v>984</v>
      </c>
      <c r="P581" t="s">
        <v>221</v>
      </c>
      <c r="Q581" t="s">
        <v>82</v>
      </c>
      <c r="R581">
        <v>2</v>
      </c>
      <c r="S581">
        <v>1</v>
      </c>
      <c r="T581">
        <v>0</v>
      </c>
      <c r="U581">
        <v>1</v>
      </c>
      <c r="V581">
        <v>1</v>
      </c>
      <c r="W581">
        <v>31.36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2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</row>
    <row r="582" spans="1:37" x14ac:dyDescent="0.3">
      <c r="A582">
        <v>7979</v>
      </c>
      <c r="B582" t="s">
        <v>219</v>
      </c>
      <c r="D582" t="s">
        <v>327</v>
      </c>
      <c r="E582">
        <v>99999999</v>
      </c>
      <c r="F582">
        <v>11111111</v>
      </c>
      <c r="G582">
        <v>1111111111</v>
      </c>
      <c r="H582" t="s">
        <v>4151</v>
      </c>
      <c r="I582">
        <v>99999999</v>
      </c>
      <c r="J582" s="188">
        <v>45236</v>
      </c>
      <c r="K582" t="s">
        <v>4151</v>
      </c>
      <c r="L582" t="s">
        <v>4151</v>
      </c>
      <c r="M582" t="s">
        <v>115</v>
      </c>
      <c r="N582" t="s">
        <v>99</v>
      </c>
      <c r="O582" t="s">
        <v>985</v>
      </c>
      <c r="P582" t="s">
        <v>221</v>
      </c>
      <c r="Q582" t="s">
        <v>82</v>
      </c>
      <c r="R582">
        <v>2</v>
      </c>
      <c r="S582">
        <v>5.49</v>
      </c>
      <c r="T582">
        <v>0</v>
      </c>
      <c r="U582">
        <v>1</v>
      </c>
      <c r="V582">
        <v>2</v>
      </c>
      <c r="W582">
        <v>20.02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2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</row>
    <row r="583" spans="1:37" x14ac:dyDescent="0.3">
      <c r="A583">
        <v>7979</v>
      </c>
      <c r="B583" t="s">
        <v>219</v>
      </c>
      <c r="D583" t="s">
        <v>327</v>
      </c>
      <c r="E583">
        <v>99999999</v>
      </c>
      <c r="F583">
        <v>11111111</v>
      </c>
      <c r="G583">
        <v>1111111111</v>
      </c>
      <c r="H583" t="s">
        <v>4152</v>
      </c>
      <c r="I583">
        <v>99999999</v>
      </c>
      <c r="J583" s="188">
        <v>45236</v>
      </c>
      <c r="K583" t="s">
        <v>4152</v>
      </c>
      <c r="L583" t="s">
        <v>4152</v>
      </c>
      <c r="M583" t="s">
        <v>986</v>
      </c>
      <c r="N583" t="s">
        <v>197</v>
      </c>
      <c r="O583" t="s">
        <v>987</v>
      </c>
      <c r="P583" t="s">
        <v>221</v>
      </c>
      <c r="Q583" t="s">
        <v>82</v>
      </c>
      <c r="R583">
        <v>2</v>
      </c>
      <c r="S583">
        <v>0.28999999999999998</v>
      </c>
      <c r="T583">
        <v>0</v>
      </c>
      <c r="U583">
        <v>1</v>
      </c>
      <c r="V583">
        <v>2</v>
      </c>
      <c r="W583">
        <v>26.48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2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</row>
    <row r="584" spans="1:37" x14ac:dyDescent="0.3">
      <c r="A584">
        <v>7979</v>
      </c>
      <c r="B584" t="s">
        <v>219</v>
      </c>
      <c r="D584" t="s">
        <v>327</v>
      </c>
      <c r="E584">
        <v>99999999</v>
      </c>
      <c r="F584">
        <v>11111111</v>
      </c>
      <c r="G584">
        <v>1111111111</v>
      </c>
      <c r="H584" t="s">
        <v>4153</v>
      </c>
      <c r="I584">
        <v>99999999</v>
      </c>
      <c r="J584" s="188">
        <v>45236</v>
      </c>
      <c r="K584" t="s">
        <v>4153</v>
      </c>
      <c r="L584" t="s">
        <v>4153</v>
      </c>
      <c r="M584" t="s">
        <v>988</v>
      </c>
      <c r="N584" t="s">
        <v>99</v>
      </c>
      <c r="O584" t="s">
        <v>989</v>
      </c>
      <c r="P584" t="s">
        <v>221</v>
      </c>
      <c r="Q584" t="s">
        <v>82</v>
      </c>
      <c r="R584">
        <v>2</v>
      </c>
      <c r="S584">
        <v>1.25</v>
      </c>
      <c r="T584">
        <v>0</v>
      </c>
      <c r="U584">
        <v>1</v>
      </c>
      <c r="V584">
        <v>2</v>
      </c>
      <c r="W584">
        <v>21.21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2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</row>
    <row r="585" spans="1:37" x14ac:dyDescent="0.3">
      <c r="A585">
        <v>7979</v>
      </c>
      <c r="B585" t="s">
        <v>219</v>
      </c>
      <c r="D585" t="s">
        <v>327</v>
      </c>
      <c r="E585">
        <v>99999999</v>
      </c>
      <c r="F585">
        <v>11111111</v>
      </c>
      <c r="G585">
        <v>1111111111</v>
      </c>
      <c r="H585" t="s">
        <v>4154</v>
      </c>
      <c r="I585">
        <v>99999999</v>
      </c>
      <c r="J585" s="188">
        <v>45236</v>
      </c>
      <c r="K585" t="s">
        <v>4154</v>
      </c>
      <c r="L585" t="s">
        <v>4154</v>
      </c>
      <c r="M585" t="s">
        <v>990</v>
      </c>
      <c r="N585" t="s">
        <v>381</v>
      </c>
      <c r="O585" t="s">
        <v>991</v>
      </c>
      <c r="P585" t="s">
        <v>221</v>
      </c>
      <c r="Q585" t="s">
        <v>82</v>
      </c>
      <c r="R585">
        <v>1</v>
      </c>
      <c r="S585">
        <v>1</v>
      </c>
      <c r="T585">
        <v>0</v>
      </c>
      <c r="U585">
        <v>1</v>
      </c>
      <c r="V585">
        <v>1</v>
      </c>
      <c r="W585">
        <v>29.8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1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</row>
    <row r="586" spans="1:37" x14ac:dyDescent="0.3">
      <c r="A586">
        <v>7979</v>
      </c>
      <c r="B586" t="s">
        <v>219</v>
      </c>
      <c r="D586" t="s">
        <v>327</v>
      </c>
      <c r="E586">
        <v>99999999</v>
      </c>
      <c r="F586">
        <v>11111111</v>
      </c>
      <c r="G586">
        <v>1111111111</v>
      </c>
      <c r="H586" t="s">
        <v>4155</v>
      </c>
      <c r="I586">
        <v>99999999</v>
      </c>
      <c r="J586" s="188">
        <v>45236</v>
      </c>
      <c r="K586" t="s">
        <v>4155</v>
      </c>
      <c r="L586" t="s">
        <v>4155</v>
      </c>
      <c r="M586" t="s">
        <v>992</v>
      </c>
      <c r="N586" t="s">
        <v>97</v>
      </c>
      <c r="O586" t="s">
        <v>993</v>
      </c>
      <c r="P586" t="s">
        <v>221</v>
      </c>
      <c r="Q586" t="s">
        <v>82</v>
      </c>
      <c r="R586">
        <v>1</v>
      </c>
      <c r="S586">
        <v>1.8</v>
      </c>
      <c r="T586">
        <v>0</v>
      </c>
      <c r="U586">
        <v>1</v>
      </c>
      <c r="V586">
        <v>1</v>
      </c>
      <c r="W586">
        <v>21.88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1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</row>
    <row r="587" spans="1:37" x14ac:dyDescent="0.3">
      <c r="A587">
        <v>7979</v>
      </c>
      <c r="B587" t="s">
        <v>219</v>
      </c>
      <c r="D587" t="s">
        <v>327</v>
      </c>
      <c r="E587">
        <v>99999999</v>
      </c>
      <c r="F587">
        <v>11111111</v>
      </c>
      <c r="G587">
        <v>1111111111</v>
      </c>
      <c r="H587" t="s">
        <v>4156</v>
      </c>
      <c r="I587">
        <v>99999999</v>
      </c>
      <c r="J587" s="188">
        <v>45236</v>
      </c>
      <c r="K587" t="s">
        <v>4156</v>
      </c>
      <c r="L587" t="s">
        <v>4156</v>
      </c>
      <c r="M587" t="s">
        <v>994</v>
      </c>
      <c r="N587" t="s">
        <v>197</v>
      </c>
      <c r="O587" t="s">
        <v>995</v>
      </c>
      <c r="P587" t="s">
        <v>221</v>
      </c>
      <c r="Q587" t="s">
        <v>82</v>
      </c>
      <c r="R587">
        <v>1</v>
      </c>
      <c r="S587">
        <v>1.1299999999999999</v>
      </c>
      <c r="T587">
        <v>0</v>
      </c>
      <c r="U587">
        <v>1</v>
      </c>
      <c r="V587">
        <v>1</v>
      </c>
      <c r="W587">
        <v>22.21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1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</row>
    <row r="588" spans="1:37" x14ac:dyDescent="0.3">
      <c r="A588">
        <v>7979</v>
      </c>
      <c r="B588" t="s">
        <v>219</v>
      </c>
      <c r="D588" t="s">
        <v>327</v>
      </c>
      <c r="E588">
        <v>99999999</v>
      </c>
      <c r="F588">
        <v>11111111</v>
      </c>
      <c r="G588">
        <v>1111111111</v>
      </c>
      <c r="H588" t="s">
        <v>4157</v>
      </c>
      <c r="I588">
        <v>99999999</v>
      </c>
      <c r="J588" s="188">
        <v>45236</v>
      </c>
      <c r="K588" t="s">
        <v>4157</v>
      </c>
      <c r="L588" t="s">
        <v>4157</v>
      </c>
      <c r="M588" t="s">
        <v>996</v>
      </c>
      <c r="N588" t="s">
        <v>811</v>
      </c>
      <c r="O588" t="s">
        <v>997</v>
      </c>
      <c r="P588" t="s">
        <v>221</v>
      </c>
      <c r="Q588" t="s">
        <v>82</v>
      </c>
      <c r="R588">
        <v>1</v>
      </c>
      <c r="S588">
        <v>1</v>
      </c>
      <c r="T588">
        <v>0</v>
      </c>
      <c r="U588">
        <v>1</v>
      </c>
      <c r="V588">
        <v>1</v>
      </c>
      <c r="W588">
        <v>23.1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1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</row>
    <row r="589" spans="1:37" x14ac:dyDescent="0.3">
      <c r="A589">
        <v>7979</v>
      </c>
      <c r="B589" t="s">
        <v>219</v>
      </c>
      <c r="D589" t="s">
        <v>327</v>
      </c>
      <c r="E589">
        <v>99999999</v>
      </c>
      <c r="F589">
        <v>11111111</v>
      </c>
      <c r="G589">
        <v>1111111111</v>
      </c>
      <c r="H589" t="s">
        <v>4158</v>
      </c>
      <c r="I589">
        <v>99999999</v>
      </c>
      <c r="J589" s="188">
        <v>45236</v>
      </c>
      <c r="K589" t="s">
        <v>4158</v>
      </c>
      <c r="L589" t="s">
        <v>4158</v>
      </c>
      <c r="M589" t="s">
        <v>202</v>
      </c>
      <c r="N589" t="s">
        <v>135</v>
      </c>
      <c r="O589" t="s">
        <v>998</v>
      </c>
      <c r="P589" t="s">
        <v>221</v>
      </c>
      <c r="Q589" t="s">
        <v>82</v>
      </c>
      <c r="R589">
        <v>1</v>
      </c>
      <c r="S589">
        <v>0.8</v>
      </c>
      <c r="T589">
        <v>0</v>
      </c>
      <c r="U589">
        <v>1</v>
      </c>
      <c r="V589">
        <v>1</v>
      </c>
      <c r="W589">
        <v>21.21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1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</row>
    <row r="590" spans="1:37" x14ac:dyDescent="0.3">
      <c r="A590">
        <v>7979</v>
      </c>
      <c r="B590" t="s">
        <v>219</v>
      </c>
      <c r="D590" t="s">
        <v>327</v>
      </c>
      <c r="E590">
        <v>99999999</v>
      </c>
      <c r="F590">
        <v>11111111</v>
      </c>
      <c r="G590">
        <v>1111111111</v>
      </c>
      <c r="H590" t="s">
        <v>4159</v>
      </c>
      <c r="I590">
        <v>99999999</v>
      </c>
      <c r="J590" s="188">
        <v>45236</v>
      </c>
      <c r="K590" t="s">
        <v>4159</v>
      </c>
      <c r="L590" t="s">
        <v>4159</v>
      </c>
      <c r="M590" t="s">
        <v>879</v>
      </c>
      <c r="N590" t="s">
        <v>164</v>
      </c>
      <c r="O590" t="s">
        <v>999</v>
      </c>
      <c r="P590" t="s">
        <v>221</v>
      </c>
      <c r="Q590" t="s">
        <v>82</v>
      </c>
      <c r="R590">
        <v>1</v>
      </c>
      <c r="S590">
        <v>1</v>
      </c>
      <c r="T590">
        <v>0</v>
      </c>
      <c r="U590">
        <v>1</v>
      </c>
      <c r="V590">
        <v>1</v>
      </c>
      <c r="W590">
        <v>21.21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1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</row>
    <row r="591" spans="1:37" x14ac:dyDescent="0.3">
      <c r="A591">
        <v>7979</v>
      </c>
      <c r="B591" t="s">
        <v>219</v>
      </c>
      <c r="D591" t="s">
        <v>327</v>
      </c>
      <c r="E591">
        <v>99999999</v>
      </c>
      <c r="F591">
        <v>11111111</v>
      </c>
      <c r="G591">
        <v>1111111111</v>
      </c>
      <c r="H591" t="s">
        <v>4160</v>
      </c>
      <c r="I591">
        <v>99999999</v>
      </c>
      <c r="J591" s="188">
        <v>45236</v>
      </c>
      <c r="K591" t="s">
        <v>4160</v>
      </c>
      <c r="L591" t="s">
        <v>4160</v>
      </c>
      <c r="M591" t="s">
        <v>1000</v>
      </c>
      <c r="N591" t="s">
        <v>99</v>
      </c>
      <c r="O591" t="s">
        <v>1001</v>
      </c>
      <c r="P591" t="s">
        <v>221</v>
      </c>
      <c r="Q591" t="s">
        <v>82</v>
      </c>
      <c r="R591">
        <v>4</v>
      </c>
      <c r="S591">
        <v>3.35</v>
      </c>
      <c r="T591">
        <v>0</v>
      </c>
      <c r="U591">
        <v>1</v>
      </c>
      <c r="V591">
        <v>4</v>
      </c>
      <c r="W591">
        <v>20.77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4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</row>
    <row r="592" spans="1:37" x14ac:dyDescent="0.3">
      <c r="A592">
        <v>7979</v>
      </c>
      <c r="B592" t="s">
        <v>219</v>
      </c>
      <c r="D592" t="s">
        <v>327</v>
      </c>
      <c r="E592">
        <v>99999999</v>
      </c>
      <c r="F592">
        <v>11111111</v>
      </c>
      <c r="G592">
        <v>1111111111</v>
      </c>
      <c r="H592" t="s">
        <v>4161</v>
      </c>
      <c r="I592">
        <v>99999999</v>
      </c>
      <c r="J592" s="188">
        <v>45236</v>
      </c>
      <c r="K592" t="s">
        <v>4161</v>
      </c>
      <c r="L592" t="s">
        <v>4161</v>
      </c>
      <c r="M592" t="s">
        <v>463</v>
      </c>
      <c r="N592" t="s">
        <v>104</v>
      </c>
      <c r="O592" t="s">
        <v>1002</v>
      </c>
      <c r="P592" t="s">
        <v>221</v>
      </c>
      <c r="Q592" t="s">
        <v>82</v>
      </c>
      <c r="R592">
        <v>3</v>
      </c>
      <c r="S592">
        <v>4.25</v>
      </c>
      <c r="T592">
        <v>0</v>
      </c>
      <c r="U592">
        <v>1</v>
      </c>
      <c r="V592">
        <v>2</v>
      </c>
      <c r="W592">
        <v>22.93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3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</row>
    <row r="593" spans="1:37" x14ac:dyDescent="0.3">
      <c r="A593">
        <v>7979</v>
      </c>
      <c r="B593" t="s">
        <v>219</v>
      </c>
      <c r="D593" t="s">
        <v>327</v>
      </c>
      <c r="E593">
        <v>99999999</v>
      </c>
      <c r="F593">
        <v>11111111</v>
      </c>
      <c r="G593">
        <v>1111111111</v>
      </c>
      <c r="H593" t="s">
        <v>4162</v>
      </c>
      <c r="I593">
        <v>99999999</v>
      </c>
      <c r="J593" s="188">
        <v>45236</v>
      </c>
      <c r="K593" t="s">
        <v>4162</v>
      </c>
      <c r="L593" t="s">
        <v>4162</v>
      </c>
      <c r="M593" t="s">
        <v>1003</v>
      </c>
      <c r="N593" t="s">
        <v>551</v>
      </c>
      <c r="O593" t="s">
        <v>1004</v>
      </c>
      <c r="P593" t="s">
        <v>221</v>
      </c>
      <c r="Q593" t="s">
        <v>82</v>
      </c>
      <c r="R593">
        <v>1</v>
      </c>
      <c r="S593">
        <v>1.23</v>
      </c>
      <c r="T593">
        <v>0</v>
      </c>
      <c r="U593">
        <v>1</v>
      </c>
      <c r="V593">
        <v>1</v>
      </c>
      <c r="W593">
        <v>21.54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1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</row>
    <row r="594" spans="1:37" x14ac:dyDescent="0.3">
      <c r="A594">
        <v>7979</v>
      </c>
      <c r="B594" t="s">
        <v>219</v>
      </c>
      <c r="D594" t="s">
        <v>327</v>
      </c>
      <c r="E594">
        <v>99999999</v>
      </c>
      <c r="F594">
        <v>11111111</v>
      </c>
      <c r="G594">
        <v>1111111111</v>
      </c>
      <c r="H594" t="s">
        <v>4163</v>
      </c>
      <c r="I594">
        <v>99999999</v>
      </c>
      <c r="J594" s="188">
        <v>45236</v>
      </c>
      <c r="K594" t="s">
        <v>4163</v>
      </c>
      <c r="L594" t="s">
        <v>4163</v>
      </c>
      <c r="M594" t="s">
        <v>1005</v>
      </c>
      <c r="N594" t="s">
        <v>402</v>
      </c>
      <c r="O594" t="s">
        <v>1006</v>
      </c>
      <c r="P594" t="s">
        <v>221</v>
      </c>
      <c r="Q594" t="s">
        <v>82</v>
      </c>
      <c r="R594">
        <v>1</v>
      </c>
      <c r="S594">
        <v>0.4</v>
      </c>
      <c r="T594">
        <v>0</v>
      </c>
      <c r="U594">
        <v>1</v>
      </c>
      <c r="V594">
        <v>1</v>
      </c>
      <c r="W594">
        <v>26.9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1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</row>
    <row r="595" spans="1:37" x14ac:dyDescent="0.3">
      <c r="A595">
        <v>7979</v>
      </c>
      <c r="B595" t="s">
        <v>219</v>
      </c>
      <c r="D595" t="s">
        <v>327</v>
      </c>
      <c r="E595">
        <v>99999999</v>
      </c>
      <c r="F595">
        <v>11111111</v>
      </c>
      <c r="G595">
        <v>1111111111</v>
      </c>
      <c r="H595" t="s">
        <v>4164</v>
      </c>
      <c r="I595">
        <v>99999999</v>
      </c>
      <c r="J595" s="188">
        <v>45236</v>
      </c>
      <c r="K595" t="s">
        <v>4164</v>
      </c>
      <c r="L595" t="s">
        <v>4164</v>
      </c>
      <c r="M595" t="s">
        <v>1007</v>
      </c>
      <c r="N595" t="s">
        <v>381</v>
      </c>
      <c r="O595">
        <v>59601</v>
      </c>
      <c r="P595" t="s">
        <v>221</v>
      </c>
      <c r="Q595" t="s">
        <v>82</v>
      </c>
      <c r="R595">
        <v>1</v>
      </c>
      <c r="S595">
        <v>0.5</v>
      </c>
      <c r="T595">
        <v>0</v>
      </c>
      <c r="U595">
        <v>1</v>
      </c>
      <c r="V595">
        <v>1</v>
      </c>
      <c r="W595">
        <v>19.3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1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</row>
    <row r="596" spans="1:37" x14ac:dyDescent="0.3">
      <c r="A596">
        <v>7979</v>
      </c>
      <c r="B596" t="s">
        <v>219</v>
      </c>
      <c r="D596" t="s">
        <v>327</v>
      </c>
      <c r="E596">
        <v>99999999</v>
      </c>
      <c r="F596">
        <v>11111111</v>
      </c>
      <c r="G596">
        <v>1111111111</v>
      </c>
      <c r="H596" t="s">
        <v>4165</v>
      </c>
      <c r="I596">
        <v>99999999</v>
      </c>
      <c r="J596" s="188">
        <v>45236</v>
      </c>
      <c r="K596" t="s">
        <v>4165</v>
      </c>
      <c r="L596" t="s">
        <v>4165</v>
      </c>
      <c r="M596" t="s">
        <v>1008</v>
      </c>
      <c r="N596" t="s">
        <v>231</v>
      </c>
      <c r="O596" t="s">
        <v>1009</v>
      </c>
      <c r="P596" t="s">
        <v>221</v>
      </c>
      <c r="Q596" t="s">
        <v>82</v>
      </c>
      <c r="R596">
        <v>1</v>
      </c>
      <c r="S596">
        <v>1</v>
      </c>
      <c r="T596">
        <v>0</v>
      </c>
      <c r="U596">
        <v>1</v>
      </c>
      <c r="V596">
        <v>1</v>
      </c>
      <c r="W596">
        <v>23.1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1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</row>
    <row r="597" spans="1:37" x14ac:dyDescent="0.3">
      <c r="A597">
        <v>7979</v>
      </c>
      <c r="B597" t="s">
        <v>219</v>
      </c>
      <c r="D597" t="s">
        <v>327</v>
      </c>
      <c r="E597">
        <v>99999999</v>
      </c>
      <c r="F597">
        <v>11111111</v>
      </c>
      <c r="G597">
        <v>1111111111</v>
      </c>
      <c r="H597" t="s">
        <v>4166</v>
      </c>
      <c r="I597">
        <v>99999999</v>
      </c>
      <c r="J597" s="188">
        <v>45236</v>
      </c>
      <c r="K597" t="s">
        <v>4166</v>
      </c>
      <c r="L597" t="s">
        <v>4166</v>
      </c>
      <c r="M597" t="s">
        <v>282</v>
      </c>
      <c r="N597" t="s">
        <v>197</v>
      </c>
      <c r="O597" t="s">
        <v>1010</v>
      </c>
      <c r="P597" t="s">
        <v>221</v>
      </c>
      <c r="Q597" t="s">
        <v>82</v>
      </c>
      <c r="R597">
        <v>7</v>
      </c>
      <c r="S597">
        <v>7.46</v>
      </c>
      <c r="T597">
        <v>0</v>
      </c>
      <c r="U597">
        <v>1</v>
      </c>
      <c r="V597">
        <v>6</v>
      </c>
      <c r="W597">
        <v>26.25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7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</row>
    <row r="598" spans="1:37" x14ac:dyDescent="0.3">
      <c r="A598">
        <v>7979</v>
      </c>
      <c r="B598" t="s">
        <v>219</v>
      </c>
      <c r="D598" t="s">
        <v>327</v>
      </c>
      <c r="E598">
        <v>99999999</v>
      </c>
      <c r="F598">
        <v>11111111</v>
      </c>
      <c r="G598">
        <v>1111111111</v>
      </c>
      <c r="H598" t="s">
        <v>4167</v>
      </c>
      <c r="I598">
        <v>99999999</v>
      </c>
      <c r="J598" s="188">
        <v>45236</v>
      </c>
      <c r="K598" t="s">
        <v>4167</v>
      </c>
      <c r="L598" t="s">
        <v>4167</v>
      </c>
      <c r="M598" t="s">
        <v>749</v>
      </c>
      <c r="N598" t="s">
        <v>130</v>
      </c>
      <c r="O598" t="s">
        <v>1011</v>
      </c>
      <c r="P598" t="s">
        <v>221</v>
      </c>
      <c r="Q598" t="s">
        <v>82</v>
      </c>
      <c r="R598">
        <v>1</v>
      </c>
      <c r="S598">
        <v>0.88</v>
      </c>
      <c r="T598">
        <v>0</v>
      </c>
      <c r="U598">
        <v>1</v>
      </c>
      <c r="V598">
        <v>1</v>
      </c>
      <c r="W598">
        <v>21.54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1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</row>
    <row r="599" spans="1:37" x14ac:dyDescent="0.3">
      <c r="A599">
        <v>7979</v>
      </c>
      <c r="B599" t="s">
        <v>219</v>
      </c>
      <c r="D599" t="s">
        <v>327</v>
      </c>
      <c r="E599">
        <v>99999999</v>
      </c>
      <c r="F599">
        <v>11111111</v>
      </c>
      <c r="G599">
        <v>1111111111</v>
      </c>
      <c r="H599" t="s">
        <v>4168</v>
      </c>
      <c r="I599">
        <v>99999999</v>
      </c>
      <c r="J599" s="188">
        <v>45236</v>
      </c>
      <c r="K599" t="s">
        <v>4168</v>
      </c>
      <c r="L599" t="s">
        <v>4168</v>
      </c>
      <c r="M599" t="s">
        <v>1012</v>
      </c>
      <c r="N599" t="s">
        <v>164</v>
      </c>
      <c r="O599" t="s">
        <v>1013</v>
      </c>
      <c r="P599" t="s">
        <v>221</v>
      </c>
      <c r="Q599" t="s">
        <v>82</v>
      </c>
      <c r="R599">
        <v>1</v>
      </c>
      <c r="S599">
        <v>1.6</v>
      </c>
      <c r="T599">
        <v>0</v>
      </c>
      <c r="U599">
        <v>1</v>
      </c>
      <c r="V599">
        <v>1</v>
      </c>
      <c r="W599">
        <v>30.13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1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</row>
    <row r="600" spans="1:37" x14ac:dyDescent="0.3">
      <c r="A600">
        <v>7979</v>
      </c>
      <c r="B600" t="s">
        <v>219</v>
      </c>
      <c r="D600" t="s">
        <v>327</v>
      </c>
      <c r="E600">
        <v>99999999</v>
      </c>
      <c r="F600">
        <v>11111111</v>
      </c>
      <c r="G600">
        <v>1111111111</v>
      </c>
      <c r="H600" t="s">
        <v>4169</v>
      </c>
      <c r="I600">
        <v>99999999</v>
      </c>
      <c r="J600" s="188">
        <v>45236</v>
      </c>
      <c r="K600" t="s">
        <v>4169</v>
      </c>
      <c r="L600" t="s">
        <v>4169</v>
      </c>
      <c r="M600" t="s">
        <v>799</v>
      </c>
      <c r="N600" t="s">
        <v>197</v>
      </c>
      <c r="O600" t="s">
        <v>1014</v>
      </c>
      <c r="P600" t="s">
        <v>221</v>
      </c>
      <c r="Q600" t="s">
        <v>82</v>
      </c>
      <c r="R600">
        <v>1</v>
      </c>
      <c r="S600">
        <v>4.4000000000000004</v>
      </c>
      <c r="T600">
        <v>0</v>
      </c>
      <c r="U600">
        <v>1</v>
      </c>
      <c r="V600">
        <v>1</v>
      </c>
      <c r="W600">
        <v>25.11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1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</row>
    <row r="601" spans="1:37" x14ac:dyDescent="0.3">
      <c r="A601">
        <v>7979</v>
      </c>
      <c r="B601" t="s">
        <v>219</v>
      </c>
      <c r="D601" t="s">
        <v>327</v>
      </c>
      <c r="E601">
        <v>99999999</v>
      </c>
      <c r="F601">
        <v>11111111</v>
      </c>
      <c r="G601">
        <v>1111111111</v>
      </c>
      <c r="H601" t="s">
        <v>4170</v>
      </c>
      <c r="I601">
        <v>99999999</v>
      </c>
      <c r="J601" s="188">
        <v>45236</v>
      </c>
      <c r="K601" t="s">
        <v>4170</v>
      </c>
      <c r="L601" t="s">
        <v>4170</v>
      </c>
      <c r="M601" t="s">
        <v>115</v>
      </c>
      <c r="N601" t="s">
        <v>99</v>
      </c>
      <c r="O601" t="s">
        <v>1015</v>
      </c>
      <c r="P601" t="s">
        <v>221</v>
      </c>
      <c r="Q601" t="s">
        <v>82</v>
      </c>
      <c r="R601">
        <v>1</v>
      </c>
      <c r="S601">
        <v>2</v>
      </c>
      <c r="T601">
        <v>0</v>
      </c>
      <c r="U601">
        <v>1</v>
      </c>
      <c r="V601">
        <v>1</v>
      </c>
      <c r="W601">
        <v>19.16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1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</row>
    <row r="602" spans="1:37" x14ac:dyDescent="0.3">
      <c r="A602">
        <v>7979</v>
      </c>
      <c r="B602" t="s">
        <v>219</v>
      </c>
      <c r="D602" t="s">
        <v>327</v>
      </c>
      <c r="E602">
        <v>99999999</v>
      </c>
      <c r="F602">
        <v>11111111</v>
      </c>
      <c r="G602">
        <v>1111111111</v>
      </c>
      <c r="H602" t="s">
        <v>4171</v>
      </c>
      <c r="I602">
        <v>99999999</v>
      </c>
      <c r="J602" s="188">
        <v>45236</v>
      </c>
      <c r="K602" t="s">
        <v>4171</v>
      </c>
      <c r="L602" t="s">
        <v>4171</v>
      </c>
      <c r="M602" t="s">
        <v>1016</v>
      </c>
      <c r="N602" t="s">
        <v>130</v>
      </c>
      <c r="O602" t="s">
        <v>1017</v>
      </c>
      <c r="P602" t="s">
        <v>221</v>
      </c>
      <c r="Q602" t="s">
        <v>82</v>
      </c>
      <c r="R602">
        <v>2</v>
      </c>
      <c r="S602">
        <v>4.25</v>
      </c>
      <c r="T602">
        <v>0</v>
      </c>
      <c r="U602">
        <v>1</v>
      </c>
      <c r="V602">
        <v>2</v>
      </c>
      <c r="W602">
        <v>30.49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2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</row>
    <row r="603" spans="1:37" x14ac:dyDescent="0.3">
      <c r="A603">
        <v>7979</v>
      </c>
      <c r="B603" t="s">
        <v>219</v>
      </c>
      <c r="D603" t="s">
        <v>327</v>
      </c>
      <c r="E603">
        <v>99999999</v>
      </c>
      <c r="F603">
        <v>11111111</v>
      </c>
      <c r="G603">
        <v>1111111111</v>
      </c>
      <c r="H603" t="s">
        <v>4172</v>
      </c>
      <c r="I603">
        <v>99999999</v>
      </c>
      <c r="J603" s="188">
        <v>45236</v>
      </c>
      <c r="K603" t="s">
        <v>4172</v>
      </c>
      <c r="L603" t="s">
        <v>4172</v>
      </c>
      <c r="M603" t="s">
        <v>1018</v>
      </c>
      <c r="N603" t="s">
        <v>226</v>
      </c>
      <c r="O603" t="s">
        <v>1019</v>
      </c>
      <c r="P603" t="s">
        <v>221</v>
      </c>
      <c r="Q603" t="s">
        <v>82</v>
      </c>
      <c r="R603">
        <v>1</v>
      </c>
      <c r="S603">
        <v>0.8</v>
      </c>
      <c r="T603">
        <v>0</v>
      </c>
      <c r="U603">
        <v>1</v>
      </c>
      <c r="V603">
        <v>1</v>
      </c>
      <c r="W603">
        <v>29.22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1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</row>
    <row r="604" spans="1:37" x14ac:dyDescent="0.3">
      <c r="A604">
        <v>7979</v>
      </c>
      <c r="B604" t="s">
        <v>219</v>
      </c>
      <c r="D604" t="s">
        <v>327</v>
      </c>
      <c r="E604">
        <v>99999999</v>
      </c>
      <c r="F604">
        <v>11111111</v>
      </c>
      <c r="G604">
        <v>1111111111</v>
      </c>
      <c r="H604" t="s">
        <v>4173</v>
      </c>
      <c r="I604">
        <v>99999999</v>
      </c>
      <c r="J604" s="188">
        <v>45236</v>
      </c>
      <c r="K604" t="s">
        <v>4173</v>
      </c>
      <c r="L604" t="s">
        <v>4173</v>
      </c>
      <c r="M604" t="s">
        <v>1020</v>
      </c>
      <c r="N604" t="s">
        <v>122</v>
      </c>
      <c r="O604">
        <v>87109</v>
      </c>
      <c r="P604" t="s">
        <v>221</v>
      </c>
      <c r="Q604" t="s">
        <v>82</v>
      </c>
      <c r="R604">
        <v>1</v>
      </c>
      <c r="S604">
        <v>7.5</v>
      </c>
      <c r="T604">
        <v>0</v>
      </c>
      <c r="U604">
        <v>1</v>
      </c>
      <c r="V604">
        <v>1</v>
      </c>
      <c r="W604">
        <v>25.57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1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</row>
    <row r="605" spans="1:37" x14ac:dyDescent="0.3">
      <c r="A605">
        <v>7979</v>
      </c>
      <c r="B605" t="s">
        <v>219</v>
      </c>
      <c r="D605" t="s">
        <v>327</v>
      </c>
      <c r="E605">
        <v>99999999</v>
      </c>
      <c r="F605">
        <v>11111111</v>
      </c>
      <c r="G605">
        <v>1111111111</v>
      </c>
      <c r="H605" t="s">
        <v>4174</v>
      </c>
      <c r="I605">
        <v>99999999</v>
      </c>
      <c r="J605" s="188">
        <v>45236</v>
      </c>
      <c r="K605" t="s">
        <v>4174</v>
      </c>
      <c r="L605" t="s">
        <v>4174</v>
      </c>
      <c r="M605" t="s">
        <v>1021</v>
      </c>
      <c r="N605" t="s">
        <v>1022</v>
      </c>
      <c r="O605" t="s">
        <v>1023</v>
      </c>
      <c r="P605" t="s">
        <v>221</v>
      </c>
      <c r="Q605" t="s">
        <v>82</v>
      </c>
      <c r="R605">
        <v>1</v>
      </c>
      <c r="S605">
        <v>0.75</v>
      </c>
      <c r="T605">
        <v>0</v>
      </c>
      <c r="U605">
        <v>1</v>
      </c>
      <c r="V605">
        <v>1</v>
      </c>
      <c r="W605">
        <v>29.22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1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</row>
    <row r="606" spans="1:37" x14ac:dyDescent="0.3">
      <c r="A606">
        <v>7979</v>
      </c>
      <c r="B606" t="s">
        <v>219</v>
      </c>
      <c r="D606" t="s">
        <v>327</v>
      </c>
      <c r="E606">
        <v>99999999</v>
      </c>
      <c r="F606">
        <v>11111111</v>
      </c>
      <c r="G606">
        <v>1111111111</v>
      </c>
      <c r="H606" t="s">
        <v>4175</v>
      </c>
      <c r="I606">
        <v>99999999</v>
      </c>
      <c r="J606" s="188">
        <v>45236</v>
      </c>
      <c r="K606" t="s">
        <v>4175</v>
      </c>
      <c r="L606" t="s">
        <v>4175</v>
      </c>
      <c r="M606" t="s">
        <v>1024</v>
      </c>
      <c r="N606" t="s">
        <v>381</v>
      </c>
      <c r="O606" t="s">
        <v>1025</v>
      </c>
      <c r="P606" t="s">
        <v>221</v>
      </c>
      <c r="Q606" t="s">
        <v>82</v>
      </c>
      <c r="R606">
        <v>1</v>
      </c>
      <c r="S606">
        <v>5.0999999999999996</v>
      </c>
      <c r="T606">
        <v>0</v>
      </c>
      <c r="U606">
        <v>1</v>
      </c>
      <c r="V606">
        <v>1</v>
      </c>
      <c r="W606">
        <v>32.700000000000003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1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</row>
    <row r="607" spans="1:37" x14ac:dyDescent="0.3">
      <c r="A607">
        <v>7979</v>
      </c>
      <c r="B607" t="s">
        <v>219</v>
      </c>
      <c r="D607" t="s">
        <v>327</v>
      </c>
      <c r="E607">
        <v>99999999</v>
      </c>
      <c r="F607">
        <v>11111111</v>
      </c>
      <c r="G607">
        <v>1111111111</v>
      </c>
      <c r="H607" t="s">
        <v>4176</v>
      </c>
      <c r="I607">
        <v>99999999</v>
      </c>
      <c r="J607" s="188">
        <v>45236</v>
      </c>
      <c r="K607" t="s">
        <v>4176</v>
      </c>
      <c r="L607" t="s">
        <v>4176</v>
      </c>
      <c r="M607" t="s">
        <v>822</v>
      </c>
      <c r="N607" t="s">
        <v>381</v>
      </c>
      <c r="O607" t="s">
        <v>823</v>
      </c>
      <c r="P607" t="s">
        <v>221</v>
      </c>
      <c r="Q607" t="s">
        <v>82</v>
      </c>
      <c r="R607">
        <v>1</v>
      </c>
      <c r="S607">
        <v>7.5</v>
      </c>
      <c r="T607">
        <v>0</v>
      </c>
      <c r="U607">
        <v>1</v>
      </c>
      <c r="V607">
        <v>1</v>
      </c>
      <c r="W607">
        <v>39.22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1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</row>
    <row r="608" spans="1:37" x14ac:dyDescent="0.3">
      <c r="A608">
        <v>7979</v>
      </c>
      <c r="B608" t="s">
        <v>219</v>
      </c>
      <c r="D608" t="s">
        <v>327</v>
      </c>
      <c r="E608">
        <v>99999999</v>
      </c>
      <c r="F608">
        <v>11111111</v>
      </c>
      <c r="G608">
        <v>1111111111</v>
      </c>
      <c r="H608" t="s">
        <v>4177</v>
      </c>
      <c r="I608">
        <v>99999999</v>
      </c>
      <c r="J608" s="188">
        <v>45236</v>
      </c>
      <c r="K608" t="s">
        <v>4177</v>
      </c>
      <c r="L608" t="s">
        <v>4177</v>
      </c>
      <c r="M608" t="s">
        <v>1026</v>
      </c>
      <c r="N608" t="s">
        <v>99</v>
      </c>
      <c r="O608" t="s">
        <v>1027</v>
      </c>
      <c r="P608" t="s">
        <v>221</v>
      </c>
      <c r="Q608" t="s">
        <v>82</v>
      </c>
      <c r="R608">
        <v>1</v>
      </c>
      <c r="S608">
        <v>7.86</v>
      </c>
      <c r="T608">
        <v>0</v>
      </c>
      <c r="U608">
        <v>1</v>
      </c>
      <c r="V608">
        <v>1</v>
      </c>
      <c r="W608">
        <v>22.65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1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</row>
    <row r="609" spans="1:37" x14ac:dyDescent="0.3">
      <c r="A609">
        <v>7979</v>
      </c>
      <c r="B609" t="s">
        <v>219</v>
      </c>
      <c r="D609" t="s">
        <v>327</v>
      </c>
      <c r="E609">
        <v>99999999</v>
      </c>
      <c r="F609">
        <v>11111111</v>
      </c>
      <c r="G609">
        <v>1111111111</v>
      </c>
      <c r="H609" t="s">
        <v>4178</v>
      </c>
      <c r="I609">
        <v>99999999</v>
      </c>
      <c r="J609" s="188">
        <v>45236</v>
      </c>
      <c r="K609" t="s">
        <v>4178</v>
      </c>
      <c r="L609" t="s">
        <v>4178</v>
      </c>
      <c r="M609" t="s">
        <v>1028</v>
      </c>
      <c r="N609" t="s">
        <v>97</v>
      </c>
      <c r="O609" t="s">
        <v>1029</v>
      </c>
      <c r="P609" t="s">
        <v>221</v>
      </c>
      <c r="Q609" t="s">
        <v>82</v>
      </c>
      <c r="R609">
        <v>1</v>
      </c>
      <c r="S609">
        <v>15</v>
      </c>
      <c r="T609">
        <v>0</v>
      </c>
      <c r="U609">
        <v>1</v>
      </c>
      <c r="V609">
        <v>1</v>
      </c>
      <c r="W609">
        <v>25.86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1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</row>
    <row r="610" spans="1:37" x14ac:dyDescent="0.3">
      <c r="A610">
        <v>7979</v>
      </c>
      <c r="B610" t="s">
        <v>219</v>
      </c>
      <c r="D610" t="s">
        <v>327</v>
      </c>
      <c r="E610">
        <v>99999999</v>
      </c>
      <c r="F610">
        <v>11111111</v>
      </c>
      <c r="G610">
        <v>1111111111</v>
      </c>
      <c r="H610" t="s">
        <v>4179</v>
      </c>
      <c r="I610">
        <v>99999999</v>
      </c>
      <c r="J610" s="188">
        <v>45236</v>
      </c>
      <c r="K610" t="s">
        <v>4179</v>
      </c>
      <c r="L610" t="s">
        <v>4179</v>
      </c>
      <c r="M610" t="s">
        <v>1030</v>
      </c>
      <c r="N610" t="s">
        <v>164</v>
      </c>
      <c r="O610" t="s">
        <v>1031</v>
      </c>
      <c r="P610" t="s">
        <v>221</v>
      </c>
      <c r="Q610" t="s">
        <v>82</v>
      </c>
      <c r="R610">
        <v>1</v>
      </c>
      <c r="S610">
        <v>4.5</v>
      </c>
      <c r="T610">
        <v>0</v>
      </c>
      <c r="U610">
        <v>1</v>
      </c>
      <c r="V610">
        <v>1</v>
      </c>
      <c r="W610">
        <v>29.05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1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</row>
    <row r="611" spans="1:37" x14ac:dyDescent="0.3">
      <c r="A611">
        <v>7979</v>
      </c>
      <c r="B611" t="s">
        <v>219</v>
      </c>
      <c r="D611" t="s">
        <v>327</v>
      </c>
      <c r="E611">
        <v>99999999</v>
      </c>
      <c r="F611">
        <v>11111111</v>
      </c>
      <c r="G611">
        <v>1111111111</v>
      </c>
      <c r="H611" t="s">
        <v>4180</v>
      </c>
      <c r="I611">
        <v>99999999</v>
      </c>
      <c r="J611" s="188">
        <v>45236</v>
      </c>
      <c r="K611" t="s">
        <v>4180</v>
      </c>
      <c r="L611" t="s">
        <v>4180</v>
      </c>
      <c r="M611" t="s">
        <v>1032</v>
      </c>
      <c r="N611" t="s">
        <v>97</v>
      </c>
      <c r="O611" t="s">
        <v>1033</v>
      </c>
      <c r="P611" t="s">
        <v>221</v>
      </c>
      <c r="Q611" t="s">
        <v>82</v>
      </c>
      <c r="R611">
        <v>1</v>
      </c>
      <c r="S611">
        <v>7.5</v>
      </c>
      <c r="T611">
        <v>0</v>
      </c>
      <c r="U611">
        <v>1</v>
      </c>
      <c r="V611">
        <v>1</v>
      </c>
      <c r="W611">
        <v>32.409999999999997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1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</row>
    <row r="612" spans="1:37" x14ac:dyDescent="0.3">
      <c r="A612">
        <v>7979</v>
      </c>
      <c r="B612" t="s">
        <v>219</v>
      </c>
      <c r="D612" t="s">
        <v>327</v>
      </c>
      <c r="E612">
        <v>99999999</v>
      </c>
      <c r="F612">
        <v>11111111</v>
      </c>
      <c r="G612">
        <v>1111111111</v>
      </c>
      <c r="H612" t="s">
        <v>4181</v>
      </c>
      <c r="I612">
        <v>99999999</v>
      </c>
      <c r="J612" s="188">
        <v>45236</v>
      </c>
      <c r="K612" t="s">
        <v>4181</v>
      </c>
      <c r="L612" t="s">
        <v>4181</v>
      </c>
      <c r="M612" t="s">
        <v>1034</v>
      </c>
      <c r="N612" t="s">
        <v>122</v>
      </c>
      <c r="O612">
        <v>88345</v>
      </c>
      <c r="P612" t="s">
        <v>221</v>
      </c>
      <c r="Q612" t="s">
        <v>82</v>
      </c>
      <c r="R612">
        <v>1</v>
      </c>
      <c r="S612">
        <v>0.66</v>
      </c>
      <c r="T612">
        <v>0</v>
      </c>
      <c r="U612">
        <v>1</v>
      </c>
      <c r="V612">
        <v>1</v>
      </c>
      <c r="W612">
        <v>29.8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1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</row>
    <row r="613" spans="1:37" x14ac:dyDescent="0.3">
      <c r="A613">
        <v>7979</v>
      </c>
      <c r="B613" t="s">
        <v>219</v>
      </c>
      <c r="D613" t="s">
        <v>327</v>
      </c>
      <c r="E613">
        <v>99999999</v>
      </c>
      <c r="F613">
        <v>11111111</v>
      </c>
      <c r="G613">
        <v>1111111111</v>
      </c>
      <c r="H613" t="s">
        <v>4182</v>
      </c>
      <c r="I613">
        <v>99999999</v>
      </c>
      <c r="J613" s="188">
        <v>45236</v>
      </c>
      <c r="K613" t="s">
        <v>4182</v>
      </c>
      <c r="L613" t="s">
        <v>4182</v>
      </c>
      <c r="M613" t="s">
        <v>1035</v>
      </c>
      <c r="N613" t="s">
        <v>231</v>
      </c>
      <c r="O613" t="s">
        <v>1036</v>
      </c>
      <c r="P613" t="s">
        <v>221</v>
      </c>
      <c r="Q613" t="s">
        <v>82</v>
      </c>
      <c r="R613">
        <v>1</v>
      </c>
      <c r="S613">
        <v>0.6</v>
      </c>
      <c r="T613">
        <v>0</v>
      </c>
      <c r="U613">
        <v>1</v>
      </c>
      <c r="V613">
        <v>1</v>
      </c>
      <c r="W613">
        <v>23.1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1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</row>
    <row r="614" spans="1:37" x14ac:dyDescent="0.3">
      <c r="A614">
        <v>7979</v>
      </c>
      <c r="B614" t="s">
        <v>219</v>
      </c>
      <c r="D614" t="s">
        <v>327</v>
      </c>
      <c r="E614">
        <v>99999999</v>
      </c>
      <c r="F614">
        <v>11111111</v>
      </c>
      <c r="G614">
        <v>1111111111</v>
      </c>
      <c r="H614" t="s">
        <v>4183</v>
      </c>
      <c r="I614">
        <v>99999999</v>
      </c>
      <c r="J614" s="188">
        <v>45236</v>
      </c>
      <c r="K614" t="s">
        <v>4183</v>
      </c>
      <c r="L614" t="s">
        <v>4183</v>
      </c>
      <c r="M614" t="s">
        <v>1037</v>
      </c>
      <c r="N614" t="s">
        <v>197</v>
      </c>
      <c r="O614" t="s">
        <v>1038</v>
      </c>
      <c r="P614" t="s">
        <v>221</v>
      </c>
      <c r="Q614" t="s">
        <v>82</v>
      </c>
      <c r="R614">
        <v>6</v>
      </c>
      <c r="S614">
        <v>7.8</v>
      </c>
      <c r="T614">
        <v>0</v>
      </c>
      <c r="U614">
        <v>1</v>
      </c>
      <c r="V614">
        <v>1</v>
      </c>
      <c r="W614">
        <v>32.799999999999997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6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</row>
    <row r="615" spans="1:37" x14ac:dyDescent="0.3">
      <c r="A615">
        <v>7979</v>
      </c>
      <c r="B615" t="s">
        <v>219</v>
      </c>
      <c r="D615" t="s">
        <v>327</v>
      </c>
      <c r="E615">
        <v>99999999</v>
      </c>
      <c r="F615">
        <v>11111111</v>
      </c>
      <c r="G615">
        <v>1111111111</v>
      </c>
      <c r="H615" t="s">
        <v>4184</v>
      </c>
      <c r="I615">
        <v>99999999</v>
      </c>
      <c r="J615" s="188">
        <v>45236</v>
      </c>
      <c r="K615" t="s">
        <v>4184</v>
      </c>
      <c r="L615" t="s">
        <v>4184</v>
      </c>
      <c r="M615" t="s">
        <v>418</v>
      </c>
      <c r="N615" t="s">
        <v>91</v>
      </c>
      <c r="O615">
        <v>85254</v>
      </c>
      <c r="P615" t="s">
        <v>221</v>
      </c>
      <c r="Q615" t="s">
        <v>82</v>
      </c>
      <c r="R615">
        <v>2</v>
      </c>
      <c r="S615">
        <v>5.39</v>
      </c>
      <c r="T615">
        <v>0</v>
      </c>
      <c r="U615">
        <v>1</v>
      </c>
      <c r="V615">
        <v>2</v>
      </c>
      <c r="W615">
        <v>24.44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2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</row>
    <row r="616" spans="1:37" x14ac:dyDescent="0.3">
      <c r="A616">
        <v>7979</v>
      </c>
      <c r="B616" t="s">
        <v>219</v>
      </c>
      <c r="D616" t="s">
        <v>327</v>
      </c>
      <c r="E616">
        <v>99999999</v>
      </c>
      <c r="F616">
        <v>11111111</v>
      </c>
      <c r="G616">
        <v>1111111111</v>
      </c>
      <c r="H616" t="s">
        <v>4185</v>
      </c>
      <c r="I616">
        <v>99999999</v>
      </c>
      <c r="J616" s="188">
        <v>45236</v>
      </c>
      <c r="K616" t="s">
        <v>4185</v>
      </c>
      <c r="L616" t="s">
        <v>4185</v>
      </c>
      <c r="M616" t="s">
        <v>747</v>
      </c>
      <c r="N616" t="s">
        <v>99</v>
      </c>
      <c r="O616" t="s">
        <v>1039</v>
      </c>
      <c r="P616" t="s">
        <v>221</v>
      </c>
      <c r="Q616" t="s">
        <v>82</v>
      </c>
      <c r="R616">
        <v>12</v>
      </c>
      <c r="S616">
        <v>3.84</v>
      </c>
      <c r="T616">
        <v>0</v>
      </c>
      <c r="U616">
        <v>1</v>
      </c>
      <c r="V616">
        <v>1</v>
      </c>
      <c r="W616">
        <v>27.56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12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</row>
    <row r="617" spans="1:37" x14ac:dyDescent="0.3">
      <c r="A617">
        <v>7979</v>
      </c>
      <c r="B617" t="s">
        <v>219</v>
      </c>
      <c r="D617" t="s">
        <v>327</v>
      </c>
      <c r="E617">
        <v>99999999</v>
      </c>
      <c r="F617">
        <v>11111111</v>
      </c>
      <c r="G617">
        <v>1111111111</v>
      </c>
      <c r="H617" t="s">
        <v>4186</v>
      </c>
      <c r="I617">
        <v>99999999</v>
      </c>
      <c r="J617" s="188">
        <v>45236</v>
      </c>
      <c r="K617" t="s">
        <v>4186</v>
      </c>
      <c r="L617" t="s">
        <v>4186</v>
      </c>
      <c r="M617" t="s">
        <v>677</v>
      </c>
      <c r="N617" t="s">
        <v>85</v>
      </c>
      <c r="O617" t="s">
        <v>1040</v>
      </c>
      <c r="P617" t="s">
        <v>221</v>
      </c>
      <c r="Q617" t="s">
        <v>82</v>
      </c>
      <c r="R617">
        <v>1</v>
      </c>
      <c r="S617">
        <v>2</v>
      </c>
      <c r="T617">
        <v>0</v>
      </c>
      <c r="U617">
        <v>1</v>
      </c>
      <c r="V617">
        <v>1</v>
      </c>
      <c r="W617">
        <v>21.88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1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</row>
    <row r="618" spans="1:37" x14ac:dyDescent="0.3">
      <c r="A618">
        <v>7979</v>
      </c>
      <c r="B618" t="s">
        <v>219</v>
      </c>
      <c r="D618" t="s">
        <v>327</v>
      </c>
      <c r="E618">
        <v>99999999</v>
      </c>
      <c r="F618">
        <v>11111111</v>
      </c>
      <c r="G618">
        <v>1111111111</v>
      </c>
      <c r="H618" t="s">
        <v>4187</v>
      </c>
      <c r="I618">
        <v>99999999</v>
      </c>
      <c r="J618" s="188">
        <v>45236</v>
      </c>
      <c r="K618" t="s">
        <v>4187</v>
      </c>
      <c r="L618" t="s">
        <v>4187</v>
      </c>
      <c r="M618" t="s">
        <v>1041</v>
      </c>
      <c r="N618" t="s">
        <v>164</v>
      </c>
      <c r="O618">
        <v>97471</v>
      </c>
      <c r="P618" t="s">
        <v>221</v>
      </c>
      <c r="Q618" t="s">
        <v>82</v>
      </c>
      <c r="R618">
        <v>6</v>
      </c>
      <c r="S618">
        <v>0.98</v>
      </c>
      <c r="T618">
        <v>0</v>
      </c>
      <c r="U618">
        <v>1</v>
      </c>
      <c r="V618">
        <v>2</v>
      </c>
      <c r="W618">
        <v>27.33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6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</row>
    <row r="619" spans="1:37" x14ac:dyDescent="0.3">
      <c r="A619">
        <v>7979</v>
      </c>
      <c r="B619" t="s">
        <v>219</v>
      </c>
      <c r="D619" t="s">
        <v>327</v>
      </c>
      <c r="E619">
        <v>99999999</v>
      </c>
      <c r="F619">
        <v>11111111</v>
      </c>
      <c r="G619">
        <v>1111111111</v>
      </c>
      <c r="H619" t="s">
        <v>4188</v>
      </c>
      <c r="I619">
        <v>99999999</v>
      </c>
      <c r="J619" s="188">
        <v>45236</v>
      </c>
      <c r="K619" t="s">
        <v>4188</v>
      </c>
      <c r="L619" t="s">
        <v>4188</v>
      </c>
      <c r="M619" t="s">
        <v>1042</v>
      </c>
      <c r="N619" t="s">
        <v>197</v>
      </c>
      <c r="O619" t="s">
        <v>1043</v>
      </c>
      <c r="P619" t="s">
        <v>221</v>
      </c>
      <c r="Q619" t="s">
        <v>82</v>
      </c>
      <c r="R619">
        <v>6</v>
      </c>
      <c r="S619">
        <v>4.8</v>
      </c>
      <c r="T619">
        <v>0</v>
      </c>
      <c r="U619">
        <v>1</v>
      </c>
      <c r="V619">
        <v>1</v>
      </c>
      <c r="W619">
        <v>26.15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6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</row>
    <row r="620" spans="1:37" x14ac:dyDescent="0.3">
      <c r="A620">
        <v>7979</v>
      </c>
      <c r="B620" t="s">
        <v>219</v>
      </c>
      <c r="D620" t="s">
        <v>327</v>
      </c>
      <c r="E620">
        <v>99999999</v>
      </c>
      <c r="F620">
        <v>11111111</v>
      </c>
      <c r="G620">
        <v>1111111111</v>
      </c>
      <c r="H620" t="s">
        <v>4189</v>
      </c>
      <c r="I620">
        <v>99999999</v>
      </c>
      <c r="J620" s="188">
        <v>45236</v>
      </c>
      <c r="K620" t="s">
        <v>4189</v>
      </c>
      <c r="L620" t="s">
        <v>4189</v>
      </c>
      <c r="M620" t="s">
        <v>1044</v>
      </c>
      <c r="N620" t="s">
        <v>197</v>
      </c>
      <c r="O620" t="s">
        <v>1045</v>
      </c>
      <c r="P620" t="s">
        <v>221</v>
      </c>
      <c r="Q620" t="s">
        <v>82</v>
      </c>
      <c r="R620">
        <v>1</v>
      </c>
      <c r="S620">
        <v>0.7</v>
      </c>
      <c r="T620">
        <v>0</v>
      </c>
      <c r="U620">
        <v>1</v>
      </c>
      <c r="V620">
        <v>1</v>
      </c>
      <c r="W620">
        <v>37.28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1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</row>
    <row r="621" spans="1:37" x14ac:dyDescent="0.3">
      <c r="A621">
        <v>7979</v>
      </c>
      <c r="B621" t="s">
        <v>219</v>
      </c>
      <c r="D621" t="s">
        <v>327</v>
      </c>
      <c r="E621">
        <v>99999999</v>
      </c>
      <c r="F621">
        <v>11111111</v>
      </c>
      <c r="G621">
        <v>1111111111</v>
      </c>
      <c r="H621" t="s">
        <v>4190</v>
      </c>
      <c r="I621">
        <v>99999999</v>
      </c>
      <c r="J621" s="188">
        <v>45236</v>
      </c>
      <c r="K621" t="s">
        <v>4190</v>
      </c>
      <c r="L621" t="s">
        <v>4190</v>
      </c>
      <c r="M621" t="s">
        <v>418</v>
      </c>
      <c r="N621" t="s">
        <v>91</v>
      </c>
      <c r="O621" t="s">
        <v>1046</v>
      </c>
      <c r="P621" t="s">
        <v>221</v>
      </c>
      <c r="Q621" t="s">
        <v>82</v>
      </c>
      <c r="R621">
        <v>2</v>
      </c>
      <c r="S621">
        <v>5.298</v>
      </c>
      <c r="T621">
        <v>0</v>
      </c>
      <c r="U621">
        <v>1</v>
      </c>
      <c r="V621">
        <v>2</v>
      </c>
      <c r="W621">
        <v>24.44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2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</row>
    <row r="622" spans="1:37" x14ac:dyDescent="0.3">
      <c r="A622">
        <v>7979</v>
      </c>
      <c r="B622" t="s">
        <v>219</v>
      </c>
      <c r="D622" t="s">
        <v>327</v>
      </c>
      <c r="E622">
        <v>99999999</v>
      </c>
      <c r="F622">
        <v>11111111</v>
      </c>
      <c r="G622">
        <v>1111111111</v>
      </c>
      <c r="H622" t="s">
        <v>4191</v>
      </c>
      <c r="I622">
        <v>99999999</v>
      </c>
      <c r="J622" s="188">
        <v>45236</v>
      </c>
      <c r="K622" t="s">
        <v>4191</v>
      </c>
      <c r="L622" t="s">
        <v>4191</v>
      </c>
      <c r="M622" t="s">
        <v>799</v>
      </c>
      <c r="N622" t="s">
        <v>97</v>
      </c>
      <c r="O622">
        <v>98223</v>
      </c>
      <c r="P622" t="s">
        <v>221</v>
      </c>
      <c r="Q622" t="s">
        <v>82</v>
      </c>
      <c r="R622">
        <v>9</v>
      </c>
      <c r="S622">
        <v>2.82</v>
      </c>
      <c r="T622">
        <v>0</v>
      </c>
      <c r="U622">
        <v>1</v>
      </c>
      <c r="V622">
        <v>2</v>
      </c>
      <c r="W622">
        <v>28.64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9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</row>
    <row r="623" spans="1:37" x14ac:dyDescent="0.3">
      <c r="A623">
        <v>7979</v>
      </c>
      <c r="B623" t="s">
        <v>219</v>
      </c>
      <c r="D623" t="s">
        <v>327</v>
      </c>
      <c r="E623">
        <v>99999999</v>
      </c>
      <c r="F623">
        <v>11111111</v>
      </c>
      <c r="G623">
        <v>1111111111</v>
      </c>
      <c r="H623" t="s">
        <v>4192</v>
      </c>
      <c r="I623">
        <v>99999999</v>
      </c>
      <c r="J623" s="188">
        <v>45236</v>
      </c>
      <c r="K623" t="s">
        <v>4192</v>
      </c>
      <c r="L623" t="s">
        <v>4192</v>
      </c>
      <c r="M623" t="s">
        <v>1047</v>
      </c>
      <c r="N623" t="s">
        <v>97</v>
      </c>
      <c r="O623" t="s">
        <v>1048</v>
      </c>
      <c r="P623" t="s">
        <v>221</v>
      </c>
      <c r="Q623" t="s">
        <v>82</v>
      </c>
      <c r="R623">
        <v>1</v>
      </c>
      <c r="S623">
        <v>4</v>
      </c>
      <c r="T623">
        <v>0</v>
      </c>
      <c r="U623">
        <v>1</v>
      </c>
      <c r="V623">
        <v>1</v>
      </c>
      <c r="W623">
        <v>29.05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1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</row>
    <row r="624" spans="1:37" x14ac:dyDescent="0.3">
      <c r="A624">
        <v>7979</v>
      </c>
      <c r="B624" t="s">
        <v>219</v>
      </c>
      <c r="D624" t="s">
        <v>327</v>
      </c>
      <c r="E624">
        <v>99999999</v>
      </c>
      <c r="F624">
        <v>11111111</v>
      </c>
      <c r="G624">
        <v>1111111111</v>
      </c>
      <c r="H624" t="s">
        <v>4193</v>
      </c>
      <c r="I624">
        <v>99999999</v>
      </c>
      <c r="J624" s="188">
        <v>45236</v>
      </c>
      <c r="K624" t="s">
        <v>4193</v>
      </c>
      <c r="L624" t="s">
        <v>4193</v>
      </c>
      <c r="M624" t="s">
        <v>1049</v>
      </c>
      <c r="N624" t="s">
        <v>99</v>
      </c>
      <c r="O624" t="s">
        <v>1050</v>
      </c>
      <c r="P624" t="s">
        <v>221</v>
      </c>
      <c r="Q624" t="s">
        <v>82</v>
      </c>
      <c r="R624">
        <v>1</v>
      </c>
      <c r="S624">
        <v>3</v>
      </c>
      <c r="T624">
        <v>0</v>
      </c>
      <c r="U624">
        <v>1</v>
      </c>
      <c r="V624">
        <v>1</v>
      </c>
      <c r="W624">
        <v>20.77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1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</row>
    <row r="625" spans="1:37" x14ac:dyDescent="0.3">
      <c r="A625">
        <v>7979</v>
      </c>
      <c r="B625" t="s">
        <v>219</v>
      </c>
      <c r="D625" t="s">
        <v>327</v>
      </c>
      <c r="E625">
        <v>99999999</v>
      </c>
      <c r="F625">
        <v>11111111</v>
      </c>
      <c r="G625">
        <v>1111111111</v>
      </c>
      <c r="H625" t="s">
        <v>4194</v>
      </c>
      <c r="I625">
        <v>99999999</v>
      </c>
      <c r="J625" s="188">
        <v>45236</v>
      </c>
      <c r="K625" t="s">
        <v>4194</v>
      </c>
      <c r="L625" t="s">
        <v>4194</v>
      </c>
      <c r="M625" t="s">
        <v>1051</v>
      </c>
      <c r="N625" t="s">
        <v>135</v>
      </c>
      <c r="O625" t="s">
        <v>1052</v>
      </c>
      <c r="P625" t="s">
        <v>221</v>
      </c>
      <c r="Q625" t="s">
        <v>82</v>
      </c>
      <c r="R625">
        <v>5</v>
      </c>
      <c r="S625">
        <v>4</v>
      </c>
      <c r="T625">
        <v>0</v>
      </c>
      <c r="U625">
        <v>1</v>
      </c>
      <c r="V625">
        <v>1</v>
      </c>
      <c r="W625">
        <v>22.93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5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</row>
    <row r="626" spans="1:37" x14ac:dyDescent="0.3">
      <c r="A626">
        <v>7979</v>
      </c>
      <c r="B626" t="s">
        <v>219</v>
      </c>
      <c r="D626" t="s">
        <v>327</v>
      </c>
      <c r="E626">
        <v>99999999</v>
      </c>
      <c r="F626">
        <v>11111111</v>
      </c>
      <c r="G626">
        <v>1111111111</v>
      </c>
      <c r="H626" t="s">
        <v>4195</v>
      </c>
      <c r="I626">
        <v>99999999</v>
      </c>
      <c r="J626" s="188">
        <v>45236</v>
      </c>
      <c r="K626" t="s">
        <v>4195</v>
      </c>
      <c r="L626" t="s">
        <v>4195</v>
      </c>
      <c r="M626" t="s">
        <v>246</v>
      </c>
      <c r="N626" t="s">
        <v>99</v>
      </c>
      <c r="O626" t="s">
        <v>1053</v>
      </c>
      <c r="P626" t="s">
        <v>221</v>
      </c>
      <c r="Q626" t="s">
        <v>82</v>
      </c>
      <c r="R626">
        <v>1</v>
      </c>
      <c r="S626">
        <v>4</v>
      </c>
      <c r="T626">
        <v>0</v>
      </c>
      <c r="U626">
        <v>1</v>
      </c>
      <c r="V626">
        <v>1</v>
      </c>
      <c r="W626">
        <v>27.56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1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</row>
    <row r="627" spans="1:37" x14ac:dyDescent="0.3">
      <c r="A627">
        <v>7979</v>
      </c>
      <c r="B627" t="s">
        <v>219</v>
      </c>
      <c r="D627" t="s">
        <v>327</v>
      </c>
      <c r="E627">
        <v>99999999</v>
      </c>
      <c r="F627">
        <v>11111111</v>
      </c>
      <c r="G627">
        <v>1111111111</v>
      </c>
      <c r="H627" t="s">
        <v>4196</v>
      </c>
      <c r="I627">
        <v>99999999</v>
      </c>
      <c r="J627" s="188">
        <v>45236</v>
      </c>
      <c r="K627" t="s">
        <v>4196</v>
      </c>
      <c r="L627" t="s">
        <v>4196</v>
      </c>
      <c r="M627" t="s">
        <v>1054</v>
      </c>
      <c r="N627" t="s">
        <v>99</v>
      </c>
      <c r="O627" t="s">
        <v>1055</v>
      </c>
      <c r="P627" t="s">
        <v>221</v>
      </c>
      <c r="Q627" t="s">
        <v>82</v>
      </c>
      <c r="R627">
        <v>1</v>
      </c>
      <c r="S627">
        <v>7.5</v>
      </c>
      <c r="T627">
        <v>0</v>
      </c>
      <c r="U627">
        <v>1</v>
      </c>
      <c r="V627">
        <v>1</v>
      </c>
      <c r="W627">
        <v>30.27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1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</row>
    <row r="628" spans="1:37" x14ac:dyDescent="0.3">
      <c r="A628">
        <v>7979</v>
      </c>
      <c r="B628" t="s">
        <v>219</v>
      </c>
      <c r="D628" t="s">
        <v>327</v>
      </c>
      <c r="E628">
        <v>99999999</v>
      </c>
      <c r="F628">
        <v>11111111</v>
      </c>
      <c r="G628">
        <v>1111111111</v>
      </c>
      <c r="H628" t="s">
        <v>4197</v>
      </c>
      <c r="I628">
        <v>99999999</v>
      </c>
      <c r="J628" s="188">
        <v>45236</v>
      </c>
      <c r="K628" t="s">
        <v>4197</v>
      </c>
      <c r="L628" t="s">
        <v>4197</v>
      </c>
      <c r="M628" t="s">
        <v>1056</v>
      </c>
      <c r="N628" t="s">
        <v>197</v>
      </c>
      <c r="O628">
        <v>78653</v>
      </c>
      <c r="P628" t="s">
        <v>221</v>
      </c>
      <c r="Q628" t="s">
        <v>82</v>
      </c>
      <c r="R628">
        <v>1</v>
      </c>
      <c r="S628">
        <v>2</v>
      </c>
      <c r="T628">
        <v>0</v>
      </c>
      <c r="U628">
        <v>1</v>
      </c>
      <c r="V628">
        <v>1</v>
      </c>
      <c r="W628">
        <v>29.48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1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</row>
    <row r="629" spans="1:37" x14ac:dyDescent="0.3">
      <c r="A629">
        <v>7979</v>
      </c>
      <c r="B629" t="s">
        <v>219</v>
      </c>
      <c r="D629" t="s">
        <v>327</v>
      </c>
      <c r="E629">
        <v>99999999</v>
      </c>
      <c r="F629">
        <v>11111111</v>
      </c>
      <c r="G629">
        <v>1111111111</v>
      </c>
      <c r="H629" t="s">
        <v>4198</v>
      </c>
      <c r="I629">
        <v>99999999</v>
      </c>
      <c r="J629" s="188">
        <v>45236</v>
      </c>
      <c r="K629" t="s">
        <v>4198</v>
      </c>
      <c r="L629" t="s">
        <v>4198</v>
      </c>
      <c r="M629" t="s">
        <v>1026</v>
      </c>
      <c r="N629" t="s">
        <v>99</v>
      </c>
      <c r="O629" t="s">
        <v>1057</v>
      </c>
      <c r="P629" t="s">
        <v>221</v>
      </c>
      <c r="Q629" t="s">
        <v>82</v>
      </c>
      <c r="R629">
        <v>1</v>
      </c>
      <c r="S629">
        <v>4</v>
      </c>
      <c r="T629">
        <v>0</v>
      </c>
      <c r="U629">
        <v>1</v>
      </c>
      <c r="V629">
        <v>1</v>
      </c>
      <c r="W629">
        <v>21.44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1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</row>
    <row r="630" spans="1:37" x14ac:dyDescent="0.3">
      <c r="A630">
        <v>7979</v>
      </c>
      <c r="B630" t="s">
        <v>219</v>
      </c>
      <c r="D630" t="s">
        <v>327</v>
      </c>
      <c r="E630">
        <v>99999999</v>
      </c>
      <c r="F630">
        <v>11111111</v>
      </c>
      <c r="G630">
        <v>1111111111</v>
      </c>
      <c r="H630" t="s">
        <v>4199</v>
      </c>
      <c r="I630">
        <v>99999999</v>
      </c>
      <c r="J630" s="188">
        <v>45236</v>
      </c>
      <c r="K630" t="s">
        <v>4199</v>
      </c>
      <c r="L630" t="s">
        <v>4199</v>
      </c>
      <c r="M630" t="s">
        <v>1058</v>
      </c>
      <c r="N630" t="s">
        <v>164</v>
      </c>
      <c r="O630" t="s">
        <v>1059</v>
      </c>
      <c r="P630" t="s">
        <v>221</v>
      </c>
      <c r="Q630" t="s">
        <v>82</v>
      </c>
      <c r="R630">
        <v>1</v>
      </c>
      <c r="S630">
        <v>2</v>
      </c>
      <c r="T630">
        <v>0</v>
      </c>
      <c r="U630">
        <v>1</v>
      </c>
      <c r="V630">
        <v>1</v>
      </c>
      <c r="W630">
        <v>21.88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1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</row>
    <row r="631" spans="1:37" x14ac:dyDescent="0.3">
      <c r="A631">
        <v>7979</v>
      </c>
      <c r="B631" t="s">
        <v>219</v>
      </c>
      <c r="D631" t="s">
        <v>327</v>
      </c>
      <c r="E631">
        <v>99999999</v>
      </c>
      <c r="F631">
        <v>11111111</v>
      </c>
      <c r="G631">
        <v>1111111111</v>
      </c>
      <c r="H631" t="s">
        <v>4200</v>
      </c>
      <c r="I631">
        <v>99999999</v>
      </c>
      <c r="J631" s="188">
        <v>45236</v>
      </c>
      <c r="K631" t="s">
        <v>4200</v>
      </c>
      <c r="L631" t="s">
        <v>4200</v>
      </c>
      <c r="M631" t="s">
        <v>1060</v>
      </c>
      <c r="N631" t="s">
        <v>231</v>
      </c>
      <c r="O631" t="s">
        <v>1061</v>
      </c>
      <c r="P631" t="s">
        <v>221</v>
      </c>
      <c r="Q631" t="s">
        <v>82</v>
      </c>
      <c r="R631">
        <v>1</v>
      </c>
      <c r="S631">
        <v>1.6659999999999999</v>
      </c>
      <c r="T631">
        <v>0</v>
      </c>
      <c r="U631">
        <v>1</v>
      </c>
      <c r="V631">
        <v>1</v>
      </c>
      <c r="W631">
        <v>30.93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1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</row>
    <row r="632" spans="1:37" x14ac:dyDescent="0.3">
      <c r="A632">
        <v>7979</v>
      </c>
      <c r="B632" t="s">
        <v>219</v>
      </c>
      <c r="D632" t="s">
        <v>327</v>
      </c>
      <c r="E632">
        <v>99999999</v>
      </c>
      <c r="F632">
        <v>11111111</v>
      </c>
      <c r="G632">
        <v>1111111111</v>
      </c>
      <c r="H632" t="s">
        <v>4201</v>
      </c>
      <c r="I632">
        <v>99999999</v>
      </c>
      <c r="J632" s="188">
        <v>45236</v>
      </c>
      <c r="K632" t="s">
        <v>4201</v>
      </c>
      <c r="L632" t="s">
        <v>4201</v>
      </c>
      <c r="M632" t="s">
        <v>1062</v>
      </c>
      <c r="N632" t="s">
        <v>97</v>
      </c>
      <c r="O632">
        <v>98053</v>
      </c>
      <c r="P632" t="s">
        <v>221</v>
      </c>
      <c r="Q632" t="s">
        <v>82</v>
      </c>
      <c r="R632">
        <v>1</v>
      </c>
      <c r="S632">
        <v>2</v>
      </c>
      <c r="T632">
        <v>0</v>
      </c>
      <c r="U632">
        <v>1</v>
      </c>
      <c r="V632">
        <v>1</v>
      </c>
      <c r="W632">
        <v>21.88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1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</row>
    <row r="633" spans="1:37" x14ac:dyDescent="0.3">
      <c r="A633">
        <v>7979</v>
      </c>
      <c r="B633" t="s">
        <v>219</v>
      </c>
      <c r="D633" t="s">
        <v>327</v>
      </c>
      <c r="E633">
        <v>99999999</v>
      </c>
      <c r="F633">
        <v>11111111</v>
      </c>
      <c r="G633">
        <v>1111111111</v>
      </c>
      <c r="H633" t="s">
        <v>4202</v>
      </c>
      <c r="I633">
        <v>99999999</v>
      </c>
      <c r="J633" s="188">
        <v>45236</v>
      </c>
      <c r="K633" t="s">
        <v>4202</v>
      </c>
      <c r="L633" t="s">
        <v>4202</v>
      </c>
      <c r="M633" t="s">
        <v>1063</v>
      </c>
      <c r="N633" t="s">
        <v>99</v>
      </c>
      <c r="O633" t="s">
        <v>1064</v>
      </c>
      <c r="P633" t="s">
        <v>221</v>
      </c>
      <c r="Q633" t="s">
        <v>82</v>
      </c>
      <c r="R633">
        <v>1</v>
      </c>
      <c r="S633">
        <v>0.7</v>
      </c>
      <c r="T633">
        <v>0</v>
      </c>
      <c r="U633">
        <v>1</v>
      </c>
      <c r="V633">
        <v>1</v>
      </c>
      <c r="W633">
        <v>27.33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1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</row>
    <row r="634" spans="1:37" x14ac:dyDescent="0.3">
      <c r="A634">
        <v>7979</v>
      </c>
      <c r="B634" t="s">
        <v>219</v>
      </c>
      <c r="D634" t="s">
        <v>327</v>
      </c>
      <c r="E634">
        <v>99999999</v>
      </c>
      <c r="F634">
        <v>11111111</v>
      </c>
      <c r="G634">
        <v>1111111111</v>
      </c>
      <c r="H634" t="s">
        <v>4203</v>
      </c>
      <c r="I634">
        <v>99999999</v>
      </c>
      <c r="J634" s="188">
        <v>45236</v>
      </c>
      <c r="K634" t="s">
        <v>4203</v>
      </c>
      <c r="L634" t="s">
        <v>4203</v>
      </c>
      <c r="M634" t="s">
        <v>1065</v>
      </c>
      <c r="N634" t="s">
        <v>97</v>
      </c>
      <c r="O634" t="s">
        <v>1066</v>
      </c>
      <c r="P634" t="s">
        <v>221</v>
      </c>
      <c r="Q634" t="s">
        <v>82</v>
      </c>
      <c r="R634">
        <v>1</v>
      </c>
      <c r="S634">
        <v>3.2</v>
      </c>
      <c r="T634">
        <v>0</v>
      </c>
      <c r="U634">
        <v>1</v>
      </c>
      <c r="V634">
        <v>1</v>
      </c>
      <c r="W634">
        <v>22.52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1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</row>
    <row r="635" spans="1:37" x14ac:dyDescent="0.3">
      <c r="A635">
        <v>7979</v>
      </c>
      <c r="B635" t="s">
        <v>219</v>
      </c>
      <c r="D635" t="s">
        <v>327</v>
      </c>
      <c r="E635">
        <v>99999999</v>
      </c>
      <c r="F635">
        <v>11111111</v>
      </c>
      <c r="G635">
        <v>1111111111</v>
      </c>
      <c r="H635" t="s">
        <v>4204</v>
      </c>
      <c r="I635">
        <v>99999999</v>
      </c>
      <c r="J635" s="188">
        <v>45236</v>
      </c>
      <c r="K635" t="s">
        <v>4204</v>
      </c>
      <c r="L635" t="s">
        <v>4204</v>
      </c>
      <c r="M635" t="s">
        <v>1067</v>
      </c>
      <c r="N635" t="s">
        <v>97</v>
      </c>
      <c r="O635" t="s">
        <v>1068</v>
      </c>
      <c r="P635" t="s">
        <v>221</v>
      </c>
      <c r="Q635" t="s">
        <v>82</v>
      </c>
      <c r="R635">
        <v>1</v>
      </c>
      <c r="S635">
        <v>10.46</v>
      </c>
      <c r="T635">
        <v>0</v>
      </c>
      <c r="U635">
        <v>1</v>
      </c>
      <c r="V635">
        <v>1</v>
      </c>
      <c r="W635">
        <v>30.77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1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</row>
    <row r="636" spans="1:37" x14ac:dyDescent="0.3">
      <c r="A636">
        <v>7979</v>
      </c>
      <c r="B636" t="s">
        <v>219</v>
      </c>
      <c r="D636" t="s">
        <v>327</v>
      </c>
      <c r="E636">
        <v>99999999</v>
      </c>
      <c r="F636">
        <v>11111111</v>
      </c>
      <c r="G636">
        <v>1111111111</v>
      </c>
      <c r="H636" t="s">
        <v>4205</v>
      </c>
      <c r="I636">
        <v>99999999</v>
      </c>
      <c r="J636" s="188">
        <v>45236</v>
      </c>
      <c r="K636" t="s">
        <v>4205</v>
      </c>
      <c r="L636" t="s">
        <v>4205</v>
      </c>
      <c r="M636" t="s">
        <v>1069</v>
      </c>
      <c r="N636" t="s">
        <v>99</v>
      </c>
      <c r="O636" t="s">
        <v>1070</v>
      </c>
      <c r="P636" t="s">
        <v>221</v>
      </c>
      <c r="Q636" t="s">
        <v>82</v>
      </c>
      <c r="R636">
        <v>1</v>
      </c>
      <c r="S636">
        <v>2</v>
      </c>
      <c r="T636">
        <v>0</v>
      </c>
      <c r="U636">
        <v>1</v>
      </c>
      <c r="V636">
        <v>1</v>
      </c>
      <c r="W636">
        <v>25.28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1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</row>
    <row r="637" spans="1:37" x14ac:dyDescent="0.3">
      <c r="A637">
        <v>7979</v>
      </c>
      <c r="B637" t="s">
        <v>219</v>
      </c>
      <c r="D637" t="s">
        <v>327</v>
      </c>
      <c r="E637">
        <v>99999999</v>
      </c>
      <c r="F637">
        <v>11111111</v>
      </c>
      <c r="G637">
        <v>1111111111</v>
      </c>
      <c r="H637" t="s">
        <v>4206</v>
      </c>
      <c r="I637">
        <v>99999999</v>
      </c>
      <c r="J637" s="188">
        <v>45236</v>
      </c>
      <c r="K637" t="s">
        <v>4206</v>
      </c>
      <c r="L637" t="s">
        <v>4206</v>
      </c>
      <c r="M637" t="s">
        <v>1071</v>
      </c>
      <c r="N637" t="s">
        <v>104</v>
      </c>
      <c r="O637">
        <v>83814</v>
      </c>
      <c r="P637" t="s">
        <v>221</v>
      </c>
      <c r="Q637" t="s">
        <v>82</v>
      </c>
      <c r="R637">
        <v>1</v>
      </c>
      <c r="S637">
        <v>10.46</v>
      </c>
      <c r="T637">
        <v>0</v>
      </c>
      <c r="U637">
        <v>1</v>
      </c>
      <c r="V637">
        <v>1</v>
      </c>
      <c r="W637">
        <v>26.28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1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</row>
    <row r="638" spans="1:37" x14ac:dyDescent="0.3">
      <c r="A638">
        <v>7979</v>
      </c>
      <c r="B638" t="s">
        <v>219</v>
      </c>
      <c r="D638" t="s">
        <v>327</v>
      </c>
      <c r="E638">
        <v>99999999</v>
      </c>
      <c r="F638">
        <v>11111111</v>
      </c>
      <c r="G638">
        <v>1111111111</v>
      </c>
      <c r="H638" t="s">
        <v>4207</v>
      </c>
      <c r="I638">
        <v>99999999</v>
      </c>
      <c r="J638" s="188">
        <v>45236</v>
      </c>
      <c r="K638" t="s">
        <v>4207</v>
      </c>
      <c r="L638" t="s">
        <v>4207</v>
      </c>
      <c r="M638" t="s">
        <v>448</v>
      </c>
      <c r="N638" t="s">
        <v>197</v>
      </c>
      <c r="O638">
        <v>77098</v>
      </c>
      <c r="P638" t="s">
        <v>221</v>
      </c>
      <c r="Q638" t="s">
        <v>82</v>
      </c>
      <c r="R638">
        <v>1</v>
      </c>
      <c r="S638">
        <v>4.4000000000000004</v>
      </c>
      <c r="T638">
        <v>0</v>
      </c>
      <c r="U638">
        <v>1</v>
      </c>
      <c r="V638">
        <v>1</v>
      </c>
      <c r="W638">
        <v>26.14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1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</row>
    <row r="639" spans="1:37" x14ac:dyDescent="0.3">
      <c r="A639">
        <v>7979</v>
      </c>
      <c r="B639" t="s">
        <v>219</v>
      </c>
      <c r="D639" t="s">
        <v>327</v>
      </c>
      <c r="E639">
        <v>99999999</v>
      </c>
      <c r="F639">
        <v>11111111</v>
      </c>
      <c r="G639">
        <v>1111111111</v>
      </c>
      <c r="H639" t="s">
        <v>4208</v>
      </c>
      <c r="I639">
        <v>99999999</v>
      </c>
      <c r="J639" s="188">
        <v>45236</v>
      </c>
      <c r="K639" t="s">
        <v>4208</v>
      </c>
      <c r="L639" t="s">
        <v>4208</v>
      </c>
      <c r="M639" t="s">
        <v>1072</v>
      </c>
      <c r="N639" t="s">
        <v>99</v>
      </c>
      <c r="O639" t="s">
        <v>1073</v>
      </c>
      <c r="P639" t="s">
        <v>221</v>
      </c>
      <c r="Q639" t="s">
        <v>82</v>
      </c>
      <c r="R639">
        <v>1</v>
      </c>
      <c r="S639">
        <v>2.4500000000000002</v>
      </c>
      <c r="T639">
        <v>0</v>
      </c>
      <c r="U639">
        <v>1</v>
      </c>
      <c r="V639">
        <v>1</v>
      </c>
      <c r="W639">
        <v>28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1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</row>
    <row r="640" spans="1:37" x14ac:dyDescent="0.3">
      <c r="A640">
        <v>7979</v>
      </c>
      <c r="B640" t="s">
        <v>219</v>
      </c>
      <c r="D640" t="s">
        <v>327</v>
      </c>
      <c r="E640">
        <v>99999999</v>
      </c>
      <c r="F640">
        <v>11111111</v>
      </c>
      <c r="G640">
        <v>1111111111</v>
      </c>
      <c r="H640" t="s">
        <v>4209</v>
      </c>
      <c r="I640">
        <v>99999999</v>
      </c>
      <c r="J640" s="188">
        <v>45236</v>
      </c>
      <c r="K640" t="s">
        <v>4209</v>
      </c>
      <c r="L640" t="s">
        <v>4209</v>
      </c>
      <c r="M640" t="s">
        <v>1074</v>
      </c>
      <c r="N640" t="s">
        <v>99</v>
      </c>
      <c r="O640" t="s">
        <v>1075</v>
      </c>
      <c r="P640" t="s">
        <v>221</v>
      </c>
      <c r="Q640" t="s">
        <v>82</v>
      </c>
      <c r="R640">
        <v>1</v>
      </c>
      <c r="S640">
        <v>2</v>
      </c>
      <c r="T640">
        <v>0</v>
      </c>
      <c r="U640">
        <v>1</v>
      </c>
      <c r="V640">
        <v>1</v>
      </c>
      <c r="W640">
        <v>20.67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1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</row>
    <row r="641" spans="1:37" x14ac:dyDescent="0.3">
      <c r="A641">
        <v>7979</v>
      </c>
      <c r="B641" t="s">
        <v>219</v>
      </c>
      <c r="D641" t="s">
        <v>327</v>
      </c>
      <c r="E641">
        <v>99999999</v>
      </c>
      <c r="F641">
        <v>11111111</v>
      </c>
      <c r="G641">
        <v>1111111111</v>
      </c>
      <c r="H641" t="s">
        <v>4210</v>
      </c>
      <c r="I641">
        <v>99999999</v>
      </c>
      <c r="J641" s="188">
        <v>45236</v>
      </c>
      <c r="K641" t="s">
        <v>4210</v>
      </c>
      <c r="L641" t="s">
        <v>4210</v>
      </c>
      <c r="M641" t="s">
        <v>749</v>
      </c>
      <c r="N641" t="s">
        <v>130</v>
      </c>
      <c r="O641" t="s">
        <v>1076</v>
      </c>
      <c r="P641" t="s">
        <v>221</v>
      </c>
      <c r="Q641" t="s">
        <v>82</v>
      </c>
      <c r="R641">
        <v>1</v>
      </c>
      <c r="S641">
        <v>2</v>
      </c>
      <c r="T641">
        <v>0</v>
      </c>
      <c r="U641">
        <v>1</v>
      </c>
      <c r="V641">
        <v>1</v>
      </c>
      <c r="W641">
        <v>22.67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1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</row>
    <row r="642" spans="1:37" x14ac:dyDescent="0.3">
      <c r="A642">
        <v>7979</v>
      </c>
      <c r="B642" t="s">
        <v>219</v>
      </c>
      <c r="D642" t="s">
        <v>327</v>
      </c>
      <c r="E642">
        <v>99999999</v>
      </c>
      <c r="F642">
        <v>11111111</v>
      </c>
      <c r="G642">
        <v>1111111111</v>
      </c>
      <c r="H642" t="s">
        <v>4211</v>
      </c>
      <c r="I642">
        <v>99999999</v>
      </c>
      <c r="J642" s="188">
        <v>45236</v>
      </c>
      <c r="K642" t="s">
        <v>4211</v>
      </c>
      <c r="L642" t="s">
        <v>4211</v>
      </c>
      <c r="M642" t="s">
        <v>1077</v>
      </c>
      <c r="N642" t="s">
        <v>151</v>
      </c>
      <c r="O642" t="s">
        <v>1078</v>
      </c>
      <c r="P642" t="s">
        <v>221</v>
      </c>
      <c r="Q642" t="s">
        <v>82</v>
      </c>
      <c r="R642">
        <v>1</v>
      </c>
      <c r="S642">
        <v>2.2000000000000002</v>
      </c>
      <c r="T642">
        <v>0</v>
      </c>
      <c r="U642">
        <v>1</v>
      </c>
      <c r="V642">
        <v>1</v>
      </c>
      <c r="W642">
        <v>30.93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1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</row>
    <row r="643" spans="1:37" x14ac:dyDescent="0.3">
      <c r="A643">
        <v>7979</v>
      </c>
      <c r="B643" t="s">
        <v>219</v>
      </c>
      <c r="D643" t="s">
        <v>327</v>
      </c>
      <c r="E643">
        <v>99999999</v>
      </c>
      <c r="F643">
        <v>11111111</v>
      </c>
      <c r="G643">
        <v>1111111111</v>
      </c>
      <c r="H643" t="s">
        <v>4212</v>
      </c>
      <c r="I643">
        <v>99999999</v>
      </c>
      <c r="J643" s="188">
        <v>45236</v>
      </c>
      <c r="K643" t="s">
        <v>4212</v>
      </c>
      <c r="L643" t="s">
        <v>4212</v>
      </c>
      <c r="M643" t="s">
        <v>1079</v>
      </c>
      <c r="N643" t="s">
        <v>402</v>
      </c>
      <c r="O643" t="s">
        <v>1080</v>
      </c>
      <c r="P643" t="s">
        <v>221</v>
      </c>
      <c r="Q643" t="s">
        <v>82</v>
      </c>
      <c r="R643">
        <v>1</v>
      </c>
      <c r="S643">
        <v>0.4</v>
      </c>
      <c r="T643">
        <v>0</v>
      </c>
      <c r="U643">
        <v>1</v>
      </c>
      <c r="V643">
        <v>1</v>
      </c>
      <c r="W643">
        <v>20.78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1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</row>
    <row r="644" spans="1:37" x14ac:dyDescent="0.3">
      <c r="A644">
        <v>7979</v>
      </c>
      <c r="B644" t="s">
        <v>219</v>
      </c>
      <c r="D644" t="s">
        <v>327</v>
      </c>
      <c r="E644">
        <v>99999999</v>
      </c>
      <c r="F644">
        <v>11111111</v>
      </c>
      <c r="G644">
        <v>1111111111</v>
      </c>
      <c r="H644" t="s">
        <v>4213</v>
      </c>
      <c r="I644">
        <v>99999999</v>
      </c>
      <c r="J644" s="188">
        <v>45236</v>
      </c>
      <c r="K644" t="s">
        <v>4213</v>
      </c>
      <c r="L644" t="s">
        <v>4213</v>
      </c>
      <c r="M644" t="s">
        <v>647</v>
      </c>
      <c r="N644" t="s">
        <v>99</v>
      </c>
      <c r="O644" t="s">
        <v>1081</v>
      </c>
      <c r="P644" t="s">
        <v>221</v>
      </c>
      <c r="Q644" t="s">
        <v>82</v>
      </c>
      <c r="R644">
        <v>1</v>
      </c>
      <c r="S644">
        <v>5</v>
      </c>
      <c r="T644">
        <v>0</v>
      </c>
      <c r="U644">
        <v>1</v>
      </c>
      <c r="V644">
        <v>1</v>
      </c>
      <c r="W644">
        <v>29.21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1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</row>
    <row r="645" spans="1:37" x14ac:dyDescent="0.3">
      <c r="A645">
        <v>7979</v>
      </c>
      <c r="B645" t="s">
        <v>219</v>
      </c>
      <c r="D645" t="s">
        <v>327</v>
      </c>
      <c r="E645">
        <v>99999999</v>
      </c>
      <c r="F645">
        <v>11111111</v>
      </c>
      <c r="G645">
        <v>1111111111</v>
      </c>
      <c r="H645" t="s">
        <v>4214</v>
      </c>
      <c r="I645">
        <v>99999999</v>
      </c>
      <c r="J645" s="188">
        <v>45236</v>
      </c>
      <c r="K645" t="s">
        <v>4214</v>
      </c>
      <c r="L645" t="s">
        <v>4214</v>
      </c>
      <c r="M645" t="s">
        <v>129</v>
      </c>
      <c r="N645" t="s">
        <v>130</v>
      </c>
      <c r="O645" t="s">
        <v>1082</v>
      </c>
      <c r="P645" t="s">
        <v>221</v>
      </c>
      <c r="Q645" t="s">
        <v>82</v>
      </c>
      <c r="R645">
        <v>1</v>
      </c>
      <c r="S645">
        <v>1.48</v>
      </c>
      <c r="T645">
        <v>0</v>
      </c>
      <c r="U645">
        <v>1</v>
      </c>
      <c r="V645">
        <v>1</v>
      </c>
      <c r="W645">
        <v>21.54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1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</row>
    <row r="646" spans="1:37" x14ac:dyDescent="0.3">
      <c r="A646">
        <v>7979</v>
      </c>
      <c r="B646" t="s">
        <v>219</v>
      </c>
      <c r="D646" t="s">
        <v>327</v>
      </c>
      <c r="E646">
        <v>99999999</v>
      </c>
      <c r="F646">
        <v>11111111</v>
      </c>
      <c r="G646">
        <v>1111111111</v>
      </c>
      <c r="H646" t="s">
        <v>4215</v>
      </c>
      <c r="I646">
        <v>99999999</v>
      </c>
      <c r="J646" s="188">
        <v>45236</v>
      </c>
      <c r="K646" t="s">
        <v>4215</v>
      </c>
      <c r="L646" t="s">
        <v>4215</v>
      </c>
      <c r="M646" t="s">
        <v>562</v>
      </c>
      <c r="N646" t="s">
        <v>122</v>
      </c>
      <c r="O646">
        <v>87832</v>
      </c>
      <c r="P646" t="s">
        <v>221</v>
      </c>
      <c r="Q646" t="s">
        <v>82</v>
      </c>
      <c r="R646">
        <v>2</v>
      </c>
      <c r="S646">
        <v>4.01</v>
      </c>
      <c r="T646">
        <v>0</v>
      </c>
      <c r="U646">
        <v>1</v>
      </c>
      <c r="V646">
        <v>2</v>
      </c>
      <c r="W646">
        <v>39.44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2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</row>
    <row r="647" spans="1:37" x14ac:dyDescent="0.3">
      <c r="A647">
        <v>7979</v>
      </c>
      <c r="B647" t="s">
        <v>219</v>
      </c>
      <c r="D647" t="s">
        <v>327</v>
      </c>
      <c r="E647">
        <v>99999999</v>
      </c>
      <c r="F647">
        <v>11111111</v>
      </c>
      <c r="G647">
        <v>1111111111</v>
      </c>
      <c r="H647" t="s">
        <v>4216</v>
      </c>
      <c r="I647">
        <v>99999999</v>
      </c>
      <c r="J647" s="188">
        <v>45236</v>
      </c>
      <c r="K647" t="s">
        <v>4216</v>
      </c>
      <c r="L647" t="s">
        <v>4216</v>
      </c>
      <c r="M647" t="s">
        <v>1007</v>
      </c>
      <c r="N647" t="s">
        <v>381</v>
      </c>
      <c r="O647" t="s">
        <v>1083</v>
      </c>
      <c r="P647" t="s">
        <v>221</v>
      </c>
      <c r="Q647" t="s">
        <v>82</v>
      </c>
      <c r="R647">
        <v>1</v>
      </c>
      <c r="S647">
        <v>4</v>
      </c>
      <c r="T647">
        <v>0</v>
      </c>
      <c r="U647">
        <v>1</v>
      </c>
      <c r="V647">
        <v>1</v>
      </c>
      <c r="W647">
        <v>29.05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1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</row>
    <row r="648" spans="1:37" x14ac:dyDescent="0.3">
      <c r="A648">
        <v>7979</v>
      </c>
      <c r="B648" t="s">
        <v>219</v>
      </c>
      <c r="D648" t="s">
        <v>327</v>
      </c>
      <c r="E648">
        <v>99999999</v>
      </c>
      <c r="F648">
        <v>11111111</v>
      </c>
      <c r="G648">
        <v>1111111111</v>
      </c>
      <c r="H648" t="s">
        <v>4217</v>
      </c>
      <c r="I648">
        <v>99999999</v>
      </c>
      <c r="J648" s="188">
        <v>45236</v>
      </c>
      <c r="K648" t="s">
        <v>4217</v>
      </c>
      <c r="L648" t="s">
        <v>4217</v>
      </c>
      <c r="M648" t="s">
        <v>1084</v>
      </c>
      <c r="N648" t="s">
        <v>97</v>
      </c>
      <c r="O648">
        <v>98335</v>
      </c>
      <c r="P648" t="s">
        <v>221</v>
      </c>
      <c r="Q648" t="s">
        <v>82</v>
      </c>
      <c r="R648">
        <v>1</v>
      </c>
      <c r="S648">
        <v>2</v>
      </c>
      <c r="T648">
        <v>0</v>
      </c>
      <c r="U648">
        <v>1</v>
      </c>
      <c r="V648">
        <v>1</v>
      </c>
      <c r="W648">
        <v>21.88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1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</row>
    <row r="649" spans="1:37" x14ac:dyDescent="0.3">
      <c r="A649">
        <v>7979</v>
      </c>
      <c r="B649" t="s">
        <v>219</v>
      </c>
      <c r="D649" t="s">
        <v>327</v>
      </c>
      <c r="E649">
        <v>99999999</v>
      </c>
      <c r="F649">
        <v>11111111</v>
      </c>
      <c r="G649">
        <v>1111111111</v>
      </c>
      <c r="H649" t="s">
        <v>4218</v>
      </c>
      <c r="I649">
        <v>99999999</v>
      </c>
      <c r="J649" s="188">
        <v>45236</v>
      </c>
      <c r="K649" t="s">
        <v>4218</v>
      </c>
      <c r="L649" t="s">
        <v>4218</v>
      </c>
      <c r="M649" t="s">
        <v>1085</v>
      </c>
      <c r="N649" t="s">
        <v>130</v>
      </c>
      <c r="O649">
        <v>81639</v>
      </c>
      <c r="P649" t="s">
        <v>221</v>
      </c>
      <c r="Q649" t="s">
        <v>82</v>
      </c>
      <c r="R649">
        <v>1</v>
      </c>
      <c r="S649">
        <v>11.666</v>
      </c>
      <c r="T649">
        <v>0</v>
      </c>
      <c r="U649">
        <v>1</v>
      </c>
      <c r="V649">
        <v>1</v>
      </c>
      <c r="W649">
        <v>35.159999999999997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1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</row>
    <row r="650" spans="1:37" x14ac:dyDescent="0.3">
      <c r="A650">
        <v>7979</v>
      </c>
      <c r="B650" t="s">
        <v>219</v>
      </c>
      <c r="D650" t="s">
        <v>327</v>
      </c>
      <c r="E650">
        <v>99999999</v>
      </c>
      <c r="F650">
        <v>11111111</v>
      </c>
      <c r="G650">
        <v>1111111111</v>
      </c>
      <c r="H650" t="s">
        <v>4219</v>
      </c>
      <c r="I650">
        <v>99999999</v>
      </c>
      <c r="J650" s="188">
        <v>45236</v>
      </c>
      <c r="K650" t="s">
        <v>4219</v>
      </c>
      <c r="L650" t="s">
        <v>4219</v>
      </c>
      <c r="M650" t="s">
        <v>401</v>
      </c>
      <c r="N650" t="s">
        <v>164</v>
      </c>
      <c r="O650">
        <v>97124</v>
      </c>
      <c r="P650" t="s">
        <v>221</v>
      </c>
      <c r="Q650" t="s">
        <v>82</v>
      </c>
      <c r="R650">
        <v>1</v>
      </c>
      <c r="S650">
        <v>4.4000000000000004</v>
      </c>
      <c r="T650">
        <v>0</v>
      </c>
      <c r="U650">
        <v>1</v>
      </c>
      <c r="V650">
        <v>1</v>
      </c>
      <c r="W650">
        <v>22.93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1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</row>
    <row r="651" spans="1:37" x14ac:dyDescent="0.3">
      <c r="A651">
        <v>7979</v>
      </c>
      <c r="B651" t="s">
        <v>219</v>
      </c>
      <c r="D651" t="s">
        <v>327</v>
      </c>
      <c r="E651">
        <v>99999999</v>
      </c>
      <c r="F651">
        <v>11111111</v>
      </c>
      <c r="G651">
        <v>1111111111</v>
      </c>
      <c r="H651" t="s">
        <v>4220</v>
      </c>
      <c r="I651">
        <v>99999999</v>
      </c>
      <c r="J651" s="188">
        <v>45236</v>
      </c>
      <c r="K651" t="s">
        <v>4220</v>
      </c>
      <c r="L651" t="s">
        <v>4220</v>
      </c>
      <c r="M651" t="s">
        <v>611</v>
      </c>
      <c r="N651" t="s">
        <v>130</v>
      </c>
      <c r="O651" t="s">
        <v>1086</v>
      </c>
      <c r="P651" t="s">
        <v>221</v>
      </c>
      <c r="Q651" t="s">
        <v>82</v>
      </c>
      <c r="R651">
        <v>1</v>
      </c>
      <c r="S651">
        <v>9.6660000000000004</v>
      </c>
      <c r="T651">
        <v>0</v>
      </c>
      <c r="U651">
        <v>1</v>
      </c>
      <c r="V651">
        <v>1</v>
      </c>
      <c r="W651">
        <v>26.28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1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</row>
    <row r="652" spans="1:37" x14ac:dyDescent="0.3">
      <c r="A652">
        <v>7979</v>
      </c>
      <c r="B652" t="s">
        <v>219</v>
      </c>
      <c r="D652" t="s">
        <v>327</v>
      </c>
      <c r="E652">
        <v>99999999</v>
      </c>
      <c r="F652">
        <v>11111111</v>
      </c>
      <c r="G652">
        <v>1111111111</v>
      </c>
      <c r="H652" t="s">
        <v>4221</v>
      </c>
      <c r="I652">
        <v>99999999</v>
      </c>
      <c r="J652" s="188">
        <v>45236</v>
      </c>
      <c r="K652" t="s">
        <v>4221</v>
      </c>
      <c r="L652" t="s">
        <v>4221</v>
      </c>
      <c r="M652" t="s">
        <v>173</v>
      </c>
      <c r="N652" t="s">
        <v>164</v>
      </c>
      <c r="O652" t="s">
        <v>1087</v>
      </c>
      <c r="P652" t="s">
        <v>221</v>
      </c>
      <c r="Q652" t="s">
        <v>82</v>
      </c>
      <c r="R652">
        <v>1</v>
      </c>
      <c r="S652">
        <v>2</v>
      </c>
      <c r="T652">
        <v>0</v>
      </c>
      <c r="U652">
        <v>1</v>
      </c>
      <c r="V652">
        <v>1</v>
      </c>
      <c r="W652">
        <v>21.88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1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</row>
    <row r="653" spans="1:37" x14ac:dyDescent="0.3">
      <c r="A653">
        <v>7979</v>
      </c>
      <c r="B653" t="s">
        <v>219</v>
      </c>
      <c r="D653" t="s">
        <v>327</v>
      </c>
      <c r="E653">
        <v>99999999</v>
      </c>
      <c r="F653">
        <v>11111111</v>
      </c>
      <c r="G653">
        <v>1111111111</v>
      </c>
      <c r="H653" t="s">
        <v>4222</v>
      </c>
      <c r="I653">
        <v>99999999</v>
      </c>
      <c r="J653" s="188">
        <v>45236</v>
      </c>
      <c r="K653" t="s">
        <v>4222</v>
      </c>
      <c r="L653" t="s">
        <v>4222</v>
      </c>
      <c r="M653" t="s">
        <v>1088</v>
      </c>
      <c r="N653" t="s">
        <v>85</v>
      </c>
      <c r="O653" t="s">
        <v>1089</v>
      </c>
      <c r="P653" t="s">
        <v>221</v>
      </c>
      <c r="Q653" t="s">
        <v>82</v>
      </c>
      <c r="R653">
        <v>1</v>
      </c>
      <c r="S653">
        <v>4.4000000000000004</v>
      </c>
      <c r="T653">
        <v>0</v>
      </c>
      <c r="U653">
        <v>1</v>
      </c>
      <c r="V653">
        <v>1</v>
      </c>
      <c r="W653">
        <v>28.16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1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</row>
    <row r="654" spans="1:37" x14ac:dyDescent="0.3">
      <c r="A654">
        <v>7979</v>
      </c>
      <c r="B654" t="s">
        <v>219</v>
      </c>
      <c r="D654" t="s">
        <v>327</v>
      </c>
      <c r="E654">
        <v>99999999</v>
      </c>
      <c r="F654">
        <v>11111111</v>
      </c>
      <c r="G654">
        <v>1111111111</v>
      </c>
      <c r="H654" t="s">
        <v>4223</v>
      </c>
      <c r="I654">
        <v>99999999</v>
      </c>
      <c r="J654" s="188">
        <v>45236</v>
      </c>
      <c r="K654" t="s">
        <v>4223</v>
      </c>
      <c r="L654" t="s">
        <v>4223</v>
      </c>
      <c r="M654" t="s">
        <v>1090</v>
      </c>
      <c r="N654" t="s">
        <v>265</v>
      </c>
      <c r="O654">
        <v>29803</v>
      </c>
      <c r="P654" t="s">
        <v>221</v>
      </c>
      <c r="Q654" t="s">
        <v>82</v>
      </c>
      <c r="R654">
        <v>1</v>
      </c>
      <c r="S654">
        <v>0.4</v>
      </c>
      <c r="T654">
        <v>0</v>
      </c>
      <c r="U654">
        <v>1</v>
      </c>
      <c r="V654">
        <v>1</v>
      </c>
      <c r="W654">
        <v>20.78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1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</row>
    <row r="655" spans="1:37" x14ac:dyDescent="0.3">
      <c r="A655">
        <v>7979</v>
      </c>
      <c r="B655" t="s">
        <v>219</v>
      </c>
      <c r="D655" t="s">
        <v>327</v>
      </c>
      <c r="E655">
        <v>99999999</v>
      </c>
      <c r="F655">
        <v>11111111</v>
      </c>
      <c r="G655">
        <v>1111111111</v>
      </c>
      <c r="H655" t="s">
        <v>4224</v>
      </c>
      <c r="I655">
        <v>99999999</v>
      </c>
      <c r="J655" s="188">
        <v>45236</v>
      </c>
      <c r="K655" t="s">
        <v>4224</v>
      </c>
      <c r="L655" t="s">
        <v>4224</v>
      </c>
      <c r="M655" t="s">
        <v>1091</v>
      </c>
      <c r="N655" t="s">
        <v>197</v>
      </c>
      <c r="O655" t="s">
        <v>1092</v>
      </c>
      <c r="P655" t="s">
        <v>221</v>
      </c>
      <c r="Q655" t="s">
        <v>82</v>
      </c>
      <c r="R655">
        <v>6</v>
      </c>
      <c r="S655">
        <v>2.1</v>
      </c>
      <c r="T655">
        <v>0</v>
      </c>
      <c r="U655">
        <v>1</v>
      </c>
      <c r="V655">
        <v>1</v>
      </c>
      <c r="W655">
        <v>31.61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6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</row>
    <row r="656" spans="1:37" x14ac:dyDescent="0.3">
      <c r="A656">
        <v>7979</v>
      </c>
      <c r="B656" t="s">
        <v>219</v>
      </c>
      <c r="D656" t="s">
        <v>327</v>
      </c>
      <c r="E656">
        <v>99999999</v>
      </c>
      <c r="F656">
        <v>11111111</v>
      </c>
      <c r="G656">
        <v>1111111111</v>
      </c>
      <c r="H656" t="s">
        <v>4225</v>
      </c>
      <c r="I656">
        <v>99999999</v>
      </c>
      <c r="J656" s="188">
        <v>45236</v>
      </c>
      <c r="K656" t="s">
        <v>4225</v>
      </c>
      <c r="L656" t="s">
        <v>4225</v>
      </c>
      <c r="M656" t="s">
        <v>330</v>
      </c>
      <c r="N656" t="s">
        <v>99</v>
      </c>
      <c r="O656" t="s">
        <v>1093</v>
      </c>
      <c r="P656" t="s">
        <v>221</v>
      </c>
      <c r="Q656" t="s">
        <v>82</v>
      </c>
      <c r="R656">
        <v>1</v>
      </c>
      <c r="S656">
        <v>7.5</v>
      </c>
      <c r="T656">
        <v>0</v>
      </c>
      <c r="U656">
        <v>1</v>
      </c>
      <c r="V656">
        <v>1</v>
      </c>
      <c r="W656">
        <v>22.42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1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</row>
    <row r="657" spans="1:37" x14ac:dyDescent="0.3">
      <c r="A657">
        <v>7979</v>
      </c>
      <c r="B657" t="s">
        <v>219</v>
      </c>
      <c r="D657" t="s">
        <v>327</v>
      </c>
      <c r="E657">
        <v>99999999</v>
      </c>
      <c r="F657">
        <v>11111111</v>
      </c>
      <c r="G657">
        <v>1111111111</v>
      </c>
      <c r="H657" t="s">
        <v>4226</v>
      </c>
      <c r="I657">
        <v>99999999</v>
      </c>
      <c r="J657" s="188">
        <v>45236</v>
      </c>
      <c r="K657" t="s">
        <v>4226</v>
      </c>
      <c r="L657" t="s">
        <v>4226</v>
      </c>
      <c r="M657" t="s">
        <v>1072</v>
      </c>
      <c r="N657" t="s">
        <v>99</v>
      </c>
      <c r="O657" t="s">
        <v>1073</v>
      </c>
      <c r="P657" t="s">
        <v>221</v>
      </c>
      <c r="Q657" t="s">
        <v>82</v>
      </c>
      <c r="R657">
        <v>1</v>
      </c>
      <c r="S657">
        <v>2.4500000000000002</v>
      </c>
      <c r="T657">
        <v>0</v>
      </c>
      <c r="U657">
        <v>1</v>
      </c>
      <c r="V657">
        <v>1</v>
      </c>
      <c r="W657">
        <v>28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1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</row>
    <row r="658" spans="1:37" x14ac:dyDescent="0.3">
      <c r="A658">
        <v>7979</v>
      </c>
      <c r="B658" t="s">
        <v>219</v>
      </c>
      <c r="D658" t="s">
        <v>327</v>
      </c>
      <c r="E658">
        <v>99999999</v>
      </c>
      <c r="F658">
        <v>11111111</v>
      </c>
      <c r="G658">
        <v>1111111111</v>
      </c>
      <c r="H658" t="s">
        <v>4227</v>
      </c>
      <c r="I658">
        <v>99999999</v>
      </c>
      <c r="J658" s="188">
        <v>45236</v>
      </c>
      <c r="K658" t="s">
        <v>4227</v>
      </c>
      <c r="L658" t="s">
        <v>4227</v>
      </c>
      <c r="M658" t="s">
        <v>1094</v>
      </c>
      <c r="N658" t="s">
        <v>381</v>
      </c>
      <c r="O658" t="s">
        <v>1095</v>
      </c>
      <c r="P658" t="s">
        <v>221</v>
      </c>
      <c r="Q658" t="s">
        <v>82</v>
      </c>
      <c r="R658">
        <v>1</v>
      </c>
      <c r="S658">
        <v>1.6</v>
      </c>
      <c r="T658">
        <v>0</v>
      </c>
      <c r="U658">
        <v>1</v>
      </c>
      <c r="V658">
        <v>1</v>
      </c>
      <c r="W658">
        <v>30.93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1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</row>
    <row r="659" spans="1:37" x14ac:dyDescent="0.3">
      <c r="A659">
        <v>7979</v>
      </c>
      <c r="B659" t="s">
        <v>219</v>
      </c>
      <c r="D659" t="s">
        <v>327</v>
      </c>
      <c r="E659">
        <v>99999999</v>
      </c>
      <c r="F659">
        <v>11111111</v>
      </c>
      <c r="G659">
        <v>1111111111</v>
      </c>
      <c r="H659" t="s">
        <v>4228</v>
      </c>
      <c r="I659">
        <v>99999999</v>
      </c>
      <c r="J659" s="188">
        <v>45236</v>
      </c>
      <c r="K659" t="s">
        <v>4228</v>
      </c>
      <c r="L659" t="s">
        <v>4228</v>
      </c>
      <c r="M659" t="s">
        <v>718</v>
      </c>
      <c r="N659" t="s">
        <v>122</v>
      </c>
      <c r="O659" t="s">
        <v>1096</v>
      </c>
      <c r="P659" t="s">
        <v>221</v>
      </c>
      <c r="Q659" t="s">
        <v>82</v>
      </c>
      <c r="R659">
        <v>9</v>
      </c>
      <c r="S659">
        <v>2.88</v>
      </c>
      <c r="T659">
        <v>0</v>
      </c>
      <c r="U659">
        <v>1</v>
      </c>
      <c r="V659">
        <v>1</v>
      </c>
      <c r="W659">
        <v>29.71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9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</row>
    <row r="660" spans="1:37" x14ac:dyDescent="0.3">
      <c r="A660">
        <v>7979</v>
      </c>
      <c r="B660" t="s">
        <v>219</v>
      </c>
      <c r="D660" t="s">
        <v>327</v>
      </c>
      <c r="E660">
        <v>99999999</v>
      </c>
      <c r="F660">
        <v>11111111</v>
      </c>
      <c r="G660">
        <v>1111111111</v>
      </c>
      <c r="H660" t="s">
        <v>4229</v>
      </c>
      <c r="I660">
        <v>99999999</v>
      </c>
      <c r="J660" s="188">
        <v>45236</v>
      </c>
      <c r="K660" t="s">
        <v>4229</v>
      </c>
      <c r="L660" t="s">
        <v>4229</v>
      </c>
      <c r="M660" t="s">
        <v>1097</v>
      </c>
      <c r="N660" t="s">
        <v>99</v>
      </c>
      <c r="O660" t="s">
        <v>1098</v>
      </c>
      <c r="P660" t="s">
        <v>221</v>
      </c>
      <c r="Q660" t="s">
        <v>82</v>
      </c>
      <c r="R660">
        <v>1</v>
      </c>
      <c r="S660">
        <v>8.6</v>
      </c>
      <c r="T660">
        <v>0</v>
      </c>
      <c r="U660">
        <v>1</v>
      </c>
      <c r="V660">
        <v>1</v>
      </c>
      <c r="W660">
        <v>24.41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1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</row>
    <row r="661" spans="1:37" x14ac:dyDescent="0.3">
      <c r="A661">
        <v>7979</v>
      </c>
      <c r="B661" t="s">
        <v>219</v>
      </c>
      <c r="D661" t="s">
        <v>327</v>
      </c>
      <c r="E661">
        <v>99999999</v>
      </c>
      <c r="F661">
        <v>11111111</v>
      </c>
      <c r="G661">
        <v>1111111111</v>
      </c>
      <c r="H661" t="s">
        <v>4230</v>
      </c>
      <c r="I661">
        <v>99999999</v>
      </c>
      <c r="J661" s="188">
        <v>45236</v>
      </c>
      <c r="K661" t="s">
        <v>4230</v>
      </c>
      <c r="L661" t="s">
        <v>4230</v>
      </c>
      <c r="M661" t="s">
        <v>1099</v>
      </c>
      <c r="N661" t="s">
        <v>125</v>
      </c>
      <c r="O661">
        <v>49221</v>
      </c>
      <c r="P661" t="s">
        <v>221</v>
      </c>
      <c r="Q661" t="s">
        <v>82</v>
      </c>
      <c r="R661">
        <v>1</v>
      </c>
      <c r="S661">
        <v>2.2999999999999998</v>
      </c>
      <c r="T661">
        <v>0</v>
      </c>
      <c r="U661">
        <v>1</v>
      </c>
      <c r="V661">
        <v>1</v>
      </c>
      <c r="W661">
        <v>30.93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1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</row>
    <row r="662" spans="1:37" x14ac:dyDescent="0.3">
      <c r="A662">
        <v>7979</v>
      </c>
      <c r="B662" t="s">
        <v>219</v>
      </c>
      <c r="D662" t="s">
        <v>327</v>
      </c>
      <c r="E662">
        <v>99999999</v>
      </c>
      <c r="F662">
        <v>11111111</v>
      </c>
      <c r="G662">
        <v>1111111111</v>
      </c>
      <c r="H662" t="s">
        <v>4231</v>
      </c>
      <c r="I662">
        <v>99999999</v>
      </c>
      <c r="J662" s="188">
        <v>45236</v>
      </c>
      <c r="K662" t="s">
        <v>4231</v>
      </c>
      <c r="L662" t="s">
        <v>4231</v>
      </c>
      <c r="M662" t="s">
        <v>1100</v>
      </c>
      <c r="N662" t="s">
        <v>97</v>
      </c>
      <c r="O662" t="s">
        <v>1101</v>
      </c>
      <c r="P662" t="s">
        <v>221</v>
      </c>
      <c r="Q662" t="s">
        <v>82</v>
      </c>
      <c r="R662">
        <v>2</v>
      </c>
      <c r="S662">
        <v>15.2</v>
      </c>
      <c r="T662">
        <v>0</v>
      </c>
      <c r="U662">
        <v>1</v>
      </c>
      <c r="V662">
        <v>1</v>
      </c>
      <c r="W662">
        <v>31.98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2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</row>
    <row r="663" spans="1:37" x14ac:dyDescent="0.3">
      <c r="A663">
        <v>7979</v>
      </c>
      <c r="B663" t="s">
        <v>219</v>
      </c>
      <c r="D663" t="s">
        <v>327</v>
      </c>
      <c r="E663">
        <v>99999999</v>
      </c>
      <c r="F663">
        <v>11111111</v>
      </c>
      <c r="G663">
        <v>1111111111</v>
      </c>
      <c r="H663" t="s">
        <v>4232</v>
      </c>
      <c r="I663">
        <v>99999999</v>
      </c>
      <c r="J663" s="188">
        <v>45236</v>
      </c>
      <c r="K663" t="s">
        <v>4232</v>
      </c>
      <c r="L663" t="s">
        <v>4232</v>
      </c>
      <c r="M663" t="s">
        <v>1102</v>
      </c>
      <c r="N663" t="s">
        <v>197</v>
      </c>
      <c r="O663">
        <v>76182</v>
      </c>
      <c r="P663" t="s">
        <v>221</v>
      </c>
      <c r="Q663" t="s">
        <v>82</v>
      </c>
      <c r="R663">
        <v>2</v>
      </c>
      <c r="S663">
        <v>9.1</v>
      </c>
      <c r="T663">
        <v>0</v>
      </c>
      <c r="U663">
        <v>1</v>
      </c>
      <c r="V663">
        <v>2</v>
      </c>
      <c r="W663">
        <v>26.92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2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</row>
    <row r="664" spans="1:37" x14ac:dyDescent="0.3">
      <c r="A664">
        <v>7979</v>
      </c>
      <c r="B664" t="s">
        <v>219</v>
      </c>
      <c r="D664" t="s">
        <v>327</v>
      </c>
      <c r="E664">
        <v>99999999</v>
      </c>
      <c r="F664">
        <v>11111111</v>
      </c>
      <c r="G664">
        <v>1111111111</v>
      </c>
      <c r="H664" t="s">
        <v>4233</v>
      </c>
      <c r="I664">
        <v>99999999</v>
      </c>
      <c r="J664" s="188">
        <v>45236</v>
      </c>
      <c r="K664" t="s">
        <v>4233</v>
      </c>
      <c r="L664" t="s">
        <v>4233</v>
      </c>
      <c r="M664" t="s">
        <v>1103</v>
      </c>
      <c r="N664" t="s">
        <v>97</v>
      </c>
      <c r="O664" t="s">
        <v>1104</v>
      </c>
      <c r="P664" t="s">
        <v>221</v>
      </c>
      <c r="Q664" t="s">
        <v>82</v>
      </c>
      <c r="R664">
        <v>2</v>
      </c>
      <c r="S664">
        <v>10</v>
      </c>
      <c r="T664">
        <v>0</v>
      </c>
      <c r="U664">
        <v>1</v>
      </c>
      <c r="V664">
        <v>1</v>
      </c>
      <c r="W664">
        <v>30.77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2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</row>
    <row r="665" spans="1:37" x14ac:dyDescent="0.3">
      <c r="A665">
        <v>7979</v>
      </c>
      <c r="B665" t="s">
        <v>219</v>
      </c>
      <c r="D665" t="s">
        <v>327</v>
      </c>
      <c r="E665">
        <v>99999999</v>
      </c>
      <c r="F665">
        <v>11111111</v>
      </c>
      <c r="G665">
        <v>1111111111</v>
      </c>
      <c r="H665" t="s">
        <v>4234</v>
      </c>
      <c r="I665">
        <v>99999999</v>
      </c>
      <c r="J665" s="188">
        <v>45236</v>
      </c>
      <c r="K665" t="s">
        <v>4234</v>
      </c>
      <c r="L665" t="s">
        <v>4234</v>
      </c>
      <c r="M665" t="s">
        <v>260</v>
      </c>
      <c r="N665" t="s">
        <v>130</v>
      </c>
      <c r="O665" t="s">
        <v>261</v>
      </c>
      <c r="P665" t="s">
        <v>221</v>
      </c>
      <c r="Q665" t="s">
        <v>82</v>
      </c>
      <c r="R665">
        <v>1</v>
      </c>
      <c r="S665">
        <v>1.1000000000000001</v>
      </c>
      <c r="T665">
        <v>0</v>
      </c>
      <c r="U665">
        <v>1</v>
      </c>
      <c r="V665">
        <v>1</v>
      </c>
      <c r="W665">
        <v>29.8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1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</row>
    <row r="666" spans="1:37" x14ac:dyDescent="0.3">
      <c r="A666">
        <v>7979</v>
      </c>
      <c r="B666" t="s">
        <v>219</v>
      </c>
      <c r="D666" t="s">
        <v>327</v>
      </c>
      <c r="E666">
        <v>99999999</v>
      </c>
      <c r="F666">
        <v>11111111</v>
      </c>
      <c r="G666">
        <v>1111111111</v>
      </c>
      <c r="H666" t="s">
        <v>4235</v>
      </c>
      <c r="I666">
        <v>99999999</v>
      </c>
      <c r="J666" s="188">
        <v>45236</v>
      </c>
      <c r="K666" t="s">
        <v>4235</v>
      </c>
      <c r="L666" t="s">
        <v>4235</v>
      </c>
      <c r="M666" t="s">
        <v>1105</v>
      </c>
      <c r="N666" t="s">
        <v>122</v>
      </c>
      <c r="O666" t="s">
        <v>1106</v>
      </c>
      <c r="P666" t="s">
        <v>221</v>
      </c>
      <c r="Q666" t="s">
        <v>82</v>
      </c>
      <c r="R666">
        <v>7</v>
      </c>
      <c r="S666">
        <v>0.97</v>
      </c>
      <c r="T666">
        <v>0</v>
      </c>
      <c r="U666">
        <v>1</v>
      </c>
      <c r="V666">
        <v>2</v>
      </c>
      <c r="W666">
        <v>29.8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7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</row>
    <row r="667" spans="1:37" x14ac:dyDescent="0.3">
      <c r="A667">
        <v>7979</v>
      </c>
      <c r="B667" t="s">
        <v>219</v>
      </c>
      <c r="D667" t="s">
        <v>327</v>
      </c>
      <c r="E667">
        <v>99999999</v>
      </c>
      <c r="F667">
        <v>11111111</v>
      </c>
      <c r="G667">
        <v>1111111111</v>
      </c>
      <c r="H667" t="s">
        <v>4236</v>
      </c>
      <c r="I667">
        <v>99999999</v>
      </c>
      <c r="J667" s="188">
        <v>45236</v>
      </c>
      <c r="K667" t="s">
        <v>4236</v>
      </c>
      <c r="L667" t="s">
        <v>4236</v>
      </c>
      <c r="M667" t="s">
        <v>1107</v>
      </c>
      <c r="N667" t="s">
        <v>135</v>
      </c>
      <c r="O667" t="s">
        <v>1108</v>
      </c>
      <c r="P667" t="s">
        <v>221</v>
      </c>
      <c r="Q667" t="s">
        <v>82</v>
      </c>
      <c r="R667">
        <v>1</v>
      </c>
      <c r="S667">
        <v>0.8</v>
      </c>
      <c r="T667">
        <v>0</v>
      </c>
      <c r="U667">
        <v>1</v>
      </c>
      <c r="V667">
        <v>1</v>
      </c>
      <c r="W667">
        <v>29.46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1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</row>
    <row r="668" spans="1:37" x14ac:dyDescent="0.3">
      <c r="A668">
        <v>7979</v>
      </c>
      <c r="B668" t="s">
        <v>219</v>
      </c>
      <c r="D668" t="s">
        <v>327</v>
      </c>
      <c r="E668">
        <v>99999999</v>
      </c>
      <c r="F668">
        <v>11111111</v>
      </c>
      <c r="G668">
        <v>1111111111</v>
      </c>
      <c r="H668" t="s">
        <v>4237</v>
      </c>
      <c r="I668">
        <v>99999999</v>
      </c>
      <c r="J668" s="188">
        <v>45236</v>
      </c>
      <c r="K668" t="s">
        <v>4237</v>
      </c>
      <c r="L668" t="s">
        <v>4237</v>
      </c>
      <c r="M668" t="s">
        <v>1109</v>
      </c>
      <c r="N668" t="s">
        <v>99</v>
      </c>
      <c r="O668">
        <v>95742</v>
      </c>
      <c r="P668" t="s">
        <v>221</v>
      </c>
      <c r="Q668" t="s">
        <v>82</v>
      </c>
      <c r="R668">
        <v>6</v>
      </c>
      <c r="S668">
        <v>6.96</v>
      </c>
      <c r="T668">
        <v>0</v>
      </c>
      <c r="U668">
        <v>1</v>
      </c>
      <c r="V668">
        <v>1</v>
      </c>
      <c r="W668">
        <v>21.23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6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</row>
    <row r="669" spans="1:37" x14ac:dyDescent="0.3">
      <c r="A669">
        <v>7979</v>
      </c>
      <c r="B669" t="s">
        <v>219</v>
      </c>
      <c r="D669" t="s">
        <v>327</v>
      </c>
      <c r="E669">
        <v>99999999</v>
      </c>
      <c r="F669">
        <v>11111111</v>
      </c>
      <c r="G669">
        <v>1111111111</v>
      </c>
      <c r="H669" t="s">
        <v>4238</v>
      </c>
      <c r="I669">
        <v>99999999</v>
      </c>
      <c r="J669" s="188">
        <v>45236</v>
      </c>
      <c r="K669" t="s">
        <v>4238</v>
      </c>
      <c r="L669" t="s">
        <v>4238</v>
      </c>
      <c r="M669" t="s">
        <v>1110</v>
      </c>
      <c r="N669" t="s">
        <v>97</v>
      </c>
      <c r="O669" t="s">
        <v>1111</v>
      </c>
      <c r="P669" t="s">
        <v>221</v>
      </c>
      <c r="Q669" t="s">
        <v>82</v>
      </c>
      <c r="R669">
        <v>1</v>
      </c>
      <c r="S669">
        <v>10</v>
      </c>
      <c r="T669">
        <v>0</v>
      </c>
      <c r="U669">
        <v>1</v>
      </c>
      <c r="V669">
        <v>1</v>
      </c>
      <c r="W669">
        <v>24.65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1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</row>
    <row r="670" spans="1:37" x14ac:dyDescent="0.3">
      <c r="A670">
        <v>7979</v>
      </c>
      <c r="B670" t="s">
        <v>219</v>
      </c>
      <c r="D670" t="s">
        <v>327</v>
      </c>
      <c r="E670">
        <v>99999999</v>
      </c>
      <c r="F670">
        <v>11111111</v>
      </c>
      <c r="G670">
        <v>1111111111</v>
      </c>
      <c r="H670" t="s">
        <v>4239</v>
      </c>
      <c r="I670">
        <v>99999999</v>
      </c>
      <c r="J670" s="188">
        <v>45236</v>
      </c>
      <c r="K670" t="s">
        <v>4239</v>
      </c>
      <c r="L670" t="s">
        <v>4239</v>
      </c>
      <c r="M670" t="s">
        <v>1112</v>
      </c>
      <c r="N670" t="s">
        <v>97</v>
      </c>
      <c r="O670" t="s">
        <v>1113</v>
      </c>
      <c r="P670" t="s">
        <v>221</v>
      </c>
      <c r="Q670" t="s">
        <v>82</v>
      </c>
      <c r="R670">
        <v>3</v>
      </c>
      <c r="S670">
        <v>4.3</v>
      </c>
      <c r="T670">
        <v>0</v>
      </c>
      <c r="U670">
        <v>1</v>
      </c>
      <c r="V670">
        <v>2</v>
      </c>
      <c r="W670">
        <v>29.05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3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</row>
    <row r="671" spans="1:37" x14ac:dyDescent="0.3">
      <c r="A671">
        <v>7979</v>
      </c>
      <c r="B671" t="s">
        <v>219</v>
      </c>
      <c r="D671" t="s">
        <v>327</v>
      </c>
      <c r="E671">
        <v>99999999</v>
      </c>
      <c r="F671">
        <v>11111111</v>
      </c>
      <c r="G671">
        <v>1111111111</v>
      </c>
      <c r="H671" t="s">
        <v>4240</v>
      </c>
      <c r="I671">
        <v>99999999</v>
      </c>
      <c r="J671" s="188">
        <v>45236</v>
      </c>
      <c r="K671" t="s">
        <v>4240</v>
      </c>
      <c r="L671" t="s">
        <v>4240</v>
      </c>
      <c r="M671" t="s">
        <v>592</v>
      </c>
      <c r="N671" t="s">
        <v>99</v>
      </c>
      <c r="O671" t="s">
        <v>1114</v>
      </c>
      <c r="P671" t="s">
        <v>221</v>
      </c>
      <c r="Q671" t="s">
        <v>82</v>
      </c>
      <c r="R671">
        <v>1</v>
      </c>
      <c r="S671">
        <v>2</v>
      </c>
      <c r="T671">
        <v>0</v>
      </c>
      <c r="U671">
        <v>1</v>
      </c>
      <c r="V671">
        <v>1</v>
      </c>
      <c r="W671">
        <v>20.67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1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</row>
    <row r="672" spans="1:37" x14ac:dyDescent="0.3">
      <c r="A672">
        <v>7979</v>
      </c>
      <c r="B672" t="s">
        <v>219</v>
      </c>
      <c r="D672" t="s">
        <v>327</v>
      </c>
      <c r="E672">
        <v>99999999</v>
      </c>
      <c r="F672">
        <v>11111111</v>
      </c>
      <c r="G672">
        <v>1111111111</v>
      </c>
      <c r="H672" t="s">
        <v>4241</v>
      </c>
      <c r="I672">
        <v>99999999</v>
      </c>
      <c r="J672" s="188">
        <v>45236</v>
      </c>
      <c r="K672" t="s">
        <v>4241</v>
      </c>
      <c r="L672" t="s">
        <v>4241</v>
      </c>
      <c r="M672" t="s">
        <v>1115</v>
      </c>
      <c r="N672" t="s">
        <v>307</v>
      </c>
      <c r="O672" t="s">
        <v>1116</v>
      </c>
      <c r="P672" t="s">
        <v>221</v>
      </c>
      <c r="Q672" t="s">
        <v>82</v>
      </c>
      <c r="R672">
        <v>8</v>
      </c>
      <c r="S672">
        <v>17.600000000000001</v>
      </c>
      <c r="T672">
        <v>0</v>
      </c>
      <c r="U672">
        <v>1</v>
      </c>
      <c r="V672">
        <v>1</v>
      </c>
      <c r="W672">
        <v>35.67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8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</row>
    <row r="673" spans="1:37" x14ac:dyDescent="0.3">
      <c r="A673">
        <v>7979</v>
      </c>
      <c r="B673" t="s">
        <v>219</v>
      </c>
      <c r="D673" t="s">
        <v>327</v>
      </c>
      <c r="E673">
        <v>99999999</v>
      </c>
      <c r="F673">
        <v>11111111</v>
      </c>
      <c r="G673">
        <v>1111111111</v>
      </c>
      <c r="H673" t="s">
        <v>4242</v>
      </c>
      <c r="I673">
        <v>99999999</v>
      </c>
      <c r="J673" s="188">
        <v>45236</v>
      </c>
      <c r="K673" t="s">
        <v>4242</v>
      </c>
      <c r="L673" t="s">
        <v>4242</v>
      </c>
      <c r="M673" t="s">
        <v>1117</v>
      </c>
      <c r="N673" t="s">
        <v>97</v>
      </c>
      <c r="O673" t="s">
        <v>1118</v>
      </c>
      <c r="P673" t="s">
        <v>221</v>
      </c>
      <c r="Q673" t="s">
        <v>82</v>
      </c>
      <c r="R673">
        <v>3</v>
      </c>
      <c r="S673">
        <v>4.9889999999999999</v>
      </c>
      <c r="T673">
        <v>0</v>
      </c>
      <c r="U673">
        <v>1</v>
      </c>
      <c r="V673">
        <v>1</v>
      </c>
      <c r="W673">
        <v>31.35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3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</row>
    <row r="674" spans="1:37" x14ac:dyDescent="0.3">
      <c r="A674">
        <v>7979</v>
      </c>
      <c r="B674" t="s">
        <v>219</v>
      </c>
      <c r="D674" t="s">
        <v>327</v>
      </c>
      <c r="E674">
        <v>99999999</v>
      </c>
      <c r="F674">
        <v>11111111</v>
      </c>
      <c r="G674">
        <v>1111111111</v>
      </c>
      <c r="H674" t="s">
        <v>4243</v>
      </c>
      <c r="I674">
        <v>99999999</v>
      </c>
      <c r="J674" s="188">
        <v>45236</v>
      </c>
      <c r="K674" t="s">
        <v>4243</v>
      </c>
      <c r="L674" t="s">
        <v>4243</v>
      </c>
      <c r="M674" t="s">
        <v>749</v>
      </c>
      <c r="N674" t="s">
        <v>130</v>
      </c>
      <c r="O674" t="s">
        <v>1119</v>
      </c>
      <c r="P674" t="s">
        <v>221</v>
      </c>
      <c r="Q674" t="s">
        <v>82</v>
      </c>
      <c r="R674">
        <v>1</v>
      </c>
      <c r="S674">
        <v>2</v>
      </c>
      <c r="T674">
        <v>0</v>
      </c>
      <c r="U674">
        <v>1</v>
      </c>
      <c r="V674">
        <v>1</v>
      </c>
      <c r="W674">
        <v>22.67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1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</row>
    <row r="675" spans="1:37" x14ac:dyDescent="0.3">
      <c r="A675">
        <v>7979</v>
      </c>
      <c r="B675" t="s">
        <v>219</v>
      </c>
      <c r="D675" t="s">
        <v>327</v>
      </c>
      <c r="E675">
        <v>99999999</v>
      </c>
      <c r="F675">
        <v>11111111</v>
      </c>
      <c r="G675">
        <v>1111111111</v>
      </c>
      <c r="H675" t="s">
        <v>4244</v>
      </c>
      <c r="I675">
        <v>99999999</v>
      </c>
      <c r="J675" s="188">
        <v>45236</v>
      </c>
      <c r="K675" t="s">
        <v>4244</v>
      </c>
      <c r="L675" t="s">
        <v>4244</v>
      </c>
      <c r="M675" t="s">
        <v>1120</v>
      </c>
      <c r="N675" t="s">
        <v>164</v>
      </c>
      <c r="O675" t="s">
        <v>1121</v>
      </c>
      <c r="P675" t="s">
        <v>221</v>
      </c>
      <c r="Q675" t="s">
        <v>82</v>
      </c>
      <c r="R675">
        <v>1</v>
      </c>
      <c r="S675">
        <v>2.25</v>
      </c>
      <c r="T675">
        <v>0</v>
      </c>
      <c r="U675">
        <v>1</v>
      </c>
      <c r="V675">
        <v>1</v>
      </c>
      <c r="W675">
        <v>30.13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1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</row>
    <row r="676" spans="1:37" x14ac:dyDescent="0.3">
      <c r="A676">
        <v>7979</v>
      </c>
      <c r="B676" t="s">
        <v>219</v>
      </c>
      <c r="D676" t="s">
        <v>327</v>
      </c>
      <c r="E676">
        <v>99999999</v>
      </c>
      <c r="F676">
        <v>11111111</v>
      </c>
      <c r="G676">
        <v>1111111111</v>
      </c>
      <c r="H676" t="s">
        <v>4245</v>
      </c>
      <c r="I676">
        <v>99999999</v>
      </c>
      <c r="J676" s="188">
        <v>45236</v>
      </c>
      <c r="K676" t="s">
        <v>4245</v>
      </c>
      <c r="L676" t="s">
        <v>4245</v>
      </c>
      <c r="M676" t="s">
        <v>622</v>
      </c>
      <c r="N676" t="s">
        <v>99</v>
      </c>
      <c r="O676" t="s">
        <v>1122</v>
      </c>
      <c r="P676" t="s">
        <v>221</v>
      </c>
      <c r="Q676" t="s">
        <v>82</v>
      </c>
      <c r="R676">
        <v>2</v>
      </c>
      <c r="S676">
        <v>0.83</v>
      </c>
      <c r="T676">
        <v>0</v>
      </c>
      <c r="U676">
        <v>1</v>
      </c>
      <c r="V676">
        <v>2</v>
      </c>
      <c r="W676">
        <v>24.77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2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</row>
    <row r="677" spans="1:37" x14ac:dyDescent="0.3">
      <c r="A677">
        <v>7979</v>
      </c>
      <c r="B677" t="s">
        <v>219</v>
      </c>
      <c r="D677" t="s">
        <v>327</v>
      </c>
      <c r="E677">
        <v>99999999</v>
      </c>
      <c r="F677">
        <v>11111111</v>
      </c>
      <c r="G677">
        <v>1111111111</v>
      </c>
      <c r="H677" t="s">
        <v>4246</v>
      </c>
      <c r="I677">
        <v>99999999</v>
      </c>
      <c r="J677" s="188">
        <v>45236</v>
      </c>
      <c r="K677" t="s">
        <v>4246</v>
      </c>
      <c r="L677" t="s">
        <v>4246</v>
      </c>
      <c r="M677" t="s">
        <v>1123</v>
      </c>
      <c r="N677" t="s">
        <v>88</v>
      </c>
      <c r="O677" t="s">
        <v>1124</v>
      </c>
      <c r="P677" t="s">
        <v>221</v>
      </c>
      <c r="Q677" t="s">
        <v>82</v>
      </c>
      <c r="R677">
        <v>1</v>
      </c>
      <c r="S677">
        <v>5</v>
      </c>
      <c r="T677">
        <v>0</v>
      </c>
      <c r="U677">
        <v>1</v>
      </c>
      <c r="V677">
        <v>1</v>
      </c>
      <c r="W677">
        <v>27.35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1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</row>
    <row r="678" spans="1:37" x14ac:dyDescent="0.3">
      <c r="A678">
        <v>7979</v>
      </c>
      <c r="B678" t="s">
        <v>219</v>
      </c>
      <c r="D678" t="s">
        <v>327</v>
      </c>
      <c r="E678">
        <v>99999999</v>
      </c>
      <c r="F678">
        <v>11111111</v>
      </c>
      <c r="G678">
        <v>1111111111</v>
      </c>
      <c r="H678" t="s">
        <v>4247</v>
      </c>
      <c r="I678">
        <v>99999999</v>
      </c>
      <c r="J678" s="188">
        <v>45236</v>
      </c>
      <c r="K678" t="s">
        <v>4247</v>
      </c>
      <c r="L678" t="s">
        <v>4247</v>
      </c>
      <c r="M678" t="s">
        <v>380</v>
      </c>
      <c r="N678" t="s">
        <v>381</v>
      </c>
      <c r="O678" t="s">
        <v>1125</v>
      </c>
      <c r="P678" t="s">
        <v>221</v>
      </c>
      <c r="Q678" t="s">
        <v>82</v>
      </c>
      <c r="R678">
        <v>1</v>
      </c>
      <c r="S678">
        <v>11.666</v>
      </c>
      <c r="T678">
        <v>0</v>
      </c>
      <c r="U678">
        <v>1</v>
      </c>
      <c r="V678">
        <v>1</v>
      </c>
      <c r="W678">
        <v>26.9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1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</row>
    <row r="679" spans="1:37" x14ac:dyDescent="0.3">
      <c r="A679">
        <v>7979</v>
      </c>
      <c r="B679" t="s">
        <v>219</v>
      </c>
      <c r="D679" t="s">
        <v>327</v>
      </c>
      <c r="E679">
        <v>99999999</v>
      </c>
      <c r="F679">
        <v>11111111</v>
      </c>
      <c r="G679">
        <v>1111111111</v>
      </c>
      <c r="H679" t="s">
        <v>4248</v>
      </c>
      <c r="I679">
        <v>99999999</v>
      </c>
      <c r="J679" s="188">
        <v>45236</v>
      </c>
      <c r="K679" t="s">
        <v>4248</v>
      </c>
      <c r="L679" t="s">
        <v>4248</v>
      </c>
      <c r="M679" t="s">
        <v>176</v>
      </c>
      <c r="N679" t="s">
        <v>130</v>
      </c>
      <c r="O679" t="s">
        <v>1126</v>
      </c>
      <c r="P679" t="s">
        <v>221</v>
      </c>
      <c r="Q679" t="s">
        <v>82</v>
      </c>
      <c r="R679">
        <v>1</v>
      </c>
      <c r="S679">
        <v>0.51</v>
      </c>
      <c r="T679">
        <v>0</v>
      </c>
      <c r="U679">
        <v>1</v>
      </c>
      <c r="V679">
        <v>1</v>
      </c>
      <c r="W679">
        <v>21.54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1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</row>
    <row r="680" spans="1:37" x14ac:dyDescent="0.3">
      <c r="A680">
        <v>7979</v>
      </c>
      <c r="B680" t="s">
        <v>219</v>
      </c>
      <c r="D680" t="s">
        <v>327</v>
      </c>
      <c r="E680">
        <v>99999999</v>
      </c>
      <c r="F680">
        <v>11111111</v>
      </c>
      <c r="G680">
        <v>1111111111</v>
      </c>
      <c r="H680" t="s">
        <v>4249</v>
      </c>
      <c r="I680">
        <v>99999999</v>
      </c>
      <c r="J680" s="188">
        <v>45236</v>
      </c>
      <c r="K680" t="s">
        <v>4249</v>
      </c>
      <c r="L680" t="s">
        <v>4249</v>
      </c>
      <c r="M680" t="s">
        <v>569</v>
      </c>
      <c r="N680" t="s">
        <v>99</v>
      </c>
      <c r="O680" t="s">
        <v>1127</v>
      </c>
      <c r="P680" t="s">
        <v>221</v>
      </c>
      <c r="Q680" t="s">
        <v>82</v>
      </c>
      <c r="R680">
        <v>4</v>
      </c>
      <c r="S680">
        <v>20</v>
      </c>
      <c r="T680">
        <v>0</v>
      </c>
      <c r="U680">
        <v>1</v>
      </c>
      <c r="V680">
        <v>1</v>
      </c>
      <c r="W680">
        <v>28.56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4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</row>
    <row r="681" spans="1:37" x14ac:dyDescent="0.3">
      <c r="A681">
        <v>7979</v>
      </c>
      <c r="B681" t="s">
        <v>219</v>
      </c>
      <c r="D681" t="s">
        <v>327</v>
      </c>
      <c r="E681">
        <v>99999999</v>
      </c>
      <c r="F681">
        <v>11111111</v>
      </c>
      <c r="G681">
        <v>1111111111</v>
      </c>
      <c r="H681" t="s">
        <v>4250</v>
      </c>
      <c r="I681">
        <v>99999999</v>
      </c>
      <c r="J681" s="188">
        <v>45236</v>
      </c>
      <c r="K681" t="s">
        <v>4250</v>
      </c>
      <c r="L681" t="s">
        <v>4250</v>
      </c>
      <c r="M681" t="s">
        <v>1128</v>
      </c>
      <c r="N681" t="s">
        <v>197</v>
      </c>
      <c r="O681" t="s">
        <v>1129</v>
      </c>
      <c r="P681" t="s">
        <v>221</v>
      </c>
      <c r="Q681" t="s">
        <v>82</v>
      </c>
      <c r="R681">
        <v>1</v>
      </c>
      <c r="S681">
        <v>1.75</v>
      </c>
      <c r="T681">
        <v>0</v>
      </c>
      <c r="U681">
        <v>1</v>
      </c>
      <c r="V681">
        <v>1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1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</row>
    <row r="682" spans="1:37" x14ac:dyDescent="0.3">
      <c r="A682">
        <v>7979</v>
      </c>
      <c r="B682" t="s">
        <v>219</v>
      </c>
      <c r="D682" t="s">
        <v>327</v>
      </c>
      <c r="E682">
        <v>99999999</v>
      </c>
      <c r="F682">
        <v>11111111</v>
      </c>
      <c r="G682">
        <v>1111111111</v>
      </c>
      <c r="H682" t="s">
        <v>4251</v>
      </c>
      <c r="I682">
        <v>99999999</v>
      </c>
      <c r="J682" s="188">
        <v>45236</v>
      </c>
      <c r="K682" t="s">
        <v>4251</v>
      </c>
      <c r="L682" t="s">
        <v>4251</v>
      </c>
      <c r="M682" t="s">
        <v>1130</v>
      </c>
      <c r="N682" t="s">
        <v>522</v>
      </c>
      <c r="O682">
        <v>30033</v>
      </c>
      <c r="P682" t="s">
        <v>221</v>
      </c>
      <c r="Q682" t="s">
        <v>82</v>
      </c>
      <c r="R682">
        <v>1</v>
      </c>
      <c r="S682">
        <v>4.2</v>
      </c>
      <c r="T682">
        <v>0</v>
      </c>
      <c r="U682">
        <v>1</v>
      </c>
      <c r="V682">
        <v>1</v>
      </c>
      <c r="W682">
        <v>27.34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1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</row>
    <row r="683" spans="1:37" x14ac:dyDescent="0.3">
      <c r="A683">
        <v>7979</v>
      </c>
      <c r="B683" t="s">
        <v>219</v>
      </c>
      <c r="D683" t="s">
        <v>327</v>
      </c>
      <c r="E683">
        <v>99999999</v>
      </c>
      <c r="F683">
        <v>11111111</v>
      </c>
      <c r="G683">
        <v>1111111111</v>
      </c>
      <c r="H683" t="s">
        <v>4252</v>
      </c>
      <c r="I683">
        <v>99999999</v>
      </c>
      <c r="J683" s="188">
        <v>45236</v>
      </c>
      <c r="K683" t="s">
        <v>4252</v>
      </c>
      <c r="L683" t="s">
        <v>4252</v>
      </c>
      <c r="M683" t="s">
        <v>1131</v>
      </c>
      <c r="N683" t="s">
        <v>118</v>
      </c>
      <c r="O683" t="s">
        <v>1132</v>
      </c>
      <c r="P683" t="s">
        <v>221</v>
      </c>
      <c r="Q683" t="s">
        <v>82</v>
      </c>
      <c r="R683">
        <v>1</v>
      </c>
      <c r="S683">
        <v>1.6659999999999999</v>
      </c>
      <c r="T683">
        <v>0</v>
      </c>
      <c r="U683">
        <v>1</v>
      </c>
      <c r="V683">
        <v>1</v>
      </c>
      <c r="W683">
        <v>30.93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1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</row>
    <row r="684" spans="1:37" x14ac:dyDescent="0.3">
      <c r="A684">
        <v>7979</v>
      </c>
      <c r="B684" t="s">
        <v>219</v>
      </c>
      <c r="D684" t="s">
        <v>327</v>
      </c>
      <c r="E684">
        <v>99999999</v>
      </c>
      <c r="F684">
        <v>11111111</v>
      </c>
      <c r="G684">
        <v>1111111111</v>
      </c>
      <c r="H684" t="s">
        <v>4253</v>
      </c>
      <c r="I684">
        <v>99999999</v>
      </c>
      <c r="J684" s="188">
        <v>45236</v>
      </c>
      <c r="K684" t="s">
        <v>4253</v>
      </c>
      <c r="L684" t="s">
        <v>4253</v>
      </c>
      <c r="M684" t="s">
        <v>246</v>
      </c>
      <c r="N684" t="s">
        <v>99</v>
      </c>
      <c r="O684" t="s">
        <v>1133</v>
      </c>
      <c r="P684" t="s">
        <v>221</v>
      </c>
      <c r="Q684" t="s">
        <v>82</v>
      </c>
      <c r="R684">
        <v>2</v>
      </c>
      <c r="S684">
        <v>5</v>
      </c>
      <c r="T684">
        <v>0</v>
      </c>
      <c r="U684">
        <v>1</v>
      </c>
      <c r="V684">
        <v>2</v>
      </c>
      <c r="W684">
        <v>21.49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2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</row>
    <row r="685" spans="1:37" x14ac:dyDescent="0.3">
      <c r="A685">
        <v>7979</v>
      </c>
      <c r="B685" t="s">
        <v>219</v>
      </c>
      <c r="D685" t="s">
        <v>327</v>
      </c>
      <c r="E685">
        <v>99999999</v>
      </c>
      <c r="F685">
        <v>11111111</v>
      </c>
      <c r="G685">
        <v>1111111111</v>
      </c>
      <c r="H685" t="s">
        <v>4254</v>
      </c>
      <c r="I685">
        <v>99999999</v>
      </c>
      <c r="J685" s="188">
        <v>45236</v>
      </c>
      <c r="K685" t="s">
        <v>4254</v>
      </c>
      <c r="L685" t="s">
        <v>4254</v>
      </c>
      <c r="M685" t="s">
        <v>861</v>
      </c>
      <c r="N685" t="s">
        <v>97</v>
      </c>
      <c r="O685">
        <v>98019</v>
      </c>
      <c r="P685" t="s">
        <v>221</v>
      </c>
      <c r="Q685" t="s">
        <v>82</v>
      </c>
      <c r="R685">
        <v>1</v>
      </c>
      <c r="S685">
        <v>10.46</v>
      </c>
      <c r="T685">
        <v>0</v>
      </c>
      <c r="U685">
        <v>1</v>
      </c>
      <c r="V685">
        <v>1</v>
      </c>
      <c r="W685">
        <v>32.909999999999997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1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</row>
    <row r="686" spans="1:37" x14ac:dyDescent="0.3">
      <c r="A686">
        <v>7979</v>
      </c>
      <c r="B686" t="s">
        <v>219</v>
      </c>
      <c r="D686" t="s">
        <v>327</v>
      </c>
      <c r="E686">
        <v>99999999</v>
      </c>
      <c r="F686">
        <v>11111111</v>
      </c>
      <c r="G686">
        <v>1111111111</v>
      </c>
      <c r="H686" t="s">
        <v>4255</v>
      </c>
      <c r="I686">
        <v>99999999</v>
      </c>
      <c r="J686" s="188">
        <v>45236</v>
      </c>
      <c r="K686" t="s">
        <v>4255</v>
      </c>
      <c r="L686" t="s">
        <v>4255</v>
      </c>
      <c r="M686" t="s">
        <v>1134</v>
      </c>
      <c r="N686" t="s">
        <v>1135</v>
      </c>
      <c r="O686" t="s">
        <v>1136</v>
      </c>
      <c r="P686" t="s">
        <v>221</v>
      </c>
      <c r="Q686" t="s">
        <v>82</v>
      </c>
      <c r="R686">
        <v>1</v>
      </c>
      <c r="S686">
        <v>0.01</v>
      </c>
      <c r="T686">
        <v>0</v>
      </c>
      <c r="U686">
        <v>1</v>
      </c>
      <c r="V686">
        <v>1</v>
      </c>
      <c r="W686">
        <v>20.78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1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</row>
    <row r="687" spans="1:37" x14ac:dyDescent="0.3">
      <c r="A687">
        <v>7979</v>
      </c>
      <c r="B687" t="s">
        <v>219</v>
      </c>
      <c r="D687" t="s">
        <v>327</v>
      </c>
      <c r="E687">
        <v>99999999</v>
      </c>
      <c r="F687">
        <v>11111111</v>
      </c>
      <c r="G687">
        <v>1111111111</v>
      </c>
      <c r="H687" t="s">
        <v>4256</v>
      </c>
      <c r="I687">
        <v>99999999</v>
      </c>
      <c r="J687" s="188">
        <v>45236</v>
      </c>
      <c r="K687" t="s">
        <v>4256</v>
      </c>
      <c r="L687" t="s">
        <v>4256</v>
      </c>
      <c r="M687" t="s">
        <v>1137</v>
      </c>
      <c r="N687" t="s">
        <v>99</v>
      </c>
      <c r="O687" t="s">
        <v>1138</v>
      </c>
      <c r="P687" t="s">
        <v>221</v>
      </c>
      <c r="Q687" t="s">
        <v>82</v>
      </c>
      <c r="R687">
        <v>2</v>
      </c>
      <c r="S687">
        <v>8.8000000000000007</v>
      </c>
      <c r="T687">
        <v>0</v>
      </c>
      <c r="U687">
        <v>1</v>
      </c>
      <c r="V687">
        <v>1</v>
      </c>
      <c r="W687">
        <v>24.41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2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</row>
    <row r="688" spans="1:37" x14ac:dyDescent="0.3">
      <c r="A688">
        <v>7979</v>
      </c>
      <c r="B688" t="s">
        <v>219</v>
      </c>
      <c r="D688" t="s">
        <v>327</v>
      </c>
      <c r="E688">
        <v>99999999</v>
      </c>
      <c r="F688">
        <v>11111111</v>
      </c>
      <c r="G688">
        <v>1111111111</v>
      </c>
      <c r="H688" t="s">
        <v>4257</v>
      </c>
      <c r="I688">
        <v>99999999</v>
      </c>
      <c r="J688" s="188">
        <v>45236</v>
      </c>
      <c r="K688" t="s">
        <v>4257</v>
      </c>
      <c r="L688" t="s">
        <v>4257</v>
      </c>
      <c r="M688" t="s">
        <v>647</v>
      </c>
      <c r="N688" t="s">
        <v>99</v>
      </c>
      <c r="O688" t="s">
        <v>1081</v>
      </c>
      <c r="P688" t="s">
        <v>221</v>
      </c>
      <c r="Q688" t="s">
        <v>82</v>
      </c>
      <c r="R688">
        <v>1</v>
      </c>
      <c r="S688">
        <v>5</v>
      </c>
      <c r="T688">
        <v>0</v>
      </c>
      <c r="U688">
        <v>1</v>
      </c>
      <c r="V688">
        <v>1</v>
      </c>
      <c r="W688">
        <v>29.21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1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</row>
    <row r="689" spans="1:37" x14ac:dyDescent="0.3">
      <c r="A689">
        <v>7979</v>
      </c>
      <c r="B689" t="s">
        <v>219</v>
      </c>
      <c r="D689" t="s">
        <v>327</v>
      </c>
      <c r="E689">
        <v>99999999</v>
      </c>
      <c r="F689">
        <v>11111111</v>
      </c>
      <c r="G689">
        <v>1111111111</v>
      </c>
      <c r="H689" t="s">
        <v>4258</v>
      </c>
      <c r="I689">
        <v>99999999</v>
      </c>
      <c r="J689" s="188">
        <v>45236</v>
      </c>
      <c r="K689" t="s">
        <v>4258</v>
      </c>
      <c r="L689" t="s">
        <v>4258</v>
      </c>
      <c r="M689" t="s">
        <v>1139</v>
      </c>
      <c r="N689" t="s">
        <v>99</v>
      </c>
      <c r="O689" t="s">
        <v>1140</v>
      </c>
      <c r="P689" t="s">
        <v>221</v>
      </c>
      <c r="Q689" t="s">
        <v>82</v>
      </c>
      <c r="R689">
        <v>6</v>
      </c>
      <c r="S689">
        <v>4.8</v>
      </c>
      <c r="T689">
        <v>0</v>
      </c>
      <c r="U689">
        <v>1</v>
      </c>
      <c r="V689">
        <v>1</v>
      </c>
      <c r="W689">
        <v>23.09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6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</row>
    <row r="690" spans="1:37" x14ac:dyDescent="0.3">
      <c r="A690">
        <v>7979</v>
      </c>
      <c r="B690" t="s">
        <v>219</v>
      </c>
      <c r="D690" t="s">
        <v>327</v>
      </c>
      <c r="E690">
        <v>99999999</v>
      </c>
      <c r="F690">
        <v>11111111</v>
      </c>
      <c r="G690">
        <v>1111111111</v>
      </c>
      <c r="H690" t="s">
        <v>4259</v>
      </c>
      <c r="I690">
        <v>99999999</v>
      </c>
      <c r="J690" s="188">
        <v>45236</v>
      </c>
      <c r="K690" t="s">
        <v>4259</v>
      </c>
      <c r="L690" t="s">
        <v>4259</v>
      </c>
      <c r="M690" t="s">
        <v>1141</v>
      </c>
      <c r="N690" t="s">
        <v>97</v>
      </c>
      <c r="O690" t="s">
        <v>1142</v>
      </c>
      <c r="P690" t="s">
        <v>221</v>
      </c>
      <c r="Q690" t="s">
        <v>82</v>
      </c>
      <c r="R690">
        <v>1</v>
      </c>
      <c r="S690">
        <v>11.666</v>
      </c>
      <c r="T690">
        <v>0</v>
      </c>
      <c r="U690">
        <v>1</v>
      </c>
      <c r="V690">
        <v>1</v>
      </c>
      <c r="W690">
        <v>31.17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1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</row>
    <row r="691" spans="1:37" x14ac:dyDescent="0.3">
      <c r="A691">
        <v>7979</v>
      </c>
      <c r="B691" t="s">
        <v>219</v>
      </c>
      <c r="D691" t="s">
        <v>327</v>
      </c>
      <c r="E691">
        <v>99999999</v>
      </c>
      <c r="F691">
        <v>11111111</v>
      </c>
      <c r="G691">
        <v>1111111111</v>
      </c>
      <c r="H691" t="s">
        <v>4260</v>
      </c>
      <c r="I691">
        <v>99999999</v>
      </c>
      <c r="J691" s="188">
        <v>45236</v>
      </c>
      <c r="K691" t="s">
        <v>4260</v>
      </c>
      <c r="L691" t="s">
        <v>4260</v>
      </c>
      <c r="M691" t="s">
        <v>1143</v>
      </c>
      <c r="N691" t="s">
        <v>118</v>
      </c>
      <c r="O691" t="s">
        <v>1144</v>
      </c>
      <c r="P691" t="s">
        <v>221</v>
      </c>
      <c r="Q691" t="s">
        <v>82</v>
      </c>
      <c r="R691">
        <v>1</v>
      </c>
      <c r="S691">
        <v>2.2000000000000002</v>
      </c>
      <c r="T691">
        <v>0</v>
      </c>
      <c r="U691">
        <v>1</v>
      </c>
      <c r="V691">
        <v>1</v>
      </c>
      <c r="W691">
        <v>30.93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1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</row>
    <row r="692" spans="1:37" x14ac:dyDescent="0.3">
      <c r="A692">
        <v>7979</v>
      </c>
      <c r="B692" t="s">
        <v>219</v>
      </c>
      <c r="D692" t="s">
        <v>327</v>
      </c>
      <c r="E692">
        <v>99999999</v>
      </c>
      <c r="F692">
        <v>11111111</v>
      </c>
      <c r="G692">
        <v>1111111111</v>
      </c>
      <c r="H692" t="s">
        <v>4261</v>
      </c>
      <c r="I692">
        <v>99999999</v>
      </c>
      <c r="J692" s="188">
        <v>45236</v>
      </c>
      <c r="K692" t="s">
        <v>4261</v>
      </c>
      <c r="L692" t="s">
        <v>4261</v>
      </c>
      <c r="M692" t="s">
        <v>406</v>
      </c>
      <c r="N692" t="s">
        <v>99</v>
      </c>
      <c r="O692" t="s">
        <v>1145</v>
      </c>
      <c r="P692" t="s">
        <v>221</v>
      </c>
      <c r="Q692" t="s">
        <v>82</v>
      </c>
      <c r="R692">
        <v>1</v>
      </c>
      <c r="S692">
        <v>2.4500000000000002</v>
      </c>
      <c r="T692">
        <v>0</v>
      </c>
      <c r="U692">
        <v>1</v>
      </c>
      <c r="V692">
        <v>1</v>
      </c>
      <c r="W692">
        <v>21.88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1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</row>
    <row r="693" spans="1:37" x14ac:dyDescent="0.3">
      <c r="A693">
        <v>7979</v>
      </c>
      <c r="B693" t="s">
        <v>219</v>
      </c>
      <c r="D693" t="s">
        <v>327</v>
      </c>
      <c r="E693">
        <v>99999999</v>
      </c>
      <c r="F693">
        <v>11111111</v>
      </c>
      <c r="G693">
        <v>1111111111</v>
      </c>
      <c r="H693" t="s">
        <v>4262</v>
      </c>
      <c r="I693">
        <v>99999999</v>
      </c>
      <c r="J693" s="188">
        <v>45236</v>
      </c>
      <c r="K693" t="s">
        <v>4262</v>
      </c>
      <c r="L693" t="s">
        <v>4262</v>
      </c>
      <c r="M693" t="s">
        <v>491</v>
      </c>
      <c r="N693" t="s">
        <v>130</v>
      </c>
      <c r="O693" t="s">
        <v>1146</v>
      </c>
      <c r="P693" t="s">
        <v>221</v>
      </c>
      <c r="Q693" t="s">
        <v>82</v>
      </c>
      <c r="R693">
        <v>6</v>
      </c>
      <c r="S693">
        <v>0.54</v>
      </c>
      <c r="T693">
        <v>0</v>
      </c>
      <c r="U693">
        <v>1</v>
      </c>
      <c r="V693">
        <v>2</v>
      </c>
      <c r="W693">
        <v>29.8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6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</row>
    <row r="694" spans="1:37" x14ac:dyDescent="0.3">
      <c r="A694">
        <v>7979</v>
      </c>
      <c r="B694" t="s">
        <v>219</v>
      </c>
      <c r="D694" t="s">
        <v>327</v>
      </c>
      <c r="E694">
        <v>99999999</v>
      </c>
      <c r="F694">
        <v>11111111</v>
      </c>
      <c r="G694">
        <v>1111111111</v>
      </c>
      <c r="H694" t="s">
        <v>4263</v>
      </c>
      <c r="I694">
        <v>99999999</v>
      </c>
      <c r="J694" s="188">
        <v>45236</v>
      </c>
      <c r="K694" t="s">
        <v>4263</v>
      </c>
      <c r="L694" t="s">
        <v>4263</v>
      </c>
      <c r="M694" t="s">
        <v>196</v>
      </c>
      <c r="N694" t="s">
        <v>99</v>
      </c>
      <c r="O694" t="s">
        <v>1147</v>
      </c>
      <c r="P694" t="s">
        <v>221</v>
      </c>
      <c r="Q694" t="s">
        <v>82</v>
      </c>
      <c r="R694">
        <v>1</v>
      </c>
      <c r="S694">
        <v>2.4</v>
      </c>
      <c r="T694">
        <v>0</v>
      </c>
      <c r="U694">
        <v>1</v>
      </c>
      <c r="V694">
        <v>1</v>
      </c>
      <c r="W694">
        <v>22.52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1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</row>
    <row r="695" spans="1:37" x14ac:dyDescent="0.3">
      <c r="A695">
        <v>7979</v>
      </c>
      <c r="B695" t="s">
        <v>219</v>
      </c>
      <c r="D695" t="s">
        <v>327</v>
      </c>
      <c r="E695">
        <v>99999999</v>
      </c>
      <c r="F695">
        <v>11111111</v>
      </c>
      <c r="G695">
        <v>1111111111</v>
      </c>
      <c r="H695" t="s">
        <v>4264</v>
      </c>
      <c r="I695">
        <v>99999999</v>
      </c>
      <c r="J695" s="188">
        <v>45236</v>
      </c>
      <c r="K695" t="s">
        <v>4264</v>
      </c>
      <c r="L695" t="s">
        <v>4264</v>
      </c>
      <c r="M695" t="s">
        <v>173</v>
      </c>
      <c r="N695" t="s">
        <v>164</v>
      </c>
      <c r="O695" t="s">
        <v>1148</v>
      </c>
      <c r="P695" t="s">
        <v>221</v>
      </c>
      <c r="Q695" t="s">
        <v>82</v>
      </c>
      <c r="R695">
        <v>1</v>
      </c>
      <c r="S695">
        <v>3.4</v>
      </c>
      <c r="T695">
        <v>0</v>
      </c>
      <c r="U695">
        <v>1</v>
      </c>
      <c r="V695">
        <v>1</v>
      </c>
      <c r="W695">
        <v>22.52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1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</row>
    <row r="696" spans="1:37" x14ac:dyDescent="0.3">
      <c r="A696">
        <v>7979</v>
      </c>
      <c r="B696" t="s">
        <v>219</v>
      </c>
      <c r="D696" t="s">
        <v>327</v>
      </c>
      <c r="E696">
        <v>99999999</v>
      </c>
      <c r="F696">
        <v>11111111</v>
      </c>
      <c r="G696">
        <v>1111111111</v>
      </c>
      <c r="H696" t="s">
        <v>4265</v>
      </c>
      <c r="I696">
        <v>99999999</v>
      </c>
      <c r="J696" s="188">
        <v>45236</v>
      </c>
      <c r="K696" t="s">
        <v>4265</v>
      </c>
      <c r="L696" t="s">
        <v>4265</v>
      </c>
      <c r="M696" t="s">
        <v>1149</v>
      </c>
      <c r="N696" t="s">
        <v>197</v>
      </c>
      <c r="O696">
        <v>79501</v>
      </c>
      <c r="P696" t="s">
        <v>221</v>
      </c>
      <c r="Q696" t="s">
        <v>82</v>
      </c>
      <c r="R696">
        <v>24</v>
      </c>
      <c r="S696">
        <v>17.399999999999999</v>
      </c>
      <c r="T696">
        <v>0</v>
      </c>
      <c r="U696">
        <v>1</v>
      </c>
      <c r="V696">
        <v>2</v>
      </c>
      <c r="W696">
        <v>43.19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24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</row>
    <row r="697" spans="1:37" x14ac:dyDescent="0.3">
      <c r="A697">
        <v>7979</v>
      </c>
      <c r="B697" t="s">
        <v>219</v>
      </c>
      <c r="D697" t="s">
        <v>327</v>
      </c>
      <c r="E697">
        <v>99999999</v>
      </c>
      <c r="F697">
        <v>11111111</v>
      </c>
      <c r="G697">
        <v>1111111111</v>
      </c>
      <c r="H697" t="s">
        <v>4266</v>
      </c>
      <c r="I697">
        <v>99999999</v>
      </c>
      <c r="J697" s="188">
        <v>45236</v>
      </c>
      <c r="K697" t="s">
        <v>4266</v>
      </c>
      <c r="L697" t="s">
        <v>4266</v>
      </c>
      <c r="M697" t="s">
        <v>1150</v>
      </c>
      <c r="N697" t="s">
        <v>231</v>
      </c>
      <c r="O697" t="s">
        <v>1151</v>
      </c>
      <c r="P697" t="s">
        <v>221</v>
      </c>
      <c r="Q697" t="s">
        <v>82</v>
      </c>
      <c r="R697">
        <v>1</v>
      </c>
      <c r="S697">
        <v>1</v>
      </c>
      <c r="T697">
        <v>0</v>
      </c>
      <c r="U697">
        <v>1</v>
      </c>
      <c r="V697">
        <v>1</v>
      </c>
      <c r="W697">
        <v>23.1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1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</row>
    <row r="698" spans="1:37" x14ac:dyDescent="0.3">
      <c r="A698">
        <v>7979</v>
      </c>
      <c r="B698" t="s">
        <v>219</v>
      </c>
      <c r="D698" t="s">
        <v>327</v>
      </c>
      <c r="E698">
        <v>99999999</v>
      </c>
      <c r="F698">
        <v>11111111</v>
      </c>
      <c r="G698">
        <v>1111111111</v>
      </c>
      <c r="H698" t="s">
        <v>4267</v>
      </c>
      <c r="I698">
        <v>99999999</v>
      </c>
      <c r="J698" s="188">
        <v>45236</v>
      </c>
      <c r="K698" t="s">
        <v>4267</v>
      </c>
      <c r="L698" t="s">
        <v>4267</v>
      </c>
      <c r="M698" t="s">
        <v>992</v>
      </c>
      <c r="N698" t="s">
        <v>97</v>
      </c>
      <c r="O698" t="s">
        <v>993</v>
      </c>
      <c r="P698" t="s">
        <v>221</v>
      </c>
      <c r="Q698" t="s">
        <v>82</v>
      </c>
      <c r="R698">
        <v>2</v>
      </c>
      <c r="S698">
        <v>3</v>
      </c>
      <c r="T698">
        <v>0</v>
      </c>
      <c r="U698">
        <v>1</v>
      </c>
      <c r="V698">
        <v>2</v>
      </c>
      <c r="W698">
        <v>22.52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2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</row>
    <row r="699" spans="1:37" x14ac:dyDescent="0.3">
      <c r="A699">
        <v>7979</v>
      </c>
      <c r="B699" t="s">
        <v>219</v>
      </c>
      <c r="D699" t="s">
        <v>327</v>
      </c>
      <c r="E699">
        <v>99999999</v>
      </c>
      <c r="F699">
        <v>11111111</v>
      </c>
      <c r="G699">
        <v>1111111111</v>
      </c>
      <c r="H699" t="s">
        <v>4268</v>
      </c>
      <c r="I699">
        <v>99999999</v>
      </c>
      <c r="J699" s="188">
        <v>45236</v>
      </c>
      <c r="K699" t="s">
        <v>4268</v>
      </c>
      <c r="L699" t="s">
        <v>4268</v>
      </c>
      <c r="M699" t="s">
        <v>448</v>
      </c>
      <c r="N699" t="s">
        <v>197</v>
      </c>
      <c r="O699" t="s">
        <v>1152</v>
      </c>
      <c r="P699" t="s">
        <v>221</v>
      </c>
      <c r="Q699" t="s">
        <v>82</v>
      </c>
      <c r="R699">
        <v>2</v>
      </c>
      <c r="S699">
        <v>15.72</v>
      </c>
      <c r="T699">
        <v>0</v>
      </c>
      <c r="U699">
        <v>1</v>
      </c>
      <c r="V699">
        <v>1</v>
      </c>
      <c r="W699">
        <v>40.01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2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</row>
    <row r="700" spans="1:37" x14ac:dyDescent="0.3">
      <c r="A700">
        <v>7979</v>
      </c>
      <c r="B700" t="s">
        <v>219</v>
      </c>
      <c r="D700" t="s">
        <v>327</v>
      </c>
      <c r="E700">
        <v>99999999</v>
      </c>
      <c r="F700">
        <v>11111111</v>
      </c>
      <c r="G700">
        <v>1111111111</v>
      </c>
      <c r="H700" t="s">
        <v>4269</v>
      </c>
      <c r="I700">
        <v>99999999</v>
      </c>
      <c r="J700" s="188">
        <v>45236</v>
      </c>
      <c r="K700" t="s">
        <v>4269</v>
      </c>
      <c r="L700" t="s">
        <v>4269</v>
      </c>
      <c r="M700" t="s">
        <v>1153</v>
      </c>
      <c r="N700" t="s">
        <v>239</v>
      </c>
      <c r="O700" t="s">
        <v>1154</v>
      </c>
      <c r="P700" t="s">
        <v>221</v>
      </c>
      <c r="Q700" t="s">
        <v>82</v>
      </c>
      <c r="R700">
        <v>1</v>
      </c>
      <c r="S700">
        <v>1.44</v>
      </c>
      <c r="T700">
        <v>0</v>
      </c>
      <c r="U700">
        <v>1</v>
      </c>
      <c r="V700">
        <v>1</v>
      </c>
      <c r="W700">
        <v>22.21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1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</row>
    <row r="701" spans="1:37" x14ac:dyDescent="0.3">
      <c r="A701">
        <v>7979</v>
      </c>
      <c r="B701" t="s">
        <v>219</v>
      </c>
      <c r="D701" t="s">
        <v>327</v>
      </c>
      <c r="E701">
        <v>99999999</v>
      </c>
      <c r="F701">
        <v>11111111</v>
      </c>
      <c r="G701">
        <v>1111111111</v>
      </c>
      <c r="H701" t="s">
        <v>4270</v>
      </c>
      <c r="I701">
        <v>99999999</v>
      </c>
      <c r="J701" s="188">
        <v>45236</v>
      </c>
      <c r="K701" t="s">
        <v>4270</v>
      </c>
      <c r="L701" t="s">
        <v>4270</v>
      </c>
      <c r="M701" t="s">
        <v>1155</v>
      </c>
      <c r="N701" t="s">
        <v>402</v>
      </c>
      <c r="O701">
        <v>23508</v>
      </c>
      <c r="P701" t="s">
        <v>221</v>
      </c>
      <c r="Q701" t="s">
        <v>82</v>
      </c>
      <c r="R701">
        <v>1</v>
      </c>
      <c r="S701">
        <v>0.11</v>
      </c>
      <c r="T701">
        <v>0</v>
      </c>
      <c r="U701">
        <v>1</v>
      </c>
      <c r="V701">
        <v>1</v>
      </c>
      <c r="W701">
        <v>20.78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1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</row>
    <row r="702" spans="1:37" x14ac:dyDescent="0.3">
      <c r="A702">
        <v>7979</v>
      </c>
      <c r="B702" t="s">
        <v>219</v>
      </c>
      <c r="D702" t="s">
        <v>327</v>
      </c>
      <c r="E702">
        <v>99999999</v>
      </c>
      <c r="F702">
        <v>11111111</v>
      </c>
      <c r="G702">
        <v>1111111111</v>
      </c>
      <c r="H702" t="s">
        <v>4271</v>
      </c>
      <c r="I702">
        <v>99999999</v>
      </c>
      <c r="J702" s="188">
        <v>45236</v>
      </c>
      <c r="K702" t="s">
        <v>4271</v>
      </c>
      <c r="L702" t="s">
        <v>4271</v>
      </c>
      <c r="M702" t="s">
        <v>505</v>
      </c>
      <c r="N702" t="s">
        <v>99</v>
      </c>
      <c r="O702">
        <v>92253</v>
      </c>
      <c r="P702" t="s">
        <v>221</v>
      </c>
      <c r="Q702" t="s">
        <v>82</v>
      </c>
      <c r="R702">
        <v>5</v>
      </c>
      <c r="S702">
        <v>7.5</v>
      </c>
      <c r="T702">
        <v>0</v>
      </c>
      <c r="U702">
        <v>1</v>
      </c>
      <c r="V702">
        <v>1</v>
      </c>
      <c r="W702">
        <v>25.57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5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</row>
    <row r="703" spans="1:37" x14ac:dyDescent="0.3">
      <c r="A703">
        <v>7979</v>
      </c>
      <c r="B703" t="s">
        <v>219</v>
      </c>
      <c r="D703" t="s">
        <v>327</v>
      </c>
      <c r="E703">
        <v>99999999</v>
      </c>
      <c r="F703">
        <v>11111111</v>
      </c>
      <c r="G703">
        <v>1111111111</v>
      </c>
      <c r="H703" t="s">
        <v>4272</v>
      </c>
      <c r="I703">
        <v>99999999</v>
      </c>
      <c r="J703" s="188">
        <v>45236</v>
      </c>
      <c r="K703" t="s">
        <v>4272</v>
      </c>
      <c r="L703" t="s">
        <v>4272</v>
      </c>
      <c r="M703" t="s">
        <v>1156</v>
      </c>
      <c r="N703" t="s">
        <v>141</v>
      </c>
      <c r="O703">
        <v>34432</v>
      </c>
      <c r="P703" t="s">
        <v>221</v>
      </c>
      <c r="Q703" t="s">
        <v>82</v>
      </c>
      <c r="R703">
        <v>1</v>
      </c>
      <c r="S703">
        <v>0.44</v>
      </c>
      <c r="T703">
        <v>0</v>
      </c>
      <c r="U703">
        <v>1</v>
      </c>
      <c r="V703">
        <v>1</v>
      </c>
      <c r="W703">
        <v>26.9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1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</row>
    <row r="704" spans="1:37" x14ac:dyDescent="0.3">
      <c r="A704">
        <v>7979</v>
      </c>
      <c r="B704" t="s">
        <v>219</v>
      </c>
      <c r="D704" t="s">
        <v>327</v>
      </c>
      <c r="E704">
        <v>99999999</v>
      </c>
      <c r="F704">
        <v>11111111</v>
      </c>
      <c r="G704">
        <v>1111111111</v>
      </c>
      <c r="H704" t="s">
        <v>4273</v>
      </c>
      <c r="I704">
        <v>99999999</v>
      </c>
      <c r="J704" s="188">
        <v>45236</v>
      </c>
      <c r="K704" t="s">
        <v>4273</v>
      </c>
      <c r="L704" t="s">
        <v>4273</v>
      </c>
      <c r="M704" t="s">
        <v>448</v>
      </c>
      <c r="N704" t="s">
        <v>197</v>
      </c>
      <c r="O704" t="s">
        <v>1157</v>
      </c>
      <c r="P704" t="s">
        <v>221</v>
      </c>
      <c r="Q704" t="s">
        <v>82</v>
      </c>
      <c r="R704">
        <v>1</v>
      </c>
      <c r="S704">
        <v>0.65</v>
      </c>
      <c r="T704">
        <v>0</v>
      </c>
      <c r="U704">
        <v>1</v>
      </c>
      <c r="V704">
        <v>1</v>
      </c>
      <c r="W704">
        <v>22.81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1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</row>
    <row r="705" spans="1:37" x14ac:dyDescent="0.3">
      <c r="A705">
        <v>7979</v>
      </c>
      <c r="B705" t="s">
        <v>219</v>
      </c>
      <c r="D705" t="s">
        <v>327</v>
      </c>
      <c r="E705">
        <v>99999999</v>
      </c>
      <c r="F705">
        <v>11111111</v>
      </c>
      <c r="G705">
        <v>1111111111</v>
      </c>
      <c r="H705" t="s">
        <v>4274</v>
      </c>
      <c r="I705">
        <v>99999999</v>
      </c>
      <c r="J705" s="188">
        <v>45236</v>
      </c>
      <c r="K705" t="s">
        <v>4274</v>
      </c>
      <c r="L705" t="s">
        <v>4274</v>
      </c>
      <c r="M705" t="s">
        <v>246</v>
      </c>
      <c r="N705" t="s">
        <v>99</v>
      </c>
      <c r="O705">
        <v>94122</v>
      </c>
      <c r="P705" t="s">
        <v>221</v>
      </c>
      <c r="Q705" t="s">
        <v>82</v>
      </c>
      <c r="R705">
        <v>1</v>
      </c>
      <c r="S705">
        <v>0.16</v>
      </c>
      <c r="T705">
        <v>0</v>
      </c>
      <c r="U705">
        <v>1</v>
      </c>
      <c r="V705">
        <v>1</v>
      </c>
      <c r="W705">
        <v>18.2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1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</row>
    <row r="706" spans="1:37" x14ac:dyDescent="0.3">
      <c r="A706">
        <v>7979</v>
      </c>
      <c r="B706" t="s">
        <v>219</v>
      </c>
      <c r="D706" t="s">
        <v>327</v>
      </c>
      <c r="E706">
        <v>99999999</v>
      </c>
      <c r="F706">
        <v>11111111</v>
      </c>
      <c r="G706">
        <v>1111111111</v>
      </c>
      <c r="H706" t="s">
        <v>4275</v>
      </c>
      <c r="I706">
        <v>99999999</v>
      </c>
      <c r="J706" s="188">
        <v>45236</v>
      </c>
      <c r="K706" t="s">
        <v>4275</v>
      </c>
      <c r="L706" t="s">
        <v>4275</v>
      </c>
      <c r="M706" t="s">
        <v>1158</v>
      </c>
      <c r="N706" t="s">
        <v>99</v>
      </c>
      <c r="O706" t="s">
        <v>1159</v>
      </c>
      <c r="P706" t="s">
        <v>221</v>
      </c>
      <c r="Q706" t="s">
        <v>82</v>
      </c>
      <c r="R706">
        <v>1</v>
      </c>
      <c r="S706">
        <v>0.5</v>
      </c>
      <c r="T706">
        <v>0</v>
      </c>
      <c r="U706">
        <v>1</v>
      </c>
      <c r="V706">
        <v>1</v>
      </c>
      <c r="W706">
        <v>19.3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1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</row>
    <row r="707" spans="1:37" x14ac:dyDescent="0.3">
      <c r="A707">
        <v>7979</v>
      </c>
      <c r="B707" t="s">
        <v>219</v>
      </c>
      <c r="D707" t="s">
        <v>327</v>
      </c>
      <c r="E707">
        <v>99999999</v>
      </c>
      <c r="F707">
        <v>11111111</v>
      </c>
      <c r="G707">
        <v>1111111111</v>
      </c>
      <c r="H707" t="s">
        <v>4276</v>
      </c>
      <c r="I707">
        <v>99999999</v>
      </c>
      <c r="J707" s="188">
        <v>45236</v>
      </c>
      <c r="K707" t="s">
        <v>4276</v>
      </c>
      <c r="L707" t="s">
        <v>4276</v>
      </c>
      <c r="M707" t="s">
        <v>865</v>
      </c>
      <c r="N707" t="s">
        <v>91</v>
      </c>
      <c r="O707" t="s">
        <v>1160</v>
      </c>
      <c r="P707" t="s">
        <v>221</v>
      </c>
      <c r="Q707" t="s">
        <v>82</v>
      </c>
      <c r="R707">
        <v>1</v>
      </c>
      <c r="S707">
        <v>0.75</v>
      </c>
      <c r="T707">
        <v>0</v>
      </c>
      <c r="U707">
        <v>1</v>
      </c>
      <c r="V707">
        <v>1</v>
      </c>
      <c r="W707">
        <v>21.54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1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</row>
    <row r="708" spans="1:37" x14ac:dyDescent="0.3">
      <c r="A708">
        <v>7979</v>
      </c>
      <c r="B708" t="s">
        <v>219</v>
      </c>
      <c r="D708" t="s">
        <v>327</v>
      </c>
      <c r="E708">
        <v>99999999</v>
      </c>
      <c r="F708">
        <v>11111111</v>
      </c>
      <c r="G708">
        <v>1111111111</v>
      </c>
      <c r="H708" t="s">
        <v>4277</v>
      </c>
      <c r="I708">
        <v>99999999</v>
      </c>
      <c r="J708" s="188">
        <v>45236</v>
      </c>
      <c r="K708" t="s">
        <v>4277</v>
      </c>
      <c r="L708" t="s">
        <v>4277</v>
      </c>
      <c r="M708" t="s">
        <v>343</v>
      </c>
      <c r="N708" t="s">
        <v>164</v>
      </c>
      <c r="O708" t="s">
        <v>1161</v>
      </c>
      <c r="P708" t="s">
        <v>221</v>
      </c>
      <c r="Q708" t="s">
        <v>82</v>
      </c>
      <c r="R708">
        <v>1</v>
      </c>
      <c r="S708">
        <v>0.15</v>
      </c>
      <c r="T708">
        <v>0</v>
      </c>
      <c r="U708">
        <v>1</v>
      </c>
      <c r="V708">
        <v>1</v>
      </c>
      <c r="W708">
        <v>19.3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1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</row>
    <row r="709" spans="1:37" x14ac:dyDescent="0.3">
      <c r="A709">
        <v>7979</v>
      </c>
      <c r="B709" t="s">
        <v>219</v>
      </c>
      <c r="D709" t="s">
        <v>327</v>
      </c>
      <c r="E709">
        <v>99999999</v>
      </c>
      <c r="F709">
        <v>11111111</v>
      </c>
      <c r="G709">
        <v>1111111111</v>
      </c>
      <c r="H709" t="s">
        <v>4278</v>
      </c>
      <c r="I709">
        <v>99999999</v>
      </c>
      <c r="J709" s="188">
        <v>45236</v>
      </c>
      <c r="K709" t="s">
        <v>4278</v>
      </c>
      <c r="L709" t="s">
        <v>4278</v>
      </c>
      <c r="M709" t="s">
        <v>537</v>
      </c>
      <c r="N709" t="s">
        <v>130</v>
      </c>
      <c r="O709" t="s">
        <v>1162</v>
      </c>
      <c r="P709" t="s">
        <v>221</v>
      </c>
      <c r="Q709" t="s">
        <v>82</v>
      </c>
      <c r="R709">
        <v>1</v>
      </c>
      <c r="S709">
        <v>0.45</v>
      </c>
      <c r="T709">
        <v>0</v>
      </c>
      <c r="U709">
        <v>1</v>
      </c>
      <c r="V709">
        <v>1</v>
      </c>
      <c r="W709">
        <v>19.899999999999999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1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</row>
    <row r="710" spans="1:37" x14ac:dyDescent="0.3">
      <c r="A710">
        <v>7979</v>
      </c>
      <c r="B710" t="s">
        <v>219</v>
      </c>
      <c r="D710" t="s">
        <v>327</v>
      </c>
      <c r="E710">
        <v>99999999</v>
      </c>
      <c r="F710">
        <v>11111111</v>
      </c>
      <c r="G710">
        <v>1111111111</v>
      </c>
      <c r="H710" t="s">
        <v>4279</v>
      </c>
      <c r="I710">
        <v>99999999</v>
      </c>
      <c r="J710" s="188">
        <v>45236</v>
      </c>
      <c r="K710" t="s">
        <v>4279</v>
      </c>
      <c r="L710" t="s">
        <v>4279</v>
      </c>
      <c r="M710" t="s">
        <v>1163</v>
      </c>
      <c r="N710" t="s">
        <v>99</v>
      </c>
      <c r="O710" t="s">
        <v>1164</v>
      </c>
      <c r="P710" t="s">
        <v>221</v>
      </c>
      <c r="Q710" t="s">
        <v>82</v>
      </c>
      <c r="R710">
        <v>1</v>
      </c>
      <c r="S710">
        <v>1.21</v>
      </c>
      <c r="T710">
        <v>0</v>
      </c>
      <c r="U710">
        <v>1</v>
      </c>
      <c r="V710">
        <v>1</v>
      </c>
      <c r="W710">
        <v>24.77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1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</row>
    <row r="711" spans="1:37" x14ac:dyDescent="0.3">
      <c r="A711">
        <v>7979</v>
      </c>
      <c r="B711" t="s">
        <v>219</v>
      </c>
      <c r="D711" t="s">
        <v>327</v>
      </c>
      <c r="E711">
        <v>99999999</v>
      </c>
      <c r="F711">
        <v>11111111</v>
      </c>
      <c r="G711">
        <v>1111111111</v>
      </c>
      <c r="H711" t="s">
        <v>4280</v>
      </c>
      <c r="I711">
        <v>99999999</v>
      </c>
      <c r="J711" s="188">
        <v>45236</v>
      </c>
      <c r="K711" t="s">
        <v>4280</v>
      </c>
      <c r="L711" t="s">
        <v>4280</v>
      </c>
      <c r="M711" t="s">
        <v>1165</v>
      </c>
      <c r="N711" t="s">
        <v>226</v>
      </c>
      <c r="O711" t="s">
        <v>1166</v>
      </c>
      <c r="P711" t="s">
        <v>221</v>
      </c>
      <c r="Q711" t="s">
        <v>82</v>
      </c>
      <c r="R711">
        <v>1</v>
      </c>
      <c r="S711">
        <v>0.55000000000000004</v>
      </c>
      <c r="T711">
        <v>0</v>
      </c>
      <c r="U711">
        <v>1</v>
      </c>
      <c r="V711">
        <v>1</v>
      </c>
      <c r="W711">
        <v>29.22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1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</row>
    <row r="712" spans="1:37" x14ac:dyDescent="0.3">
      <c r="A712">
        <v>7979</v>
      </c>
      <c r="B712" t="s">
        <v>219</v>
      </c>
      <c r="D712" t="s">
        <v>327</v>
      </c>
      <c r="E712">
        <v>99999999</v>
      </c>
      <c r="F712">
        <v>11111111</v>
      </c>
      <c r="G712">
        <v>1111111111</v>
      </c>
      <c r="H712" t="s">
        <v>4281</v>
      </c>
      <c r="I712">
        <v>99999999</v>
      </c>
      <c r="J712" s="188">
        <v>45236</v>
      </c>
      <c r="K712" t="s">
        <v>4281</v>
      </c>
      <c r="L712" t="s">
        <v>4281</v>
      </c>
      <c r="M712" t="s">
        <v>1167</v>
      </c>
      <c r="N712" t="s">
        <v>99</v>
      </c>
      <c r="O712">
        <v>95439</v>
      </c>
      <c r="P712" t="s">
        <v>221</v>
      </c>
      <c r="Q712" t="s">
        <v>82</v>
      </c>
      <c r="R712">
        <v>1</v>
      </c>
      <c r="S712">
        <v>2.2999999999999998</v>
      </c>
      <c r="T712">
        <v>0</v>
      </c>
      <c r="U712">
        <v>1</v>
      </c>
      <c r="V712">
        <v>1</v>
      </c>
      <c r="W712">
        <v>26.8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1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</row>
    <row r="713" spans="1:37" x14ac:dyDescent="0.3">
      <c r="A713">
        <v>7979</v>
      </c>
      <c r="B713" t="s">
        <v>219</v>
      </c>
      <c r="D713" t="s">
        <v>327</v>
      </c>
      <c r="E713">
        <v>99999999</v>
      </c>
      <c r="F713">
        <v>11111111</v>
      </c>
      <c r="G713">
        <v>1111111111</v>
      </c>
      <c r="H713" t="s">
        <v>4282</v>
      </c>
      <c r="I713">
        <v>99999999</v>
      </c>
      <c r="J713" s="188">
        <v>45236</v>
      </c>
      <c r="K713" t="s">
        <v>4282</v>
      </c>
      <c r="L713" t="s">
        <v>4282</v>
      </c>
      <c r="M713" t="s">
        <v>1168</v>
      </c>
      <c r="N713" t="s">
        <v>122</v>
      </c>
      <c r="O713" t="s">
        <v>1169</v>
      </c>
      <c r="P713" t="s">
        <v>221</v>
      </c>
      <c r="Q713" t="s">
        <v>82</v>
      </c>
      <c r="R713">
        <v>2</v>
      </c>
      <c r="S713">
        <v>1.0009999999999999</v>
      </c>
      <c r="T713">
        <v>0</v>
      </c>
      <c r="U713">
        <v>1</v>
      </c>
      <c r="V713">
        <v>2</v>
      </c>
      <c r="W713">
        <v>29.8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2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</row>
    <row r="714" spans="1:37" x14ac:dyDescent="0.3">
      <c r="A714">
        <v>7979</v>
      </c>
      <c r="B714" t="s">
        <v>219</v>
      </c>
      <c r="D714" t="s">
        <v>327</v>
      </c>
      <c r="E714">
        <v>99999999</v>
      </c>
      <c r="F714">
        <v>11111111</v>
      </c>
      <c r="G714">
        <v>1111111111</v>
      </c>
      <c r="H714" t="s">
        <v>4283</v>
      </c>
      <c r="I714">
        <v>99999999</v>
      </c>
      <c r="J714" s="188">
        <v>45236</v>
      </c>
      <c r="K714" t="s">
        <v>4283</v>
      </c>
      <c r="L714" t="s">
        <v>4283</v>
      </c>
      <c r="M714" t="s">
        <v>1170</v>
      </c>
      <c r="N714" t="s">
        <v>241</v>
      </c>
      <c r="O714" t="s">
        <v>1171</v>
      </c>
      <c r="P714" t="s">
        <v>221</v>
      </c>
      <c r="Q714" t="s">
        <v>82</v>
      </c>
      <c r="R714">
        <v>1</v>
      </c>
      <c r="S714">
        <v>0.55000000000000004</v>
      </c>
      <c r="T714">
        <v>0</v>
      </c>
      <c r="U714">
        <v>1</v>
      </c>
      <c r="V714">
        <v>1</v>
      </c>
      <c r="W714">
        <v>22.81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1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</row>
    <row r="715" spans="1:37" x14ac:dyDescent="0.3">
      <c r="A715">
        <v>7979</v>
      </c>
      <c r="B715" t="s">
        <v>219</v>
      </c>
      <c r="D715" t="s">
        <v>327</v>
      </c>
      <c r="E715">
        <v>99999999</v>
      </c>
      <c r="F715">
        <v>11111111</v>
      </c>
      <c r="G715">
        <v>1111111111</v>
      </c>
      <c r="H715" t="s">
        <v>4284</v>
      </c>
      <c r="I715">
        <v>99999999</v>
      </c>
      <c r="J715" s="188">
        <v>45236</v>
      </c>
      <c r="K715" t="s">
        <v>4284</v>
      </c>
      <c r="L715" t="s">
        <v>4284</v>
      </c>
      <c r="M715" t="s">
        <v>1172</v>
      </c>
      <c r="N715" t="s">
        <v>99</v>
      </c>
      <c r="O715" t="s">
        <v>1173</v>
      </c>
      <c r="P715" t="s">
        <v>221</v>
      </c>
      <c r="Q715" t="s">
        <v>82</v>
      </c>
      <c r="R715">
        <v>1</v>
      </c>
      <c r="S715">
        <v>1</v>
      </c>
      <c r="T715">
        <v>0</v>
      </c>
      <c r="U715">
        <v>1</v>
      </c>
      <c r="V715">
        <v>1</v>
      </c>
      <c r="W715">
        <v>19.940000000000001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1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</row>
    <row r="716" spans="1:37" x14ac:dyDescent="0.3">
      <c r="A716">
        <v>7979</v>
      </c>
      <c r="B716" t="s">
        <v>219</v>
      </c>
      <c r="D716" t="s">
        <v>327</v>
      </c>
      <c r="E716">
        <v>99999999</v>
      </c>
      <c r="F716">
        <v>11111111</v>
      </c>
      <c r="G716">
        <v>1111111111</v>
      </c>
      <c r="H716" t="s">
        <v>4285</v>
      </c>
      <c r="I716">
        <v>99999999</v>
      </c>
      <c r="J716" s="188">
        <v>45236</v>
      </c>
      <c r="K716" t="s">
        <v>4285</v>
      </c>
      <c r="L716" t="s">
        <v>4285</v>
      </c>
      <c r="M716" t="s">
        <v>1174</v>
      </c>
      <c r="N716" t="s">
        <v>130</v>
      </c>
      <c r="O716" t="s">
        <v>1175</v>
      </c>
      <c r="P716" t="s">
        <v>221</v>
      </c>
      <c r="Q716" t="s">
        <v>82</v>
      </c>
      <c r="R716">
        <v>1</v>
      </c>
      <c r="S716">
        <v>0.55000000000000004</v>
      </c>
      <c r="T716">
        <v>0</v>
      </c>
      <c r="U716">
        <v>1</v>
      </c>
      <c r="V716">
        <v>1</v>
      </c>
      <c r="W716">
        <v>21.54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1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</row>
    <row r="717" spans="1:37" x14ac:dyDescent="0.3">
      <c r="A717">
        <v>7979</v>
      </c>
      <c r="B717" t="s">
        <v>219</v>
      </c>
      <c r="D717" t="s">
        <v>327</v>
      </c>
      <c r="E717">
        <v>99999999</v>
      </c>
      <c r="F717">
        <v>11111111</v>
      </c>
      <c r="G717">
        <v>1111111111</v>
      </c>
      <c r="H717" t="s">
        <v>4286</v>
      </c>
      <c r="I717">
        <v>99999999</v>
      </c>
      <c r="J717" s="188">
        <v>45236</v>
      </c>
      <c r="K717" t="s">
        <v>4286</v>
      </c>
      <c r="L717" t="s">
        <v>4286</v>
      </c>
      <c r="M717" t="s">
        <v>620</v>
      </c>
      <c r="N717" t="s">
        <v>130</v>
      </c>
      <c r="O717" t="s">
        <v>1176</v>
      </c>
      <c r="P717" t="s">
        <v>221</v>
      </c>
      <c r="Q717" t="s">
        <v>82</v>
      </c>
      <c r="R717">
        <v>1</v>
      </c>
      <c r="S717">
        <v>1</v>
      </c>
      <c r="T717">
        <v>0</v>
      </c>
      <c r="U717">
        <v>1</v>
      </c>
      <c r="V717">
        <v>1</v>
      </c>
      <c r="W717">
        <v>21.54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1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</row>
    <row r="718" spans="1:37" x14ac:dyDescent="0.3">
      <c r="A718">
        <v>7979</v>
      </c>
      <c r="B718" t="s">
        <v>219</v>
      </c>
      <c r="D718" t="s">
        <v>327</v>
      </c>
      <c r="E718">
        <v>99999999</v>
      </c>
      <c r="F718">
        <v>11111111</v>
      </c>
      <c r="G718">
        <v>1111111111</v>
      </c>
      <c r="H718" t="s">
        <v>4287</v>
      </c>
      <c r="I718">
        <v>99999999</v>
      </c>
      <c r="J718" s="188">
        <v>45236</v>
      </c>
      <c r="K718" t="s">
        <v>4287</v>
      </c>
      <c r="L718" t="s">
        <v>4287</v>
      </c>
      <c r="M718" t="s">
        <v>1177</v>
      </c>
      <c r="N718" t="s">
        <v>91</v>
      </c>
      <c r="O718" t="s">
        <v>1178</v>
      </c>
      <c r="P718" t="s">
        <v>221</v>
      </c>
      <c r="Q718" t="s">
        <v>82</v>
      </c>
      <c r="R718">
        <v>2</v>
      </c>
      <c r="S718">
        <v>1.54</v>
      </c>
      <c r="T718">
        <v>0</v>
      </c>
      <c r="U718">
        <v>1</v>
      </c>
      <c r="V718">
        <v>2</v>
      </c>
      <c r="W718">
        <v>37.75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2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</row>
    <row r="719" spans="1:37" x14ac:dyDescent="0.3">
      <c r="A719">
        <v>7979</v>
      </c>
      <c r="B719" t="s">
        <v>219</v>
      </c>
      <c r="D719" t="s">
        <v>327</v>
      </c>
      <c r="E719">
        <v>99999999</v>
      </c>
      <c r="F719">
        <v>11111111</v>
      </c>
      <c r="G719">
        <v>1111111111</v>
      </c>
      <c r="H719" t="s">
        <v>4288</v>
      </c>
      <c r="I719">
        <v>99999999</v>
      </c>
      <c r="J719" s="188">
        <v>45236</v>
      </c>
      <c r="K719" t="s">
        <v>4288</v>
      </c>
      <c r="L719" t="s">
        <v>4288</v>
      </c>
      <c r="M719" t="s">
        <v>852</v>
      </c>
      <c r="N719" t="s">
        <v>231</v>
      </c>
      <c r="O719" t="s">
        <v>1179</v>
      </c>
      <c r="P719" t="s">
        <v>221</v>
      </c>
      <c r="Q719" t="s">
        <v>82</v>
      </c>
      <c r="R719">
        <v>2</v>
      </c>
      <c r="S719">
        <v>14.7</v>
      </c>
      <c r="T719">
        <v>0</v>
      </c>
      <c r="U719">
        <v>1</v>
      </c>
      <c r="V719">
        <v>1</v>
      </c>
      <c r="W719">
        <v>41.53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2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</row>
    <row r="720" spans="1:37" x14ac:dyDescent="0.3">
      <c r="A720">
        <v>7979</v>
      </c>
      <c r="B720" t="s">
        <v>219</v>
      </c>
      <c r="D720" t="s">
        <v>327</v>
      </c>
      <c r="E720">
        <v>99999999</v>
      </c>
      <c r="F720">
        <v>11111111</v>
      </c>
      <c r="G720">
        <v>1111111111</v>
      </c>
      <c r="H720" t="s">
        <v>4289</v>
      </c>
      <c r="I720">
        <v>99999999</v>
      </c>
      <c r="J720" s="188">
        <v>45236</v>
      </c>
      <c r="K720" t="s">
        <v>4289</v>
      </c>
      <c r="L720" t="s">
        <v>4289</v>
      </c>
      <c r="M720" t="s">
        <v>1180</v>
      </c>
      <c r="N720" t="s">
        <v>97</v>
      </c>
      <c r="O720">
        <v>99352</v>
      </c>
      <c r="P720" t="s">
        <v>221</v>
      </c>
      <c r="Q720" t="s">
        <v>82</v>
      </c>
      <c r="R720">
        <v>2</v>
      </c>
      <c r="S720">
        <v>1.3</v>
      </c>
      <c r="T720">
        <v>0</v>
      </c>
      <c r="U720">
        <v>1</v>
      </c>
      <c r="V720">
        <v>2</v>
      </c>
      <c r="W720">
        <v>21.21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2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</row>
    <row r="721" spans="1:37" x14ac:dyDescent="0.3">
      <c r="A721">
        <v>7979</v>
      </c>
      <c r="B721" t="s">
        <v>219</v>
      </c>
      <c r="D721" t="s">
        <v>327</v>
      </c>
      <c r="E721">
        <v>99999999</v>
      </c>
      <c r="F721">
        <v>11111111</v>
      </c>
      <c r="G721">
        <v>1111111111</v>
      </c>
      <c r="H721" t="s">
        <v>4290</v>
      </c>
      <c r="I721">
        <v>99999999</v>
      </c>
      <c r="J721" s="188">
        <v>45236</v>
      </c>
      <c r="K721" t="s">
        <v>4290</v>
      </c>
      <c r="L721" t="s">
        <v>4290</v>
      </c>
      <c r="M721" t="s">
        <v>339</v>
      </c>
      <c r="N721" t="s">
        <v>97</v>
      </c>
      <c r="O721" t="s">
        <v>1181</v>
      </c>
      <c r="P721" t="s">
        <v>221</v>
      </c>
      <c r="Q721" t="s">
        <v>82</v>
      </c>
      <c r="R721">
        <v>1</v>
      </c>
      <c r="S721">
        <v>5.4</v>
      </c>
      <c r="T721">
        <v>0</v>
      </c>
      <c r="U721">
        <v>1</v>
      </c>
      <c r="V721">
        <v>1</v>
      </c>
      <c r="W721">
        <v>23.09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1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</row>
    <row r="722" spans="1:37" x14ac:dyDescent="0.3">
      <c r="A722">
        <v>7979</v>
      </c>
      <c r="B722" t="s">
        <v>219</v>
      </c>
      <c r="D722" t="s">
        <v>327</v>
      </c>
      <c r="E722">
        <v>99999999</v>
      </c>
      <c r="F722">
        <v>11111111</v>
      </c>
      <c r="G722">
        <v>1111111111</v>
      </c>
      <c r="H722" t="s">
        <v>4291</v>
      </c>
      <c r="I722">
        <v>99999999</v>
      </c>
      <c r="J722" s="188">
        <v>45236</v>
      </c>
      <c r="K722" t="s">
        <v>4291</v>
      </c>
      <c r="L722" t="s">
        <v>4291</v>
      </c>
      <c r="M722" t="s">
        <v>246</v>
      </c>
      <c r="N722" t="s">
        <v>99</v>
      </c>
      <c r="O722">
        <v>94112</v>
      </c>
      <c r="P722" t="s">
        <v>221</v>
      </c>
      <c r="Q722" t="s">
        <v>82</v>
      </c>
      <c r="R722">
        <v>2</v>
      </c>
      <c r="S722">
        <v>3.25</v>
      </c>
      <c r="T722">
        <v>0</v>
      </c>
      <c r="U722">
        <v>1</v>
      </c>
      <c r="V722">
        <v>2</v>
      </c>
      <c r="W722">
        <v>20.77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2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</row>
    <row r="723" spans="1:37" x14ac:dyDescent="0.3">
      <c r="A723">
        <v>7979</v>
      </c>
      <c r="B723" t="s">
        <v>219</v>
      </c>
      <c r="D723" t="s">
        <v>327</v>
      </c>
      <c r="E723">
        <v>99999999</v>
      </c>
      <c r="F723">
        <v>11111111</v>
      </c>
      <c r="G723">
        <v>1111111111</v>
      </c>
      <c r="H723" t="s">
        <v>4292</v>
      </c>
      <c r="I723">
        <v>99999999</v>
      </c>
      <c r="J723" s="188">
        <v>45236</v>
      </c>
      <c r="K723" t="s">
        <v>4292</v>
      </c>
      <c r="L723" t="s">
        <v>4292</v>
      </c>
      <c r="M723" t="s">
        <v>1182</v>
      </c>
      <c r="N723" t="s">
        <v>118</v>
      </c>
      <c r="O723" t="s">
        <v>1183</v>
      </c>
      <c r="P723" t="s">
        <v>221</v>
      </c>
      <c r="Q723" t="s">
        <v>82</v>
      </c>
      <c r="R723">
        <v>1</v>
      </c>
      <c r="S723">
        <v>1</v>
      </c>
      <c r="T723">
        <v>0</v>
      </c>
      <c r="U723">
        <v>1</v>
      </c>
      <c r="V723">
        <v>1</v>
      </c>
      <c r="W723">
        <v>23.1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1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</row>
    <row r="724" spans="1:37" x14ac:dyDescent="0.3">
      <c r="A724">
        <v>7979</v>
      </c>
      <c r="B724" t="s">
        <v>219</v>
      </c>
      <c r="D724" t="s">
        <v>327</v>
      </c>
      <c r="E724">
        <v>99999999</v>
      </c>
      <c r="F724">
        <v>11111111</v>
      </c>
      <c r="G724">
        <v>1111111111</v>
      </c>
      <c r="H724" t="s">
        <v>4293</v>
      </c>
      <c r="I724">
        <v>99999999</v>
      </c>
      <c r="J724" s="188">
        <v>45236</v>
      </c>
      <c r="K724" t="s">
        <v>4293</v>
      </c>
      <c r="L724" t="s">
        <v>4293</v>
      </c>
      <c r="M724" t="s">
        <v>1184</v>
      </c>
      <c r="N724" t="s">
        <v>135</v>
      </c>
      <c r="O724" t="s">
        <v>1185</v>
      </c>
      <c r="P724" t="s">
        <v>221</v>
      </c>
      <c r="Q724" t="s">
        <v>82</v>
      </c>
      <c r="R724">
        <v>1</v>
      </c>
      <c r="S724">
        <v>0.4</v>
      </c>
      <c r="T724">
        <v>0</v>
      </c>
      <c r="U724">
        <v>1</v>
      </c>
      <c r="V724">
        <v>1</v>
      </c>
      <c r="W724">
        <v>19.3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1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</row>
    <row r="725" spans="1:37" x14ac:dyDescent="0.3">
      <c r="A725">
        <v>7979</v>
      </c>
      <c r="B725" t="s">
        <v>219</v>
      </c>
      <c r="D725" t="s">
        <v>327</v>
      </c>
      <c r="E725">
        <v>99999999</v>
      </c>
      <c r="F725">
        <v>11111111</v>
      </c>
      <c r="G725">
        <v>1111111111</v>
      </c>
      <c r="H725" t="s">
        <v>4294</v>
      </c>
      <c r="I725">
        <v>99999999</v>
      </c>
      <c r="J725" s="188">
        <v>45236</v>
      </c>
      <c r="K725" t="s">
        <v>4294</v>
      </c>
      <c r="L725" t="s">
        <v>4294</v>
      </c>
      <c r="M725" t="s">
        <v>1186</v>
      </c>
      <c r="N725" t="s">
        <v>231</v>
      </c>
      <c r="O725">
        <v>2642</v>
      </c>
      <c r="P725" t="s">
        <v>221</v>
      </c>
      <c r="Q725" t="s">
        <v>82</v>
      </c>
      <c r="R725">
        <v>1</v>
      </c>
      <c r="S725">
        <v>3</v>
      </c>
      <c r="T725">
        <v>0</v>
      </c>
      <c r="U725">
        <v>1</v>
      </c>
      <c r="V725">
        <v>1</v>
      </c>
      <c r="W725">
        <v>32.270000000000003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1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</row>
    <row r="726" spans="1:37" x14ac:dyDescent="0.3">
      <c r="A726">
        <v>7979</v>
      </c>
      <c r="B726" t="s">
        <v>219</v>
      </c>
      <c r="D726" t="s">
        <v>327</v>
      </c>
      <c r="E726">
        <v>99999999</v>
      </c>
      <c r="F726">
        <v>11111111</v>
      </c>
      <c r="G726">
        <v>1111111111</v>
      </c>
      <c r="H726" t="s">
        <v>4295</v>
      </c>
      <c r="I726">
        <v>99999999</v>
      </c>
      <c r="J726" s="188">
        <v>45236</v>
      </c>
      <c r="K726" t="s">
        <v>4295</v>
      </c>
      <c r="L726" t="s">
        <v>4295</v>
      </c>
      <c r="M726" t="s">
        <v>1187</v>
      </c>
      <c r="N726" t="s">
        <v>97</v>
      </c>
      <c r="O726" t="s">
        <v>1188</v>
      </c>
      <c r="P726" t="s">
        <v>221</v>
      </c>
      <c r="Q726" t="s">
        <v>82</v>
      </c>
      <c r="R726">
        <v>9</v>
      </c>
      <c r="S726">
        <v>9</v>
      </c>
      <c r="T726">
        <v>0</v>
      </c>
      <c r="U726">
        <v>1</v>
      </c>
      <c r="V726">
        <v>1</v>
      </c>
      <c r="W726">
        <v>24.41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9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</row>
    <row r="727" spans="1:37" x14ac:dyDescent="0.3">
      <c r="A727">
        <v>7979</v>
      </c>
      <c r="B727" t="s">
        <v>219</v>
      </c>
      <c r="D727" t="s">
        <v>327</v>
      </c>
      <c r="E727">
        <v>99999999</v>
      </c>
      <c r="F727">
        <v>11111111</v>
      </c>
      <c r="G727">
        <v>1111111111</v>
      </c>
      <c r="H727" t="s">
        <v>4296</v>
      </c>
      <c r="I727">
        <v>99999999</v>
      </c>
      <c r="J727" s="188">
        <v>45236</v>
      </c>
      <c r="K727" t="s">
        <v>4296</v>
      </c>
      <c r="L727" t="s">
        <v>4296</v>
      </c>
      <c r="M727" t="s">
        <v>339</v>
      </c>
      <c r="N727" t="s">
        <v>97</v>
      </c>
      <c r="O727" t="s">
        <v>1181</v>
      </c>
      <c r="P727" t="s">
        <v>221</v>
      </c>
      <c r="Q727" t="s">
        <v>82</v>
      </c>
      <c r="R727">
        <v>1</v>
      </c>
      <c r="S727">
        <v>0.1</v>
      </c>
      <c r="T727">
        <v>0</v>
      </c>
      <c r="U727">
        <v>1</v>
      </c>
      <c r="V727">
        <v>1</v>
      </c>
      <c r="W727">
        <v>19.3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1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</row>
    <row r="728" spans="1:37" x14ac:dyDescent="0.3">
      <c r="A728">
        <v>7979</v>
      </c>
      <c r="B728" t="s">
        <v>219</v>
      </c>
      <c r="D728" t="s">
        <v>327</v>
      </c>
      <c r="E728">
        <v>99999999</v>
      </c>
      <c r="F728">
        <v>11111111</v>
      </c>
      <c r="G728">
        <v>1111111111</v>
      </c>
      <c r="H728" t="s">
        <v>4297</v>
      </c>
      <c r="I728">
        <v>99999999</v>
      </c>
      <c r="J728" s="188">
        <v>45236</v>
      </c>
      <c r="K728" t="s">
        <v>4297</v>
      </c>
      <c r="L728" t="s">
        <v>4297</v>
      </c>
      <c r="M728" t="s">
        <v>456</v>
      </c>
      <c r="N728" t="s">
        <v>122</v>
      </c>
      <c r="O728" t="s">
        <v>1189</v>
      </c>
      <c r="P728" t="s">
        <v>221</v>
      </c>
      <c r="Q728" t="s">
        <v>82</v>
      </c>
      <c r="R728">
        <v>1</v>
      </c>
      <c r="S728">
        <v>0.5</v>
      </c>
      <c r="T728">
        <v>0</v>
      </c>
      <c r="U728">
        <v>1</v>
      </c>
      <c r="V728">
        <v>1</v>
      </c>
      <c r="W728">
        <v>19.899999999999999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1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</row>
    <row r="729" spans="1:37" x14ac:dyDescent="0.3">
      <c r="A729">
        <v>7979</v>
      </c>
      <c r="B729" t="s">
        <v>219</v>
      </c>
      <c r="D729" t="s">
        <v>327</v>
      </c>
      <c r="E729">
        <v>99999999</v>
      </c>
      <c r="F729">
        <v>11111111</v>
      </c>
      <c r="G729">
        <v>1111111111</v>
      </c>
      <c r="H729" t="s">
        <v>4298</v>
      </c>
      <c r="I729">
        <v>99999999</v>
      </c>
      <c r="J729" s="188">
        <v>45236</v>
      </c>
      <c r="K729" t="s">
        <v>4298</v>
      </c>
      <c r="L729" t="s">
        <v>4298</v>
      </c>
      <c r="M729" t="s">
        <v>564</v>
      </c>
      <c r="N729" t="s">
        <v>307</v>
      </c>
      <c r="O729" t="s">
        <v>1190</v>
      </c>
      <c r="P729" t="s">
        <v>221</v>
      </c>
      <c r="Q729" t="s">
        <v>82</v>
      </c>
      <c r="R729">
        <v>1</v>
      </c>
      <c r="S729">
        <v>1.3</v>
      </c>
      <c r="T729">
        <v>0</v>
      </c>
      <c r="U729">
        <v>1</v>
      </c>
      <c r="V729">
        <v>1</v>
      </c>
      <c r="W729">
        <v>22.21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1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</row>
    <row r="730" spans="1:37" x14ac:dyDescent="0.3">
      <c r="A730">
        <v>7979</v>
      </c>
      <c r="B730" t="s">
        <v>219</v>
      </c>
      <c r="D730" t="s">
        <v>327</v>
      </c>
      <c r="E730">
        <v>99999999</v>
      </c>
      <c r="F730">
        <v>11111111</v>
      </c>
      <c r="G730">
        <v>1111111111</v>
      </c>
      <c r="H730" t="s">
        <v>4299</v>
      </c>
      <c r="I730">
        <v>99999999</v>
      </c>
      <c r="J730" s="188">
        <v>45236</v>
      </c>
      <c r="K730" t="s">
        <v>4299</v>
      </c>
      <c r="L730" t="s">
        <v>4299</v>
      </c>
      <c r="M730" t="s">
        <v>1191</v>
      </c>
      <c r="N730" t="s">
        <v>99</v>
      </c>
      <c r="O730" t="s">
        <v>1192</v>
      </c>
      <c r="P730" t="s">
        <v>221</v>
      </c>
      <c r="Q730" t="s">
        <v>82</v>
      </c>
      <c r="R730">
        <v>1</v>
      </c>
      <c r="S730">
        <v>0.7</v>
      </c>
      <c r="T730">
        <v>0</v>
      </c>
      <c r="U730">
        <v>1</v>
      </c>
      <c r="V730">
        <v>1</v>
      </c>
      <c r="W730">
        <v>19.940000000000001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1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</row>
    <row r="731" spans="1:37" x14ac:dyDescent="0.3">
      <c r="A731">
        <v>7979</v>
      </c>
      <c r="B731" t="s">
        <v>219</v>
      </c>
      <c r="D731" t="s">
        <v>327</v>
      </c>
      <c r="E731">
        <v>99999999</v>
      </c>
      <c r="F731">
        <v>11111111</v>
      </c>
      <c r="G731">
        <v>1111111111</v>
      </c>
      <c r="H731" t="s">
        <v>4300</v>
      </c>
      <c r="I731">
        <v>99999999</v>
      </c>
      <c r="J731" s="188">
        <v>45236</v>
      </c>
      <c r="K731" t="s">
        <v>4300</v>
      </c>
      <c r="L731" t="s">
        <v>4300</v>
      </c>
      <c r="M731" t="s">
        <v>285</v>
      </c>
      <c r="N731" t="s">
        <v>99</v>
      </c>
      <c r="O731" t="s">
        <v>1193</v>
      </c>
      <c r="P731" t="s">
        <v>221</v>
      </c>
      <c r="Q731" t="s">
        <v>82</v>
      </c>
      <c r="R731">
        <v>8</v>
      </c>
      <c r="S731">
        <v>9.08</v>
      </c>
      <c r="T731">
        <v>0</v>
      </c>
      <c r="U731">
        <v>1</v>
      </c>
      <c r="V731">
        <v>4</v>
      </c>
      <c r="W731">
        <v>30.53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8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</row>
    <row r="732" spans="1:37" x14ac:dyDescent="0.3">
      <c r="A732">
        <v>7979</v>
      </c>
      <c r="B732" t="s">
        <v>219</v>
      </c>
      <c r="D732" t="s">
        <v>327</v>
      </c>
      <c r="E732">
        <v>99999999</v>
      </c>
      <c r="F732">
        <v>11111111</v>
      </c>
      <c r="G732">
        <v>1111111111</v>
      </c>
      <c r="H732" t="s">
        <v>4301</v>
      </c>
      <c r="I732">
        <v>99999999</v>
      </c>
      <c r="J732" s="188">
        <v>45236</v>
      </c>
      <c r="K732" t="s">
        <v>4301</v>
      </c>
      <c r="L732" t="s">
        <v>4301</v>
      </c>
      <c r="M732" t="s">
        <v>1191</v>
      </c>
      <c r="N732" t="s">
        <v>99</v>
      </c>
      <c r="O732" t="s">
        <v>1192</v>
      </c>
      <c r="P732" t="s">
        <v>221</v>
      </c>
      <c r="Q732" t="s">
        <v>82</v>
      </c>
      <c r="R732">
        <v>1</v>
      </c>
      <c r="S732">
        <v>0.7</v>
      </c>
      <c r="T732">
        <v>0</v>
      </c>
      <c r="U732">
        <v>1</v>
      </c>
      <c r="V732">
        <v>1</v>
      </c>
      <c r="W732">
        <v>19.940000000000001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1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</row>
    <row r="733" spans="1:37" x14ac:dyDescent="0.3">
      <c r="A733">
        <v>7979</v>
      </c>
      <c r="B733" t="s">
        <v>219</v>
      </c>
      <c r="D733" t="s">
        <v>327</v>
      </c>
      <c r="E733">
        <v>99999999</v>
      </c>
      <c r="F733">
        <v>11111111</v>
      </c>
      <c r="G733">
        <v>1111111111</v>
      </c>
      <c r="H733" t="s">
        <v>4302</v>
      </c>
      <c r="I733">
        <v>99999999</v>
      </c>
      <c r="J733" s="188">
        <v>45236</v>
      </c>
      <c r="K733" t="s">
        <v>4302</v>
      </c>
      <c r="L733" t="s">
        <v>4302</v>
      </c>
      <c r="M733" t="s">
        <v>95</v>
      </c>
      <c r="N733" t="s">
        <v>91</v>
      </c>
      <c r="O733" t="s">
        <v>1194</v>
      </c>
      <c r="P733" t="s">
        <v>221</v>
      </c>
      <c r="Q733" t="s">
        <v>82</v>
      </c>
      <c r="R733">
        <v>1</v>
      </c>
      <c r="S733">
        <v>0.77100000000000002</v>
      </c>
      <c r="T733">
        <v>0</v>
      </c>
      <c r="U733">
        <v>1</v>
      </c>
      <c r="V733">
        <v>1</v>
      </c>
      <c r="W733">
        <v>21.54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1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</row>
    <row r="734" spans="1:37" x14ac:dyDescent="0.3">
      <c r="A734">
        <v>7979</v>
      </c>
      <c r="B734" t="s">
        <v>219</v>
      </c>
      <c r="D734" t="s">
        <v>327</v>
      </c>
      <c r="E734">
        <v>99999999</v>
      </c>
      <c r="F734">
        <v>11111111</v>
      </c>
      <c r="G734">
        <v>1111111111</v>
      </c>
      <c r="H734" t="s">
        <v>4303</v>
      </c>
      <c r="I734">
        <v>99999999</v>
      </c>
      <c r="J734" s="188">
        <v>45236</v>
      </c>
      <c r="K734" t="s">
        <v>4303</v>
      </c>
      <c r="L734" t="s">
        <v>4303</v>
      </c>
      <c r="M734" t="s">
        <v>1195</v>
      </c>
      <c r="N734" t="s">
        <v>164</v>
      </c>
      <c r="O734" t="s">
        <v>1196</v>
      </c>
      <c r="P734" t="s">
        <v>221</v>
      </c>
      <c r="Q734" t="s">
        <v>82</v>
      </c>
      <c r="R734">
        <v>2</v>
      </c>
      <c r="S734">
        <v>1.1000000000000001</v>
      </c>
      <c r="T734">
        <v>0</v>
      </c>
      <c r="U734">
        <v>1</v>
      </c>
      <c r="V734">
        <v>2</v>
      </c>
      <c r="W734">
        <v>21.21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2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</row>
    <row r="735" spans="1:37" x14ac:dyDescent="0.3">
      <c r="A735">
        <v>7979</v>
      </c>
      <c r="B735" t="s">
        <v>219</v>
      </c>
      <c r="D735" t="s">
        <v>327</v>
      </c>
      <c r="E735">
        <v>99999999</v>
      </c>
      <c r="F735">
        <v>11111111</v>
      </c>
      <c r="G735">
        <v>1111111111</v>
      </c>
      <c r="H735" t="s">
        <v>4304</v>
      </c>
      <c r="I735">
        <v>99999999</v>
      </c>
      <c r="J735" s="188">
        <v>45236</v>
      </c>
      <c r="K735" t="s">
        <v>4304</v>
      </c>
      <c r="L735" t="s">
        <v>4304</v>
      </c>
      <c r="M735" t="s">
        <v>1197</v>
      </c>
      <c r="N735" t="s">
        <v>99</v>
      </c>
      <c r="O735">
        <v>94552</v>
      </c>
      <c r="P735" t="s">
        <v>221</v>
      </c>
      <c r="Q735" t="s">
        <v>82</v>
      </c>
      <c r="R735">
        <v>2</v>
      </c>
      <c r="S735">
        <v>0.27</v>
      </c>
      <c r="T735">
        <v>0</v>
      </c>
      <c r="U735">
        <v>1</v>
      </c>
      <c r="V735">
        <v>2</v>
      </c>
      <c r="W735">
        <v>24.32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2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</row>
    <row r="736" spans="1:37" x14ac:dyDescent="0.3">
      <c r="A736">
        <v>7979</v>
      </c>
      <c r="B736" t="s">
        <v>219</v>
      </c>
      <c r="D736" t="s">
        <v>327</v>
      </c>
      <c r="E736">
        <v>99999999</v>
      </c>
      <c r="F736">
        <v>11111111</v>
      </c>
      <c r="G736">
        <v>1111111111</v>
      </c>
      <c r="H736" t="s">
        <v>4305</v>
      </c>
      <c r="I736">
        <v>99999999</v>
      </c>
      <c r="J736" s="188">
        <v>45236</v>
      </c>
      <c r="K736" t="s">
        <v>4305</v>
      </c>
      <c r="L736" t="s">
        <v>4305</v>
      </c>
      <c r="M736" t="s">
        <v>1198</v>
      </c>
      <c r="N736" t="s">
        <v>99</v>
      </c>
      <c r="O736" t="s">
        <v>1199</v>
      </c>
      <c r="P736" t="s">
        <v>221</v>
      </c>
      <c r="Q736" t="s">
        <v>82</v>
      </c>
      <c r="R736">
        <v>3</v>
      </c>
      <c r="S736">
        <v>1.35</v>
      </c>
      <c r="T736">
        <v>0</v>
      </c>
      <c r="U736">
        <v>1</v>
      </c>
      <c r="V736">
        <v>1</v>
      </c>
      <c r="W736">
        <v>26.91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3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</row>
    <row r="737" spans="1:37" x14ac:dyDescent="0.3">
      <c r="A737">
        <v>7979</v>
      </c>
      <c r="B737" t="s">
        <v>219</v>
      </c>
      <c r="D737" t="s">
        <v>327</v>
      </c>
      <c r="E737">
        <v>99999999</v>
      </c>
      <c r="F737">
        <v>11111111</v>
      </c>
      <c r="G737">
        <v>1111111111</v>
      </c>
      <c r="H737" t="s">
        <v>4306</v>
      </c>
      <c r="I737">
        <v>99999999</v>
      </c>
      <c r="J737" s="188">
        <v>45236</v>
      </c>
      <c r="K737" t="s">
        <v>4306</v>
      </c>
      <c r="L737" t="s">
        <v>4306</v>
      </c>
      <c r="M737" t="s">
        <v>1200</v>
      </c>
      <c r="N737" t="s">
        <v>99</v>
      </c>
      <c r="O737">
        <v>94510</v>
      </c>
      <c r="P737" t="s">
        <v>221</v>
      </c>
      <c r="Q737" t="s">
        <v>82</v>
      </c>
      <c r="R737">
        <v>1</v>
      </c>
      <c r="S737">
        <v>5.13</v>
      </c>
      <c r="T737">
        <v>0</v>
      </c>
      <c r="U737">
        <v>1</v>
      </c>
      <c r="V737">
        <v>1</v>
      </c>
      <c r="W737">
        <v>21.49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1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</row>
    <row r="738" spans="1:37" x14ac:dyDescent="0.3">
      <c r="A738">
        <v>7979</v>
      </c>
      <c r="B738" t="s">
        <v>219</v>
      </c>
      <c r="D738" t="s">
        <v>327</v>
      </c>
      <c r="E738">
        <v>99999999</v>
      </c>
      <c r="F738">
        <v>11111111</v>
      </c>
      <c r="G738">
        <v>1111111111</v>
      </c>
      <c r="H738" t="s">
        <v>4307</v>
      </c>
      <c r="I738">
        <v>99999999</v>
      </c>
      <c r="J738" s="188">
        <v>45236</v>
      </c>
      <c r="K738" t="s">
        <v>4307</v>
      </c>
      <c r="L738" t="s">
        <v>4307</v>
      </c>
      <c r="M738" t="s">
        <v>418</v>
      </c>
      <c r="N738" t="s">
        <v>91</v>
      </c>
      <c r="O738" t="s">
        <v>1201</v>
      </c>
      <c r="P738" t="s">
        <v>221</v>
      </c>
      <c r="Q738" t="s">
        <v>82</v>
      </c>
      <c r="R738">
        <v>3</v>
      </c>
      <c r="S738">
        <v>1.7</v>
      </c>
      <c r="T738">
        <v>0</v>
      </c>
      <c r="U738">
        <v>1</v>
      </c>
      <c r="V738">
        <v>3</v>
      </c>
      <c r="W738">
        <v>22.67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3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</row>
    <row r="739" spans="1:37" x14ac:dyDescent="0.3">
      <c r="A739">
        <v>7979</v>
      </c>
      <c r="B739" t="s">
        <v>219</v>
      </c>
      <c r="D739" t="s">
        <v>327</v>
      </c>
      <c r="E739">
        <v>99999999</v>
      </c>
      <c r="F739">
        <v>11111111</v>
      </c>
      <c r="G739">
        <v>1111111111</v>
      </c>
      <c r="H739" t="s">
        <v>4308</v>
      </c>
      <c r="I739">
        <v>99999999</v>
      </c>
      <c r="J739" s="188">
        <v>45236</v>
      </c>
      <c r="K739" t="s">
        <v>4308</v>
      </c>
      <c r="L739" t="s">
        <v>4308</v>
      </c>
      <c r="M739" t="s">
        <v>1202</v>
      </c>
      <c r="N739" t="s">
        <v>164</v>
      </c>
      <c r="O739" t="s">
        <v>1203</v>
      </c>
      <c r="P739" t="s">
        <v>221</v>
      </c>
      <c r="Q739" t="s">
        <v>82</v>
      </c>
      <c r="R739">
        <v>1</v>
      </c>
      <c r="S739">
        <v>1.21</v>
      </c>
      <c r="T739">
        <v>0</v>
      </c>
      <c r="U739">
        <v>1</v>
      </c>
      <c r="V739">
        <v>1</v>
      </c>
      <c r="W739">
        <v>21.21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1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</row>
    <row r="740" spans="1:37" x14ac:dyDescent="0.3">
      <c r="A740">
        <v>7979</v>
      </c>
      <c r="B740" t="s">
        <v>219</v>
      </c>
      <c r="D740" t="s">
        <v>327</v>
      </c>
      <c r="E740">
        <v>99999999</v>
      </c>
      <c r="F740">
        <v>11111111</v>
      </c>
      <c r="G740">
        <v>1111111111</v>
      </c>
      <c r="H740" t="s">
        <v>4309</v>
      </c>
      <c r="I740">
        <v>99999999</v>
      </c>
      <c r="J740" s="188">
        <v>45236</v>
      </c>
      <c r="K740" t="s">
        <v>4309</v>
      </c>
      <c r="L740" t="s">
        <v>4309</v>
      </c>
      <c r="M740" t="s">
        <v>1204</v>
      </c>
      <c r="N740" t="s">
        <v>243</v>
      </c>
      <c r="O740" t="s">
        <v>1205</v>
      </c>
      <c r="P740" t="s">
        <v>221</v>
      </c>
      <c r="Q740" t="s">
        <v>82</v>
      </c>
      <c r="R740">
        <v>1</v>
      </c>
      <c r="S740">
        <v>7.7</v>
      </c>
      <c r="T740">
        <v>0</v>
      </c>
      <c r="U740">
        <v>1</v>
      </c>
      <c r="V740">
        <v>1</v>
      </c>
      <c r="W740">
        <v>38.6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1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</row>
    <row r="741" spans="1:37" x14ac:dyDescent="0.3">
      <c r="A741">
        <v>7979</v>
      </c>
      <c r="B741" t="s">
        <v>219</v>
      </c>
      <c r="D741" t="s">
        <v>327</v>
      </c>
      <c r="E741">
        <v>99999999</v>
      </c>
      <c r="F741">
        <v>11111111</v>
      </c>
      <c r="G741">
        <v>1111111111</v>
      </c>
      <c r="H741" t="s">
        <v>4310</v>
      </c>
      <c r="I741">
        <v>99999999</v>
      </c>
      <c r="J741" s="188">
        <v>45236</v>
      </c>
      <c r="K741" t="s">
        <v>4310</v>
      </c>
      <c r="L741" t="s">
        <v>4310</v>
      </c>
      <c r="M741" t="s">
        <v>1206</v>
      </c>
      <c r="N741" t="s">
        <v>99</v>
      </c>
      <c r="O741" t="s">
        <v>1207</v>
      </c>
      <c r="P741" t="s">
        <v>221</v>
      </c>
      <c r="Q741" t="s">
        <v>82</v>
      </c>
      <c r="R741">
        <v>1</v>
      </c>
      <c r="S741">
        <v>0.3</v>
      </c>
      <c r="T741">
        <v>0</v>
      </c>
      <c r="U741">
        <v>1</v>
      </c>
      <c r="V741">
        <v>1</v>
      </c>
      <c r="W741">
        <v>18.649999999999999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1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</row>
    <row r="742" spans="1:37" x14ac:dyDescent="0.3">
      <c r="A742">
        <v>7979</v>
      </c>
      <c r="B742" t="s">
        <v>219</v>
      </c>
      <c r="D742" t="s">
        <v>327</v>
      </c>
      <c r="E742">
        <v>99999999</v>
      </c>
      <c r="F742">
        <v>11111111</v>
      </c>
      <c r="G742">
        <v>1111111111</v>
      </c>
      <c r="H742" t="s">
        <v>4311</v>
      </c>
      <c r="I742">
        <v>99999999</v>
      </c>
      <c r="J742" s="188">
        <v>45236</v>
      </c>
      <c r="K742" t="s">
        <v>4311</v>
      </c>
      <c r="L742" t="s">
        <v>4311</v>
      </c>
      <c r="M742" t="s">
        <v>1208</v>
      </c>
      <c r="N742" t="s">
        <v>99</v>
      </c>
      <c r="O742" t="s">
        <v>1209</v>
      </c>
      <c r="P742" t="s">
        <v>221</v>
      </c>
      <c r="Q742" t="s">
        <v>82</v>
      </c>
      <c r="R742">
        <v>1</v>
      </c>
      <c r="S742">
        <v>1</v>
      </c>
      <c r="T742">
        <v>0</v>
      </c>
      <c r="U742">
        <v>1</v>
      </c>
      <c r="V742">
        <v>1</v>
      </c>
      <c r="W742">
        <v>24.77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1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</row>
    <row r="743" spans="1:37" x14ac:dyDescent="0.3">
      <c r="A743">
        <v>7979</v>
      </c>
      <c r="B743" t="s">
        <v>219</v>
      </c>
      <c r="D743" t="s">
        <v>327</v>
      </c>
      <c r="E743">
        <v>99999999</v>
      </c>
      <c r="F743">
        <v>11111111</v>
      </c>
      <c r="G743">
        <v>1111111111</v>
      </c>
      <c r="H743" t="s">
        <v>4312</v>
      </c>
      <c r="I743">
        <v>99999999</v>
      </c>
      <c r="J743" s="188">
        <v>45236</v>
      </c>
      <c r="K743" t="s">
        <v>4312</v>
      </c>
      <c r="L743" t="s">
        <v>4312</v>
      </c>
      <c r="M743" t="s">
        <v>129</v>
      </c>
      <c r="N743" t="s">
        <v>130</v>
      </c>
      <c r="O743" t="s">
        <v>1210</v>
      </c>
      <c r="P743" t="s">
        <v>221</v>
      </c>
      <c r="Q743" t="s">
        <v>82</v>
      </c>
      <c r="R743">
        <v>3</v>
      </c>
      <c r="S743">
        <v>2.6</v>
      </c>
      <c r="T743">
        <v>0</v>
      </c>
      <c r="U743">
        <v>1</v>
      </c>
      <c r="V743">
        <v>3</v>
      </c>
      <c r="W743">
        <v>23.59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3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</row>
    <row r="744" spans="1:37" x14ac:dyDescent="0.3">
      <c r="A744">
        <v>7979</v>
      </c>
      <c r="B744" t="s">
        <v>219</v>
      </c>
      <c r="D744" t="s">
        <v>327</v>
      </c>
      <c r="E744">
        <v>99999999</v>
      </c>
      <c r="F744">
        <v>11111111</v>
      </c>
      <c r="G744">
        <v>1111111111</v>
      </c>
      <c r="H744" t="s">
        <v>4313</v>
      </c>
      <c r="I744">
        <v>99999999</v>
      </c>
      <c r="J744" s="188">
        <v>45236</v>
      </c>
      <c r="K744" t="s">
        <v>4313</v>
      </c>
      <c r="L744" t="s">
        <v>4313</v>
      </c>
      <c r="M744" t="s">
        <v>1211</v>
      </c>
      <c r="N744" t="s">
        <v>161</v>
      </c>
      <c r="O744" t="s">
        <v>1212</v>
      </c>
      <c r="P744" t="s">
        <v>221</v>
      </c>
      <c r="Q744" t="s">
        <v>82</v>
      </c>
      <c r="R744">
        <v>2</v>
      </c>
      <c r="S744">
        <v>1.1479999999999999</v>
      </c>
      <c r="T744">
        <v>0</v>
      </c>
      <c r="U744">
        <v>1</v>
      </c>
      <c r="V744">
        <v>1</v>
      </c>
      <c r="W744">
        <v>31.07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2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</row>
    <row r="745" spans="1:37" x14ac:dyDescent="0.3">
      <c r="A745">
        <v>7979</v>
      </c>
      <c r="B745" t="s">
        <v>219</v>
      </c>
      <c r="D745" t="s">
        <v>327</v>
      </c>
      <c r="E745">
        <v>99999999</v>
      </c>
      <c r="F745">
        <v>11111111</v>
      </c>
      <c r="G745">
        <v>1111111111</v>
      </c>
      <c r="H745" t="s">
        <v>4314</v>
      </c>
      <c r="I745">
        <v>99999999</v>
      </c>
      <c r="J745" s="188">
        <v>45236</v>
      </c>
      <c r="K745" t="s">
        <v>4314</v>
      </c>
      <c r="L745" t="s">
        <v>4314</v>
      </c>
      <c r="M745" t="s">
        <v>149</v>
      </c>
      <c r="N745" t="s">
        <v>99</v>
      </c>
      <c r="O745" t="s">
        <v>1213</v>
      </c>
      <c r="P745" t="s">
        <v>221</v>
      </c>
      <c r="Q745" t="s">
        <v>82</v>
      </c>
      <c r="R745">
        <v>1</v>
      </c>
      <c r="S745">
        <v>4</v>
      </c>
      <c r="T745">
        <v>0</v>
      </c>
      <c r="U745">
        <v>1</v>
      </c>
      <c r="V745">
        <v>1</v>
      </c>
      <c r="W745">
        <v>21.44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1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</row>
    <row r="746" spans="1:37" x14ac:dyDescent="0.3">
      <c r="A746">
        <v>7979</v>
      </c>
      <c r="B746" t="s">
        <v>219</v>
      </c>
      <c r="D746" t="s">
        <v>327</v>
      </c>
      <c r="E746">
        <v>99999999</v>
      </c>
      <c r="F746">
        <v>11111111</v>
      </c>
      <c r="G746">
        <v>1111111111</v>
      </c>
      <c r="H746" t="s">
        <v>4315</v>
      </c>
      <c r="I746">
        <v>99999999</v>
      </c>
      <c r="J746" s="188">
        <v>45236</v>
      </c>
      <c r="K746" t="s">
        <v>4315</v>
      </c>
      <c r="L746" t="s">
        <v>4315</v>
      </c>
      <c r="M746" t="s">
        <v>282</v>
      </c>
      <c r="N746" t="s">
        <v>197</v>
      </c>
      <c r="O746" t="s">
        <v>1214</v>
      </c>
      <c r="P746" t="s">
        <v>221</v>
      </c>
      <c r="Q746" t="s">
        <v>82</v>
      </c>
      <c r="R746">
        <v>1</v>
      </c>
      <c r="S746">
        <v>3.25</v>
      </c>
      <c r="T746">
        <v>0</v>
      </c>
      <c r="U746">
        <v>1</v>
      </c>
      <c r="V746">
        <v>1</v>
      </c>
      <c r="W746">
        <v>24.07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1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</row>
    <row r="747" spans="1:37" x14ac:dyDescent="0.3">
      <c r="A747">
        <v>7979</v>
      </c>
      <c r="B747" t="s">
        <v>219</v>
      </c>
      <c r="D747" t="s">
        <v>327</v>
      </c>
      <c r="E747">
        <v>99999999</v>
      </c>
      <c r="F747">
        <v>11111111</v>
      </c>
      <c r="G747">
        <v>1111111111</v>
      </c>
      <c r="H747" t="s">
        <v>4316</v>
      </c>
      <c r="I747">
        <v>99999999</v>
      </c>
      <c r="J747" s="188">
        <v>45236</v>
      </c>
      <c r="K747" t="s">
        <v>4316</v>
      </c>
      <c r="L747" t="s">
        <v>4316</v>
      </c>
      <c r="M747" t="s">
        <v>1215</v>
      </c>
      <c r="N747" t="s">
        <v>983</v>
      </c>
      <c r="O747" t="s">
        <v>1216</v>
      </c>
      <c r="P747" t="s">
        <v>221</v>
      </c>
      <c r="Q747" t="s">
        <v>82</v>
      </c>
      <c r="R747">
        <v>1</v>
      </c>
      <c r="S747">
        <v>3.25</v>
      </c>
      <c r="T747">
        <v>0</v>
      </c>
      <c r="U747">
        <v>1</v>
      </c>
      <c r="V747">
        <v>1</v>
      </c>
      <c r="W747">
        <v>32.270000000000003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1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</row>
    <row r="748" spans="1:37" x14ac:dyDescent="0.3">
      <c r="A748">
        <v>7979</v>
      </c>
      <c r="B748" t="s">
        <v>219</v>
      </c>
      <c r="D748" t="s">
        <v>327</v>
      </c>
      <c r="E748">
        <v>99999999</v>
      </c>
      <c r="F748">
        <v>11111111</v>
      </c>
      <c r="G748">
        <v>1111111111</v>
      </c>
      <c r="H748" t="s">
        <v>4317</v>
      </c>
      <c r="I748">
        <v>99999999</v>
      </c>
      <c r="J748" s="188">
        <v>45236</v>
      </c>
      <c r="K748" t="s">
        <v>4317</v>
      </c>
      <c r="L748" t="s">
        <v>4317</v>
      </c>
      <c r="M748" t="s">
        <v>1217</v>
      </c>
      <c r="N748" t="s">
        <v>197</v>
      </c>
      <c r="O748" t="s">
        <v>1218</v>
      </c>
      <c r="P748" t="s">
        <v>221</v>
      </c>
      <c r="Q748" t="s">
        <v>82</v>
      </c>
      <c r="R748">
        <v>1</v>
      </c>
      <c r="S748">
        <v>5.4</v>
      </c>
      <c r="T748">
        <v>0</v>
      </c>
      <c r="U748">
        <v>1</v>
      </c>
      <c r="V748">
        <v>1</v>
      </c>
      <c r="W748">
        <v>26.15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1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</row>
    <row r="749" spans="1:37" x14ac:dyDescent="0.3">
      <c r="A749">
        <v>7979</v>
      </c>
      <c r="B749" t="s">
        <v>219</v>
      </c>
      <c r="D749" t="s">
        <v>327</v>
      </c>
      <c r="E749">
        <v>99999999</v>
      </c>
      <c r="F749">
        <v>11111111</v>
      </c>
      <c r="G749">
        <v>1111111111</v>
      </c>
      <c r="H749" t="s">
        <v>4318</v>
      </c>
      <c r="I749">
        <v>99999999</v>
      </c>
      <c r="J749" s="188">
        <v>45236</v>
      </c>
      <c r="K749" t="s">
        <v>4318</v>
      </c>
      <c r="L749" t="s">
        <v>4318</v>
      </c>
      <c r="M749" t="s">
        <v>343</v>
      </c>
      <c r="N749" t="s">
        <v>164</v>
      </c>
      <c r="O749" t="s">
        <v>447</v>
      </c>
      <c r="P749" t="s">
        <v>221</v>
      </c>
      <c r="Q749" t="s">
        <v>82</v>
      </c>
      <c r="R749">
        <v>1</v>
      </c>
      <c r="S749">
        <v>1.5</v>
      </c>
      <c r="T749">
        <v>0</v>
      </c>
      <c r="U749">
        <v>1</v>
      </c>
      <c r="V749">
        <v>1</v>
      </c>
      <c r="W749">
        <v>21.21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1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</row>
    <row r="750" spans="1:37" x14ac:dyDescent="0.3">
      <c r="A750">
        <v>7979</v>
      </c>
      <c r="B750" t="s">
        <v>219</v>
      </c>
      <c r="D750" t="s">
        <v>327</v>
      </c>
      <c r="E750">
        <v>99999999</v>
      </c>
      <c r="F750">
        <v>11111111</v>
      </c>
      <c r="G750">
        <v>1111111111</v>
      </c>
      <c r="H750" t="s">
        <v>4319</v>
      </c>
      <c r="I750">
        <v>99999999</v>
      </c>
      <c r="J750" s="188">
        <v>45236</v>
      </c>
      <c r="K750" t="s">
        <v>4319</v>
      </c>
      <c r="L750" t="s">
        <v>4319</v>
      </c>
      <c r="M750" t="s">
        <v>95</v>
      </c>
      <c r="N750" t="s">
        <v>91</v>
      </c>
      <c r="O750" t="s">
        <v>1219</v>
      </c>
      <c r="P750" t="s">
        <v>221</v>
      </c>
      <c r="Q750" t="s">
        <v>82</v>
      </c>
      <c r="R750">
        <v>2</v>
      </c>
      <c r="S750">
        <v>1.65</v>
      </c>
      <c r="T750">
        <v>0</v>
      </c>
      <c r="U750">
        <v>1</v>
      </c>
      <c r="V750">
        <v>2</v>
      </c>
      <c r="W750">
        <v>22.67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2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</row>
    <row r="751" spans="1:37" x14ac:dyDescent="0.3">
      <c r="A751">
        <v>7979</v>
      </c>
      <c r="B751" t="s">
        <v>219</v>
      </c>
      <c r="D751" t="s">
        <v>327</v>
      </c>
      <c r="E751">
        <v>99999999</v>
      </c>
      <c r="F751">
        <v>11111111</v>
      </c>
      <c r="G751">
        <v>1111111111</v>
      </c>
      <c r="H751" t="s">
        <v>4320</v>
      </c>
      <c r="I751">
        <v>99999999</v>
      </c>
      <c r="J751" s="188">
        <v>45236</v>
      </c>
      <c r="K751" t="s">
        <v>4320</v>
      </c>
      <c r="L751" t="s">
        <v>4320</v>
      </c>
      <c r="M751" t="s">
        <v>1220</v>
      </c>
      <c r="N751" t="s">
        <v>97</v>
      </c>
      <c r="O751" t="s">
        <v>1221</v>
      </c>
      <c r="P751" t="s">
        <v>221</v>
      </c>
      <c r="Q751" t="s">
        <v>82</v>
      </c>
      <c r="R751">
        <v>1</v>
      </c>
      <c r="S751">
        <v>3.1</v>
      </c>
      <c r="T751">
        <v>0</v>
      </c>
      <c r="U751">
        <v>1</v>
      </c>
      <c r="V751">
        <v>1</v>
      </c>
      <c r="W751">
        <v>22.52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1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</row>
    <row r="752" spans="1:37" x14ac:dyDescent="0.3">
      <c r="A752">
        <v>7979</v>
      </c>
      <c r="B752" t="s">
        <v>219</v>
      </c>
      <c r="D752" t="s">
        <v>327</v>
      </c>
      <c r="E752">
        <v>99999999</v>
      </c>
      <c r="F752">
        <v>11111111</v>
      </c>
      <c r="G752">
        <v>1111111111</v>
      </c>
      <c r="H752" t="s">
        <v>4321</v>
      </c>
      <c r="I752">
        <v>99999999</v>
      </c>
      <c r="J752" s="188">
        <v>45236</v>
      </c>
      <c r="K752" t="s">
        <v>4321</v>
      </c>
      <c r="L752" t="s">
        <v>4321</v>
      </c>
      <c r="M752" t="s">
        <v>767</v>
      </c>
      <c r="N752" t="s">
        <v>197</v>
      </c>
      <c r="O752" t="s">
        <v>1222</v>
      </c>
      <c r="P752" t="s">
        <v>221</v>
      </c>
      <c r="Q752" t="s">
        <v>82</v>
      </c>
      <c r="R752">
        <v>1</v>
      </c>
      <c r="S752">
        <v>1.1499999999999999</v>
      </c>
      <c r="T752">
        <v>0</v>
      </c>
      <c r="U752">
        <v>1</v>
      </c>
      <c r="V752">
        <v>1</v>
      </c>
      <c r="W752">
        <v>28.33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1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</row>
    <row r="753" spans="1:37" x14ac:dyDescent="0.3">
      <c r="A753">
        <v>7979</v>
      </c>
      <c r="B753" t="s">
        <v>219</v>
      </c>
      <c r="D753" t="s">
        <v>327</v>
      </c>
      <c r="E753">
        <v>99999999</v>
      </c>
      <c r="F753">
        <v>11111111</v>
      </c>
      <c r="G753">
        <v>1111111111</v>
      </c>
      <c r="H753" t="s">
        <v>4322</v>
      </c>
      <c r="I753">
        <v>99999999</v>
      </c>
      <c r="J753" s="188">
        <v>45236</v>
      </c>
      <c r="K753" t="s">
        <v>4322</v>
      </c>
      <c r="L753" t="s">
        <v>4322</v>
      </c>
      <c r="M753" t="s">
        <v>155</v>
      </c>
      <c r="N753" t="s">
        <v>99</v>
      </c>
      <c r="O753" t="s">
        <v>1223</v>
      </c>
      <c r="P753" t="s">
        <v>221</v>
      </c>
      <c r="Q753" t="s">
        <v>82</v>
      </c>
      <c r="R753">
        <v>2</v>
      </c>
      <c r="S753">
        <v>3.35</v>
      </c>
      <c r="T753">
        <v>0</v>
      </c>
      <c r="U753">
        <v>1</v>
      </c>
      <c r="V753">
        <v>2</v>
      </c>
      <c r="W753">
        <v>22.52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2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</row>
    <row r="754" spans="1:37" x14ac:dyDescent="0.3">
      <c r="A754">
        <v>7979</v>
      </c>
      <c r="B754" t="s">
        <v>219</v>
      </c>
      <c r="D754" t="s">
        <v>327</v>
      </c>
      <c r="E754">
        <v>99999999</v>
      </c>
      <c r="F754">
        <v>11111111</v>
      </c>
      <c r="G754">
        <v>1111111111</v>
      </c>
      <c r="H754" t="s">
        <v>4323</v>
      </c>
      <c r="I754">
        <v>99999999</v>
      </c>
      <c r="J754" s="188">
        <v>45236</v>
      </c>
      <c r="K754" t="s">
        <v>4323</v>
      </c>
      <c r="L754" t="s">
        <v>4323</v>
      </c>
      <c r="M754" t="s">
        <v>185</v>
      </c>
      <c r="N754" t="s">
        <v>151</v>
      </c>
      <c r="O754">
        <v>28716</v>
      </c>
      <c r="P754" t="s">
        <v>221</v>
      </c>
      <c r="Q754" t="s">
        <v>82</v>
      </c>
      <c r="R754">
        <v>1</v>
      </c>
      <c r="S754">
        <v>0.57399999999999995</v>
      </c>
      <c r="T754">
        <v>0</v>
      </c>
      <c r="U754">
        <v>1</v>
      </c>
      <c r="V754">
        <v>1</v>
      </c>
      <c r="W754">
        <v>29.22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1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</row>
    <row r="755" spans="1:37" x14ac:dyDescent="0.3">
      <c r="A755">
        <v>7979</v>
      </c>
      <c r="B755" t="s">
        <v>219</v>
      </c>
      <c r="D755" t="s">
        <v>327</v>
      </c>
      <c r="E755">
        <v>99999999</v>
      </c>
      <c r="F755">
        <v>11111111</v>
      </c>
      <c r="G755">
        <v>1111111111</v>
      </c>
      <c r="H755" t="s">
        <v>4324</v>
      </c>
      <c r="I755">
        <v>99999999</v>
      </c>
      <c r="J755" s="188">
        <v>45236</v>
      </c>
      <c r="K755" t="s">
        <v>4324</v>
      </c>
      <c r="L755" t="s">
        <v>4324</v>
      </c>
      <c r="M755" t="s">
        <v>278</v>
      </c>
      <c r="N755" t="s">
        <v>99</v>
      </c>
      <c r="O755">
        <v>93021</v>
      </c>
      <c r="P755" t="s">
        <v>221</v>
      </c>
      <c r="Q755" t="s">
        <v>82</v>
      </c>
      <c r="R755">
        <v>1</v>
      </c>
      <c r="S755">
        <v>2</v>
      </c>
      <c r="T755">
        <v>0</v>
      </c>
      <c r="U755">
        <v>1</v>
      </c>
      <c r="V755">
        <v>1</v>
      </c>
      <c r="W755">
        <v>21.88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1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</row>
    <row r="756" spans="1:37" x14ac:dyDescent="0.3">
      <c r="A756">
        <v>7979</v>
      </c>
      <c r="B756" t="s">
        <v>219</v>
      </c>
      <c r="D756" t="s">
        <v>327</v>
      </c>
      <c r="E756">
        <v>99999999</v>
      </c>
      <c r="F756">
        <v>11111111</v>
      </c>
      <c r="G756">
        <v>1111111111</v>
      </c>
      <c r="H756" t="s">
        <v>4325</v>
      </c>
      <c r="I756">
        <v>99999999</v>
      </c>
      <c r="J756" s="188">
        <v>45236</v>
      </c>
      <c r="K756" t="s">
        <v>4325</v>
      </c>
      <c r="L756" t="s">
        <v>4325</v>
      </c>
      <c r="M756" t="s">
        <v>707</v>
      </c>
      <c r="N756" t="s">
        <v>141</v>
      </c>
      <c r="O756" t="s">
        <v>1224</v>
      </c>
      <c r="P756" t="s">
        <v>221</v>
      </c>
      <c r="Q756" t="s">
        <v>82</v>
      </c>
      <c r="R756">
        <v>1</v>
      </c>
      <c r="S756">
        <v>7.35</v>
      </c>
      <c r="T756">
        <v>0</v>
      </c>
      <c r="U756">
        <v>1</v>
      </c>
      <c r="V756">
        <v>1</v>
      </c>
      <c r="W756">
        <v>35.229999999999997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1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</row>
    <row r="757" spans="1:37" x14ac:dyDescent="0.3">
      <c r="A757">
        <v>7979</v>
      </c>
      <c r="B757" t="s">
        <v>219</v>
      </c>
      <c r="D757" t="s">
        <v>327</v>
      </c>
      <c r="E757">
        <v>99999999</v>
      </c>
      <c r="F757">
        <v>11111111</v>
      </c>
      <c r="G757">
        <v>1111111111</v>
      </c>
      <c r="H757" t="s">
        <v>4326</v>
      </c>
      <c r="I757">
        <v>99999999</v>
      </c>
      <c r="J757" s="188">
        <v>45236</v>
      </c>
      <c r="K757" t="s">
        <v>4326</v>
      </c>
      <c r="L757" t="s">
        <v>4326</v>
      </c>
      <c r="M757" t="s">
        <v>747</v>
      </c>
      <c r="N757" t="s">
        <v>99</v>
      </c>
      <c r="O757" t="s">
        <v>1225</v>
      </c>
      <c r="P757" t="s">
        <v>221</v>
      </c>
      <c r="Q757" t="s">
        <v>82</v>
      </c>
      <c r="R757">
        <v>3</v>
      </c>
      <c r="S757">
        <v>4.7</v>
      </c>
      <c r="T757">
        <v>0</v>
      </c>
      <c r="U757">
        <v>1</v>
      </c>
      <c r="V757">
        <v>3</v>
      </c>
      <c r="W757">
        <v>27.62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3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</row>
    <row r="758" spans="1:37" x14ac:dyDescent="0.3">
      <c r="A758">
        <v>7979</v>
      </c>
      <c r="B758" t="s">
        <v>219</v>
      </c>
      <c r="D758" t="s">
        <v>327</v>
      </c>
      <c r="E758">
        <v>99999999</v>
      </c>
      <c r="F758">
        <v>11111111</v>
      </c>
      <c r="G758">
        <v>1111111111</v>
      </c>
      <c r="H758" t="s">
        <v>4327</v>
      </c>
      <c r="I758">
        <v>99999999</v>
      </c>
      <c r="J758" s="188">
        <v>45236</v>
      </c>
      <c r="K758" t="s">
        <v>4327</v>
      </c>
      <c r="L758" t="s">
        <v>4327</v>
      </c>
      <c r="M758" t="s">
        <v>1226</v>
      </c>
      <c r="N758" t="s">
        <v>151</v>
      </c>
      <c r="O758" t="s">
        <v>1227</v>
      </c>
      <c r="P758" t="s">
        <v>221</v>
      </c>
      <c r="Q758" t="s">
        <v>82</v>
      </c>
      <c r="R758">
        <v>1</v>
      </c>
      <c r="S758">
        <v>0.11</v>
      </c>
      <c r="T758">
        <v>0</v>
      </c>
      <c r="U758">
        <v>1</v>
      </c>
      <c r="V758">
        <v>1</v>
      </c>
      <c r="W758">
        <v>20.78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1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</row>
    <row r="759" spans="1:37" x14ac:dyDescent="0.3">
      <c r="A759">
        <v>7979</v>
      </c>
      <c r="B759" t="s">
        <v>219</v>
      </c>
      <c r="D759" t="s">
        <v>327</v>
      </c>
      <c r="E759">
        <v>99999999</v>
      </c>
      <c r="F759">
        <v>11111111</v>
      </c>
      <c r="G759">
        <v>1111111111</v>
      </c>
      <c r="H759" t="s">
        <v>4328</v>
      </c>
      <c r="I759">
        <v>99999999</v>
      </c>
      <c r="J759" s="188">
        <v>45236</v>
      </c>
      <c r="K759" t="s">
        <v>4328</v>
      </c>
      <c r="L759" t="s">
        <v>4328</v>
      </c>
      <c r="M759" t="s">
        <v>824</v>
      </c>
      <c r="N759" t="s">
        <v>522</v>
      </c>
      <c r="O759" t="s">
        <v>1228</v>
      </c>
      <c r="P759" t="s">
        <v>221</v>
      </c>
      <c r="Q759" t="s">
        <v>82</v>
      </c>
      <c r="R759">
        <v>1</v>
      </c>
      <c r="S759">
        <v>3</v>
      </c>
      <c r="T759">
        <v>0</v>
      </c>
      <c r="U759">
        <v>1</v>
      </c>
      <c r="V759">
        <v>1</v>
      </c>
      <c r="W759">
        <v>34.409999999999997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1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</row>
    <row r="760" spans="1:37" x14ac:dyDescent="0.3">
      <c r="A760">
        <v>7979</v>
      </c>
      <c r="B760" t="s">
        <v>219</v>
      </c>
      <c r="D760" t="s">
        <v>327</v>
      </c>
      <c r="E760">
        <v>99999999</v>
      </c>
      <c r="F760">
        <v>11111111</v>
      </c>
      <c r="G760">
        <v>1111111111</v>
      </c>
      <c r="H760" t="s">
        <v>4329</v>
      </c>
      <c r="I760">
        <v>99999999</v>
      </c>
      <c r="J760" s="188">
        <v>45236</v>
      </c>
      <c r="K760" t="s">
        <v>4329</v>
      </c>
      <c r="L760" t="s">
        <v>4329</v>
      </c>
      <c r="M760" t="s">
        <v>1229</v>
      </c>
      <c r="N760" t="s">
        <v>99</v>
      </c>
      <c r="O760">
        <v>94066</v>
      </c>
      <c r="P760" t="s">
        <v>221</v>
      </c>
      <c r="Q760" t="s">
        <v>82</v>
      </c>
      <c r="R760">
        <v>1</v>
      </c>
      <c r="S760">
        <v>2.5350000000000001</v>
      </c>
      <c r="T760">
        <v>0</v>
      </c>
      <c r="U760">
        <v>1</v>
      </c>
      <c r="V760">
        <v>1</v>
      </c>
      <c r="W760">
        <v>20.77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1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</row>
    <row r="761" spans="1:37" x14ac:dyDescent="0.3">
      <c r="A761">
        <v>7979</v>
      </c>
      <c r="B761" t="s">
        <v>219</v>
      </c>
      <c r="D761" t="s">
        <v>327</v>
      </c>
      <c r="E761">
        <v>99999999</v>
      </c>
      <c r="F761">
        <v>11111111</v>
      </c>
      <c r="G761">
        <v>1111111111</v>
      </c>
      <c r="H761" t="s">
        <v>4330</v>
      </c>
      <c r="I761">
        <v>99999999</v>
      </c>
      <c r="J761" s="188">
        <v>45236</v>
      </c>
      <c r="K761" t="s">
        <v>4330</v>
      </c>
      <c r="L761" t="s">
        <v>4330</v>
      </c>
      <c r="M761" t="s">
        <v>1230</v>
      </c>
      <c r="N761" t="s">
        <v>97</v>
      </c>
      <c r="O761" t="s">
        <v>1231</v>
      </c>
      <c r="P761" t="s">
        <v>221</v>
      </c>
      <c r="Q761" t="s">
        <v>82</v>
      </c>
      <c r="R761">
        <v>2</v>
      </c>
      <c r="S761">
        <v>4</v>
      </c>
      <c r="T761">
        <v>0</v>
      </c>
      <c r="U761">
        <v>1</v>
      </c>
      <c r="V761">
        <v>2</v>
      </c>
      <c r="W761">
        <v>29.05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2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</row>
    <row r="762" spans="1:37" x14ac:dyDescent="0.3">
      <c r="A762">
        <v>7979</v>
      </c>
      <c r="B762" t="s">
        <v>219</v>
      </c>
      <c r="D762" t="s">
        <v>327</v>
      </c>
      <c r="E762">
        <v>99999999</v>
      </c>
      <c r="F762">
        <v>11111111</v>
      </c>
      <c r="G762">
        <v>1111111111</v>
      </c>
      <c r="H762" t="s">
        <v>4331</v>
      </c>
      <c r="I762">
        <v>99999999</v>
      </c>
      <c r="J762" s="188">
        <v>45236</v>
      </c>
      <c r="K762" t="s">
        <v>4331</v>
      </c>
      <c r="L762" t="s">
        <v>4331</v>
      </c>
      <c r="M762" t="s">
        <v>1232</v>
      </c>
      <c r="N762" t="s">
        <v>99</v>
      </c>
      <c r="O762">
        <v>91905</v>
      </c>
      <c r="P762" t="s">
        <v>221</v>
      </c>
      <c r="Q762" t="s">
        <v>82</v>
      </c>
      <c r="R762">
        <v>2</v>
      </c>
      <c r="S762">
        <v>6.6660000000000004</v>
      </c>
      <c r="T762">
        <v>0</v>
      </c>
      <c r="U762">
        <v>1</v>
      </c>
      <c r="V762">
        <v>2</v>
      </c>
      <c r="W762">
        <v>39.22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2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</row>
    <row r="763" spans="1:37" x14ac:dyDescent="0.3">
      <c r="A763">
        <v>7979</v>
      </c>
      <c r="B763" t="s">
        <v>219</v>
      </c>
      <c r="D763" t="s">
        <v>327</v>
      </c>
      <c r="E763">
        <v>99999999</v>
      </c>
      <c r="F763">
        <v>11111111</v>
      </c>
      <c r="G763">
        <v>1111111111</v>
      </c>
      <c r="H763" t="s">
        <v>4332</v>
      </c>
      <c r="I763">
        <v>99999999</v>
      </c>
      <c r="J763" s="188">
        <v>45236</v>
      </c>
      <c r="K763" t="s">
        <v>4332</v>
      </c>
      <c r="L763" t="s">
        <v>4332</v>
      </c>
      <c r="M763" t="s">
        <v>1233</v>
      </c>
      <c r="N763" t="s">
        <v>233</v>
      </c>
      <c r="O763" t="s">
        <v>1234</v>
      </c>
      <c r="P763" t="s">
        <v>221</v>
      </c>
      <c r="Q763" t="s">
        <v>82</v>
      </c>
      <c r="R763">
        <v>1</v>
      </c>
      <c r="S763">
        <v>3</v>
      </c>
      <c r="T763">
        <v>0</v>
      </c>
      <c r="U763">
        <v>1</v>
      </c>
      <c r="V763">
        <v>1</v>
      </c>
      <c r="W763">
        <v>26.15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1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</row>
    <row r="764" spans="1:37" x14ac:dyDescent="0.3">
      <c r="A764">
        <v>7979</v>
      </c>
      <c r="B764" t="s">
        <v>219</v>
      </c>
      <c r="D764" t="s">
        <v>327</v>
      </c>
      <c r="E764">
        <v>99999999</v>
      </c>
      <c r="F764">
        <v>11111111</v>
      </c>
      <c r="G764">
        <v>1111111111</v>
      </c>
      <c r="H764" t="s">
        <v>4333</v>
      </c>
      <c r="I764">
        <v>99999999</v>
      </c>
      <c r="J764" s="188">
        <v>45236</v>
      </c>
      <c r="K764" t="s">
        <v>4333</v>
      </c>
      <c r="L764" t="s">
        <v>4333</v>
      </c>
      <c r="M764" t="s">
        <v>176</v>
      </c>
      <c r="N764" t="s">
        <v>130</v>
      </c>
      <c r="O764" t="s">
        <v>1235</v>
      </c>
      <c r="P764" t="s">
        <v>221</v>
      </c>
      <c r="Q764" t="s">
        <v>82</v>
      </c>
      <c r="R764">
        <v>1</v>
      </c>
      <c r="S764">
        <v>0.8</v>
      </c>
      <c r="T764">
        <v>0</v>
      </c>
      <c r="U764">
        <v>1</v>
      </c>
      <c r="V764">
        <v>1</v>
      </c>
      <c r="W764">
        <v>21.54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1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</row>
    <row r="765" spans="1:37" x14ac:dyDescent="0.3">
      <c r="A765">
        <v>7979</v>
      </c>
      <c r="B765" t="s">
        <v>219</v>
      </c>
      <c r="D765" t="s">
        <v>327</v>
      </c>
      <c r="E765">
        <v>99999999</v>
      </c>
      <c r="F765">
        <v>11111111</v>
      </c>
      <c r="G765">
        <v>1111111111</v>
      </c>
      <c r="H765" t="s">
        <v>4334</v>
      </c>
      <c r="I765">
        <v>99999999</v>
      </c>
      <c r="J765" s="188">
        <v>45236</v>
      </c>
      <c r="K765" t="s">
        <v>4334</v>
      </c>
      <c r="L765" t="s">
        <v>4334</v>
      </c>
      <c r="M765" t="s">
        <v>1236</v>
      </c>
      <c r="N765" t="s">
        <v>239</v>
      </c>
      <c r="O765" t="s">
        <v>1237</v>
      </c>
      <c r="P765" t="s">
        <v>221</v>
      </c>
      <c r="Q765" t="s">
        <v>82</v>
      </c>
      <c r="R765">
        <v>1</v>
      </c>
      <c r="S765">
        <v>6.15</v>
      </c>
      <c r="T765">
        <v>0</v>
      </c>
      <c r="U765">
        <v>1</v>
      </c>
      <c r="V765">
        <v>1</v>
      </c>
      <c r="W765">
        <v>25.47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1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</row>
    <row r="766" spans="1:37" x14ac:dyDescent="0.3">
      <c r="A766">
        <v>7979</v>
      </c>
      <c r="B766" t="s">
        <v>219</v>
      </c>
      <c r="D766" t="s">
        <v>327</v>
      </c>
      <c r="E766">
        <v>99999999</v>
      </c>
      <c r="F766">
        <v>11111111</v>
      </c>
      <c r="G766">
        <v>1111111111</v>
      </c>
      <c r="H766" t="s">
        <v>4335</v>
      </c>
      <c r="I766">
        <v>99999999</v>
      </c>
      <c r="J766" s="188">
        <v>45236</v>
      </c>
      <c r="K766" t="s">
        <v>4335</v>
      </c>
      <c r="L766" t="s">
        <v>4335</v>
      </c>
      <c r="M766" t="s">
        <v>611</v>
      </c>
      <c r="N766" t="s">
        <v>130</v>
      </c>
      <c r="O766">
        <v>80113</v>
      </c>
      <c r="P766" t="s">
        <v>221</v>
      </c>
      <c r="Q766" t="s">
        <v>82</v>
      </c>
      <c r="R766">
        <v>2</v>
      </c>
      <c r="S766">
        <v>18</v>
      </c>
      <c r="T766">
        <v>0</v>
      </c>
      <c r="U766">
        <v>1</v>
      </c>
      <c r="V766">
        <v>1</v>
      </c>
      <c r="W766">
        <v>31.35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2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</row>
    <row r="767" spans="1:37" x14ac:dyDescent="0.3">
      <c r="A767">
        <v>7979</v>
      </c>
      <c r="B767" t="s">
        <v>219</v>
      </c>
      <c r="D767" t="s">
        <v>327</v>
      </c>
      <c r="E767">
        <v>99999999</v>
      </c>
      <c r="F767">
        <v>11111111</v>
      </c>
      <c r="G767">
        <v>1111111111</v>
      </c>
      <c r="H767" t="s">
        <v>4336</v>
      </c>
      <c r="I767">
        <v>99999999</v>
      </c>
      <c r="J767" s="188">
        <v>45236</v>
      </c>
      <c r="K767" t="s">
        <v>4336</v>
      </c>
      <c r="L767" t="s">
        <v>4336</v>
      </c>
      <c r="M767" t="s">
        <v>95</v>
      </c>
      <c r="N767" t="s">
        <v>91</v>
      </c>
      <c r="O767" t="s">
        <v>1238</v>
      </c>
      <c r="P767" t="s">
        <v>221</v>
      </c>
      <c r="Q767" t="s">
        <v>82</v>
      </c>
      <c r="R767">
        <v>1</v>
      </c>
      <c r="S767">
        <v>4.1100000000000003</v>
      </c>
      <c r="T767">
        <v>0</v>
      </c>
      <c r="U767">
        <v>1</v>
      </c>
      <c r="V767">
        <v>1</v>
      </c>
      <c r="W767">
        <v>24.37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1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</row>
    <row r="768" spans="1:37" x14ac:dyDescent="0.3">
      <c r="A768">
        <v>7979</v>
      </c>
      <c r="B768" t="s">
        <v>219</v>
      </c>
      <c r="D768" t="s">
        <v>327</v>
      </c>
      <c r="E768">
        <v>99999999</v>
      </c>
      <c r="F768">
        <v>11111111</v>
      </c>
      <c r="G768">
        <v>1111111111</v>
      </c>
      <c r="H768" t="s">
        <v>4337</v>
      </c>
      <c r="I768">
        <v>99999999</v>
      </c>
      <c r="J768" s="188">
        <v>45236</v>
      </c>
      <c r="K768" t="s">
        <v>4337</v>
      </c>
      <c r="L768" t="s">
        <v>4337</v>
      </c>
      <c r="M768" t="s">
        <v>598</v>
      </c>
      <c r="N768" t="s">
        <v>99</v>
      </c>
      <c r="O768" t="s">
        <v>1239</v>
      </c>
      <c r="P768" t="s">
        <v>221</v>
      </c>
      <c r="Q768" t="s">
        <v>82</v>
      </c>
      <c r="R768">
        <v>1</v>
      </c>
      <c r="S768">
        <v>9.3000000000000007</v>
      </c>
      <c r="T768">
        <v>0</v>
      </c>
      <c r="U768">
        <v>1</v>
      </c>
      <c r="V768">
        <v>1</v>
      </c>
      <c r="W768">
        <v>22.82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1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</row>
    <row r="769" spans="1:37" x14ac:dyDescent="0.3">
      <c r="A769">
        <v>7979</v>
      </c>
      <c r="B769" t="s">
        <v>219</v>
      </c>
      <c r="D769" t="s">
        <v>327</v>
      </c>
      <c r="E769">
        <v>99999999</v>
      </c>
      <c r="F769">
        <v>11111111</v>
      </c>
      <c r="G769">
        <v>1111111111</v>
      </c>
      <c r="H769" t="s">
        <v>4338</v>
      </c>
      <c r="I769">
        <v>99999999</v>
      </c>
      <c r="J769" s="188">
        <v>45236</v>
      </c>
      <c r="K769" t="s">
        <v>4338</v>
      </c>
      <c r="L769" t="s">
        <v>4338</v>
      </c>
      <c r="M769" t="s">
        <v>1240</v>
      </c>
      <c r="N769" t="s">
        <v>99</v>
      </c>
      <c r="O769" t="s">
        <v>1241</v>
      </c>
      <c r="P769" t="s">
        <v>221</v>
      </c>
      <c r="Q769" t="s">
        <v>82</v>
      </c>
      <c r="R769">
        <v>1</v>
      </c>
      <c r="S769">
        <v>9</v>
      </c>
      <c r="T769">
        <v>0</v>
      </c>
      <c r="U769">
        <v>1</v>
      </c>
      <c r="V769">
        <v>1</v>
      </c>
      <c r="W769">
        <v>28.94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1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</row>
    <row r="770" spans="1:37" x14ac:dyDescent="0.3">
      <c r="A770">
        <v>7979</v>
      </c>
      <c r="B770" t="s">
        <v>219</v>
      </c>
      <c r="D770" t="s">
        <v>327</v>
      </c>
      <c r="E770">
        <v>99999999</v>
      </c>
      <c r="F770">
        <v>11111111</v>
      </c>
      <c r="G770">
        <v>1111111111</v>
      </c>
      <c r="H770" t="s">
        <v>4339</v>
      </c>
      <c r="I770">
        <v>99999999</v>
      </c>
      <c r="J770" s="188">
        <v>45236</v>
      </c>
      <c r="K770" t="s">
        <v>4339</v>
      </c>
      <c r="L770" t="s">
        <v>4339</v>
      </c>
      <c r="M770" t="s">
        <v>1242</v>
      </c>
      <c r="N770" t="s">
        <v>99</v>
      </c>
      <c r="O770" t="s">
        <v>1243</v>
      </c>
      <c r="P770" t="s">
        <v>221</v>
      </c>
      <c r="Q770" t="s">
        <v>82</v>
      </c>
      <c r="R770">
        <v>1</v>
      </c>
      <c r="S770">
        <v>2.2000000000000002</v>
      </c>
      <c r="T770">
        <v>0</v>
      </c>
      <c r="U770">
        <v>1</v>
      </c>
      <c r="V770">
        <v>1</v>
      </c>
      <c r="W770">
        <v>21.88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1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</row>
    <row r="771" spans="1:37" x14ac:dyDescent="0.3">
      <c r="A771">
        <v>7979</v>
      </c>
      <c r="B771" t="s">
        <v>219</v>
      </c>
      <c r="D771" t="s">
        <v>327</v>
      </c>
      <c r="E771">
        <v>99999999</v>
      </c>
      <c r="F771">
        <v>11111111</v>
      </c>
      <c r="G771">
        <v>1111111111</v>
      </c>
      <c r="H771" t="s">
        <v>4340</v>
      </c>
      <c r="I771">
        <v>99999999</v>
      </c>
      <c r="J771" s="188">
        <v>45236</v>
      </c>
      <c r="K771" t="s">
        <v>4340</v>
      </c>
      <c r="L771" t="s">
        <v>4340</v>
      </c>
      <c r="M771" t="s">
        <v>1244</v>
      </c>
      <c r="N771" t="s">
        <v>307</v>
      </c>
      <c r="O771" t="s">
        <v>1245</v>
      </c>
      <c r="P771" t="s">
        <v>221</v>
      </c>
      <c r="Q771" t="s">
        <v>82</v>
      </c>
      <c r="R771">
        <v>1</v>
      </c>
      <c r="S771">
        <v>7</v>
      </c>
      <c r="T771">
        <v>0</v>
      </c>
      <c r="U771">
        <v>1</v>
      </c>
      <c r="V771">
        <v>1</v>
      </c>
      <c r="W771">
        <v>34.51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1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</row>
    <row r="772" spans="1:37" x14ac:dyDescent="0.3">
      <c r="A772">
        <v>7979</v>
      </c>
      <c r="B772" t="s">
        <v>219</v>
      </c>
      <c r="D772" t="s">
        <v>327</v>
      </c>
      <c r="E772">
        <v>99999999</v>
      </c>
      <c r="F772">
        <v>11111111</v>
      </c>
      <c r="G772">
        <v>1111111111</v>
      </c>
      <c r="H772" t="s">
        <v>4341</v>
      </c>
      <c r="I772">
        <v>99999999</v>
      </c>
      <c r="J772" s="188">
        <v>45236</v>
      </c>
      <c r="K772" t="s">
        <v>4341</v>
      </c>
      <c r="L772" t="s">
        <v>4341</v>
      </c>
      <c r="M772" t="s">
        <v>474</v>
      </c>
      <c r="N772" t="s">
        <v>164</v>
      </c>
      <c r="O772" t="s">
        <v>1246</v>
      </c>
      <c r="P772" t="s">
        <v>221</v>
      </c>
      <c r="Q772" t="s">
        <v>82</v>
      </c>
      <c r="R772">
        <v>1</v>
      </c>
      <c r="S772">
        <v>6.2</v>
      </c>
      <c r="T772">
        <v>0</v>
      </c>
      <c r="U772">
        <v>1</v>
      </c>
      <c r="V772">
        <v>1</v>
      </c>
      <c r="W772">
        <v>29.66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1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</row>
    <row r="773" spans="1:37" x14ac:dyDescent="0.3">
      <c r="A773">
        <v>7979</v>
      </c>
      <c r="B773" t="s">
        <v>219</v>
      </c>
      <c r="D773" t="s">
        <v>327</v>
      </c>
      <c r="E773">
        <v>99999999</v>
      </c>
      <c r="F773">
        <v>11111111</v>
      </c>
      <c r="G773">
        <v>1111111111</v>
      </c>
      <c r="H773" t="s">
        <v>4342</v>
      </c>
      <c r="I773">
        <v>99999999</v>
      </c>
      <c r="J773" s="188">
        <v>45236</v>
      </c>
      <c r="K773" t="s">
        <v>4342</v>
      </c>
      <c r="L773" t="s">
        <v>4342</v>
      </c>
      <c r="M773" t="s">
        <v>1112</v>
      </c>
      <c r="N773" t="s">
        <v>97</v>
      </c>
      <c r="O773" t="s">
        <v>1247</v>
      </c>
      <c r="P773" t="s">
        <v>221</v>
      </c>
      <c r="Q773" t="s">
        <v>82</v>
      </c>
      <c r="R773">
        <v>1</v>
      </c>
      <c r="S773">
        <v>4</v>
      </c>
      <c r="T773">
        <v>0</v>
      </c>
      <c r="U773">
        <v>1</v>
      </c>
      <c r="V773">
        <v>1</v>
      </c>
      <c r="W773">
        <v>29.05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1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</row>
    <row r="774" spans="1:37" x14ac:dyDescent="0.3">
      <c r="A774">
        <v>7979</v>
      </c>
      <c r="B774" t="s">
        <v>219</v>
      </c>
      <c r="D774" t="s">
        <v>327</v>
      </c>
      <c r="E774">
        <v>99999999</v>
      </c>
      <c r="F774">
        <v>11111111</v>
      </c>
      <c r="G774">
        <v>1111111111</v>
      </c>
      <c r="H774" t="s">
        <v>4343</v>
      </c>
      <c r="I774">
        <v>99999999</v>
      </c>
      <c r="J774" s="188">
        <v>45236</v>
      </c>
      <c r="K774" t="s">
        <v>4343</v>
      </c>
      <c r="L774" t="s">
        <v>4343</v>
      </c>
      <c r="M774" t="s">
        <v>1248</v>
      </c>
      <c r="N774" t="s">
        <v>99</v>
      </c>
      <c r="O774" t="s">
        <v>1249</v>
      </c>
      <c r="P774" t="s">
        <v>221</v>
      </c>
      <c r="Q774" t="s">
        <v>82</v>
      </c>
      <c r="R774">
        <v>1</v>
      </c>
      <c r="S774">
        <v>2.125</v>
      </c>
      <c r="T774">
        <v>0</v>
      </c>
      <c r="U774">
        <v>1</v>
      </c>
      <c r="V774">
        <v>1</v>
      </c>
      <c r="W774">
        <v>21.88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1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</row>
    <row r="775" spans="1:37" x14ac:dyDescent="0.3">
      <c r="A775">
        <v>7979</v>
      </c>
      <c r="B775" t="s">
        <v>219</v>
      </c>
      <c r="D775" t="s">
        <v>327</v>
      </c>
      <c r="E775">
        <v>99999999</v>
      </c>
      <c r="F775">
        <v>11111111</v>
      </c>
      <c r="G775">
        <v>1111111111</v>
      </c>
      <c r="H775" t="s">
        <v>4344</v>
      </c>
      <c r="I775">
        <v>99999999</v>
      </c>
      <c r="J775" s="188">
        <v>45236</v>
      </c>
      <c r="K775" t="s">
        <v>4344</v>
      </c>
      <c r="L775" t="s">
        <v>4344</v>
      </c>
      <c r="M775" t="s">
        <v>1250</v>
      </c>
      <c r="N775" t="s">
        <v>141</v>
      </c>
      <c r="O775" t="s">
        <v>1251</v>
      </c>
      <c r="P775" t="s">
        <v>221</v>
      </c>
      <c r="Q775" t="s">
        <v>82</v>
      </c>
      <c r="R775">
        <v>1</v>
      </c>
      <c r="S775">
        <v>1</v>
      </c>
      <c r="T775">
        <v>0</v>
      </c>
      <c r="U775">
        <v>1</v>
      </c>
      <c r="V775">
        <v>1</v>
      </c>
      <c r="W775">
        <v>23.1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1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</row>
    <row r="776" spans="1:37" x14ac:dyDescent="0.3">
      <c r="A776">
        <v>7979</v>
      </c>
      <c r="B776" t="s">
        <v>219</v>
      </c>
      <c r="D776" t="s">
        <v>327</v>
      </c>
      <c r="E776">
        <v>99999999</v>
      </c>
      <c r="F776">
        <v>11111111</v>
      </c>
      <c r="G776">
        <v>1111111111</v>
      </c>
      <c r="H776" t="s">
        <v>4345</v>
      </c>
      <c r="I776">
        <v>99999999</v>
      </c>
      <c r="J776" s="188">
        <v>45236</v>
      </c>
      <c r="K776" t="s">
        <v>4345</v>
      </c>
      <c r="L776" t="s">
        <v>4345</v>
      </c>
      <c r="M776" t="s">
        <v>278</v>
      </c>
      <c r="N776" t="s">
        <v>99</v>
      </c>
      <c r="O776" t="s">
        <v>1252</v>
      </c>
      <c r="P776" t="s">
        <v>221</v>
      </c>
      <c r="Q776" t="s">
        <v>82</v>
      </c>
      <c r="R776">
        <v>2</v>
      </c>
      <c r="S776">
        <v>1</v>
      </c>
      <c r="T776">
        <v>0</v>
      </c>
      <c r="U776">
        <v>1</v>
      </c>
      <c r="V776">
        <v>1</v>
      </c>
      <c r="W776">
        <v>21.21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2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</row>
    <row r="777" spans="1:37" x14ac:dyDescent="0.3">
      <c r="A777">
        <v>7979</v>
      </c>
      <c r="B777" t="s">
        <v>219</v>
      </c>
      <c r="D777" t="s">
        <v>327</v>
      </c>
      <c r="E777">
        <v>99999999</v>
      </c>
      <c r="F777">
        <v>11111111</v>
      </c>
      <c r="G777">
        <v>1111111111</v>
      </c>
      <c r="H777" t="s">
        <v>4346</v>
      </c>
      <c r="I777">
        <v>99999999</v>
      </c>
      <c r="J777" s="188">
        <v>45236</v>
      </c>
      <c r="K777" t="s">
        <v>4346</v>
      </c>
      <c r="L777" t="s">
        <v>4346</v>
      </c>
      <c r="M777" t="s">
        <v>1253</v>
      </c>
      <c r="N777" t="s">
        <v>197</v>
      </c>
      <c r="O777" t="s">
        <v>1254</v>
      </c>
      <c r="P777" t="s">
        <v>221</v>
      </c>
      <c r="Q777" t="s">
        <v>82</v>
      </c>
      <c r="R777">
        <v>1</v>
      </c>
      <c r="S777">
        <v>1.98</v>
      </c>
      <c r="T777">
        <v>0</v>
      </c>
      <c r="U777">
        <v>1</v>
      </c>
      <c r="V777">
        <v>1</v>
      </c>
      <c r="W777">
        <v>23.35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1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</row>
    <row r="778" spans="1:37" x14ac:dyDescent="0.3">
      <c r="A778">
        <v>7979</v>
      </c>
      <c r="B778" t="s">
        <v>219</v>
      </c>
      <c r="D778" t="s">
        <v>327</v>
      </c>
      <c r="E778">
        <v>99999999</v>
      </c>
      <c r="F778">
        <v>11111111</v>
      </c>
      <c r="G778">
        <v>1111111111</v>
      </c>
      <c r="H778" t="s">
        <v>4347</v>
      </c>
      <c r="I778">
        <v>99999999</v>
      </c>
      <c r="J778" s="188">
        <v>45236</v>
      </c>
      <c r="K778" t="s">
        <v>4347</v>
      </c>
      <c r="L778" t="s">
        <v>4347</v>
      </c>
      <c r="M778" t="s">
        <v>992</v>
      </c>
      <c r="N778" t="s">
        <v>97</v>
      </c>
      <c r="O778" t="s">
        <v>993</v>
      </c>
      <c r="P778" t="s">
        <v>221</v>
      </c>
      <c r="Q778" t="s">
        <v>82</v>
      </c>
      <c r="R778">
        <v>1</v>
      </c>
      <c r="S778">
        <v>0.25</v>
      </c>
      <c r="T778">
        <v>0</v>
      </c>
      <c r="U778">
        <v>1</v>
      </c>
      <c r="V778">
        <v>1</v>
      </c>
      <c r="W778">
        <v>19.3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1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</row>
    <row r="779" spans="1:37" x14ac:dyDescent="0.3">
      <c r="A779">
        <v>7979</v>
      </c>
      <c r="B779" t="s">
        <v>219</v>
      </c>
      <c r="D779" t="s">
        <v>327</v>
      </c>
      <c r="E779">
        <v>99999999</v>
      </c>
      <c r="F779">
        <v>11111111</v>
      </c>
      <c r="G779">
        <v>1111111111</v>
      </c>
      <c r="H779" t="s">
        <v>4348</v>
      </c>
      <c r="I779">
        <v>99999999</v>
      </c>
      <c r="J779" s="188">
        <v>45236</v>
      </c>
      <c r="K779" t="s">
        <v>4348</v>
      </c>
      <c r="L779" t="s">
        <v>4348</v>
      </c>
      <c r="M779" t="s">
        <v>1255</v>
      </c>
      <c r="N779" t="s">
        <v>99</v>
      </c>
      <c r="O779" t="s">
        <v>1256</v>
      </c>
      <c r="P779" t="s">
        <v>221</v>
      </c>
      <c r="Q779" t="s">
        <v>82</v>
      </c>
      <c r="R779">
        <v>1</v>
      </c>
      <c r="S779">
        <v>3.7</v>
      </c>
      <c r="T779">
        <v>0</v>
      </c>
      <c r="U779">
        <v>1</v>
      </c>
      <c r="V779">
        <v>1</v>
      </c>
      <c r="W779">
        <v>24.37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1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</row>
    <row r="780" spans="1:37" x14ac:dyDescent="0.3">
      <c r="A780">
        <v>7979</v>
      </c>
      <c r="B780" t="s">
        <v>219</v>
      </c>
      <c r="D780" t="s">
        <v>327</v>
      </c>
      <c r="E780">
        <v>99999999</v>
      </c>
      <c r="F780">
        <v>11111111</v>
      </c>
      <c r="G780">
        <v>1111111111</v>
      </c>
      <c r="H780" t="s">
        <v>4349</v>
      </c>
      <c r="I780">
        <v>99999999</v>
      </c>
      <c r="J780" s="188">
        <v>45236</v>
      </c>
      <c r="K780" t="s">
        <v>4349</v>
      </c>
      <c r="L780" t="s">
        <v>4349</v>
      </c>
      <c r="M780" t="s">
        <v>514</v>
      </c>
      <c r="N780" t="s">
        <v>99</v>
      </c>
      <c r="O780" t="s">
        <v>1257</v>
      </c>
      <c r="P780" t="s">
        <v>221</v>
      </c>
      <c r="Q780" t="s">
        <v>82</v>
      </c>
      <c r="R780">
        <v>1</v>
      </c>
      <c r="S780">
        <v>4.1100000000000003</v>
      </c>
      <c r="T780">
        <v>0</v>
      </c>
      <c r="U780">
        <v>1</v>
      </c>
      <c r="V780">
        <v>1</v>
      </c>
      <c r="W780">
        <v>19.899999999999999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1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</row>
    <row r="781" spans="1:37" x14ac:dyDescent="0.3">
      <c r="A781">
        <v>7979</v>
      </c>
      <c r="B781" t="s">
        <v>219</v>
      </c>
      <c r="D781" t="s">
        <v>327</v>
      </c>
      <c r="E781">
        <v>99999999</v>
      </c>
      <c r="F781">
        <v>11111111</v>
      </c>
      <c r="G781">
        <v>1111111111</v>
      </c>
      <c r="H781" t="s">
        <v>4350</v>
      </c>
      <c r="I781">
        <v>99999999</v>
      </c>
      <c r="J781" s="188">
        <v>45236</v>
      </c>
      <c r="K781" t="s">
        <v>4350</v>
      </c>
      <c r="L781" t="s">
        <v>4350</v>
      </c>
      <c r="M781" t="s">
        <v>128</v>
      </c>
      <c r="N781" t="s">
        <v>85</v>
      </c>
      <c r="O781" t="s">
        <v>1258</v>
      </c>
      <c r="P781" t="s">
        <v>221</v>
      </c>
      <c r="Q781" t="s">
        <v>82</v>
      </c>
      <c r="R781">
        <v>2</v>
      </c>
      <c r="S781">
        <v>5.2</v>
      </c>
      <c r="T781">
        <v>0</v>
      </c>
      <c r="U781">
        <v>1</v>
      </c>
      <c r="V781">
        <v>2</v>
      </c>
      <c r="W781">
        <v>20.02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2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</row>
    <row r="782" spans="1:37" x14ac:dyDescent="0.3">
      <c r="A782">
        <v>7979</v>
      </c>
      <c r="B782" t="s">
        <v>219</v>
      </c>
      <c r="D782" t="s">
        <v>327</v>
      </c>
      <c r="E782">
        <v>99999999</v>
      </c>
      <c r="F782">
        <v>11111111</v>
      </c>
      <c r="G782">
        <v>1111111111</v>
      </c>
      <c r="H782" t="s">
        <v>4351</v>
      </c>
      <c r="I782">
        <v>99999999</v>
      </c>
      <c r="J782" s="188">
        <v>45236</v>
      </c>
      <c r="K782" t="s">
        <v>4351</v>
      </c>
      <c r="L782" t="s">
        <v>4351</v>
      </c>
      <c r="M782" t="s">
        <v>540</v>
      </c>
      <c r="N782" t="s">
        <v>97</v>
      </c>
      <c r="O782" t="s">
        <v>1259</v>
      </c>
      <c r="P782" t="s">
        <v>221</v>
      </c>
      <c r="Q782" t="s">
        <v>82</v>
      </c>
      <c r="R782">
        <v>1</v>
      </c>
      <c r="S782">
        <v>3</v>
      </c>
      <c r="T782">
        <v>0</v>
      </c>
      <c r="U782">
        <v>1</v>
      </c>
      <c r="V782">
        <v>1</v>
      </c>
      <c r="W782">
        <v>22.52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1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</row>
    <row r="783" spans="1:37" x14ac:dyDescent="0.3">
      <c r="A783">
        <v>7979</v>
      </c>
      <c r="B783" t="s">
        <v>219</v>
      </c>
      <c r="D783" t="s">
        <v>327</v>
      </c>
      <c r="E783">
        <v>99999999</v>
      </c>
      <c r="F783">
        <v>11111111</v>
      </c>
      <c r="G783">
        <v>1111111111</v>
      </c>
      <c r="H783" t="s">
        <v>4352</v>
      </c>
      <c r="I783">
        <v>99999999</v>
      </c>
      <c r="J783" s="188">
        <v>45236</v>
      </c>
      <c r="K783" t="s">
        <v>4352</v>
      </c>
      <c r="L783" t="s">
        <v>4352</v>
      </c>
      <c r="M783" t="s">
        <v>699</v>
      </c>
      <c r="N783" t="s">
        <v>99</v>
      </c>
      <c r="O783" t="s">
        <v>1260</v>
      </c>
      <c r="P783" t="s">
        <v>221</v>
      </c>
      <c r="Q783" t="s">
        <v>82</v>
      </c>
      <c r="R783">
        <v>1</v>
      </c>
      <c r="S783">
        <v>2</v>
      </c>
      <c r="T783">
        <v>0</v>
      </c>
      <c r="U783">
        <v>1</v>
      </c>
      <c r="V783">
        <v>1</v>
      </c>
      <c r="W783">
        <v>20.67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1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</row>
    <row r="784" spans="1:37" x14ac:dyDescent="0.3">
      <c r="A784">
        <v>7979</v>
      </c>
      <c r="B784" t="s">
        <v>219</v>
      </c>
      <c r="D784" t="s">
        <v>327</v>
      </c>
      <c r="E784">
        <v>99999999</v>
      </c>
      <c r="F784">
        <v>11111111</v>
      </c>
      <c r="G784">
        <v>1111111111</v>
      </c>
      <c r="H784" t="s">
        <v>4353</v>
      </c>
      <c r="I784">
        <v>99999999</v>
      </c>
      <c r="J784" s="188">
        <v>45236</v>
      </c>
      <c r="K784" t="s">
        <v>4353</v>
      </c>
      <c r="L784" t="s">
        <v>4353</v>
      </c>
      <c r="M784" t="s">
        <v>358</v>
      </c>
      <c r="N784" t="s">
        <v>197</v>
      </c>
      <c r="O784" t="s">
        <v>1261</v>
      </c>
      <c r="P784" t="s">
        <v>221</v>
      </c>
      <c r="Q784" t="s">
        <v>82</v>
      </c>
      <c r="R784">
        <v>1</v>
      </c>
      <c r="S784">
        <v>3.7</v>
      </c>
      <c r="T784">
        <v>0</v>
      </c>
      <c r="U784">
        <v>1</v>
      </c>
      <c r="V784">
        <v>1</v>
      </c>
      <c r="W784">
        <v>25.11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1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</row>
    <row r="785" spans="1:37" x14ac:dyDescent="0.3">
      <c r="A785">
        <v>7979</v>
      </c>
      <c r="B785" t="s">
        <v>219</v>
      </c>
      <c r="D785" t="s">
        <v>327</v>
      </c>
      <c r="E785">
        <v>99999999</v>
      </c>
      <c r="F785">
        <v>11111111</v>
      </c>
      <c r="G785">
        <v>1111111111</v>
      </c>
      <c r="H785" t="s">
        <v>4354</v>
      </c>
      <c r="I785">
        <v>99999999</v>
      </c>
      <c r="J785" s="188">
        <v>45236</v>
      </c>
      <c r="K785" t="s">
        <v>4354</v>
      </c>
      <c r="L785" t="s">
        <v>4354</v>
      </c>
      <c r="M785" t="s">
        <v>1262</v>
      </c>
      <c r="N785" t="s">
        <v>317</v>
      </c>
      <c r="O785" t="s">
        <v>1263</v>
      </c>
      <c r="P785" t="s">
        <v>221</v>
      </c>
      <c r="Q785" t="s">
        <v>82</v>
      </c>
      <c r="R785">
        <v>1</v>
      </c>
      <c r="S785">
        <v>6.15</v>
      </c>
      <c r="T785">
        <v>0</v>
      </c>
      <c r="U785">
        <v>1</v>
      </c>
      <c r="V785">
        <v>1</v>
      </c>
      <c r="W785">
        <v>25.47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1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</row>
    <row r="786" spans="1:37" x14ac:dyDescent="0.3">
      <c r="A786">
        <v>7979</v>
      </c>
      <c r="B786" t="s">
        <v>219</v>
      </c>
      <c r="D786" t="s">
        <v>327</v>
      </c>
      <c r="E786">
        <v>99999999</v>
      </c>
      <c r="F786">
        <v>11111111</v>
      </c>
      <c r="G786">
        <v>1111111111</v>
      </c>
      <c r="H786" t="s">
        <v>4355</v>
      </c>
      <c r="I786">
        <v>99999999</v>
      </c>
      <c r="J786" s="188">
        <v>45236</v>
      </c>
      <c r="K786" t="s">
        <v>4355</v>
      </c>
      <c r="L786" t="s">
        <v>4355</v>
      </c>
      <c r="M786" t="s">
        <v>516</v>
      </c>
      <c r="N786" t="s">
        <v>197</v>
      </c>
      <c r="O786" t="s">
        <v>1264</v>
      </c>
      <c r="P786" t="s">
        <v>221</v>
      </c>
      <c r="Q786" t="s">
        <v>82</v>
      </c>
      <c r="R786">
        <v>1</v>
      </c>
      <c r="S786">
        <v>3.7</v>
      </c>
      <c r="T786">
        <v>0</v>
      </c>
      <c r="U786">
        <v>1</v>
      </c>
      <c r="V786">
        <v>1</v>
      </c>
      <c r="W786">
        <v>31.23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1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</row>
    <row r="787" spans="1:37" x14ac:dyDescent="0.3">
      <c r="A787">
        <v>7979</v>
      </c>
      <c r="B787" t="s">
        <v>219</v>
      </c>
      <c r="D787" t="s">
        <v>327</v>
      </c>
      <c r="E787">
        <v>99999999</v>
      </c>
      <c r="F787">
        <v>11111111</v>
      </c>
      <c r="G787">
        <v>1111111111</v>
      </c>
      <c r="H787" t="s">
        <v>4356</v>
      </c>
      <c r="I787">
        <v>99999999</v>
      </c>
      <c r="J787" s="188">
        <v>45236</v>
      </c>
      <c r="K787" t="s">
        <v>4356</v>
      </c>
      <c r="L787" t="s">
        <v>4356</v>
      </c>
      <c r="M787" t="s">
        <v>1265</v>
      </c>
      <c r="N787" t="s">
        <v>197</v>
      </c>
      <c r="O787" t="s">
        <v>1266</v>
      </c>
      <c r="P787" t="s">
        <v>221</v>
      </c>
      <c r="Q787" t="s">
        <v>82</v>
      </c>
      <c r="R787">
        <v>1</v>
      </c>
      <c r="S787">
        <v>6.15</v>
      </c>
      <c r="T787">
        <v>0</v>
      </c>
      <c r="U787">
        <v>1</v>
      </c>
      <c r="V787">
        <v>1</v>
      </c>
      <c r="W787">
        <v>25.47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1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</row>
    <row r="788" spans="1:37" x14ac:dyDescent="0.3">
      <c r="A788">
        <v>7979</v>
      </c>
      <c r="B788" t="s">
        <v>219</v>
      </c>
      <c r="D788" t="s">
        <v>327</v>
      </c>
      <c r="E788">
        <v>99999999</v>
      </c>
      <c r="F788">
        <v>11111111</v>
      </c>
      <c r="G788">
        <v>1111111111</v>
      </c>
      <c r="H788" t="s">
        <v>4357</v>
      </c>
      <c r="I788">
        <v>99999999</v>
      </c>
      <c r="J788" s="188">
        <v>45236</v>
      </c>
      <c r="K788" t="s">
        <v>4357</v>
      </c>
      <c r="L788" t="s">
        <v>4357</v>
      </c>
      <c r="M788" t="s">
        <v>1267</v>
      </c>
      <c r="N788" t="s">
        <v>97</v>
      </c>
      <c r="O788" t="s">
        <v>1268</v>
      </c>
      <c r="P788" t="s">
        <v>221</v>
      </c>
      <c r="Q788" t="s">
        <v>82</v>
      </c>
      <c r="R788">
        <v>1</v>
      </c>
      <c r="S788">
        <v>1.6659999999999999</v>
      </c>
      <c r="T788">
        <v>0</v>
      </c>
      <c r="U788">
        <v>1</v>
      </c>
      <c r="V788">
        <v>1</v>
      </c>
      <c r="W788">
        <v>21.88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1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</row>
    <row r="789" spans="1:37" x14ac:dyDescent="0.3">
      <c r="A789">
        <v>7979</v>
      </c>
      <c r="B789" t="s">
        <v>219</v>
      </c>
      <c r="D789" t="s">
        <v>327</v>
      </c>
      <c r="E789">
        <v>99999999</v>
      </c>
      <c r="F789">
        <v>11111111</v>
      </c>
      <c r="G789">
        <v>1111111111</v>
      </c>
      <c r="H789" t="s">
        <v>4358</v>
      </c>
      <c r="I789">
        <v>99999999</v>
      </c>
      <c r="J789" s="188">
        <v>45236</v>
      </c>
      <c r="K789" t="s">
        <v>4358</v>
      </c>
      <c r="L789" t="s">
        <v>4358</v>
      </c>
      <c r="M789" t="s">
        <v>1269</v>
      </c>
      <c r="N789" t="s">
        <v>91</v>
      </c>
      <c r="O789" t="s">
        <v>1270</v>
      </c>
      <c r="P789" t="s">
        <v>221</v>
      </c>
      <c r="Q789" t="s">
        <v>82</v>
      </c>
      <c r="R789">
        <v>2</v>
      </c>
      <c r="S789">
        <v>10.28</v>
      </c>
      <c r="T789">
        <v>0</v>
      </c>
      <c r="U789">
        <v>1</v>
      </c>
      <c r="V789">
        <v>1</v>
      </c>
      <c r="W789">
        <v>32.4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2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</row>
    <row r="790" spans="1:37" x14ac:dyDescent="0.3">
      <c r="A790">
        <v>7979</v>
      </c>
      <c r="B790" t="s">
        <v>219</v>
      </c>
      <c r="D790" t="s">
        <v>327</v>
      </c>
      <c r="E790">
        <v>99999999</v>
      </c>
      <c r="F790">
        <v>11111111</v>
      </c>
      <c r="G790">
        <v>1111111111</v>
      </c>
      <c r="H790" t="s">
        <v>4359</v>
      </c>
      <c r="I790">
        <v>99999999</v>
      </c>
      <c r="J790" s="188">
        <v>45236</v>
      </c>
      <c r="K790" t="s">
        <v>4359</v>
      </c>
      <c r="L790" t="s">
        <v>4359</v>
      </c>
      <c r="M790" t="s">
        <v>907</v>
      </c>
      <c r="N790" t="s">
        <v>99</v>
      </c>
      <c r="O790" t="s">
        <v>908</v>
      </c>
      <c r="P790" t="s">
        <v>221</v>
      </c>
      <c r="Q790" t="s">
        <v>82</v>
      </c>
      <c r="R790">
        <v>1</v>
      </c>
      <c r="S790">
        <v>2.2000000000000002</v>
      </c>
      <c r="T790">
        <v>0</v>
      </c>
      <c r="U790">
        <v>1</v>
      </c>
      <c r="V790">
        <v>1</v>
      </c>
      <c r="W790">
        <v>19.16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1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</row>
    <row r="791" spans="1:37" x14ac:dyDescent="0.3">
      <c r="A791">
        <v>7979</v>
      </c>
      <c r="B791" t="s">
        <v>219</v>
      </c>
      <c r="D791" t="s">
        <v>327</v>
      </c>
      <c r="E791">
        <v>99999999</v>
      </c>
      <c r="F791">
        <v>11111111</v>
      </c>
      <c r="G791">
        <v>1111111111</v>
      </c>
      <c r="H791" t="s">
        <v>4360</v>
      </c>
      <c r="I791">
        <v>99999999</v>
      </c>
      <c r="J791" s="188">
        <v>45236</v>
      </c>
      <c r="K791" t="s">
        <v>4360</v>
      </c>
      <c r="L791" t="s">
        <v>4360</v>
      </c>
      <c r="M791" t="s">
        <v>202</v>
      </c>
      <c r="N791" t="s">
        <v>135</v>
      </c>
      <c r="O791" t="s">
        <v>1271</v>
      </c>
      <c r="P791" t="s">
        <v>221</v>
      </c>
      <c r="Q791" t="s">
        <v>82</v>
      </c>
      <c r="R791">
        <v>1</v>
      </c>
      <c r="S791">
        <v>2.1</v>
      </c>
      <c r="T791">
        <v>0</v>
      </c>
      <c r="U791">
        <v>1</v>
      </c>
      <c r="V791">
        <v>1</v>
      </c>
      <c r="W791">
        <v>21.88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1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</row>
    <row r="792" spans="1:37" x14ac:dyDescent="0.3">
      <c r="A792">
        <v>7979</v>
      </c>
      <c r="B792" t="s">
        <v>219</v>
      </c>
      <c r="D792" t="s">
        <v>327</v>
      </c>
      <c r="E792">
        <v>99999999</v>
      </c>
      <c r="F792">
        <v>11111111</v>
      </c>
      <c r="G792">
        <v>1111111111</v>
      </c>
      <c r="H792" t="s">
        <v>4361</v>
      </c>
      <c r="I792">
        <v>99999999</v>
      </c>
      <c r="J792" s="188">
        <v>45237</v>
      </c>
      <c r="K792" t="s">
        <v>4361</v>
      </c>
      <c r="L792" t="s">
        <v>4361</v>
      </c>
      <c r="M792" t="s">
        <v>827</v>
      </c>
      <c r="N792" t="s">
        <v>381</v>
      </c>
      <c r="O792" t="s">
        <v>1272</v>
      </c>
      <c r="P792" t="s">
        <v>221</v>
      </c>
      <c r="Q792" t="s">
        <v>82</v>
      </c>
      <c r="R792">
        <v>4</v>
      </c>
      <c r="S792">
        <v>12</v>
      </c>
      <c r="T792">
        <v>0</v>
      </c>
      <c r="U792">
        <v>1</v>
      </c>
      <c r="V792">
        <v>1</v>
      </c>
      <c r="W792">
        <v>31.17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4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</row>
    <row r="793" spans="1:37" x14ac:dyDescent="0.3">
      <c r="A793">
        <v>7979</v>
      </c>
      <c r="B793" t="s">
        <v>219</v>
      </c>
      <c r="D793" t="s">
        <v>327</v>
      </c>
      <c r="E793">
        <v>99999999</v>
      </c>
      <c r="F793">
        <v>11111111</v>
      </c>
      <c r="G793">
        <v>1111111111</v>
      </c>
      <c r="H793" t="s">
        <v>4362</v>
      </c>
      <c r="I793">
        <v>99999999</v>
      </c>
      <c r="J793" s="188">
        <v>45236</v>
      </c>
      <c r="K793" t="s">
        <v>4362</v>
      </c>
      <c r="L793" t="s">
        <v>4362</v>
      </c>
      <c r="M793" t="s">
        <v>1273</v>
      </c>
      <c r="N793" t="s">
        <v>104</v>
      </c>
      <c r="O793" t="s">
        <v>1274</v>
      </c>
      <c r="P793" t="s">
        <v>221</v>
      </c>
      <c r="Q793" t="s">
        <v>82</v>
      </c>
      <c r="R793">
        <v>1</v>
      </c>
      <c r="S793">
        <v>2</v>
      </c>
      <c r="T793">
        <v>0</v>
      </c>
      <c r="U793">
        <v>1</v>
      </c>
      <c r="V793">
        <v>1</v>
      </c>
      <c r="W793">
        <v>30.13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1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</row>
    <row r="794" spans="1:37" x14ac:dyDescent="0.3">
      <c r="A794">
        <v>7979</v>
      </c>
      <c r="B794" t="s">
        <v>219</v>
      </c>
      <c r="D794" t="s">
        <v>327</v>
      </c>
      <c r="E794">
        <v>99999999</v>
      </c>
      <c r="F794">
        <v>11111111</v>
      </c>
      <c r="G794">
        <v>1111111111</v>
      </c>
      <c r="H794" t="s">
        <v>4363</v>
      </c>
      <c r="I794">
        <v>99999999</v>
      </c>
      <c r="J794" s="188">
        <v>45236</v>
      </c>
      <c r="K794" t="s">
        <v>4363</v>
      </c>
      <c r="L794" t="s">
        <v>4363</v>
      </c>
      <c r="M794" t="s">
        <v>1275</v>
      </c>
      <c r="N794" t="s">
        <v>1276</v>
      </c>
      <c r="O794" t="s">
        <v>1277</v>
      </c>
      <c r="P794" t="s">
        <v>221</v>
      </c>
      <c r="Q794" t="s">
        <v>82</v>
      </c>
      <c r="R794">
        <v>1</v>
      </c>
      <c r="S794">
        <v>1.54</v>
      </c>
      <c r="T794">
        <v>0</v>
      </c>
      <c r="U794">
        <v>1</v>
      </c>
      <c r="V794">
        <v>1</v>
      </c>
      <c r="W794">
        <v>23.35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1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</row>
    <row r="795" spans="1:37" x14ac:dyDescent="0.3">
      <c r="A795">
        <v>7979</v>
      </c>
      <c r="B795" t="s">
        <v>219</v>
      </c>
      <c r="D795" t="s">
        <v>327</v>
      </c>
      <c r="E795">
        <v>99999999</v>
      </c>
      <c r="F795">
        <v>11111111</v>
      </c>
      <c r="G795">
        <v>1111111111</v>
      </c>
      <c r="H795" t="s">
        <v>4364</v>
      </c>
      <c r="I795">
        <v>99999999</v>
      </c>
      <c r="J795" s="188">
        <v>45236</v>
      </c>
      <c r="K795" t="s">
        <v>4364</v>
      </c>
      <c r="L795" t="s">
        <v>4364</v>
      </c>
      <c r="M795" t="s">
        <v>1278</v>
      </c>
      <c r="N795" t="s">
        <v>99</v>
      </c>
      <c r="O795" t="s">
        <v>1279</v>
      </c>
      <c r="P795" t="s">
        <v>221</v>
      </c>
      <c r="Q795" t="s">
        <v>82</v>
      </c>
      <c r="R795">
        <v>1</v>
      </c>
      <c r="S795">
        <v>0.5</v>
      </c>
      <c r="T795">
        <v>0</v>
      </c>
      <c r="U795">
        <v>1</v>
      </c>
      <c r="V795">
        <v>1</v>
      </c>
      <c r="W795">
        <v>33.28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1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</row>
    <row r="796" spans="1:37" x14ac:dyDescent="0.3">
      <c r="A796">
        <v>7979</v>
      </c>
      <c r="B796" t="s">
        <v>219</v>
      </c>
      <c r="D796" t="s">
        <v>327</v>
      </c>
      <c r="E796">
        <v>99999999</v>
      </c>
      <c r="F796">
        <v>11111111</v>
      </c>
      <c r="G796">
        <v>1111111111</v>
      </c>
      <c r="H796" t="s">
        <v>4365</v>
      </c>
      <c r="I796">
        <v>99999999</v>
      </c>
      <c r="J796" s="188">
        <v>45236</v>
      </c>
      <c r="K796" t="s">
        <v>4365</v>
      </c>
      <c r="L796" t="s">
        <v>4365</v>
      </c>
      <c r="M796" t="s">
        <v>1280</v>
      </c>
      <c r="N796" t="s">
        <v>197</v>
      </c>
      <c r="O796" t="s">
        <v>1281</v>
      </c>
      <c r="P796" t="s">
        <v>221</v>
      </c>
      <c r="Q796" t="s">
        <v>82</v>
      </c>
      <c r="R796">
        <v>1</v>
      </c>
      <c r="S796">
        <v>1.1200000000000001</v>
      </c>
      <c r="T796">
        <v>0</v>
      </c>
      <c r="U796">
        <v>1</v>
      </c>
      <c r="V796">
        <v>1</v>
      </c>
      <c r="W796">
        <v>30.47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1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</row>
    <row r="797" spans="1:37" x14ac:dyDescent="0.3">
      <c r="A797">
        <v>7979</v>
      </c>
      <c r="B797" t="s">
        <v>219</v>
      </c>
      <c r="D797" t="s">
        <v>327</v>
      </c>
      <c r="E797">
        <v>99999999</v>
      </c>
      <c r="F797">
        <v>11111111</v>
      </c>
      <c r="G797">
        <v>1111111111</v>
      </c>
      <c r="H797" t="s">
        <v>4366</v>
      </c>
      <c r="I797">
        <v>99999999</v>
      </c>
      <c r="J797" s="188">
        <v>45236</v>
      </c>
      <c r="K797" t="s">
        <v>4366</v>
      </c>
      <c r="L797" t="s">
        <v>4366</v>
      </c>
      <c r="M797" t="s">
        <v>258</v>
      </c>
      <c r="N797" t="s">
        <v>91</v>
      </c>
      <c r="O797" t="s">
        <v>1282</v>
      </c>
      <c r="P797" t="s">
        <v>221</v>
      </c>
      <c r="Q797" t="s">
        <v>82</v>
      </c>
      <c r="R797">
        <v>1</v>
      </c>
      <c r="S797">
        <v>1.55</v>
      </c>
      <c r="T797">
        <v>0</v>
      </c>
      <c r="U797">
        <v>1</v>
      </c>
      <c r="V797">
        <v>1</v>
      </c>
      <c r="W797">
        <v>22.67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1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</row>
    <row r="798" spans="1:37" x14ac:dyDescent="0.3">
      <c r="A798">
        <v>7979</v>
      </c>
      <c r="B798" t="s">
        <v>219</v>
      </c>
      <c r="D798" t="s">
        <v>327</v>
      </c>
      <c r="E798">
        <v>99999999</v>
      </c>
      <c r="F798">
        <v>11111111</v>
      </c>
      <c r="G798">
        <v>1111111111</v>
      </c>
      <c r="H798" t="s">
        <v>4367</v>
      </c>
      <c r="I798">
        <v>99999999</v>
      </c>
      <c r="J798" s="188">
        <v>45236</v>
      </c>
      <c r="K798" t="s">
        <v>4367</v>
      </c>
      <c r="L798" t="s">
        <v>4367</v>
      </c>
      <c r="M798" t="s">
        <v>416</v>
      </c>
      <c r="N798" t="s">
        <v>197</v>
      </c>
      <c r="O798" t="s">
        <v>1283</v>
      </c>
      <c r="P798" t="s">
        <v>221</v>
      </c>
      <c r="Q798" t="s">
        <v>82</v>
      </c>
      <c r="R798">
        <v>1</v>
      </c>
      <c r="S798">
        <v>2.2000000000000002</v>
      </c>
      <c r="T798">
        <v>0</v>
      </c>
      <c r="U798">
        <v>1</v>
      </c>
      <c r="V798">
        <v>1</v>
      </c>
      <c r="W798">
        <v>23.93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1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</row>
    <row r="799" spans="1:37" x14ac:dyDescent="0.3">
      <c r="A799">
        <v>7979</v>
      </c>
      <c r="B799" t="s">
        <v>219</v>
      </c>
      <c r="D799" t="s">
        <v>327</v>
      </c>
      <c r="E799">
        <v>99999999</v>
      </c>
      <c r="F799">
        <v>11111111</v>
      </c>
      <c r="G799">
        <v>1111111111</v>
      </c>
      <c r="H799" t="s">
        <v>4368</v>
      </c>
      <c r="I799">
        <v>99999999</v>
      </c>
      <c r="J799" s="188">
        <v>45236</v>
      </c>
      <c r="K799" t="s">
        <v>4368</v>
      </c>
      <c r="L799" t="s">
        <v>4368</v>
      </c>
      <c r="M799" t="s">
        <v>1284</v>
      </c>
      <c r="N799" t="s">
        <v>97</v>
      </c>
      <c r="O799" t="s">
        <v>1285</v>
      </c>
      <c r="P799" t="s">
        <v>221</v>
      </c>
      <c r="Q799" t="s">
        <v>82</v>
      </c>
      <c r="R799">
        <v>1</v>
      </c>
      <c r="S799">
        <v>8.58</v>
      </c>
      <c r="T799">
        <v>0</v>
      </c>
      <c r="U799">
        <v>1</v>
      </c>
      <c r="V799">
        <v>1</v>
      </c>
      <c r="W799">
        <v>24.41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1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</row>
    <row r="800" spans="1:37" x14ac:dyDescent="0.3">
      <c r="A800">
        <v>7979</v>
      </c>
      <c r="B800" t="s">
        <v>219</v>
      </c>
      <c r="D800" t="s">
        <v>327</v>
      </c>
      <c r="E800">
        <v>99999999</v>
      </c>
      <c r="F800">
        <v>11111111</v>
      </c>
      <c r="G800">
        <v>1111111111</v>
      </c>
      <c r="H800" t="s">
        <v>4369</v>
      </c>
      <c r="I800">
        <v>99999999</v>
      </c>
      <c r="J800" s="188">
        <v>45236</v>
      </c>
      <c r="K800" t="s">
        <v>4369</v>
      </c>
      <c r="L800" t="s">
        <v>4369</v>
      </c>
      <c r="M800" t="s">
        <v>1286</v>
      </c>
      <c r="N800" t="s">
        <v>99</v>
      </c>
      <c r="O800" t="s">
        <v>1287</v>
      </c>
      <c r="P800" t="s">
        <v>221</v>
      </c>
      <c r="Q800" t="s">
        <v>82</v>
      </c>
      <c r="R800">
        <v>1</v>
      </c>
      <c r="S800">
        <v>5.81</v>
      </c>
      <c r="T800">
        <v>0</v>
      </c>
      <c r="U800">
        <v>1</v>
      </c>
      <c r="V800">
        <v>1</v>
      </c>
      <c r="W800">
        <v>27.96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1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</row>
    <row r="801" spans="1:37" x14ac:dyDescent="0.3">
      <c r="A801">
        <v>7979</v>
      </c>
      <c r="B801" t="s">
        <v>219</v>
      </c>
      <c r="D801" t="s">
        <v>327</v>
      </c>
      <c r="E801">
        <v>99999999</v>
      </c>
      <c r="F801">
        <v>11111111</v>
      </c>
      <c r="G801">
        <v>1111111111</v>
      </c>
      <c r="H801" t="s">
        <v>4370</v>
      </c>
      <c r="I801">
        <v>99999999</v>
      </c>
      <c r="J801" s="188">
        <v>45236</v>
      </c>
      <c r="K801" t="s">
        <v>4370</v>
      </c>
      <c r="L801" t="s">
        <v>4370</v>
      </c>
      <c r="M801" t="s">
        <v>190</v>
      </c>
      <c r="N801" t="s">
        <v>99</v>
      </c>
      <c r="O801">
        <v>91342</v>
      </c>
      <c r="P801" t="s">
        <v>221</v>
      </c>
      <c r="Q801" t="s">
        <v>82</v>
      </c>
      <c r="R801">
        <v>1</v>
      </c>
      <c r="S801">
        <v>3</v>
      </c>
      <c r="T801">
        <v>0</v>
      </c>
      <c r="U801">
        <v>1</v>
      </c>
      <c r="V801">
        <v>1</v>
      </c>
      <c r="W801">
        <v>22.52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1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</row>
    <row r="802" spans="1:37" x14ac:dyDescent="0.3">
      <c r="A802">
        <v>7979</v>
      </c>
      <c r="B802" t="s">
        <v>219</v>
      </c>
      <c r="D802" t="s">
        <v>327</v>
      </c>
      <c r="E802">
        <v>99999999</v>
      </c>
      <c r="F802">
        <v>11111111</v>
      </c>
      <c r="G802">
        <v>1111111111</v>
      </c>
      <c r="H802" t="s">
        <v>4371</v>
      </c>
      <c r="I802">
        <v>99999999</v>
      </c>
      <c r="J802" s="188">
        <v>45236</v>
      </c>
      <c r="K802" t="s">
        <v>4371</v>
      </c>
      <c r="L802" t="s">
        <v>4371</v>
      </c>
      <c r="M802" t="s">
        <v>101</v>
      </c>
      <c r="N802" t="s">
        <v>97</v>
      </c>
      <c r="O802" t="s">
        <v>1288</v>
      </c>
      <c r="P802" t="s">
        <v>221</v>
      </c>
      <c r="Q802" t="s">
        <v>82</v>
      </c>
      <c r="R802">
        <v>1</v>
      </c>
      <c r="S802">
        <v>2.2000000000000002</v>
      </c>
      <c r="T802">
        <v>0</v>
      </c>
      <c r="U802">
        <v>1</v>
      </c>
      <c r="V802">
        <v>1</v>
      </c>
      <c r="W802">
        <v>21.88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1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</row>
    <row r="803" spans="1:37" x14ac:dyDescent="0.3">
      <c r="A803">
        <v>7979</v>
      </c>
      <c r="B803" t="s">
        <v>219</v>
      </c>
      <c r="D803" t="s">
        <v>327</v>
      </c>
      <c r="E803">
        <v>99999999</v>
      </c>
      <c r="F803">
        <v>11111111</v>
      </c>
      <c r="G803">
        <v>1111111111</v>
      </c>
      <c r="H803" t="s">
        <v>4372</v>
      </c>
      <c r="I803">
        <v>99999999</v>
      </c>
      <c r="J803" s="188">
        <v>45236</v>
      </c>
      <c r="K803" t="s">
        <v>4372</v>
      </c>
      <c r="L803" t="s">
        <v>4372</v>
      </c>
      <c r="M803" t="s">
        <v>1289</v>
      </c>
      <c r="N803" t="s">
        <v>97</v>
      </c>
      <c r="O803">
        <v>98597</v>
      </c>
      <c r="P803" t="s">
        <v>221</v>
      </c>
      <c r="Q803" t="s">
        <v>82</v>
      </c>
      <c r="R803">
        <v>1</v>
      </c>
      <c r="S803">
        <v>5</v>
      </c>
      <c r="T803">
        <v>0</v>
      </c>
      <c r="U803">
        <v>1</v>
      </c>
      <c r="V803">
        <v>1</v>
      </c>
      <c r="W803">
        <v>29.21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1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</row>
    <row r="804" spans="1:37" x14ac:dyDescent="0.3">
      <c r="A804">
        <v>7979</v>
      </c>
      <c r="B804" t="s">
        <v>219</v>
      </c>
      <c r="D804" t="s">
        <v>327</v>
      </c>
      <c r="E804">
        <v>99999999</v>
      </c>
      <c r="F804">
        <v>11111111</v>
      </c>
      <c r="G804">
        <v>1111111111</v>
      </c>
      <c r="H804" t="s">
        <v>4373</v>
      </c>
      <c r="I804">
        <v>99999999</v>
      </c>
      <c r="J804" s="188">
        <v>45236</v>
      </c>
      <c r="K804" t="s">
        <v>4373</v>
      </c>
      <c r="L804" t="s">
        <v>4373</v>
      </c>
      <c r="M804" t="s">
        <v>1290</v>
      </c>
      <c r="N804" t="s">
        <v>241</v>
      </c>
      <c r="O804">
        <v>60033</v>
      </c>
      <c r="P804" t="s">
        <v>221</v>
      </c>
      <c r="Q804" t="s">
        <v>82</v>
      </c>
      <c r="R804">
        <v>1</v>
      </c>
      <c r="S804">
        <v>4</v>
      </c>
      <c r="T804">
        <v>0</v>
      </c>
      <c r="U804">
        <v>1</v>
      </c>
      <c r="V804">
        <v>1</v>
      </c>
      <c r="W804">
        <v>32.26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1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</row>
    <row r="805" spans="1:37" x14ac:dyDescent="0.3">
      <c r="A805">
        <v>7979</v>
      </c>
      <c r="B805" t="s">
        <v>219</v>
      </c>
      <c r="D805" t="s">
        <v>327</v>
      </c>
      <c r="E805">
        <v>99999999</v>
      </c>
      <c r="F805">
        <v>11111111</v>
      </c>
      <c r="G805">
        <v>1111111111</v>
      </c>
      <c r="H805" t="s">
        <v>4374</v>
      </c>
      <c r="I805">
        <v>99999999</v>
      </c>
      <c r="J805" s="188">
        <v>45236</v>
      </c>
      <c r="K805" t="s">
        <v>4374</v>
      </c>
      <c r="L805" t="s">
        <v>4374</v>
      </c>
      <c r="M805" t="s">
        <v>1291</v>
      </c>
      <c r="N805" t="s">
        <v>97</v>
      </c>
      <c r="O805" t="s">
        <v>1292</v>
      </c>
      <c r="P805" t="s">
        <v>221</v>
      </c>
      <c r="Q805" t="s">
        <v>82</v>
      </c>
      <c r="R805">
        <v>1</v>
      </c>
      <c r="S805">
        <v>5.51</v>
      </c>
      <c r="T805">
        <v>0</v>
      </c>
      <c r="U805">
        <v>1</v>
      </c>
      <c r="V805">
        <v>1</v>
      </c>
      <c r="W805">
        <v>31.8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1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</row>
    <row r="806" spans="1:37" x14ac:dyDescent="0.3">
      <c r="A806">
        <v>7979</v>
      </c>
      <c r="B806" t="s">
        <v>219</v>
      </c>
      <c r="D806" t="s">
        <v>327</v>
      </c>
      <c r="E806">
        <v>99999999</v>
      </c>
      <c r="F806">
        <v>11111111</v>
      </c>
      <c r="G806">
        <v>1111111111</v>
      </c>
      <c r="H806" t="s">
        <v>4375</v>
      </c>
      <c r="I806">
        <v>99999999</v>
      </c>
      <c r="J806" s="188">
        <v>45236</v>
      </c>
      <c r="K806" t="s">
        <v>4375</v>
      </c>
      <c r="L806" t="s">
        <v>4375</v>
      </c>
      <c r="M806" t="s">
        <v>1062</v>
      </c>
      <c r="N806" t="s">
        <v>97</v>
      </c>
      <c r="O806">
        <v>98053</v>
      </c>
      <c r="P806" t="s">
        <v>221</v>
      </c>
      <c r="Q806" t="s">
        <v>82</v>
      </c>
      <c r="R806">
        <v>1</v>
      </c>
      <c r="S806">
        <v>1.1499999999999999</v>
      </c>
      <c r="T806">
        <v>0</v>
      </c>
      <c r="U806">
        <v>1</v>
      </c>
      <c r="V806">
        <v>1</v>
      </c>
      <c r="W806">
        <v>21.21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1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</row>
    <row r="807" spans="1:37" x14ac:dyDescent="0.3">
      <c r="A807">
        <v>7979</v>
      </c>
      <c r="B807" t="s">
        <v>219</v>
      </c>
      <c r="D807" t="s">
        <v>327</v>
      </c>
      <c r="E807">
        <v>99999999</v>
      </c>
      <c r="F807">
        <v>11111111</v>
      </c>
      <c r="G807">
        <v>1111111111</v>
      </c>
      <c r="H807" t="s">
        <v>4376</v>
      </c>
      <c r="I807">
        <v>99999999</v>
      </c>
      <c r="J807" s="188">
        <v>45236</v>
      </c>
      <c r="K807" t="s">
        <v>4376</v>
      </c>
      <c r="L807" t="s">
        <v>4376</v>
      </c>
      <c r="M807" t="s">
        <v>1293</v>
      </c>
      <c r="N807" t="s">
        <v>811</v>
      </c>
      <c r="O807" t="s">
        <v>1294</v>
      </c>
      <c r="P807" t="s">
        <v>221</v>
      </c>
      <c r="Q807" t="s">
        <v>82</v>
      </c>
      <c r="R807">
        <v>1</v>
      </c>
      <c r="S807">
        <v>4.2</v>
      </c>
      <c r="T807">
        <v>0</v>
      </c>
      <c r="U807">
        <v>1</v>
      </c>
      <c r="V807">
        <v>1</v>
      </c>
      <c r="W807">
        <v>27.34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1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</row>
    <row r="808" spans="1:37" x14ac:dyDescent="0.3">
      <c r="A808">
        <v>7979</v>
      </c>
      <c r="B808" t="s">
        <v>219</v>
      </c>
      <c r="D808" t="s">
        <v>327</v>
      </c>
      <c r="E808">
        <v>99999999</v>
      </c>
      <c r="F808">
        <v>11111111</v>
      </c>
      <c r="G808">
        <v>1111111111</v>
      </c>
      <c r="H808" t="s">
        <v>4377</v>
      </c>
      <c r="I808">
        <v>99999999</v>
      </c>
      <c r="J808" s="188">
        <v>45236</v>
      </c>
      <c r="K808" t="s">
        <v>4377</v>
      </c>
      <c r="L808" t="s">
        <v>4377</v>
      </c>
      <c r="M808" t="s">
        <v>941</v>
      </c>
      <c r="N808" t="s">
        <v>99</v>
      </c>
      <c r="O808" t="s">
        <v>1295</v>
      </c>
      <c r="P808" t="s">
        <v>221</v>
      </c>
      <c r="Q808" t="s">
        <v>82</v>
      </c>
      <c r="R808">
        <v>1</v>
      </c>
      <c r="S808">
        <v>6.15</v>
      </c>
      <c r="T808">
        <v>0</v>
      </c>
      <c r="U808">
        <v>1</v>
      </c>
      <c r="V808">
        <v>1</v>
      </c>
      <c r="W808">
        <v>21.84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1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</row>
    <row r="809" spans="1:37" x14ac:dyDescent="0.3">
      <c r="A809">
        <v>7979</v>
      </c>
      <c r="B809" t="s">
        <v>219</v>
      </c>
      <c r="D809" t="s">
        <v>327</v>
      </c>
      <c r="E809">
        <v>99999999</v>
      </c>
      <c r="F809">
        <v>11111111</v>
      </c>
      <c r="G809">
        <v>1111111111</v>
      </c>
      <c r="H809" t="s">
        <v>4378</v>
      </c>
      <c r="I809">
        <v>99999999</v>
      </c>
      <c r="J809" s="188">
        <v>45236</v>
      </c>
      <c r="K809" t="s">
        <v>4378</v>
      </c>
      <c r="L809" t="s">
        <v>4378</v>
      </c>
      <c r="M809" t="s">
        <v>816</v>
      </c>
      <c r="N809" t="s">
        <v>381</v>
      </c>
      <c r="O809">
        <v>59715</v>
      </c>
      <c r="P809" t="s">
        <v>221</v>
      </c>
      <c r="Q809" t="s">
        <v>82</v>
      </c>
      <c r="R809">
        <v>2</v>
      </c>
      <c r="S809">
        <v>9.6999999999999993</v>
      </c>
      <c r="T809">
        <v>0</v>
      </c>
      <c r="U809">
        <v>1</v>
      </c>
      <c r="V809">
        <v>2</v>
      </c>
      <c r="W809">
        <v>30.77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2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</row>
    <row r="810" spans="1:37" x14ac:dyDescent="0.3">
      <c r="A810">
        <v>7979</v>
      </c>
      <c r="B810" t="s">
        <v>219</v>
      </c>
      <c r="D810" t="s">
        <v>327</v>
      </c>
      <c r="E810">
        <v>99999999</v>
      </c>
      <c r="F810">
        <v>11111111</v>
      </c>
      <c r="G810">
        <v>1111111111</v>
      </c>
      <c r="H810" t="s">
        <v>4379</v>
      </c>
      <c r="I810">
        <v>99999999</v>
      </c>
      <c r="J810" s="188">
        <v>45236</v>
      </c>
      <c r="K810" t="s">
        <v>4379</v>
      </c>
      <c r="L810" t="s">
        <v>4379</v>
      </c>
      <c r="M810" t="s">
        <v>358</v>
      </c>
      <c r="N810" t="s">
        <v>197</v>
      </c>
      <c r="O810" t="s">
        <v>1296</v>
      </c>
      <c r="P810" t="s">
        <v>221</v>
      </c>
      <c r="Q810" t="s">
        <v>82</v>
      </c>
      <c r="R810">
        <v>5</v>
      </c>
      <c r="S810">
        <v>7.98</v>
      </c>
      <c r="T810">
        <v>0</v>
      </c>
      <c r="U810">
        <v>1</v>
      </c>
      <c r="V810">
        <v>3</v>
      </c>
      <c r="W810">
        <v>26.68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5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</row>
    <row r="811" spans="1:37" x14ac:dyDescent="0.3">
      <c r="A811">
        <v>7979</v>
      </c>
      <c r="B811" t="s">
        <v>219</v>
      </c>
      <c r="D811" t="s">
        <v>327</v>
      </c>
      <c r="E811">
        <v>99999999</v>
      </c>
      <c r="F811">
        <v>11111111</v>
      </c>
      <c r="G811">
        <v>1111111111</v>
      </c>
      <c r="H811" t="s">
        <v>4380</v>
      </c>
      <c r="I811">
        <v>99999999</v>
      </c>
      <c r="J811" s="188">
        <v>45236</v>
      </c>
      <c r="K811" t="s">
        <v>4380</v>
      </c>
      <c r="L811" t="s">
        <v>4380</v>
      </c>
      <c r="M811" t="s">
        <v>1297</v>
      </c>
      <c r="N811" t="s">
        <v>551</v>
      </c>
      <c r="O811" t="s">
        <v>1298</v>
      </c>
      <c r="P811" t="s">
        <v>221</v>
      </c>
      <c r="Q811" t="s">
        <v>82</v>
      </c>
      <c r="R811">
        <v>1</v>
      </c>
      <c r="S811">
        <v>8</v>
      </c>
      <c r="T811">
        <v>0</v>
      </c>
      <c r="U811">
        <v>1</v>
      </c>
      <c r="V811">
        <v>1</v>
      </c>
      <c r="W811">
        <v>31.87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1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</row>
    <row r="812" spans="1:37" x14ac:dyDescent="0.3">
      <c r="A812">
        <v>7979</v>
      </c>
      <c r="B812" t="s">
        <v>219</v>
      </c>
      <c r="D812" t="s">
        <v>327</v>
      </c>
      <c r="E812">
        <v>99999999</v>
      </c>
      <c r="F812">
        <v>11111111</v>
      </c>
      <c r="G812">
        <v>1111111111</v>
      </c>
      <c r="H812" t="s">
        <v>4381</v>
      </c>
      <c r="I812">
        <v>99999999</v>
      </c>
      <c r="J812" s="188">
        <v>45236</v>
      </c>
      <c r="K812" t="s">
        <v>4381</v>
      </c>
      <c r="L812" t="s">
        <v>4381</v>
      </c>
      <c r="M812" t="s">
        <v>1299</v>
      </c>
      <c r="N812" t="s">
        <v>197</v>
      </c>
      <c r="O812" t="s">
        <v>1300</v>
      </c>
      <c r="P812" t="s">
        <v>221</v>
      </c>
      <c r="Q812" t="s">
        <v>82</v>
      </c>
      <c r="R812">
        <v>6</v>
      </c>
      <c r="S812">
        <v>6</v>
      </c>
      <c r="T812">
        <v>0</v>
      </c>
      <c r="U812">
        <v>1</v>
      </c>
      <c r="V812">
        <v>1</v>
      </c>
      <c r="W812">
        <v>25.47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6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</row>
    <row r="813" spans="1:37" x14ac:dyDescent="0.3">
      <c r="A813">
        <v>7979</v>
      </c>
      <c r="B813" t="s">
        <v>219</v>
      </c>
      <c r="D813" t="s">
        <v>327</v>
      </c>
      <c r="E813">
        <v>99999999</v>
      </c>
      <c r="F813">
        <v>11111111</v>
      </c>
      <c r="G813">
        <v>1111111111</v>
      </c>
      <c r="H813" t="s">
        <v>4382</v>
      </c>
      <c r="I813">
        <v>99999999</v>
      </c>
      <c r="J813" s="188">
        <v>45236</v>
      </c>
      <c r="K813" t="s">
        <v>4382</v>
      </c>
      <c r="L813" t="s">
        <v>4382</v>
      </c>
      <c r="M813" t="s">
        <v>1301</v>
      </c>
      <c r="N813" t="s">
        <v>99</v>
      </c>
      <c r="O813" t="s">
        <v>1302</v>
      </c>
      <c r="P813" t="s">
        <v>221</v>
      </c>
      <c r="Q813" t="s">
        <v>82</v>
      </c>
      <c r="R813">
        <v>1</v>
      </c>
      <c r="S813">
        <v>2</v>
      </c>
      <c r="T813">
        <v>0</v>
      </c>
      <c r="U813">
        <v>1</v>
      </c>
      <c r="V813">
        <v>1</v>
      </c>
      <c r="W813">
        <v>25.28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1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</row>
    <row r="814" spans="1:37" x14ac:dyDescent="0.3">
      <c r="A814">
        <v>7979</v>
      </c>
      <c r="B814" t="s">
        <v>219</v>
      </c>
      <c r="D814" t="s">
        <v>327</v>
      </c>
      <c r="E814">
        <v>99999999</v>
      </c>
      <c r="F814">
        <v>11111111</v>
      </c>
      <c r="G814">
        <v>1111111111</v>
      </c>
      <c r="H814" t="s">
        <v>4383</v>
      </c>
      <c r="I814">
        <v>99999999</v>
      </c>
      <c r="J814" s="188">
        <v>45236</v>
      </c>
      <c r="K814" t="s">
        <v>4383</v>
      </c>
      <c r="L814" t="s">
        <v>4383</v>
      </c>
      <c r="M814" t="s">
        <v>1303</v>
      </c>
      <c r="N814" t="s">
        <v>233</v>
      </c>
      <c r="O814" t="s">
        <v>1304</v>
      </c>
      <c r="P814" t="s">
        <v>221</v>
      </c>
      <c r="Q814" t="s">
        <v>82</v>
      </c>
      <c r="R814">
        <v>1</v>
      </c>
      <c r="S814">
        <v>2</v>
      </c>
      <c r="T814">
        <v>0</v>
      </c>
      <c r="U814">
        <v>1</v>
      </c>
      <c r="V814">
        <v>1</v>
      </c>
      <c r="W814">
        <v>24.81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1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</row>
    <row r="815" spans="1:37" x14ac:dyDescent="0.3">
      <c r="A815">
        <v>7979</v>
      </c>
      <c r="B815" t="s">
        <v>219</v>
      </c>
      <c r="D815" t="s">
        <v>327</v>
      </c>
      <c r="E815">
        <v>99999999</v>
      </c>
      <c r="F815">
        <v>11111111</v>
      </c>
      <c r="G815">
        <v>1111111111</v>
      </c>
      <c r="H815" t="s">
        <v>4384</v>
      </c>
      <c r="I815">
        <v>99999999</v>
      </c>
      <c r="J815" s="188">
        <v>45236</v>
      </c>
      <c r="K815" t="s">
        <v>4384</v>
      </c>
      <c r="L815" t="s">
        <v>4384</v>
      </c>
      <c r="M815" t="s">
        <v>1305</v>
      </c>
      <c r="N815" t="s">
        <v>118</v>
      </c>
      <c r="O815">
        <v>17961</v>
      </c>
      <c r="P815" t="s">
        <v>221</v>
      </c>
      <c r="Q815" t="s">
        <v>82</v>
      </c>
      <c r="R815">
        <v>1</v>
      </c>
      <c r="S815">
        <v>1.1499999999999999</v>
      </c>
      <c r="T815">
        <v>0</v>
      </c>
      <c r="U815">
        <v>1</v>
      </c>
      <c r="V815">
        <v>1</v>
      </c>
      <c r="W815">
        <v>23.1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1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</row>
    <row r="816" spans="1:37" x14ac:dyDescent="0.3">
      <c r="A816">
        <v>7979</v>
      </c>
      <c r="B816" t="s">
        <v>219</v>
      </c>
      <c r="D816" t="s">
        <v>327</v>
      </c>
      <c r="E816">
        <v>99999999</v>
      </c>
      <c r="F816">
        <v>11111111</v>
      </c>
      <c r="G816">
        <v>1111111111</v>
      </c>
      <c r="H816" t="s">
        <v>4385</v>
      </c>
      <c r="I816">
        <v>99999999</v>
      </c>
      <c r="J816" s="188">
        <v>45236</v>
      </c>
      <c r="K816" t="s">
        <v>4385</v>
      </c>
      <c r="L816" t="s">
        <v>4385</v>
      </c>
      <c r="M816" t="s">
        <v>369</v>
      </c>
      <c r="N816" t="s">
        <v>99</v>
      </c>
      <c r="O816" t="s">
        <v>1306</v>
      </c>
      <c r="P816" t="s">
        <v>221</v>
      </c>
      <c r="Q816" t="s">
        <v>82</v>
      </c>
      <c r="R816">
        <v>2</v>
      </c>
      <c r="S816">
        <v>3.21</v>
      </c>
      <c r="T816">
        <v>0</v>
      </c>
      <c r="U816">
        <v>1</v>
      </c>
      <c r="V816">
        <v>2</v>
      </c>
      <c r="W816">
        <v>22.52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2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</row>
    <row r="817" spans="1:37" x14ac:dyDescent="0.3">
      <c r="A817">
        <v>7979</v>
      </c>
      <c r="B817" t="s">
        <v>219</v>
      </c>
      <c r="D817" t="s">
        <v>327</v>
      </c>
      <c r="E817">
        <v>99999999</v>
      </c>
      <c r="F817">
        <v>11111111</v>
      </c>
      <c r="G817">
        <v>1111111111</v>
      </c>
      <c r="H817" t="s">
        <v>4386</v>
      </c>
      <c r="I817">
        <v>99999999</v>
      </c>
      <c r="J817" s="188">
        <v>45236</v>
      </c>
      <c r="K817" t="s">
        <v>4386</v>
      </c>
      <c r="L817" t="s">
        <v>4386</v>
      </c>
      <c r="M817" t="s">
        <v>1307</v>
      </c>
      <c r="N817" t="s">
        <v>88</v>
      </c>
      <c r="O817" t="s">
        <v>1308</v>
      </c>
      <c r="P817" t="s">
        <v>221</v>
      </c>
      <c r="Q817" t="s">
        <v>82</v>
      </c>
      <c r="R817">
        <v>1</v>
      </c>
      <c r="S817">
        <v>0.6</v>
      </c>
      <c r="T817">
        <v>0</v>
      </c>
      <c r="U817">
        <v>1</v>
      </c>
      <c r="V817">
        <v>1</v>
      </c>
      <c r="W817">
        <v>23.1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1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</row>
    <row r="818" spans="1:37" x14ac:dyDescent="0.3">
      <c r="A818">
        <v>7979</v>
      </c>
      <c r="B818" t="s">
        <v>219</v>
      </c>
      <c r="D818" t="s">
        <v>327</v>
      </c>
      <c r="E818">
        <v>99999999</v>
      </c>
      <c r="F818">
        <v>11111111</v>
      </c>
      <c r="G818">
        <v>1111111111</v>
      </c>
      <c r="H818" t="s">
        <v>4387</v>
      </c>
      <c r="I818">
        <v>99999999</v>
      </c>
      <c r="J818" s="188">
        <v>45236</v>
      </c>
      <c r="K818" t="s">
        <v>4387</v>
      </c>
      <c r="L818" t="s">
        <v>4387</v>
      </c>
      <c r="M818" t="s">
        <v>1309</v>
      </c>
      <c r="N818" t="s">
        <v>197</v>
      </c>
      <c r="O818">
        <v>76262</v>
      </c>
      <c r="P818" t="s">
        <v>221</v>
      </c>
      <c r="Q818" t="s">
        <v>82</v>
      </c>
      <c r="R818">
        <v>1</v>
      </c>
      <c r="S818">
        <v>4.1100000000000003</v>
      </c>
      <c r="T818">
        <v>0</v>
      </c>
      <c r="U818">
        <v>1</v>
      </c>
      <c r="V818">
        <v>1</v>
      </c>
      <c r="W818">
        <v>25.11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1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</row>
    <row r="819" spans="1:37" x14ac:dyDescent="0.3">
      <c r="A819">
        <v>7979</v>
      </c>
      <c r="B819" t="s">
        <v>219</v>
      </c>
      <c r="D819" t="s">
        <v>327</v>
      </c>
      <c r="E819">
        <v>99999999</v>
      </c>
      <c r="F819">
        <v>11111111</v>
      </c>
      <c r="G819">
        <v>1111111111</v>
      </c>
      <c r="H819" t="s">
        <v>4388</v>
      </c>
      <c r="I819">
        <v>99999999</v>
      </c>
      <c r="J819" s="188">
        <v>45236</v>
      </c>
      <c r="K819" t="s">
        <v>4388</v>
      </c>
      <c r="L819" t="s">
        <v>4388</v>
      </c>
      <c r="M819" t="s">
        <v>1310</v>
      </c>
      <c r="N819" t="s">
        <v>80</v>
      </c>
      <c r="O819" t="s">
        <v>1311</v>
      </c>
      <c r="P819" t="s">
        <v>221</v>
      </c>
      <c r="Q819" t="s">
        <v>82</v>
      </c>
      <c r="R819">
        <v>1</v>
      </c>
      <c r="S819">
        <v>2</v>
      </c>
      <c r="T819">
        <v>0</v>
      </c>
      <c r="U819">
        <v>1</v>
      </c>
      <c r="V819">
        <v>1</v>
      </c>
      <c r="W819">
        <v>30.93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1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</row>
    <row r="820" spans="1:37" x14ac:dyDescent="0.3">
      <c r="A820">
        <v>7979</v>
      </c>
      <c r="B820" t="s">
        <v>219</v>
      </c>
      <c r="D820" t="s">
        <v>327</v>
      </c>
      <c r="E820">
        <v>99999999</v>
      </c>
      <c r="F820">
        <v>11111111</v>
      </c>
      <c r="G820">
        <v>1111111111</v>
      </c>
      <c r="H820" t="s">
        <v>4389</v>
      </c>
      <c r="I820">
        <v>99999999</v>
      </c>
      <c r="J820" s="188">
        <v>45236</v>
      </c>
      <c r="K820" t="s">
        <v>4389</v>
      </c>
      <c r="L820" t="s">
        <v>4389</v>
      </c>
      <c r="M820" t="s">
        <v>1312</v>
      </c>
      <c r="N820" t="s">
        <v>99</v>
      </c>
      <c r="O820" t="s">
        <v>1313</v>
      </c>
      <c r="P820" t="s">
        <v>221</v>
      </c>
      <c r="Q820" t="s">
        <v>82</v>
      </c>
      <c r="R820">
        <v>1</v>
      </c>
      <c r="S820">
        <v>4</v>
      </c>
      <c r="T820">
        <v>0</v>
      </c>
      <c r="U820">
        <v>1</v>
      </c>
      <c r="V820">
        <v>1</v>
      </c>
      <c r="W820">
        <v>22.93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1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</row>
    <row r="821" spans="1:37" x14ac:dyDescent="0.3">
      <c r="A821">
        <v>7979</v>
      </c>
      <c r="B821" t="s">
        <v>219</v>
      </c>
      <c r="D821" t="s">
        <v>327</v>
      </c>
      <c r="E821">
        <v>99999999</v>
      </c>
      <c r="F821">
        <v>11111111</v>
      </c>
      <c r="G821">
        <v>1111111111</v>
      </c>
      <c r="H821" t="s">
        <v>4390</v>
      </c>
      <c r="I821">
        <v>99999999</v>
      </c>
      <c r="J821" s="188">
        <v>45236</v>
      </c>
      <c r="K821" t="s">
        <v>4390</v>
      </c>
      <c r="L821" t="s">
        <v>4390</v>
      </c>
      <c r="M821" t="s">
        <v>797</v>
      </c>
      <c r="N821" t="s">
        <v>99</v>
      </c>
      <c r="O821" t="s">
        <v>1314</v>
      </c>
      <c r="P821" t="s">
        <v>221</v>
      </c>
      <c r="Q821" t="s">
        <v>82</v>
      </c>
      <c r="R821">
        <v>1</v>
      </c>
      <c r="S821">
        <v>6</v>
      </c>
      <c r="T821">
        <v>0</v>
      </c>
      <c r="U821">
        <v>1</v>
      </c>
      <c r="V821">
        <v>1</v>
      </c>
      <c r="W821">
        <v>23.54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1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</row>
    <row r="822" spans="1:37" x14ac:dyDescent="0.3">
      <c r="A822">
        <v>7979</v>
      </c>
      <c r="B822" t="s">
        <v>219</v>
      </c>
      <c r="D822" t="s">
        <v>327</v>
      </c>
      <c r="E822">
        <v>99999999</v>
      </c>
      <c r="F822">
        <v>11111111</v>
      </c>
      <c r="G822">
        <v>1111111111</v>
      </c>
      <c r="H822" t="s">
        <v>4391</v>
      </c>
      <c r="I822">
        <v>99999999</v>
      </c>
      <c r="J822" s="188">
        <v>45236</v>
      </c>
      <c r="K822" t="s">
        <v>4391</v>
      </c>
      <c r="L822" t="s">
        <v>4391</v>
      </c>
      <c r="M822" t="s">
        <v>155</v>
      </c>
      <c r="N822" t="s">
        <v>99</v>
      </c>
      <c r="O822" t="s">
        <v>1315</v>
      </c>
      <c r="P822" t="s">
        <v>221</v>
      </c>
      <c r="Q822" t="s">
        <v>82</v>
      </c>
      <c r="R822">
        <v>2</v>
      </c>
      <c r="S822">
        <v>0.34</v>
      </c>
      <c r="T822">
        <v>0</v>
      </c>
      <c r="U822">
        <v>1</v>
      </c>
      <c r="V822">
        <v>1</v>
      </c>
      <c r="W822">
        <v>19.3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2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</row>
    <row r="823" spans="1:37" x14ac:dyDescent="0.3">
      <c r="A823">
        <v>7979</v>
      </c>
      <c r="B823" t="s">
        <v>219</v>
      </c>
      <c r="D823" t="s">
        <v>327</v>
      </c>
      <c r="E823">
        <v>99999999</v>
      </c>
      <c r="F823">
        <v>11111111</v>
      </c>
      <c r="G823">
        <v>1111111111</v>
      </c>
      <c r="H823" t="s">
        <v>4392</v>
      </c>
      <c r="I823">
        <v>99999999</v>
      </c>
      <c r="J823" s="188">
        <v>45236</v>
      </c>
      <c r="K823" t="s">
        <v>4392</v>
      </c>
      <c r="L823" t="s">
        <v>4392</v>
      </c>
      <c r="M823" t="s">
        <v>679</v>
      </c>
      <c r="N823" t="s">
        <v>680</v>
      </c>
      <c r="O823" t="s">
        <v>681</v>
      </c>
      <c r="P823" t="s">
        <v>221</v>
      </c>
      <c r="Q823" t="s">
        <v>82</v>
      </c>
      <c r="R823">
        <v>1</v>
      </c>
      <c r="S823">
        <v>4.2</v>
      </c>
      <c r="T823">
        <v>0</v>
      </c>
      <c r="U823">
        <v>1</v>
      </c>
      <c r="V823">
        <v>1</v>
      </c>
      <c r="W823">
        <v>35.6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1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</row>
    <row r="824" spans="1:37" x14ac:dyDescent="0.3">
      <c r="A824">
        <v>7979</v>
      </c>
      <c r="B824" t="s">
        <v>219</v>
      </c>
      <c r="D824" t="s">
        <v>327</v>
      </c>
      <c r="E824">
        <v>99999999</v>
      </c>
      <c r="F824">
        <v>11111111</v>
      </c>
      <c r="G824">
        <v>1111111111</v>
      </c>
      <c r="H824" t="s">
        <v>4393</v>
      </c>
      <c r="I824">
        <v>99999999</v>
      </c>
      <c r="J824" s="188">
        <v>45236</v>
      </c>
      <c r="K824" t="s">
        <v>4393</v>
      </c>
      <c r="L824" t="s">
        <v>4393</v>
      </c>
      <c r="M824" t="s">
        <v>523</v>
      </c>
      <c r="N824" t="s">
        <v>97</v>
      </c>
      <c r="O824" t="s">
        <v>1316</v>
      </c>
      <c r="P824" t="s">
        <v>221</v>
      </c>
      <c r="Q824" t="s">
        <v>82</v>
      </c>
      <c r="R824">
        <v>2</v>
      </c>
      <c r="S824">
        <v>2.56</v>
      </c>
      <c r="T824">
        <v>0</v>
      </c>
      <c r="U824">
        <v>1</v>
      </c>
      <c r="V824">
        <v>2</v>
      </c>
      <c r="W824">
        <v>22.52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2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</row>
    <row r="825" spans="1:37" x14ac:dyDescent="0.3">
      <c r="A825">
        <v>7979</v>
      </c>
      <c r="B825" t="s">
        <v>219</v>
      </c>
      <c r="D825" t="s">
        <v>327</v>
      </c>
      <c r="E825">
        <v>99999999</v>
      </c>
      <c r="F825">
        <v>11111111</v>
      </c>
      <c r="G825">
        <v>1111111111</v>
      </c>
      <c r="H825" t="s">
        <v>4394</v>
      </c>
      <c r="I825">
        <v>99999999</v>
      </c>
      <c r="J825" s="188">
        <v>45236</v>
      </c>
      <c r="K825" t="s">
        <v>4394</v>
      </c>
      <c r="L825" t="s">
        <v>4394</v>
      </c>
      <c r="M825" t="s">
        <v>630</v>
      </c>
      <c r="N825" t="s">
        <v>104</v>
      </c>
      <c r="O825">
        <v>83616</v>
      </c>
      <c r="P825" t="s">
        <v>221</v>
      </c>
      <c r="Q825" t="s">
        <v>82</v>
      </c>
      <c r="R825">
        <v>1</v>
      </c>
      <c r="S825">
        <v>9.68</v>
      </c>
      <c r="T825">
        <v>0</v>
      </c>
      <c r="U825">
        <v>1</v>
      </c>
      <c r="V825">
        <v>1</v>
      </c>
      <c r="W825">
        <v>24.65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1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</row>
    <row r="826" spans="1:37" x14ac:dyDescent="0.3">
      <c r="A826">
        <v>7979</v>
      </c>
      <c r="B826" t="s">
        <v>219</v>
      </c>
      <c r="D826" t="s">
        <v>327</v>
      </c>
      <c r="E826">
        <v>99999999</v>
      </c>
      <c r="F826">
        <v>11111111</v>
      </c>
      <c r="G826">
        <v>1111111111</v>
      </c>
      <c r="H826" t="s">
        <v>4395</v>
      </c>
      <c r="I826">
        <v>99999999</v>
      </c>
      <c r="J826" s="188">
        <v>45236</v>
      </c>
      <c r="K826" t="s">
        <v>4395</v>
      </c>
      <c r="L826" t="s">
        <v>4395</v>
      </c>
      <c r="M826" t="s">
        <v>1182</v>
      </c>
      <c r="N826" t="s">
        <v>118</v>
      </c>
      <c r="O826" t="s">
        <v>1317</v>
      </c>
      <c r="P826" t="s">
        <v>221</v>
      </c>
      <c r="Q826" t="s">
        <v>82</v>
      </c>
      <c r="R826">
        <v>1</v>
      </c>
      <c r="S826">
        <v>0.33</v>
      </c>
      <c r="T826">
        <v>0</v>
      </c>
      <c r="U826">
        <v>1</v>
      </c>
      <c r="V826">
        <v>1</v>
      </c>
      <c r="W826">
        <v>20.78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1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</row>
    <row r="827" spans="1:37" x14ac:dyDescent="0.3">
      <c r="A827">
        <v>7979</v>
      </c>
      <c r="B827" t="s">
        <v>219</v>
      </c>
      <c r="D827" t="s">
        <v>327</v>
      </c>
      <c r="E827">
        <v>99999999</v>
      </c>
      <c r="F827">
        <v>11111111</v>
      </c>
      <c r="G827">
        <v>1111111111</v>
      </c>
      <c r="H827" t="s">
        <v>4396</v>
      </c>
      <c r="I827">
        <v>99999999</v>
      </c>
      <c r="J827" s="188">
        <v>45236</v>
      </c>
      <c r="K827" t="s">
        <v>4396</v>
      </c>
      <c r="L827" t="s">
        <v>4396</v>
      </c>
      <c r="M827" t="s">
        <v>1318</v>
      </c>
      <c r="N827" t="s">
        <v>197</v>
      </c>
      <c r="O827">
        <v>78676</v>
      </c>
      <c r="P827" t="s">
        <v>221</v>
      </c>
      <c r="Q827" t="s">
        <v>82</v>
      </c>
      <c r="R827">
        <v>3</v>
      </c>
      <c r="S827">
        <v>1.33</v>
      </c>
      <c r="T827">
        <v>0</v>
      </c>
      <c r="U827">
        <v>1</v>
      </c>
      <c r="V827">
        <v>2</v>
      </c>
      <c r="W827">
        <v>28.33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3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</row>
    <row r="828" spans="1:37" x14ac:dyDescent="0.3">
      <c r="A828">
        <v>7979</v>
      </c>
      <c r="B828" t="s">
        <v>219</v>
      </c>
      <c r="D828" t="s">
        <v>327</v>
      </c>
      <c r="E828">
        <v>99999999</v>
      </c>
      <c r="F828">
        <v>11111111</v>
      </c>
      <c r="G828">
        <v>1111111111</v>
      </c>
      <c r="H828" t="s">
        <v>4397</v>
      </c>
      <c r="I828">
        <v>99999999</v>
      </c>
      <c r="J828" s="188">
        <v>45236</v>
      </c>
      <c r="K828" t="s">
        <v>4397</v>
      </c>
      <c r="L828" t="s">
        <v>4397</v>
      </c>
      <c r="M828" t="s">
        <v>1319</v>
      </c>
      <c r="N828" t="s">
        <v>118</v>
      </c>
      <c r="O828" t="s">
        <v>1320</v>
      </c>
      <c r="P828" t="s">
        <v>221</v>
      </c>
      <c r="Q828" t="s">
        <v>82</v>
      </c>
      <c r="R828">
        <v>2</v>
      </c>
      <c r="S828">
        <v>4</v>
      </c>
      <c r="T828">
        <v>0</v>
      </c>
      <c r="U828">
        <v>1</v>
      </c>
      <c r="V828">
        <v>1</v>
      </c>
      <c r="W828">
        <v>27.34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2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</row>
    <row r="829" spans="1:37" x14ac:dyDescent="0.3">
      <c r="A829">
        <v>7979</v>
      </c>
      <c r="B829" t="s">
        <v>219</v>
      </c>
      <c r="D829" t="s">
        <v>327</v>
      </c>
      <c r="E829">
        <v>99999999</v>
      </c>
      <c r="F829">
        <v>11111111</v>
      </c>
      <c r="G829">
        <v>1111111111</v>
      </c>
      <c r="H829" t="s">
        <v>4398</v>
      </c>
      <c r="I829">
        <v>99999999</v>
      </c>
      <c r="J829" s="188">
        <v>45236</v>
      </c>
      <c r="K829" t="s">
        <v>4398</v>
      </c>
      <c r="L829" t="s">
        <v>4398</v>
      </c>
      <c r="M829" t="s">
        <v>1321</v>
      </c>
      <c r="N829" t="s">
        <v>91</v>
      </c>
      <c r="O829">
        <v>85541</v>
      </c>
      <c r="P829" t="s">
        <v>221</v>
      </c>
      <c r="Q829" t="s">
        <v>82</v>
      </c>
      <c r="R829">
        <v>1</v>
      </c>
      <c r="S829">
        <v>2.9</v>
      </c>
      <c r="T829">
        <v>0</v>
      </c>
      <c r="U829">
        <v>1</v>
      </c>
      <c r="V829">
        <v>1</v>
      </c>
      <c r="W829">
        <v>31.84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1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</row>
    <row r="830" spans="1:37" x14ac:dyDescent="0.3">
      <c r="A830">
        <v>7979</v>
      </c>
      <c r="B830" t="s">
        <v>219</v>
      </c>
      <c r="D830" t="s">
        <v>327</v>
      </c>
      <c r="E830">
        <v>99999999</v>
      </c>
      <c r="F830">
        <v>11111111</v>
      </c>
      <c r="G830">
        <v>1111111111</v>
      </c>
      <c r="H830" t="s">
        <v>4399</v>
      </c>
      <c r="I830">
        <v>99999999</v>
      </c>
      <c r="J830" s="188">
        <v>45236</v>
      </c>
      <c r="K830" t="s">
        <v>4399</v>
      </c>
      <c r="L830" t="s">
        <v>4399</v>
      </c>
      <c r="M830" t="s">
        <v>111</v>
      </c>
      <c r="N830" t="s">
        <v>99</v>
      </c>
      <c r="O830" t="s">
        <v>1322</v>
      </c>
      <c r="P830" t="s">
        <v>221</v>
      </c>
      <c r="Q830" t="s">
        <v>82</v>
      </c>
      <c r="R830">
        <v>1</v>
      </c>
      <c r="S830">
        <v>0.44</v>
      </c>
      <c r="T830">
        <v>0</v>
      </c>
      <c r="U830">
        <v>1</v>
      </c>
      <c r="V830">
        <v>1</v>
      </c>
      <c r="W830">
        <v>23.85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1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</row>
    <row r="831" spans="1:37" x14ac:dyDescent="0.3">
      <c r="A831">
        <v>7979</v>
      </c>
      <c r="B831" t="s">
        <v>219</v>
      </c>
      <c r="D831" t="s">
        <v>327</v>
      </c>
      <c r="E831">
        <v>99999999</v>
      </c>
      <c r="F831">
        <v>11111111</v>
      </c>
      <c r="G831">
        <v>1111111111</v>
      </c>
      <c r="H831" t="s">
        <v>4400</v>
      </c>
      <c r="I831">
        <v>99999999</v>
      </c>
      <c r="J831" s="188">
        <v>45236</v>
      </c>
      <c r="K831" t="s">
        <v>4400</v>
      </c>
      <c r="L831" t="s">
        <v>4400</v>
      </c>
      <c r="M831" t="s">
        <v>659</v>
      </c>
      <c r="N831" t="s">
        <v>99</v>
      </c>
      <c r="O831" t="s">
        <v>1323</v>
      </c>
      <c r="P831" t="s">
        <v>221</v>
      </c>
      <c r="Q831" t="s">
        <v>82</v>
      </c>
      <c r="R831">
        <v>1</v>
      </c>
      <c r="S831">
        <v>3.97</v>
      </c>
      <c r="T831">
        <v>0</v>
      </c>
      <c r="U831">
        <v>1</v>
      </c>
      <c r="V831">
        <v>1</v>
      </c>
      <c r="W831">
        <v>27.56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1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</row>
    <row r="832" spans="1:37" x14ac:dyDescent="0.3">
      <c r="A832">
        <v>7979</v>
      </c>
      <c r="B832" t="s">
        <v>219</v>
      </c>
      <c r="D832" t="s">
        <v>327</v>
      </c>
      <c r="E832">
        <v>99999999</v>
      </c>
      <c r="F832">
        <v>11111111</v>
      </c>
      <c r="G832">
        <v>1111111111</v>
      </c>
      <c r="H832" t="s">
        <v>4401</v>
      </c>
      <c r="I832">
        <v>99999999</v>
      </c>
      <c r="J832" s="188">
        <v>45236</v>
      </c>
      <c r="K832" t="s">
        <v>4401</v>
      </c>
      <c r="L832" t="s">
        <v>4401</v>
      </c>
      <c r="M832" t="s">
        <v>1324</v>
      </c>
      <c r="N832" t="s">
        <v>197</v>
      </c>
      <c r="O832" t="s">
        <v>1325</v>
      </c>
      <c r="P832" t="s">
        <v>221</v>
      </c>
      <c r="Q832" t="s">
        <v>82</v>
      </c>
      <c r="R832">
        <v>1</v>
      </c>
      <c r="S832">
        <v>0.25</v>
      </c>
      <c r="T832">
        <v>0</v>
      </c>
      <c r="U832">
        <v>1</v>
      </c>
      <c r="V832">
        <v>1</v>
      </c>
      <c r="W832">
        <v>28.78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1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</row>
    <row r="833" spans="1:37" x14ac:dyDescent="0.3">
      <c r="A833">
        <v>7979</v>
      </c>
      <c r="B833" t="s">
        <v>219</v>
      </c>
      <c r="D833" t="s">
        <v>327</v>
      </c>
      <c r="E833">
        <v>99999999</v>
      </c>
      <c r="F833">
        <v>11111111</v>
      </c>
      <c r="G833">
        <v>1111111111</v>
      </c>
      <c r="H833" t="s">
        <v>4402</v>
      </c>
      <c r="I833">
        <v>99999999</v>
      </c>
      <c r="J833" s="188">
        <v>45236</v>
      </c>
      <c r="K833" t="s">
        <v>4402</v>
      </c>
      <c r="L833" t="s">
        <v>4402</v>
      </c>
      <c r="M833" t="s">
        <v>1326</v>
      </c>
      <c r="N833" t="s">
        <v>151</v>
      </c>
      <c r="O833">
        <v>28391</v>
      </c>
      <c r="P833" t="s">
        <v>221</v>
      </c>
      <c r="Q833" t="s">
        <v>82</v>
      </c>
      <c r="R833">
        <v>1</v>
      </c>
      <c r="S833">
        <v>1.55</v>
      </c>
      <c r="T833">
        <v>0</v>
      </c>
      <c r="U833">
        <v>1</v>
      </c>
      <c r="V833">
        <v>1</v>
      </c>
      <c r="W833">
        <v>30.93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1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</row>
    <row r="834" spans="1:37" x14ac:dyDescent="0.3">
      <c r="A834">
        <v>7979</v>
      </c>
      <c r="B834" t="s">
        <v>219</v>
      </c>
      <c r="D834" t="s">
        <v>327</v>
      </c>
      <c r="E834">
        <v>99999999</v>
      </c>
      <c r="F834">
        <v>11111111</v>
      </c>
      <c r="G834">
        <v>1111111111</v>
      </c>
      <c r="H834" t="s">
        <v>4403</v>
      </c>
      <c r="I834">
        <v>99999999</v>
      </c>
      <c r="J834" s="188">
        <v>45236</v>
      </c>
      <c r="K834" t="s">
        <v>4403</v>
      </c>
      <c r="L834" t="s">
        <v>4403</v>
      </c>
      <c r="M834" t="s">
        <v>1327</v>
      </c>
      <c r="N834" t="s">
        <v>186</v>
      </c>
      <c r="O834" t="s">
        <v>1328</v>
      </c>
      <c r="P834" t="s">
        <v>221</v>
      </c>
      <c r="Q834" t="s">
        <v>82</v>
      </c>
      <c r="R834">
        <v>1</v>
      </c>
      <c r="S834">
        <v>1.5</v>
      </c>
      <c r="T834">
        <v>0</v>
      </c>
      <c r="U834">
        <v>1</v>
      </c>
      <c r="V834">
        <v>1</v>
      </c>
      <c r="W834">
        <v>29.22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1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</row>
    <row r="835" spans="1:37" x14ac:dyDescent="0.3">
      <c r="A835">
        <v>7979</v>
      </c>
      <c r="B835" t="s">
        <v>219</v>
      </c>
      <c r="D835" t="s">
        <v>327</v>
      </c>
      <c r="E835">
        <v>99999999</v>
      </c>
      <c r="F835">
        <v>11111111</v>
      </c>
      <c r="G835">
        <v>1111111111</v>
      </c>
      <c r="H835" t="s">
        <v>4404</v>
      </c>
      <c r="I835">
        <v>99999999</v>
      </c>
      <c r="J835" s="188">
        <v>45236</v>
      </c>
      <c r="K835" t="s">
        <v>4404</v>
      </c>
      <c r="L835" t="s">
        <v>4404</v>
      </c>
      <c r="M835" t="s">
        <v>1262</v>
      </c>
      <c r="N835" t="s">
        <v>317</v>
      </c>
      <c r="O835" t="s">
        <v>1329</v>
      </c>
      <c r="P835" t="s">
        <v>221</v>
      </c>
      <c r="Q835" t="s">
        <v>82</v>
      </c>
      <c r="R835">
        <v>1</v>
      </c>
      <c r="S835">
        <v>1.5</v>
      </c>
      <c r="T835">
        <v>0</v>
      </c>
      <c r="U835">
        <v>1</v>
      </c>
      <c r="V835">
        <v>1</v>
      </c>
      <c r="W835">
        <v>22.21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1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</row>
    <row r="836" spans="1:37" x14ac:dyDescent="0.3">
      <c r="A836">
        <v>7979</v>
      </c>
      <c r="B836" t="s">
        <v>219</v>
      </c>
      <c r="D836" t="s">
        <v>327</v>
      </c>
      <c r="E836">
        <v>99999999</v>
      </c>
      <c r="F836">
        <v>11111111</v>
      </c>
      <c r="G836">
        <v>1111111111</v>
      </c>
      <c r="H836" t="s">
        <v>4405</v>
      </c>
      <c r="I836">
        <v>99999999</v>
      </c>
      <c r="J836" s="188">
        <v>45236</v>
      </c>
      <c r="K836" t="s">
        <v>4405</v>
      </c>
      <c r="L836" t="s">
        <v>4405</v>
      </c>
      <c r="M836" t="s">
        <v>341</v>
      </c>
      <c r="N836" t="s">
        <v>130</v>
      </c>
      <c r="O836">
        <v>80503</v>
      </c>
      <c r="P836" t="s">
        <v>221</v>
      </c>
      <c r="Q836" t="s">
        <v>82</v>
      </c>
      <c r="R836">
        <v>1</v>
      </c>
      <c r="S836">
        <v>0.98</v>
      </c>
      <c r="T836">
        <v>0</v>
      </c>
      <c r="U836">
        <v>1</v>
      </c>
      <c r="V836">
        <v>1</v>
      </c>
      <c r="W836">
        <v>21.54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1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</row>
    <row r="837" spans="1:37" x14ac:dyDescent="0.3">
      <c r="A837">
        <v>7979</v>
      </c>
      <c r="B837" t="s">
        <v>219</v>
      </c>
      <c r="D837" t="s">
        <v>327</v>
      </c>
      <c r="E837">
        <v>99999999</v>
      </c>
      <c r="F837">
        <v>11111111</v>
      </c>
      <c r="G837">
        <v>1111111111</v>
      </c>
      <c r="H837" t="s">
        <v>4406</v>
      </c>
      <c r="I837">
        <v>99999999</v>
      </c>
      <c r="J837" s="188">
        <v>45236</v>
      </c>
      <c r="K837" t="s">
        <v>4406</v>
      </c>
      <c r="L837" t="s">
        <v>4406</v>
      </c>
      <c r="M837" t="s">
        <v>1330</v>
      </c>
      <c r="N837" t="s">
        <v>197</v>
      </c>
      <c r="O837">
        <v>78418</v>
      </c>
      <c r="P837" t="s">
        <v>221</v>
      </c>
      <c r="Q837" t="s">
        <v>82</v>
      </c>
      <c r="R837">
        <v>2</v>
      </c>
      <c r="S837">
        <v>0.34</v>
      </c>
      <c r="T837">
        <v>0</v>
      </c>
      <c r="U837">
        <v>1</v>
      </c>
      <c r="V837">
        <v>1</v>
      </c>
      <c r="W837">
        <v>20.52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2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</row>
    <row r="838" spans="1:37" x14ac:dyDescent="0.3">
      <c r="A838">
        <v>7979</v>
      </c>
      <c r="B838" t="s">
        <v>219</v>
      </c>
      <c r="D838" t="s">
        <v>327</v>
      </c>
      <c r="E838">
        <v>99999999</v>
      </c>
      <c r="F838">
        <v>11111111</v>
      </c>
      <c r="G838">
        <v>1111111111</v>
      </c>
      <c r="H838" t="s">
        <v>4407</v>
      </c>
      <c r="I838">
        <v>99999999</v>
      </c>
      <c r="J838" s="188">
        <v>45236</v>
      </c>
      <c r="K838" t="s">
        <v>4407</v>
      </c>
      <c r="L838" t="s">
        <v>4407</v>
      </c>
      <c r="M838" t="s">
        <v>707</v>
      </c>
      <c r="N838" t="s">
        <v>141</v>
      </c>
      <c r="O838" t="s">
        <v>1331</v>
      </c>
      <c r="P838" t="s">
        <v>221</v>
      </c>
      <c r="Q838" t="s">
        <v>82</v>
      </c>
      <c r="R838">
        <v>1</v>
      </c>
      <c r="S838">
        <v>0.55000000000000004</v>
      </c>
      <c r="T838">
        <v>0</v>
      </c>
      <c r="U838">
        <v>1</v>
      </c>
      <c r="V838">
        <v>1</v>
      </c>
      <c r="W838">
        <v>23.1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1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</row>
    <row r="839" spans="1:37" x14ac:dyDescent="0.3">
      <c r="A839">
        <v>7979</v>
      </c>
      <c r="B839" t="s">
        <v>219</v>
      </c>
      <c r="D839" t="s">
        <v>327</v>
      </c>
      <c r="E839">
        <v>99999999</v>
      </c>
      <c r="F839">
        <v>11111111</v>
      </c>
      <c r="G839">
        <v>1111111111</v>
      </c>
      <c r="H839" t="s">
        <v>4408</v>
      </c>
      <c r="I839">
        <v>99999999</v>
      </c>
      <c r="J839" s="188">
        <v>45236</v>
      </c>
      <c r="K839" t="s">
        <v>4408</v>
      </c>
      <c r="L839" t="s">
        <v>4408</v>
      </c>
      <c r="M839" t="s">
        <v>1332</v>
      </c>
      <c r="N839" t="s">
        <v>233</v>
      </c>
      <c r="O839" t="s">
        <v>1333</v>
      </c>
      <c r="P839" t="s">
        <v>221</v>
      </c>
      <c r="Q839" t="s">
        <v>82</v>
      </c>
      <c r="R839">
        <v>1</v>
      </c>
      <c r="S839">
        <v>7.0000000000000007E-2</v>
      </c>
      <c r="T839">
        <v>0</v>
      </c>
      <c r="U839">
        <v>1</v>
      </c>
      <c r="V839">
        <v>1</v>
      </c>
      <c r="W839">
        <v>20.78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1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</row>
    <row r="840" spans="1:37" x14ac:dyDescent="0.3">
      <c r="A840">
        <v>7979</v>
      </c>
      <c r="B840" t="s">
        <v>219</v>
      </c>
      <c r="D840" t="s">
        <v>327</v>
      </c>
      <c r="E840">
        <v>99999999</v>
      </c>
      <c r="F840">
        <v>11111111</v>
      </c>
      <c r="G840">
        <v>1111111111</v>
      </c>
      <c r="H840" t="s">
        <v>4409</v>
      </c>
      <c r="I840">
        <v>99999999</v>
      </c>
      <c r="J840" s="188">
        <v>45236</v>
      </c>
      <c r="K840" t="s">
        <v>4409</v>
      </c>
      <c r="L840" t="s">
        <v>4409</v>
      </c>
      <c r="M840" t="s">
        <v>1334</v>
      </c>
      <c r="N840" t="s">
        <v>97</v>
      </c>
      <c r="O840" t="s">
        <v>1335</v>
      </c>
      <c r="P840" t="s">
        <v>221</v>
      </c>
      <c r="Q840" t="s">
        <v>82</v>
      </c>
      <c r="R840">
        <v>1</v>
      </c>
      <c r="S840">
        <v>8.36</v>
      </c>
      <c r="T840">
        <v>0</v>
      </c>
      <c r="U840">
        <v>1</v>
      </c>
      <c r="V840">
        <v>1</v>
      </c>
      <c r="W840">
        <v>30.34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1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</row>
    <row r="841" spans="1:37" x14ac:dyDescent="0.3">
      <c r="A841">
        <v>7979</v>
      </c>
      <c r="B841" t="s">
        <v>219</v>
      </c>
      <c r="D841" t="s">
        <v>327</v>
      </c>
      <c r="E841">
        <v>99999999</v>
      </c>
      <c r="F841">
        <v>11111111</v>
      </c>
      <c r="G841">
        <v>1111111111</v>
      </c>
      <c r="H841" t="s">
        <v>4410</v>
      </c>
      <c r="I841">
        <v>99999999</v>
      </c>
      <c r="J841" s="188">
        <v>45236</v>
      </c>
      <c r="K841" t="s">
        <v>4410</v>
      </c>
      <c r="L841" t="s">
        <v>4410</v>
      </c>
      <c r="M841" t="s">
        <v>1336</v>
      </c>
      <c r="N841" t="s">
        <v>118</v>
      </c>
      <c r="O841">
        <v>17847</v>
      </c>
      <c r="P841" t="s">
        <v>221</v>
      </c>
      <c r="Q841" t="s">
        <v>82</v>
      </c>
      <c r="R841">
        <v>1</v>
      </c>
      <c r="S841">
        <v>2.2000000000000002</v>
      </c>
      <c r="T841">
        <v>0</v>
      </c>
      <c r="U841">
        <v>1</v>
      </c>
      <c r="V841">
        <v>1</v>
      </c>
      <c r="W841">
        <v>30.93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1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</row>
    <row r="842" spans="1:37" x14ac:dyDescent="0.3">
      <c r="A842">
        <v>7979</v>
      </c>
      <c r="B842" t="s">
        <v>219</v>
      </c>
      <c r="D842" t="s">
        <v>327</v>
      </c>
      <c r="E842">
        <v>99999999</v>
      </c>
      <c r="F842">
        <v>11111111</v>
      </c>
      <c r="G842">
        <v>1111111111</v>
      </c>
      <c r="H842" t="s">
        <v>4411</v>
      </c>
      <c r="I842">
        <v>99999999</v>
      </c>
      <c r="J842" s="188">
        <v>45236</v>
      </c>
      <c r="K842" t="s">
        <v>4411</v>
      </c>
      <c r="L842" t="s">
        <v>4411</v>
      </c>
      <c r="M842" t="s">
        <v>1337</v>
      </c>
      <c r="N842" t="s">
        <v>231</v>
      </c>
      <c r="O842">
        <v>2169</v>
      </c>
      <c r="P842" t="s">
        <v>221</v>
      </c>
      <c r="Q842" t="s">
        <v>82</v>
      </c>
      <c r="R842">
        <v>1</v>
      </c>
      <c r="S842">
        <v>1.55</v>
      </c>
      <c r="T842">
        <v>0</v>
      </c>
      <c r="U842">
        <v>1</v>
      </c>
      <c r="V842">
        <v>1</v>
      </c>
      <c r="W842">
        <v>24.81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1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</row>
    <row r="843" spans="1:37" x14ac:dyDescent="0.3">
      <c r="A843">
        <v>7979</v>
      </c>
      <c r="B843" t="s">
        <v>219</v>
      </c>
      <c r="D843" t="s">
        <v>327</v>
      </c>
      <c r="E843">
        <v>99999999</v>
      </c>
      <c r="F843">
        <v>11111111</v>
      </c>
      <c r="G843">
        <v>1111111111</v>
      </c>
      <c r="H843" t="s">
        <v>4412</v>
      </c>
      <c r="I843">
        <v>99999999</v>
      </c>
      <c r="J843" s="188">
        <v>45236</v>
      </c>
      <c r="K843" t="s">
        <v>4412</v>
      </c>
      <c r="L843" t="s">
        <v>4412</v>
      </c>
      <c r="M843" t="s">
        <v>1338</v>
      </c>
      <c r="N843" t="s">
        <v>241</v>
      </c>
      <c r="O843" t="s">
        <v>1339</v>
      </c>
      <c r="P843" t="s">
        <v>221</v>
      </c>
      <c r="Q843" t="s">
        <v>82</v>
      </c>
      <c r="R843">
        <v>1</v>
      </c>
      <c r="S843">
        <v>7.0000000000000007E-2</v>
      </c>
      <c r="T843">
        <v>0</v>
      </c>
      <c r="U843">
        <v>1</v>
      </c>
      <c r="V843">
        <v>1</v>
      </c>
      <c r="W843">
        <v>20.52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1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</row>
    <row r="844" spans="1:37" x14ac:dyDescent="0.3">
      <c r="A844">
        <v>7979</v>
      </c>
      <c r="B844" t="s">
        <v>219</v>
      </c>
      <c r="D844" t="s">
        <v>327</v>
      </c>
      <c r="E844">
        <v>99999999</v>
      </c>
      <c r="F844">
        <v>11111111</v>
      </c>
      <c r="G844">
        <v>1111111111</v>
      </c>
      <c r="H844" t="s">
        <v>4413</v>
      </c>
      <c r="I844">
        <v>99999999</v>
      </c>
      <c r="J844" s="188">
        <v>45236</v>
      </c>
      <c r="K844" t="s">
        <v>4413</v>
      </c>
      <c r="L844" t="s">
        <v>4413</v>
      </c>
      <c r="M844" t="s">
        <v>655</v>
      </c>
      <c r="N844" t="s">
        <v>104</v>
      </c>
      <c r="O844" t="s">
        <v>656</v>
      </c>
      <c r="P844" t="s">
        <v>221</v>
      </c>
      <c r="Q844" t="s">
        <v>82</v>
      </c>
      <c r="R844">
        <v>1</v>
      </c>
      <c r="S844">
        <v>1</v>
      </c>
      <c r="T844">
        <v>0</v>
      </c>
      <c r="U844">
        <v>1</v>
      </c>
      <c r="V844">
        <v>1</v>
      </c>
      <c r="W844">
        <v>29.46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1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</row>
    <row r="845" spans="1:37" x14ac:dyDescent="0.3">
      <c r="A845">
        <v>7979</v>
      </c>
      <c r="B845" t="s">
        <v>219</v>
      </c>
      <c r="D845" t="s">
        <v>327</v>
      </c>
      <c r="E845">
        <v>99999999</v>
      </c>
      <c r="F845">
        <v>11111111</v>
      </c>
      <c r="G845">
        <v>1111111111</v>
      </c>
      <c r="H845" t="s">
        <v>4414</v>
      </c>
      <c r="I845">
        <v>99999999</v>
      </c>
      <c r="J845" s="188">
        <v>45236</v>
      </c>
      <c r="K845" t="s">
        <v>4414</v>
      </c>
      <c r="L845" t="s">
        <v>4414</v>
      </c>
      <c r="M845" t="s">
        <v>1340</v>
      </c>
      <c r="N845" t="s">
        <v>241</v>
      </c>
      <c r="O845" t="s">
        <v>1341</v>
      </c>
      <c r="P845" t="s">
        <v>221</v>
      </c>
      <c r="Q845" t="s">
        <v>82</v>
      </c>
      <c r="R845">
        <v>1</v>
      </c>
      <c r="S845">
        <v>1.55</v>
      </c>
      <c r="T845">
        <v>0</v>
      </c>
      <c r="U845">
        <v>1</v>
      </c>
      <c r="V845">
        <v>1</v>
      </c>
      <c r="W845">
        <v>23.93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1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</row>
    <row r="846" spans="1:37" x14ac:dyDescent="0.3">
      <c r="A846">
        <v>7979</v>
      </c>
      <c r="B846" t="s">
        <v>219</v>
      </c>
      <c r="D846" t="s">
        <v>327</v>
      </c>
      <c r="E846">
        <v>99999999</v>
      </c>
      <c r="F846">
        <v>11111111</v>
      </c>
      <c r="G846">
        <v>1111111111</v>
      </c>
      <c r="H846" t="s">
        <v>4415</v>
      </c>
      <c r="I846">
        <v>99999999</v>
      </c>
      <c r="J846" s="188">
        <v>45236</v>
      </c>
      <c r="K846" t="s">
        <v>4415</v>
      </c>
      <c r="L846" t="s">
        <v>4415</v>
      </c>
      <c r="M846" t="s">
        <v>101</v>
      </c>
      <c r="N846" t="s">
        <v>97</v>
      </c>
      <c r="O846" t="s">
        <v>1342</v>
      </c>
      <c r="P846" t="s">
        <v>221</v>
      </c>
      <c r="Q846" t="s">
        <v>82</v>
      </c>
      <c r="R846">
        <v>1</v>
      </c>
      <c r="S846">
        <v>1.5</v>
      </c>
      <c r="T846">
        <v>0</v>
      </c>
      <c r="U846">
        <v>1</v>
      </c>
      <c r="V846">
        <v>1</v>
      </c>
      <c r="W846">
        <v>21.21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1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</row>
    <row r="847" spans="1:37" x14ac:dyDescent="0.3">
      <c r="A847">
        <v>7979</v>
      </c>
      <c r="B847" t="s">
        <v>219</v>
      </c>
      <c r="D847" t="s">
        <v>327</v>
      </c>
      <c r="E847">
        <v>99999999</v>
      </c>
      <c r="F847">
        <v>11111111</v>
      </c>
      <c r="G847">
        <v>1111111111</v>
      </c>
      <c r="H847" t="s">
        <v>4416</v>
      </c>
      <c r="I847">
        <v>99999999</v>
      </c>
      <c r="J847" s="188">
        <v>45236</v>
      </c>
      <c r="K847" t="s">
        <v>4416</v>
      </c>
      <c r="L847" t="s">
        <v>4416</v>
      </c>
      <c r="M847" t="s">
        <v>138</v>
      </c>
      <c r="N847" t="s">
        <v>197</v>
      </c>
      <c r="O847" t="s">
        <v>1343</v>
      </c>
      <c r="P847" t="s">
        <v>221</v>
      </c>
      <c r="Q847" t="s">
        <v>82</v>
      </c>
      <c r="R847">
        <v>1</v>
      </c>
      <c r="S847">
        <v>7</v>
      </c>
      <c r="T847">
        <v>0</v>
      </c>
      <c r="U847">
        <v>1</v>
      </c>
      <c r="V847">
        <v>1</v>
      </c>
      <c r="W847">
        <v>33.65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1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</row>
    <row r="848" spans="1:37" x14ac:dyDescent="0.3">
      <c r="A848">
        <v>7979</v>
      </c>
      <c r="B848" t="s">
        <v>219</v>
      </c>
      <c r="D848" t="s">
        <v>327</v>
      </c>
      <c r="E848">
        <v>99999999</v>
      </c>
      <c r="F848">
        <v>11111111</v>
      </c>
      <c r="G848">
        <v>1111111111</v>
      </c>
      <c r="H848" t="s">
        <v>4417</v>
      </c>
      <c r="I848">
        <v>99999999</v>
      </c>
      <c r="J848" s="188">
        <v>45236</v>
      </c>
      <c r="K848" t="s">
        <v>4417</v>
      </c>
      <c r="L848" t="s">
        <v>4417</v>
      </c>
      <c r="M848" t="s">
        <v>1206</v>
      </c>
      <c r="N848" t="s">
        <v>99</v>
      </c>
      <c r="O848" t="s">
        <v>1207</v>
      </c>
      <c r="P848" t="s">
        <v>221</v>
      </c>
      <c r="Q848" t="s">
        <v>82</v>
      </c>
      <c r="R848">
        <v>1</v>
      </c>
      <c r="S848">
        <v>1.55</v>
      </c>
      <c r="T848">
        <v>0</v>
      </c>
      <c r="U848">
        <v>1</v>
      </c>
      <c r="V848">
        <v>1</v>
      </c>
      <c r="W848">
        <v>19.16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1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</row>
    <row r="849" spans="1:37" x14ac:dyDescent="0.3">
      <c r="A849">
        <v>7979</v>
      </c>
      <c r="B849" t="s">
        <v>219</v>
      </c>
      <c r="D849" t="s">
        <v>327</v>
      </c>
      <c r="E849">
        <v>99999999</v>
      </c>
      <c r="F849">
        <v>11111111</v>
      </c>
      <c r="G849">
        <v>1111111111</v>
      </c>
      <c r="H849" t="s">
        <v>4418</v>
      </c>
      <c r="I849">
        <v>99999999</v>
      </c>
      <c r="J849" s="188">
        <v>45236</v>
      </c>
      <c r="K849" t="s">
        <v>4418</v>
      </c>
      <c r="L849" t="s">
        <v>4418</v>
      </c>
      <c r="M849" t="s">
        <v>129</v>
      </c>
      <c r="N849" t="s">
        <v>130</v>
      </c>
      <c r="O849" t="s">
        <v>1344</v>
      </c>
      <c r="P849" t="s">
        <v>221</v>
      </c>
      <c r="Q849" t="s">
        <v>82</v>
      </c>
      <c r="R849">
        <v>1</v>
      </c>
      <c r="S849">
        <v>2.65</v>
      </c>
      <c r="T849">
        <v>0</v>
      </c>
      <c r="U849">
        <v>1</v>
      </c>
      <c r="V849">
        <v>1</v>
      </c>
      <c r="W849">
        <v>23.59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1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</row>
    <row r="850" spans="1:37" x14ac:dyDescent="0.3">
      <c r="A850">
        <v>7979</v>
      </c>
      <c r="B850" t="s">
        <v>219</v>
      </c>
      <c r="D850" t="s">
        <v>327</v>
      </c>
      <c r="E850">
        <v>99999999</v>
      </c>
      <c r="F850">
        <v>11111111</v>
      </c>
      <c r="G850">
        <v>1111111111</v>
      </c>
      <c r="H850" t="s">
        <v>4419</v>
      </c>
      <c r="I850">
        <v>99999999</v>
      </c>
      <c r="J850" s="188">
        <v>45236</v>
      </c>
      <c r="K850" t="s">
        <v>4419</v>
      </c>
      <c r="L850" t="s">
        <v>4419</v>
      </c>
      <c r="M850" t="s">
        <v>1345</v>
      </c>
      <c r="N850" t="s">
        <v>186</v>
      </c>
      <c r="O850">
        <v>43023</v>
      </c>
      <c r="P850" t="s">
        <v>221</v>
      </c>
      <c r="Q850" t="s">
        <v>82</v>
      </c>
      <c r="R850">
        <v>1</v>
      </c>
      <c r="S850">
        <v>3.84</v>
      </c>
      <c r="T850">
        <v>0</v>
      </c>
      <c r="U850">
        <v>1</v>
      </c>
      <c r="V850">
        <v>1</v>
      </c>
      <c r="W850">
        <v>33.46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1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</row>
    <row r="851" spans="1:37" x14ac:dyDescent="0.3">
      <c r="A851">
        <v>7979</v>
      </c>
      <c r="B851" t="s">
        <v>219</v>
      </c>
      <c r="D851" t="s">
        <v>327</v>
      </c>
      <c r="E851">
        <v>99999999</v>
      </c>
      <c r="F851">
        <v>11111111</v>
      </c>
      <c r="G851">
        <v>1111111111</v>
      </c>
      <c r="H851" t="s">
        <v>4420</v>
      </c>
      <c r="I851">
        <v>99999999</v>
      </c>
      <c r="J851" s="188">
        <v>45236</v>
      </c>
      <c r="K851" t="s">
        <v>4420</v>
      </c>
      <c r="L851" t="s">
        <v>4420</v>
      </c>
      <c r="M851" t="s">
        <v>1346</v>
      </c>
      <c r="N851" t="s">
        <v>97</v>
      </c>
      <c r="O851">
        <v>98032</v>
      </c>
      <c r="P851" t="s">
        <v>221</v>
      </c>
      <c r="Q851" t="s">
        <v>82</v>
      </c>
      <c r="R851">
        <v>2</v>
      </c>
      <c r="S851">
        <v>7.03</v>
      </c>
      <c r="T851">
        <v>0</v>
      </c>
      <c r="U851">
        <v>1</v>
      </c>
      <c r="V851">
        <v>2</v>
      </c>
      <c r="W851">
        <v>24.15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2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</row>
    <row r="852" spans="1:37" x14ac:dyDescent="0.3">
      <c r="A852">
        <v>7979</v>
      </c>
      <c r="B852" t="s">
        <v>219</v>
      </c>
      <c r="D852" t="s">
        <v>327</v>
      </c>
      <c r="E852">
        <v>99999999</v>
      </c>
      <c r="F852">
        <v>11111111</v>
      </c>
      <c r="G852">
        <v>1111111111</v>
      </c>
      <c r="H852" t="s">
        <v>4421</v>
      </c>
      <c r="I852">
        <v>99999999</v>
      </c>
      <c r="J852" s="188">
        <v>45236</v>
      </c>
      <c r="K852" t="s">
        <v>4421</v>
      </c>
      <c r="L852" t="s">
        <v>4421</v>
      </c>
      <c r="M852" t="s">
        <v>1347</v>
      </c>
      <c r="N852" t="s">
        <v>233</v>
      </c>
      <c r="O852" t="s">
        <v>1348</v>
      </c>
      <c r="P852" t="s">
        <v>221</v>
      </c>
      <c r="Q852" t="s">
        <v>82</v>
      </c>
      <c r="R852">
        <v>2</v>
      </c>
      <c r="S852">
        <v>2.48</v>
      </c>
      <c r="T852">
        <v>0</v>
      </c>
      <c r="U852">
        <v>1</v>
      </c>
      <c r="V852">
        <v>2</v>
      </c>
      <c r="W852">
        <v>24.81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2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</row>
    <row r="853" spans="1:37" x14ac:dyDescent="0.3">
      <c r="A853">
        <v>7979</v>
      </c>
      <c r="B853" t="s">
        <v>219</v>
      </c>
      <c r="D853" t="s">
        <v>327</v>
      </c>
      <c r="E853">
        <v>99999999</v>
      </c>
      <c r="F853">
        <v>11111111</v>
      </c>
      <c r="G853">
        <v>1111111111</v>
      </c>
      <c r="H853" t="s">
        <v>4422</v>
      </c>
      <c r="I853">
        <v>99999999</v>
      </c>
      <c r="J853" s="188">
        <v>45236</v>
      </c>
      <c r="K853" t="s">
        <v>4422</v>
      </c>
      <c r="L853" t="s">
        <v>4422</v>
      </c>
      <c r="M853" t="s">
        <v>1286</v>
      </c>
      <c r="N853" t="s">
        <v>99</v>
      </c>
      <c r="O853">
        <v>93923</v>
      </c>
      <c r="P853" t="s">
        <v>221</v>
      </c>
      <c r="Q853" t="s">
        <v>82</v>
      </c>
      <c r="R853">
        <v>1</v>
      </c>
      <c r="S853">
        <v>2.4</v>
      </c>
      <c r="T853">
        <v>0</v>
      </c>
      <c r="U853">
        <v>1</v>
      </c>
      <c r="V853">
        <v>1</v>
      </c>
      <c r="W853">
        <v>26.8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1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</row>
    <row r="854" spans="1:37" x14ac:dyDescent="0.3">
      <c r="A854">
        <v>7979</v>
      </c>
      <c r="B854" t="s">
        <v>219</v>
      </c>
      <c r="D854" t="s">
        <v>327</v>
      </c>
      <c r="E854">
        <v>99999999</v>
      </c>
      <c r="F854">
        <v>11111111</v>
      </c>
      <c r="G854">
        <v>1111111111</v>
      </c>
      <c r="H854" t="s">
        <v>4423</v>
      </c>
      <c r="I854">
        <v>99999999</v>
      </c>
      <c r="J854" s="188">
        <v>45236</v>
      </c>
      <c r="K854" t="s">
        <v>4423</v>
      </c>
      <c r="L854" t="s">
        <v>4423</v>
      </c>
      <c r="M854" t="s">
        <v>1349</v>
      </c>
      <c r="N854" t="s">
        <v>1350</v>
      </c>
      <c r="O854" t="s">
        <v>1351</v>
      </c>
      <c r="P854" t="s">
        <v>221</v>
      </c>
      <c r="Q854" t="s">
        <v>82</v>
      </c>
      <c r="R854">
        <v>1</v>
      </c>
      <c r="S854">
        <v>2</v>
      </c>
      <c r="T854">
        <v>0</v>
      </c>
      <c r="U854">
        <v>1</v>
      </c>
      <c r="V854">
        <v>1</v>
      </c>
      <c r="W854">
        <v>24.81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1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</row>
    <row r="855" spans="1:37" x14ac:dyDescent="0.3">
      <c r="A855">
        <v>7979</v>
      </c>
      <c r="B855" t="s">
        <v>219</v>
      </c>
      <c r="D855" t="s">
        <v>327</v>
      </c>
      <c r="E855">
        <v>99999999</v>
      </c>
      <c r="F855">
        <v>11111111</v>
      </c>
      <c r="G855">
        <v>1111111111</v>
      </c>
      <c r="H855" t="s">
        <v>4424</v>
      </c>
      <c r="I855">
        <v>99999999</v>
      </c>
      <c r="J855" s="188">
        <v>45236</v>
      </c>
      <c r="K855" t="s">
        <v>4424</v>
      </c>
      <c r="L855" t="s">
        <v>4424</v>
      </c>
      <c r="M855" t="s">
        <v>1273</v>
      </c>
      <c r="N855" t="s">
        <v>104</v>
      </c>
      <c r="O855" t="s">
        <v>1274</v>
      </c>
      <c r="P855" t="s">
        <v>221</v>
      </c>
      <c r="Q855" t="s">
        <v>82</v>
      </c>
      <c r="R855">
        <v>1</v>
      </c>
      <c r="S855">
        <v>2.65</v>
      </c>
      <c r="T855">
        <v>0</v>
      </c>
      <c r="U855">
        <v>1</v>
      </c>
      <c r="V855">
        <v>1</v>
      </c>
      <c r="W855">
        <v>30.78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1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</row>
    <row r="856" spans="1:37" x14ac:dyDescent="0.3">
      <c r="A856">
        <v>7979</v>
      </c>
      <c r="B856" t="s">
        <v>219</v>
      </c>
      <c r="D856" t="s">
        <v>327</v>
      </c>
      <c r="E856">
        <v>99999999</v>
      </c>
      <c r="F856">
        <v>11111111</v>
      </c>
      <c r="G856">
        <v>1111111111</v>
      </c>
      <c r="H856" t="s">
        <v>4425</v>
      </c>
      <c r="I856">
        <v>99999999</v>
      </c>
      <c r="J856" s="188">
        <v>45236</v>
      </c>
      <c r="K856" t="s">
        <v>4425</v>
      </c>
      <c r="L856" t="s">
        <v>4425</v>
      </c>
      <c r="M856" t="s">
        <v>1352</v>
      </c>
      <c r="N856" t="s">
        <v>99</v>
      </c>
      <c r="O856" t="s">
        <v>1353</v>
      </c>
      <c r="P856" t="s">
        <v>221</v>
      </c>
      <c r="Q856" t="s">
        <v>82</v>
      </c>
      <c r="R856">
        <v>2</v>
      </c>
      <c r="S856">
        <v>0.82</v>
      </c>
      <c r="T856">
        <v>0</v>
      </c>
      <c r="U856">
        <v>1</v>
      </c>
      <c r="V856">
        <v>2</v>
      </c>
      <c r="W856">
        <v>33.729999999999997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2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</row>
    <row r="857" spans="1:37" x14ac:dyDescent="0.3">
      <c r="A857">
        <v>7979</v>
      </c>
      <c r="B857" t="s">
        <v>219</v>
      </c>
      <c r="D857" t="s">
        <v>327</v>
      </c>
      <c r="E857">
        <v>99999999</v>
      </c>
      <c r="F857">
        <v>11111111</v>
      </c>
      <c r="G857">
        <v>1111111111</v>
      </c>
      <c r="H857" t="s">
        <v>4426</v>
      </c>
      <c r="I857">
        <v>99999999</v>
      </c>
      <c r="J857" s="188">
        <v>45236</v>
      </c>
      <c r="K857" t="s">
        <v>4426</v>
      </c>
      <c r="L857" t="s">
        <v>4426</v>
      </c>
      <c r="M857" t="s">
        <v>1354</v>
      </c>
      <c r="N857" t="s">
        <v>97</v>
      </c>
      <c r="O857">
        <v>98650</v>
      </c>
      <c r="P857" t="s">
        <v>221</v>
      </c>
      <c r="Q857" t="s">
        <v>82</v>
      </c>
      <c r="R857">
        <v>1</v>
      </c>
      <c r="S857">
        <v>2</v>
      </c>
      <c r="T857">
        <v>0</v>
      </c>
      <c r="U857">
        <v>1</v>
      </c>
      <c r="V857">
        <v>1</v>
      </c>
      <c r="W857">
        <v>30.13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1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</row>
    <row r="858" spans="1:37" x14ac:dyDescent="0.3">
      <c r="A858">
        <v>7979</v>
      </c>
      <c r="B858" t="s">
        <v>219</v>
      </c>
      <c r="D858" t="s">
        <v>327</v>
      </c>
      <c r="E858">
        <v>99999999</v>
      </c>
      <c r="F858">
        <v>11111111</v>
      </c>
      <c r="G858">
        <v>1111111111</v>
      </c>
      <c r="H858" t="s">
        <v>4427</v>
      </c>
      <c r="I858">
        <v>99999999</v>
      </c>
      <c r="J858" s="188">
        <v>45237</v>
      </c>
      <c r="K858" t="s">
        <v>4427</v>
      </c>
      <c r="L858" t="s">
        <v>4427</v>
      </c>
      <c r="M858" t="s">
        <v>1134</v>
      </c>
      <c r="N858" t="s">
        <v>99</v>
      </c>
      <c r="O858" t="s">
        <v>1355</v>
      </c>
      <c r="P858" t="s">
        <v>221</v>
      </c>
      <c r="Q858" t="s">
        <v>82</v>
      </c>
      <c r="R858">
        <v>1</v>
      </c>
      <c r="S858">
        <v>2.89</v>
      </c>
      <c r="T858">
        <v>0</v>
      </c>
      <c r="U858">
        <v>1</v>
      </c>
      <c r="V858">
        <v>1</v>
      </c>
      <c r="W858">
        <v>37.6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1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</row>
    <row r="859" spans="1:37" x14ac:dyDescent="0.3">
      <c r="A859">
        <v>7979</v>
      </c>
      <c r="B859" t="s">
        <v>219</v>
      </c>
      <c r="D859" t="s">
        <v>327</v>
      </c>
      <c r="E859">
        <v>99999999</v>
      </c>
      <c r="F859">
        <v>11111111</v>
      </c>
      <c r="G859">
        <v>1111111111</v>
      </c>
      <c r="H859" t="s">
        <v>4428</v>
      </c>
      <c r="I859">
        <v>99999999</v>
      </c>
      <c r="J859" s="188">
        <v>45236</v>
      </c>
      <c r="K859" t="s">
        <v>4428</v>
      </c>
      <c r="L859" t="s">
        <v>4428</v>
      </c>
      <c r="M859" t="s">
        <v>173</v>
      </c>
      <c r="N859" t="s">
        <v>164</v>
      </c>
      <c r="O859">
        <v>97219</v>
      </c>
      <c r="P859" t="s">
        <v>221</v>
      </c>
      <c r="Q859" t="s">
        <v>82</v>
      </c>
      <c r="R859">
        <v>1</v>
      </c>
      <c r="S859">
        <v>2</v>
      </c>
      <c r="T859">
        <v>0</v>
      </c>
      <c r="U859">
        <v>1</v>
      </c>
      <c r="V859">
        <v>1</v>
      </c>
      <c r="W859">
        <v>21.88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1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</row>
    <row r="860" spans="1:37" x14ac:dyDescent="0.3">
      <c r="A860">
        <v>7979</v>
      </c>
      <c r="B860" t="s">
        <v>219</v>
      </c>
      <c r="D860" t="s">
        <v>327</v>
      </c>
      <c r="E860">
        <v>99999999</v>
      </c>
      <c r="F860">
        <v>11111111</v>
      </c>
      <c r="G860">
        <v>1111111111</v>
      </c>
      <c r="H860" t="s">
        <v>4429</v>
      </c>
      <c r="I860">
        <v>99999999</v>
      </c>
      <c r="J860" s="188">
        <v>45236</v>
      </c>
      <c r="K860" t="s">
        <v>4429</v>
      </c>
      <c r="L860" t="s">
        <v>4429</v>
      </c>
      <c r="M860" t="s">
        <v>1356</v>
      </c>
      <c r="N860" t="s">
        <v>125</v>
      </c>
      <c r="O860" t="s">
        <v>1357</v>
      </c>
      <c r="P860" t="s">
        <v>221</v>
      </c>
      <c r="Q860" t="s">
        <v>82</v>
      </c>
      <c r="R860">
        <v>1</v>
      </c>
      <c r="S860">
        <v>3.31</v>
      </c>
      <c r="T860">
        <v>0</v>
      </c>
      <c r="U860">
        <v>1</v>
      </c>
      <c r="V860">
        <v>1</v>
      </c>
      <c r="W860">
        <v>25.25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1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</row>
    <row r="861" spans="1:37" x14ac:dyDescent="0.3">
      <c r="A861">
        <v>7979</v>
      </c>
      <c r="B861" t="s">
        <v>219</v>
      </c>
      <c r="D861" t="s">
        <v>327</v>
      </c>
      <c r="E861">
        <v>99999999</v>
      </c>
      <c r="F861">
        <v>11111111</v>
      </c>
      <c r="G861">
        <v>1111111111</v>
      </c>
      <c r="H861" t="s">
        <v>4430</v>
      </c>
      <c r="I861">
        <v>99999999</v>
      </c>
      <c r="J861" s="188">
        <v>45236</v>
      </c>
      <c r="K861" t="s">
        <v>4430</v>
      </c>
      <c r="L861" t="s">
        <v>4430</v>
      </c>
      <c r="M861" t="s">
        <v>1346</v>
      </c>
      <c r="N861" t="s">
        <v>97</v>
      </c>
      <c r="O861" t="s">
        <v>1358</v>
      </c>
      <c r="P861" t="s">
        <v>221</v>
      </c>
      <c r="Q861" t="s">
        <v>82</v>
      </c>
      <c r="R861">
        <v>1</v>
      </c>
      <c r="S861">
        <v>5.47</v>
      </c>
      <c r="T861">
        <v>0</v>
      </c>
      <c r="U861">
        <v>1</v>
      </c>
      <c r="V861">
        <v>1</v>
      </c>
      <c r="W861">
        <v>23.09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1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</row>
    <row r="862" spans="1:37" x14ac:dyDescent="0.3">
      <c r="A862">
        <v>7979</v>
      </c>
      <c r="B862" t="s">
        <v>219</v>
      </c>
      <c r="D862" t="s">
        <v>327</v>
      </c>
      <c r="E862">
        <v>99999999</v>
      </c>
      <c r="F862">
        <v>11111111</v>
      </c>
      <c r="G862">
        <v>1111111111</v>
      </c>
      <c r="H862" t="s">
        <v>4431</v>
      </c>
      <c r="I862">
        <v>99999999</v>
      </c>
      <c r="J862" s="188">
        <v>45236</v>
      </c>
      <c r="K862" t="s">
        <v>4431</v>
      </c>
      <c r="L862" t="s">
        <v>4431</v>
      </c>
      <c r="M862" t="s">
        <v>1359</v>
      </c>
      <c r="N862" t="s">
        <v>130</v>
      </c>
      <c r="O862" t="s">
        <v>1360</v>
      </c>
      <c r="P862" t="s">
        <v>221</v>
      </c>
      <c r="Q862" t="s">
        <v>82</v>
      </c>
      <c r="R862">
        <v>3</v>
      </c>
      <c r="S862">
        <v>3.6</v>
      </c>
      <c r="T862">
        <v>0</v>
      </c>
      <c r="U862">
        <v>1</v>
      </c>
      <c r="V862">
        <v>1</v>
      </c>
      <c r="W862">
        <v>30.49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3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</row>
    <row r="863" spans="1:37" x14ac:dyDescent="0.3">
      <c r="A863">
        <v>7979</v>
      </c>
      <c r="B863" t="s">
        <v>219</v>
      </c>
      <c r="D863" t="s">
        <v>327</v>
      </c>
      <c r="E863">
        <v>99999999</v>
      </c>
      <c r="F863">
        <v>11111111</v>
      </c>
      <c r="G863">
        <v>1111111111</v>
      </c>
      <c r="H863" t="s">
        <v>4432</v>
      </c>
      <c r="I863">
        <v>99999999</v>
      </c>
      <c r="J863" s="188">
        <v>45236</v>
      </c>
      <c r="K863" t="s">
        <v>4432</v>
      </c>
      <c r="L863" t="s">
        <v>4432</v>
      </c>
      <c r="M863" t="s">
        <v>378</v>
      </c>
      <c r="N863" t="s">
        <v>130</v>
      </c>
      <c r="O863" t="s">
        <v>379</v>
      </c>
      <c r="P863" t="s">
        <v>221</v>
      </c>
      <c r="Q863" t="s">
        <v>82</v>
      </c>
      <c r="R863">
        <v>1</v>
      </c>
      <c r="S863">
        <v>5.53</v>
      </c>
      <c r="T863">
        <v>0</v>
      </c>
      <c r="U863">
        <v>1</v>
      </c>
      <c r="V863">
        <v>1</v>
      </c>
      <c r="W863">
        <v>25.03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1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</row>
    <row r="864" spans="1:37" x14ac:dyDescent="0.3">
      <c r="A864">
        <v>7979</v>
      </c>
      <c r="B864" t="s">
        <v>219</v>
      </c>
      <c r="D864" t="s">
        <v>327</v>
      </c>
      <c r="E864">
        <v>99999999</v>
      </c>
      <c r="F864">
        <v>11111111</v>
      </c>
      <c r="G864">
        <v>1111111111</v>
      </c>
      <c r="H864" t="s">
        <v>4433</v>
      </c>
      <c r="I864">
        <v>99999999</v>
      </c>
      <c r="J864" s="188">
        <v>45236</v>
      </c>
      <c r="K864" t="s">
        <v>4433</v>
      </c>
      <c r="L864" t="s">
        <v>4433</v>
      </c>
      <c r="M864" t="s">
        <v>659</v>
      </c>
      <c r="N864" t="s">
        <v>99</v>
      </c>
      <c r="O864" t="s">
        <v>1361</v>
      </c>
      <c r="P864" t="s">
        <v>221</v>
      </c>
      <c r="Q864" t="s">
        <v>82</v>
      </c>
      <c r="R864">
        <v>1</v>
      </c>
      <c r="S864">
        <v>1.7</v>
      </c>
      <c r="T864">
        <v>0</v>
      </c>
      <c r="U864">
        <v>1</v>
      </c>
      <c r="V864">
        <v>1</v>
      </c>
      <c r="W864">
        <v>20.67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1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</row>
    <row r="865" spans="1:37" x14ac:dyDescent="0.3">
      <c r="A865">
        <v>7979</v>
      </c>
      <c r="B865" t="s">
        <v>219</v>
      </c>
      <c r="D865" t="s">
        <v>327</v>
      </c>
      <c r="E865">
        <v>99999999</v>
      </c>
      <c r="F865">
        <v>11111111</v>
      </c>
      <c r="G865">
        <v>1111111111</v>
      </c>
      <c r="H865" t="s">
        <v>4434</v>
      </c>
      <c r="I865">
        <v>99999999</v>
      </c>
      <c r="J865" s="188">
        <v>45236</v>
      </c>
      <c r="K865" t="s">
        <v>4434</v>
      </c>
      <c r="L865" t="s">
        <v>4434</v>
      </c>
      <c r="M865" t="s">
        <v>1362</v>
      </c>
      <c r="N865" t="s">
        <v>97</v>
      </c>
      <c r="O865" t="s">
        <v>1363</v>
      </c>
      <c r="P865" t="s">
        <v>221</v>
      </c>
      <c r="Q865" t="s">
        <v>82</v>
      </c>
      <c r="R865">
        <v>1</v>
      </c>
      <c r="S865">
        <v>2.1880000000000002</v>
      </c>
      <c r="T865">
        <v>0</v>
      </c>
      <c r="U865">
        <v>1</v>
      </c>
      <c r="V865">
        <v>1</v>
      </c>
      <c r="W865">
        <v>30.13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1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</row>
    <row r="866" spans="1:37" x14ac:dyDescent="0.3">
      <c r="A866">
        <v>7979</v>
      </c>
      <c r="B866" t="s">
        <v>219</v>
      </c>
      <c r="D866" t="s">
        <v>327</v>
      </c>
      <c r="E866">
        <v>99999999</v>
      </c>
      <c r="F866">
        <v>11111111</v>
      </c>
      <c r="G866">
        <v>1111111111</v>
      </c>
      <c r="H866" t="s">
        <v>4435</v>
      </c>
      <c r="I866">
        <v>99999999</v>
      </c>
      <c r="J866" s="188">
        <v>45236</v>
      </c>
      <c r="K866" t="s">
        <v>4435</v>
      </c>
      <c r="L866" t="s">
        <v>4435</v>
      </c>
      <c r="M866" t="s">
        <v>1364</v>
      </c>
      <c r="N866" t="s">
        <v>228</v>
      </c>
      <c r="O866" t="s">
        <v>1365</v>
      </c>
      <c r="P866" t="s">
        <v>221</v>
      </c>
      <c r="Q866" t="s">
        <v>82</v>
      </c>
      <c r="R866">
        <v>1</v>
      </c>
      <c r="S866">
        <v>2</v>
      </c>
      <c r="T866">
        <v>0</v>
      </c>
      <c r="U866">
        <v>1</v>
      </c>
      <c r="V866">
        <v>1</v>
      </c>
      <c r="W866">
        <v>30.93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1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</row>
    <row r="867" spans="1:37" x14ac:dyDescent="0.3">
      <c r="A867">
        <v>7979</v>
      </c>
      <c r="B867" t="s">
        <v>219</v>
      </c>
      <c r="D867" t="s">
        <v>327</v>
      </c>
      <c r="E867">
        <v>99999999</v>
      </c>
      <c r="F867">
        <v>11111111</v>
      </c>
      <c r="G867">
        <v>1111111111</v>
      </c>
      <c r="H867" t="s">
        <v>4436</v>
      </c>
      <c r="I867">
        <v>99999999</v>
      </c>
      <c r="J867" s="188">
        <v>45236</v>
      </c>
      <c r="K867" t="s">
        <v>4436</v>
      </c>
      <c r="L867" t="s">
        <v>4436</v>
      </c>
      <c r="M867" t="s">
        <v>1366</v>
      </c>
      <c r="N867" t="s">
        <v>97</v>
      </c>
      <c r="O867" t="s">
        <v>1367</v>
      </c>
      <c r="P867" t="s">
        <v>221</v>
      </c>
      <c r="Q867" t="s">
        <v>82</v>
      </c>
      <c r="R867">
        <v>1</v>
      </c>
      <c r="S867">
        <v>5.47</v>
      </c>
      <c r="T867">
        <v>0</v>
      </c>
      <c r="U867">
        <v>1</v>
      </c>
      <c r="V867">
        <v>1</v>
      </c>
      <c r="W867">
        <v>23.09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1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</row>
    <row r="868" spans="1:37" x14ac:dyDescent="0.3">
      <c r="A868">
        <v>7979</v>
      </c>
      <c r="B868" t="s">
        <v>219</v>
      </c>
      <c r="D868" t="s">
        <v>327</v>
      </c>
      <c r="E868">
        <v>99999999</v>
      </c>
      <c r="F868">
        <v>11111111</v>
      </c>
      <c r="G868">
        <v>1111111111</v>
      </c>
      <c r="H868" t="s">
        <v>4437</v>
      </c>
      <c r="I868">
        <v>99999999</v>
      </c>
      <c r="J868" s="188">
        <v>45236</v>
      </c>
      <c r="K868" t="s">
        <v>4437</v>
      </c>
      <c r="L868" t="s">
        <v>4437</v>
      </c>
      <c r="M868" t="s">
        <v>587</v>
      </c>
      <c r="N868" t="s">
        <v>99</v>
      </c>
      <c r="O868" t="s">
        <v>1368</v>
      </c>
      <c r="P868" t="s">
        <v>221</v>
      </c>
      <c r="Q868" t="s">
        <v>82</v>
      </c>
      <c r="R868">
        <v>1</v>
      </c>
      <c r="S868">
        <v>3</v>
      </c>
      <c r="T868">
        <v>0</v>
      </c>
      <c r="U868">
        <v>1</v>
      </c>
      <c r="V868">
        <v>1</v>
      </c>
      <c r="W868">
        <v>25.66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1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</row>
    <row r="869" spans="1:37" x14ac:dyDescent="0.3">
      <c r="A869">
        <v>7979</v>
      </c>
      <c r="B869" t="s">
        <v>219</v>
      </c>
      <c r="D869" t="s">
        <v>327</v>
      </c>
      <c r="E869">
        <v>99999999</v>
      </c>
      <c r="F869">
        <v>11111111</v>
      </c>
      <c r="G869">
        <v>1111111111</v>
      </c>
      <c r="H869" t="s">
        <v>4438</v>
      </c>
      <c r="I869">
        <v>99999999</v>
      </c>
      <c r="J869" s="188">
        <v>45236</v>
      </c>
      <c r="K869" t="s">
        <v>4438</v>
      </c>
      <c r="L869" t="s">
        <v>4438</v>
      </c>
      <c r="M869" t="s">
        <v>1369</v>
      </c>
      <c r="N869" t="s">
        <v>99</v>
      </c>
      <c r="O869" t="s">
        <v>1370</v>
      </c>
      <c r="P869" t="s">
        <v>221</v>
      </c>
      <c r="Q869" t="s">
        <v>82</v>
      </c>
      <c r="R869">
        <v>1</v>
      </c>
      <c r="S869">
        <v>5</v>
      </c>
      <c r="T869">
        <v>0</v>
      </c>
      <c r="U869">
        <v>1</v>
      </c>
      <c r="V869">
        <v>1</v>
      </c>
      <c r="W869">
        <v>24.44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1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</row>
    <row r="870" spans="1:37" x14ac:dyDescent="0.3">
      <c r="A870">
        <v>7979</v>
      </c>
      <c r="B870" t="s">
        <v>219</v>
      </c>
      <c r="D870" t="s">
        <v>327</v>
      </c>
      <c r="E870">
        <v>99999999</v>
      </c>
      <c r="F870">
        <v>11111111</v>
      </c>
      <c r="G870">
        <v>1111111111</v>
      </c>
      <c r="H870" t="s">
        <v>4439</v>
      </c>
      <c r="I870">
        <v>99999999</v>
      </c>
      <c r="J870" s="188">
        <v>45236</v>
      </c>
      <c r="K870" t="s">
        <v>4439</v>
      </c>
      <c r="L870" t="s">
        <v>4439</v>
      </c>
      <c r="M870" t="s">
        <v>1371</v>
      </c>
      <c r="N870" t="s">
        <v>99</v>
      </c>
      <c r="O870" t="s">
        <v>1372</v>
      </c>
      <c r="P870" t="s">
        <v>221</v>
      </c>
      <c r="Q870" t="s">
        <v>82</v>
      </c>
      <c r="R870">
        <v>1</v>
      </c>
      <c r="S870">
        <v>3</v>
      </c>
      <c r="T870">
        <v>0</v>
      </c>
      <c r="U870">
        <v>1</v>
      </c>
      <c r="V870">
        <v>1</v>
      </c>
      <c r="W870">
        <v>20.77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1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</row>
    <row r="871" spans="1:37" x14ac:dyDescent="0.3">
      <c r="A871">
        <v>7979</v>
      </c>
      <c r="B871" t="s">
        <v>219</v>
      </c>
      <c r="D871" t="s">
        <v>327</v>
      </c>
      <c r="E871">
        <v>99999999</v>
      </c>
      <c r="F871">
        <v>11111111</v>
      </c>
      <c r="G871">
        <v>1111111111</v>
      </c>
      <c r="H871" t="s">
        <v>4440</v>
      </c>
      <c r="I871">
        <v>99999999</v>
      </c>
      <c r="J871" s="188">
        <v>45236</v>
      </c>
      <c r="K871" t="s">
        <v>4440</v>
      </c>
      <c r="L871" t="s">
        <v>4440</v>
      </c>
      <c r="M871" t="s">
        <v>514</v>
      </c>
      <c r="N871" t="s">
        <v>99</v>
      </c>
      <c r="O871" t="s">
        <v>1373</v>
      </c>
      <c r="P871" t="s">
        <v>221</v>
      </c>
      <c r="Q871" t="s">
        <v>82</v>
      </c>
      <c r="R871">
        <v>2</v>
      </c>
      <c r="S871">
        <v>3.16</v>
      </c>
      <c r="T871">
        <v>0</v>
      </c>
      <c r="U871">
        <v>1</v>
      </c>
      <c r="V871">
        <v>2</v>
      </c>
      <c r="W871">
        <v>19.54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2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</row>
    <row r="872" spans="1:37" x14ac:dyDescent="0.3">
      <c r="A872">
        <v>7979</v>
      </c>
      <c r="B872" t="s">
        <v>219</v>
      </c>
      <c r="D872" t="s">
        <v>327</v>
      </c>
      <c r="E872">
        <v>99999999</v>
      </c>
      <c r="F872">
        <v>11111111</v>
      </c>
      <c r="G872">
        <v>1111111111</v>
      </c>
      <c r="H872" t="s">
        <v>4441</v>
      </c>
      <c r="I872">
        <v>99999999</v>
      </c>
      <c r="J872" s="188">
        <v>45236</v>
      </c>
      <c r="K872" t="s">
        <v>4441</v>
      </c>
      <c r="L872" t="s">
        <v>4441</v>
      </c>
      <c r="M872" t="s">
        <v>1374</v>
      </c>
      <c r="N872" t="s">
        <v>130</v>
      </c>
      <c r="O872">
        <v>80027</v>
      </c>
      <c r="P872" t="s">
        <v>221</v>
      </c>
      <c r="Q872" t="s">
        <v>82</v>
      </c>
      <c r="R872">
        <v>1</v>
      </c>
      <c r="S872">
        <v>0.73</v>
      </c>
      <c r="T872">
        <v>0</v>
      </c>
      <c r="U872">
        <v>1</v>
      </c>
      <c r="V872">
        <v>1</v>
      </c>
      <c r="W872">
        <v>21.54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1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</row>
    <row r="873" spans="1:37" x14ac:dyDescent="0.3">
      <c r="A873">
        <v>7979</v>
      </c>
      <c r="B873" t="s">
        <v>219</v>
      </c>
      <c r="D873" t="s">
        <v>327</v>
      </c>
      <c r="E873">
        <v>99999999</v>
      </c>
      <c r="F873">
        <v>11111111</v>
      </c>
      <c r="G873">
        <v>1111111111</v>
      </c>
      <c r="H873" t="s">
        <v>4442</v>
      </c>
      <c r="I873">
        <v>99999999</v>
      </c>
      <c r="J873" s="188">
        <v>45236</v>
      </c>
      <c r="K873" t="s">
        <v>4442</v>
      </c>
      <c r="L873" t="s">
        <v>4442</v>
      </c>
      <c r="M873" t="s">
        <v>341</v>
      </c>
      <c r="N873" t="s">
        <v>130</v>
      </c>
      <c r="O873">
        <v>80503</v>
      </c>
      <c r="P873" t="s">
        <v>221</v>
      </c>
      <c r="Q873" t="s">
        <v>82</v>
      </c>
      <c r="R873">
        <v>1</v>
      </c>
      <c r="S873">
        <v>5.49</v>
      </c>
      <c r="T873">
        <v>0</v>
      </c>
      <c r="U873">
        <v>1</v>
      </c>
      <c r="V873">
        <v>1</v>
      </c>
      <c r="W873">
        <v>24.44</v>
      </c>
      <c r="X873">
        <v>0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1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</row>
    <row r="874" spans="1:37" x14ac:dyDescent="0.3">
      <c r="A874">
        <v>7979</v>
      </c>
      <c r="B874" t="s">
        <v>219</v>
      </c>
      <c r="D874" t="s">
        <v>327</v>
      </c>
      <c r="E874">
        <v>99999999</v>
      </c>
      <c r="F874">
        <v>11111111</v>
      </c>
      <c r="G874">
        <v>1111111111</v>
      </c>
      <c r="H874" t="s">
        <v>4443</v>
      </c>
      <c r="I874">
        <v>99999999</v>
      </c>
      <c r="J874" s="188">
        <v>45236</v>
      </c>
      <c r="K874" t="s">
        <v>4443</v>
      </c>
      <c r="L874" t="s">
        <v>4443</v>
      </c>
      <c r="M874" t="s">
        <v>1375</v>
      </c>
      <c r="N874" t="s">
        <v>91</v>
      </c>
      <c r="O874" t="s">
        <v>1376</v>
      </c>
      <c r="P874" t="s">
        <v>221</v>
      </c>
      <c r="Q874" t="s">
        <v>82</v>
      </c>
      <c r="R874">
        <v>1</v>
      </c>
      <c r="S874">
        <v>1</v>
      </c>
      <c r="T874">
        <v>0</v>
      </c>
      <c r="U874">
        <v>1</v>
      </c>
      <c r="V874">
        <v>1</v>
      </c>
      <c r="W874">
        <v>21.54</v>
      </c>
      <c r="X874">
        <v>0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1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</row>
    <row r="875" spans="1:37" x14ac:dyDescent="0.3">
      <c r="A875">
        <v>7979</v>
      </c>
      <c r="B875" t="s">
        <v>219</v>
      </c>
      <c r="D875" t="s">
        <v>327</v>
      </c>
      <c r="E875">
        <v>99999999</v>
      </c>
      <c r="F875">
        <v>11111111</v>
      </c>
      <c r="G875">
        <v>1111111111</v>
      </c>
      <c r="H875" t="s">
        <v>4444</v>
      </c>
      <c r="I875">
        <v>99999999</v>
      </c>
      <c r="J875" s="188">
        <v>45236</v>
      </c>
      <c r="K875" t="s">
        <v>4444</v>
      </c>
      <c r="L875" t="s">
        <v>4444</v>
      </c>
      <c r="M875" t="s">
        <v>1377</v>
      </c>
      <c r="N875" t="s">
        <v>164</v>
      </c>
      <c r="O875" t="s">
        <v>1378</v>
      </c>
      <c r="P875" t="s">
        <v>221</v>
      </c>
      <c r="Q875" t="s">
        <v>82</v>
      </c>
      <c r="R875">
        <v>1</v>
      </c>
      <c r="S875">
        <v>0.72799999999999998</v>
      </c>
      <c r="T875">
        <v>0</v>
      </c>
      <c r="U875">
        <v>1</v>
      </c>
      <c r="V875">
        <v>1</v>
      </c>
      <c r="W875">
        <v>27.33</v>
      </c>
      <c r="X875">
        <v>0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1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</row>
    <row r="876" spans="1:37" x14ac:dyDescent="0.3">
      <c r="A876">
        <v>7979</v>
      </c>
      <c r="B876" t="s">
        <v>219</v>
      </c>
      <c r="D876" t="s">
        <v>327</v>
      </c>
      <c r="E876">
        <v>99999999</v>
      </c>
      <c r="F876">
        <v>11111111</v>
      </c>
      <c r="G876">
        <v>1111111111</v>
      </c>
      <c r="H876" t="s">
        <v>4445</v>
      </c>
      <c r="I876">
        <v>99999999</v>
      </c>
      <c r="J876" s="188">
        <v>45236</v>
      </c>
      <c r="K876" t="s">
        <v>4445</v>
      </c>
      <c r="L876" t="s">
        <v>4445</v>
      </c>
      <c r="M876" t="s">
        <v>1379</v>
      </c>
      <c r="N876" t="s">
        <v>99</v>
      </c>
      <c r="O876">
        <v>91411</v>
      </c>
      <c r="P876" t="s">
        <v>221</v>
      </c>
      <c r="Q876" t="s">
        <v>82</v>
      </c>
      <c r="R876">
        <v>1</v>
      </c>
      <c r="S876">
        <v>1.5</v>
      </c>
      <c r="T876">
        <v>0</v>
      </c>
      <c r="U876">
        <v>1</v>
      </c>
      <c r="V876">
        <v>1</v>
      </c>
      <c r="W876">
        <v>21.21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1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</row>
    <row r="877" spans="1:37" x14ac:dyDescent="0.3">
      <c r="A877">
        <v>7979</v>
      </c>
      <c r="B877" t="s">
        <v>219</v>
      </c>
      <c r="D877" t="s">
        <v>327</v>
      </c>
      <c r="E877">
        <v>99999999</v>
      </c>
      <c r="F877">
        <v>11111111</v>
      </c>
      <c r="G877">
        <v>1111111111</v>
      </c>
      <c r="H877" t="s">
        <v>4446</v>
      </c>
      <c r="I877">
        <v>99999999</v>
      </c>
      <c r="J877" s="188">
        <v>45236</v>
      </c>
      <c r="K877" t="s">
        <v>4446</v>
      </c>
      <c r="L877" t="s">
        <v>4446</v>
      </c>
      <c r="M877" t="s">
        <v>456</v>
      </c>
      <c r="N877" t="s">
        <v>122</v>
      </c>
      <c r="O877">
        <v>87544</v>
      </c>
      <c r="P877" t="s">
        <v>221</v>
      </c>
      <c r="Q877" t="s">
        <v>82</v>
      </c>
      <c r="R877">
        <v>1</v>
      </c>
      <c r="S877">
        <v>4</v>
      </c>
      <c r="T877">
        <v>0</v>
      </c>
      <c r="U877">
        <v>1</v>
      </c>
      <c r="V877">
        <v>1</v>
      </c>
      <c r="W877">
        <v>24.37</v>
      </c>
      <c r="X877">
        <v>0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1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</row>
    <row r="878" spans="1:37" x14ac:dyDescent="0.3">
      <c r="A878">
        <v>7979</v>
      </c>
      <c r="B878" t="s">
        <v>219</v>
      </c>
      <c r="D878" t="s">
        <v>327</v>
      </c>
      <c r="E878">
        <v>99999999</v>
      </c>
      <c r="F878">
        <v>11111111</v>
      </c>
      <c r="G878">
        <v>1111111111</v>
      </c>
      <c r="H878" t="s">
        <v>4447</v>
      </c>
      <c r="I878">
        <v>99999999</v>
      </c>
      <c r="J878" s="188">
        <v>45236</v>
      </c>
      <c r="K878" t="s">
        <v>4447</v>
      </c>
      <c r="L878" t="s">
        <v>4447</v>
      </c>
      <c r="M878" t="s">
        <v>1380</v>
      </c>
      <c r="N878" t="s">
        <v>99</v>
      </c>
      <c r="O878" t="s">
        <v>1381</v>
      </c>
      <c r="P878" t="s">
        <v>221</v>
      </c>
      <c r="Q878" t="s">
        <v>82</v>
      </c>
      <c r="R878">
        <v>1</v>
      </c>
      <c r="S878">
        <v>8.8000000000000007</v>
      </c>
      <c r="T878">
        <v>0</v>
      </c>
      <c r="U878">
        <v>1</v>
      </c>
      <c r="V878">
        <v>1</v>
      </c>
      <c r="W878">
        <v>29.93</v>
      </c>
      <c r="X878">
        <v>0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1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</row>
    <row r="879" spans="1:37" x14ac:dyDescent="0.3">
      <c r="A879">
        <v>7979</v>
      </c>
      <c r="B879" t="s">
        <v>219</v>
      </c>
      <c r="D879" t="s">
        <v>327</v>
      </c>
      <c r="E879">
        <v>99999999</v>
      </c>
      <c r="F879">
        <v>11111111</v>
      </c>
      <c r="G879">
        <v>1111111111</v>
      </c>
      <c r="H879" t="s">
        <v>4448</v>
      </c>
      <c r="I879">
        <v>99999999</v>
      </c>
      <c r="J879" s="188">
        <v>45236</v>
      </c>
      <c r="K879" t="s">
        <v>4448</v>
      </c>
      <c r="L879" t="s">
        <v>4448</v>
      </c>
      <c r="M879" t="s">
        <v>659</v>
      </c>
      <c r="N879" t="s">
        <v>99</v>
      </c>
      <c r="O879" t="s">
        <v>1382</v>
      </c>
      <c r="P879" t="s">
        <v>221</v>
      </c>
      <c r="Q879" t="s">
        <v>82</v>
      </c>
      <c r="R879">
        <v>1</v>
      </c>
      <c r="S879">
        <v>8.14</v>
      </c>
      <c r="T879">
        <v>0</v>
      </c>
      <c r="U879">
        <v>1</v>
      </c>
      <c r="V879">
        <v>1</v>
      </c>
      <c r="W879">
        <v>28.77</v>
      </c>
      <c r="X879">
        <v>0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1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</row>
    <row r="880" spans="1:37" x14ac:dyDescent="0.3">
      <c r="A880">
        <v>7979</v>
      </c>
      <c r="B880" t="s">
        <v>219</v>
      </c>
      <c r="D880" t="s">
        <v>327</v>
      </c>
      <c r="E880">
        <v>99999999</v>
      </c>
      <c r="F880">
        <v>11111111</v>
      </c>
      <c r="G880">
        <v>1111111111</v>
      </c>
      <c r="H880" t="s">
        <v>4449</v>
      </c>
      <c r="I880">
        <v>99999999</v>
      </c>
      <c r="J880" s="188">
        <v>45236</v>
      </c>
      <c r="K880" t="s">
        <v>4449</v>
      </c>
      <c r="L880" t="s">
        <v>4449</v>
      </c>
      <c r="M880" t="s">
        <v>173</v>
      </c>
      <c r="N880" t="s">
        <v>164</v>
      </c>
      <c r="O880" t="s">
        <v>1383</v>
      </c>
      <c r="P880" t="s">
        <v>221</v>
      </c>
      <c r="Q880" t="s">
        <v>82</v>
      </c>
      <c r="R880">
        <v>1</v>
      </c>
      <c r="S880">
        <v>9.0399999999999991</v>
      </c>
      <c r="T880">
        <v>0</v>
      </c>
      <c r="U880">
        <v>1</v>
      </c>
      <c r="V880">
        <v>1</v>
      </c>
      <c r="W880">
        <v>24.41</v>
      </c>
      <c r="X880">
        <v>0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1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</row>
    <row r="881" spans="1:37" x14ac:dyDescent="0.3">
      <c r="A881">
        <v>7979</v>
      </c>
      <c r="B881" t="s">
        <v>219</v>
      </c>
      <c r="D881" t="s">
        <v>327</v>
      </c>
      <c r="E881">
        <v>99999999</v>
      </c>
      <c r="F881">
        <v>11111111</v>
      </c>
      <c r="G881">
        <v>1111111111</v>
      </c>
      <c r="H881" t="s">
        <v>4450</v>
      </c>
      <c r="I881">
        <v>99999999</v>
      </c>
      <c r="J881" s="188">
        <v>45236</v>
      </c>
      <c r="K881" t="s">
        <v>4450</v>
      </c>
      <c r="L881" t="s">
        <v>4450</v>
      </c>
      <c r="M881" t="s">
        <v>155</v>
      </c>
      <c r="N881" t="s">
        <v>99</v>
      </c>
      <c r="O881">
        <v>92101</v>
      </c>
      <c r="P881" t="s">
        <v>221</v>
      </c>
      <c r="Q881" t="s">
        <v>82</v>
      </c>
      <c r="R881">
        <v>1</v>
      </c>
      <c r="S881">
        <v>5</v>
      </c>
      <c r="T881">
        <v>0</v>
      </c>
      <c r="U881">
        <v>1</v>
      </c>
      <c r="V881">
        <v>1</v>
      </c>
      <c r="W881">
        <v>23.09</v>
      </c>
      <c r="X881">
        <v>0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1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</row>
    <row r="882" spans="1:37" x14ac:dyDescent="0.3">
      <c r="A882">
        <v>7979</v>
      </c>
      <c r="B882" t="s">
        <v>219</v>
      </c>
      <c r="D882" t="s">
        <v>327</v>
      </c>
      <c r="E882">
        <v>99999999</v>
      </c>
      <c r="F882">
        <v>11111111</v>
      </c>
      <c r="G882">
        <v>1111111111</v>
      </c>
      <c r="H882" t="s">
        <v>4451</v>
      </c>
      <c r="I882">
        <v>99999999</v>
      </c>
      <c r="J882" s="188">
        <v>45236</v>
      </c>
      <c r="K882" t="s">
        <v>4451</v>
      </c>
      <c r="L882" t="s">
        <v>4451</v>
      </c>
      <c r="M882" t="s">
        <v>380</v>
      </c>
      <c r="N882" t="s">
        <v>381</v>
      </c>
      <c r="O882" t="s">
        <v>1384</v>
      </c>
      <c r="P882" t="s">
        <v>221</v>
      </c>
      <c r="Q882" t="s">
        <v>82</v>
      </c>
      <c r="R882">
        <v>1</v>
      </c>
      <c r="S882">
        <v>8</v>
      </c>
      <c r="T882">
        <v>0</v>
      </c>
      <c r="U882">
        <v>1</v>
      </c>
      <c r="V882">
        <v>1</v>
      </c>
      <c r="W882">
        <v>25.74</v>
      </c>
      <c r="X882">
        <v>0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1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</row>
    <row r="883" spans="1:37" x14ac:dyDescent="0.3">
      <c r="A883">
        <v>7979</v>
      </c>
      <c r="B883" t="s">
        <v>219</v>
      </c>
      <c r="D883" t="s">
        <v>327</v>
      </c>
      <c r="E883">
        <v>99999999</v>
      </c>
      <c r="F883">
        <v>11111111</v>
      </c>
      <c r="G883">
        <v>1111111111</v>
      </c>
      <c r="H883" t="s">
        <v>4452</v>
      </c>
      <c r="I883">
        <v>99999999</v>
      </c>
      <c r="J883" s="188">
        <v>45236</v>
      </c>
      <c r="K883" t="s">
        <v>4452</v>
      </c>
      <c r="L883" t="s">
        <v>4452</v>
      </c>
      <c r="M883" t="s">
        <v>1385</v>
      </c>
      <c r="N883" t="s">
        <v>402</v>
      </c>
      <c r="O883" t="s">
        <v>1386</v>
      </c>
      <c r="P883" t="s">
        <v>221</v>
      </c>
      <c r="Q883" t="s">
        <v>82</v>
      </c>
      <c r="R883">
        <v>1</v>
      </c>
      <c r="S883">
        <v>9</v>
      </c>
      <c r="T883">
        <v>0</v>
      </c>
      <c r="U883">
        <v>1</v>
      </c>
      <c r="V883">
        <v>1</v>
      </c>
      <c r="W883">
        <v>31.94</v>
      </c>
      <c r="X883">
        <v>0</v>
      </c>
      <c r="Y883">
        <v>0</v>
      </c>
      <c r="Z883">
        <v>0</v>
      </c>
      <c r="AA883">
        <v>0</v>
      </c>
      <c r="AB883">
        <v>0</v>
      </c>
      <c r="AC883">
        <v>0</v>
      </c>
      <c r="AD883">
        <v>1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</row>
    <row r="884" spans="1:37" x14ac:dyDescent="0.3">
      <c r="A884">
        <v>7979</v>
      </c>
      <c r="B884" t="s">
        <v>219</v>
      </c>
      <c r="D884" t="s">
        <v>327</v>
      </c>
      <c r="E884">
        <v>99999999</v>
      </c>
      <c r="F884">
        <v>11111111</v>
      </c>
      <c r="G884">
        <v>1111111111</v>
      </c>
      <c r="H884" t="s">
        <v>4453</v>
      </c>
      <c r="I884">
        <v>99999999</v>
      </c>
      <c r="J884" s="188">
        <v>45236</v>
      </c>
      <c r="K884" t="s">
        <v>4453</v>
      </c>
      <c r="L884" t="s">
        <v>4453</v>
      </c>
      <c r="M884" t="s">
        <v>1387</v>
      </c>
      <c r="N884" t="s">
        <v>99</v>
      </c>
      <c r="O884" t="s">
        <v>1388</v>
      </c>
      <c r="P884" t="s">
        <v>221</v>
      </c>
      <c r="Q884" t="s">
        <v>82</v>
      </c>
      <c r="R884">
        <v>1</v>
      </c>
      <c r="S884">
        <v>4.4000000000000004</v>
      </c>
      <c r="T884">
        <v>0</v>
      </c>
      <c r="U884">
        <v>1</v>
      </c>
      <c r="V884">
        <v>1</v>
      </c>
      <c r="W884">
        <v>21.44</v>
      </c>
      <c r="X884">
        <v>0</v>
      </c>
      <c r="Y884">
        <v>0</v>
      </c>
      <c r="Z884">
        <v>0</v>
      </c>
      <c r="AA884">
        <v>0</v>
      </c>
      <c r="AB884">
        <v>0</v>
      </c>
      <c r="AC884">
        <v>0</v>
      </c>
      <c r="AD884">
        <v>1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</row>
    <row r="885" spans="1:37" x14ac:dyDescent="0.3">
      <c r="A885">
        <v>7979</v>
      </c>
      <c r="B885" t="s">
        <v>219</v>
      </c>
      <c r="D885" t="s">
        <v>327</v>
      </c>
      <c r="E885">
        <v>99999999</v>
      </c>
      <c r="F885">
        <v>11111111</v>
      </c>
      <c r="G885">
        <v>1111111111</v>
      </c>
      <c r="H885" t="s">
        <v>4454</v>
      </c>
      <c r="I885">
        <v>99999999</v>
      </c>
      <c r="J885" s="188">
        <v>45236</v>
      </c>
      <c r="K885" t="s">
        <v>4454</v>
      </c>
      <c r="L885" t="s">
        <v>4454</v>
      </c>
      <c r="M885" t="s">
        <v>863</v>
      </c>
      <c r="N885" t="s">
        <v>381</v>
      </c>
      <c r="O885" t="s">
        <v>1389</v>
      </c>
      <c r="P885" t="s">
        <v>221</v>
      </c>
      <c r="Q885" t="s">
        <v>82</v>
      </c>
      <c r="R885">
        <v>1</v>
      </c>
      <c r="S885">
        <v>15</v>
      </c>
      <c r="T885">
        <v>0</v>
      </c>
      <c r="U885">
        <v>1</v>
      </c>
      <c r="V885">
        <v>1</v>
      </c>
      <c r="W885">
        <v>34.67</v>
      </c>
      <c r="X885">
        <v>0</v>
      </c>
      <c r="Y885">
        <v>0</v>
      </c>
      <c r="Z885">
        <v>0</v>
      </c>
      <c r="AA885">
        <v>0</v>
      </c>
      <c r="AB885">
        <v>0</v>
      </c>
      <c r="AC885">
        <v>0</v>
      </c>
      <c r="AD885">
        <v>1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</row>
    <row r="886" spans="1:37" x14ac:dyDescent="0.3">
      <c r="A886">
        <v>7979</v>
      </c>
      <c r="B886" t="s">
        <v>219</v>
      </c>
      <c r="D886" t="s">
        <v>327</v>
      </c>
      <c r="E886">
        <v>99999999</v>
      </c>
      <c r="F886">
        <v>11111111</v>
      </c>
      <c r="G886">
        <v>1111111111</v>
      </c>
      <c r="H886" t="s">
        <v>4455</v>
      </c>
      <c r="I886">
        <v>99999999</v>
      </c>
      <c r="J886" s="188">
        <v>45236</v>
      </c>
      <c r="K886" t="s">
        <v>4455</v>
      </c>
      <c r="L886" t="s">
        <v>4455</v>
      </c>
      <c r="M886" t="s">
        <v>1390</v>
      </c>
      <c r="N886" t="s">
        <v>141</v>
      </c>
      <c r="O886" t="s">
        <v>1391</v>
      </c>
      <c r="P886" t="s">
        <v>221</v>
      </c>
      <c r="Q886" t="s">
        <v>82</v>
      </c>
      <c r="R886">
        <v>1</v>
      </c>
      <c r="S886">
        <v>5</v>
      </c>
      <c r="T886">
        <v>0</v>
      </c>
      <c r="U886">
        <v>1</v>
      </c>
      <c r="V886">
        <v>1</v>
      </c>
      <c r="W886">
        <v>35.61</v>
      </c>
      <c r="X886">
        <v>0</v>
      </c>
      <c r="Y886">
        <v>0</v>
      </c>
      <c r="Z886">
        <v>0</v>
      </c>
      <c r="AA886">
        <v>0</v>
      </c>
      <c r="AB886">
        <v>0</v>
      </c>
      <c r="AC886">
        <v>0</v>
      </c>
      <c r="AD886">
        <v>1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</row>
    <row r="887" spans="1:37" x14ac:dyDescent="0.3">
      <c r="A887">
        <v>7979</v>
      </c>
      <c r="B887" t="s">
        <v>219</v>
      </c>
      <c r="D887" t="s">
        <v>327</v>
      </c>
      <c r="E887">
        <v>99999999</v>
      </c>
      <c r="F887">
        <v>11111111</v>
      </c>
      <c r="G887">
        <v>1111111111</v>
      </c>
      <c r="H887" t="s">
        <v>4456</v>
      </c>
      <c r="I887">
        <v>99999999</v>
      </c>
      <c r="J887" s="188">
        <v>45236</v>
      </c>
      <c r="K887" t="s">
        <v>4456</v>
      </c>
      <c r="L887" t="s">
        <v>4456</v>
      </c>
      <c r="M887" t="s">
        <v>1392</v>
      </c>
      <c r="N887" t="s">
        <v>99</v>
      </c>
      <c r="O887">
        <v>92860</v>
      </c>
      <c r="P887" t="s">
        <v>221</v>
      </c>
      <c r="Q887" t="s">
        <v>82</v>
      </c>
      <c r="R887">
        <v>1</v>
      </c>
      <c r="S887">
        <v>6</v>
      </c>
      <c r="T887">
        <v>0</v>
      </c>
      <c r="U887">
        <v>1</v>
      </c>
      <c r="V887">
        <v>1</v>
      </c>
      <c r="W887">
        <v>23.54</v>
      </c>
      <c r="X887">
        <v>0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1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</row>
    <row r="888" spans="1:37" x14ac:dyDescent="0.3">
      <c r="A888">
        <v>7979</v>
      </c>
      <c r="B888" t="s">
        <v>219</v>
      </c>
      <c r="D888" t="s">
        <v>327</v>
      </c>
      <c r="E888">
        <v>99999999</v>
      </c>
      <c r="F888">
        <v>11111111</v>
      </c>
      <c r="G888">
        <v>1111111111</v>
      </c>
      <c r="H888" t="s">
        <v>4457</v>
      </c>
      <c r="I888">
        <v>99999999</v>
      </c>
      <c r="J888" s="188">
        <v>45236</v>
      </c>
      <c r="K888" t="s">
        <v>4457</v>
      </c>
      <c r="L888" t="s">
        <v>4457</v>
      </c>
      <c r="M888" t="s">
        <v>392</v>
      </c>
      <c r="N888" t="s">
        <v>97</v>
      </c>
      <c r="O888" t="s">
        <v>1393</v>
      </c>
      <c r="P888" t="s">
        <v>221</v>
      </c>
      <c r="Q888" t="s">
        <v>82</v>
      </c>
      <c r="R888">
        <v>1</v>
      </c>
      <c r="S888">
        <v>9</v>
      </c>
      <c r="T888">
        <v>0</v>
      </c>
      <c r="U888">
        <v>1</v>
      </c>
      <c r="V888">
        <v>1</v>
      </c>
      <c r="W888">
        <v>24.41</v>
      </c>
      <c r="X888">
        <v>0</v>
      </c>
      <c r="Y888">
        <v>0</v>
      </c>
      <c r="Z888">
        <v>0</v>
      </c>
      <c r="AA888">
        <v>0</v>
      </c>
      <c r="AB888">
        <v>0</v>
      </c>
      <c r="AC888">
        <v>0</v>
      </c>
      <c r="AD888">
        <v>1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</row>
    <row r="889" spans="1:37" x14ac:dyDescent="0.3">
      <c r="A889">
        <v>7979</v>
      </c>
      <c r="B889" t="s">
        <v>219</v>
      </c>
      <c r="D889" t="s">
        <v>327</v>
      </c>
      <c r="E889">
        <v>99999999</v>
      </c>
      <c r="F889">
        <v>11111111</v>
      </c>
      <c r="G889">
        <v>1111111111</v>
      </c>
      <c r="H889" t="s">
        <v>4458</v>
      </c>
      <c r="I889">
        <v>99999999</v>
      </c>
      <c r="J889" s="188">
        <v>45236</v>
      </c>
      <c r="K889" t="s">
        <v>4458</v>
      </c>
      <c r="L889" t="s">
        <v>4458</v>
      </c>
      <c r="M889" t="s">
        <v>1394</v>
      </c>
      <c r="N889" t="s">
        <v>233</v>
      </c>
      <c r="O889" t="s">
        <v>1395</v>
      </c>
      <c r="P889" t="s">
        <v>221</v>
      </c>
      <c r="Q889" t="s">
        <v>82</v>
      </c>
      <c r="R889">
        <v>1</v>
      </c>
      <c r="S889">
        <v>4.4000000000000004</v>
      </c>
      <c r="T889">
        <v>0</v>
      </c>
      <c r="U889">
        <v>1</v>
      </c>
      <c r="V889">
        <v>1</v>
      </c>
      <c r="W889">
        <v>27.34</v>
      </c>
      <c r="X889">
        <v>0</v>
      </c>
      <c r="Y889">
        <v>0</v>
      </c>
      <c r="Z889">
        <v>0</v>
      </c>
      <c r="AA889">
        <v>0</v>
      </c>
      <c r="AB889">
        <v>0</v>
      </c>
      <c r="AC889">
        <v>0</v>
      </c>
      <c r="AD889">
        <v>1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</row>
    <row r="890" spans="1:37" x14ac:dyDescent="0.3">
      <c r="A890">
        <v>7979</v>
      </c>
      <c r="B890" t="s">
        <v>219</v>
      </c>
      <c r="D890" t="s">
        <v>327</v>
      </c>
      <c r="E890">
        <v>99999999</v>
      </c>
      <c r="F890">
        <v>11111111</v>
      </c>
      <c r="G890">
        <v>1111111111</v>
      </c>
      <c r="H890" t="s">
        <v>4459</v>
      </c>
      <c r="I890">
        <v>99999999</v>
      </c>
      <c r="J890" s="188">
        <v>45236</v>
      </c>
      <c r="K890" t="s">
        <v>4459</v>
      </c>
      <c r="L890" t="s">
        <v>4459</v>
      </c>
      <c r="M890" t="s">
        <v>1396</v>
      </c>
      <c r="N890" t="s">
        <v>99</v>
      </c>
      <c r="O890">
        <v>92037</v>
      </c>
      <c r="P890" t="s">
        <v>221</v>
      </c>
      <c r="Q890" t="s">
        <v>82</v>
      </c>
      <c r="R890">
        <v>1</v>
      </c>
      <c r="S890">
        <v>2.02</v>
      </c>
      <c r="T890">
        <v>0</v>
      </c>
      <c r="U890">
        <v>1</v>
      </c>
      <c r="V890">
        <v>1</v>
      </c>
      <c r="W890">
        <v>21.88</v>
      </c>
      <c r="X890">
        <v>0</v>
      </c>
      <c r="Y890">
        <v>0</v>
      </c>
      <c r="Z890">
        <v>0</v>
      </c>
      <c r="AA890">
        <v>0</v>
      </c>
      <c r="AB890">
        <v>0</v>
      </c>
      <c r="AC890">
        <v>0</v>
      </c>
      <c r="AD890">
        <v>1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</row>
    <row r="891" spans="1:37" x14ac:dyDescent="0.3">
      <c r="A891">
        <v>7979</v>
      </c>
      <c r="B891" t="s">
        <v>219</v>
      </c>
      <c r="D891" t="s">
        <v>327</v>
      </c>
      <c r="E891">
        <v>99999999</v>
      </c>
      <c r="F891">
        <v>11111111</v>
      </c>
      <c r="G891">
        <v>1111111111</v>
      </c>
      <c r="H891" t="s">
        <v>4460</v>
      </c>
      <c r="I891">
        <v>99999999</v>
      </c>
      <c r="J891" s="188">
        <v>45236</v>
      </c>
      <c r="K891" t="s">
        <v>4460</v>
      </c>
      <c r="L891" t="s">
        <v>4460</v>
      </c>
      <c r="M891" t="s">
        <v>727</v>
      </c>
      <c r="N891" t="s">
        <v>99</v>
      </c>
      <c r="O891" t="s">
        <v>1397</v>
      </c>
      <c r="P891" t="s">
        <v>221</v>
      </c>
      <c r="Q891" t="s">
        <v>82</v>
      </c>
      <c r="R891">
        <v>2</v>
      </c>
      <c r="S891">
        <v>16</v>
      </c>
      <c r="T891">
        <v>0</v>
      </c>
      <c r="U891">
        <v>1</v>
      </c>
      <c r="V891">
        <v>1</v>
      </c>
      <c r="W891">
        <v>30.01</v>
      </c>
      <c r="X891">
        <v>0</v>
      </c>
      <c r="Y891">
        <v>0</v>
      </c>
      <c r="Z891">
        <v>0</v>
      </c>
      <c r="AA891">
        <v>0</v>
      </c>
      <c r="AB891">
        <v>0</v>
      </c>
      <c r="AC891">
        <v>0</v>
      </c>
      <c r="AD891">
        <v>2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</row>
    <row r="892" spans="1:37" x14ac:dyDescent="0.3">
      <c r="A892">
        <v>7979</v>
      </c>
      <c r="B892" t="s">
        <v>219</v>
      </c>
      <c r="D892" t="s">
        <v>327</v>
      </c>
      <c r="E892">
        <v>99999999</v>
      </c>
      <c r="F892">
        <v>11111111</v>
      </c>
      <c r="G892">
        <v>1111111111</v>
      </c>
      <c r="H892" t="s">
        <v>4461</v>
      </c>
      <c r="I892">
        <v>99999999</v>
      </c>
      <c r="J892" s="188">
        <v>45236</v>
      </c>
      <c r="K892" t="s">
        <v>4461</v>
      </c>
      <c r="L892" t="s">
        <v>4461</v>
      </c>
      <c r="M892" t="s">
        <v>1028</v>
      </c>
      <c r="N892" t="s">
        <v>97</v>
      </c>
      <c r="O892" t="s">
        <v>1398</v>
      </c>
      <c r="P892" t="s">
        <v>221</v>
      </c>
      <c r="Q892" t="s">
        <v>82</v>
      </c>
      <c r="R892">
        <v>1</v>
      </c>
      <c r="S892">
        <v>8.58</v>
      </c>
      <c r="T892">
        <v>0</v>
      </c>
      <c r="U892">
        <v>1</v>
      </c>
      <c r="V892">
        <v>1</v>
      </c>
      <c r="W892">
        <v>24.41</v>
      </c>
      <c r="X892">
        <v>0</v>
      </c>
      <c r="Y892">
        <v>0</v>
      </c>
      <c r="Z892">
        <v>0</v>
      </c>
      <c r="AA892">
        <v>0</v>
      </c>
      <c r="AB892">
        <v>0</v>
      </c>
      <c r="AC892">
        <v>0</v>
      </c>
      <c r="AD892">
        <v>1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</row>
    <row r="893" spans="1:37" x14ac:dyDescent="0.3">
      <c r="A893">
        <v>7979</v>
      </c>
      <c r="B893" t="s">
        <v>219</v>
      </c>
      <c r="D893" t="s">
        <v>327</v>
      </c>
      <c r="E893">
        <v>99999999</v>
      </c>
      <c r="F893">
        <v>11111111</v>
      </c>
      <c r="G893">
        <v>1111111111</v>
      </c>
      <c r="H893" t="s">
        <v>4462</v>
      </c>
      <c r="I893">
        <v>99999999</v>
      </c>
      <c r="J893" s="188">
        <v>45236</v>
      </c>
      <c r="K893" t="s">
        <v>4462</v>
      </c>
      <c r="L893" t="s">
        <v>4462</v>
      </c>
      <c r="M893" t="s">
        <v>187</v>
      </c>
      <c r="N893" t="s">
        <v>91</v>
      </c>
      <c r="O893" t="s">
        <v>1399</v>
      </c>
      <c r="P893" t="s">
        <v>221</v>
      </c>
      <c r="Q893" t="s">
        <v>82</v>
      </c>
      <c r="R893">
        <v>2</v>
      </c>
      <c r="S893">
        <v>15.7</v>
      </c>
      <c r="T893">
        <v>0</v>
      </c>
      <c r="U893">
        <v>1</v>
      </c>
      <c r="V893">
        <v>2</v>
      </c>
      <c r="W893">
        <v>29.18</v>
      </c>
      <c r="X893">
        <v>0</v>
      </c>
      <c r="Y893">
        <v>0</v>
      </c>
      <c r="Z893">
        <v>0</v>
      </c>
      <c r="AA893">
        <v>0</v>
      </c>
      <c r="AB893">
        <v>0</v>
      </c>
      <c r="AC893">
        <v>0</v>
      </c>
      <c r="AD893">
        <v>2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</row>
    <row r="894" spans="1:37" x14ac:dyDescent="0.3">
      <c r="A894">
        <v>7979</v>
      </c>
      <c r="B894" t="s">
        <v>219</v>
      </c>
      <c r="D894" t="s">
        <v>327</v>
      </c>
      <c r="E894">
        <v>99999999</v>
      </c>
      <c r="F894">
        <v>11111111</v>
      </c>
      <c r="G894">
        <v>1111111111</v>
      </c>
      <c r="H894" t="s">
        <v>4463</v>
      </c>
      <c r="I894">
        <v>99999999</v>
      </c>
      <c r="J894" s="188">
        <v>45236</v>
      </c>
      <c r="K894" t="s">
        <v>4463</v>
      </c>
      <c r="L894" t="s">
        <v>4463</v>
      </c>
      <c r="M894" t="s">
        <v>1400</v>
      </c>
      <c r="N894" t="s">
        <v>91</v>
      </c>
      <c r="O894" t="s">
        <v>1401</v>
      </c>
      <c r="P894" t="s">
        <v>221</v>
      </c>
      <c r="Q894" t="s">
        <v>82</v>
      </c>
      <c r="R894">
        <v>1</v>
      </c>
      <c r="S894">
        <v>3.5</v>
      </c>
      <c r="T894">
        <v>0</v>
      </c>
      <c r="U894">
        <v>1</v>
      </c>
      <c r="V894">
        <v>1</v>
      </c>
      <c r="W894">
        <v>28.64</v>
      </c>
      <c r="X894">
        <v>0</v>
      </c>
      <c r="Y894">
        <v>0</v>
      </c>
      <c r="Z894">
        <v>0</v>
      </c>
      <c r="AA894">
        <v>0</v>
      </c>
      <c r="AB894">
        <v>0</v>
      </c>
      <c r="AC894">
        <v>0</v>
      </c>
      <c r="AD894">
        <v>1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</row>
    <row r="895" spans="1:37" x14ac:dyDescent="0.3">
      <c r="A895">
        <v>7979</v>
      </c>
      <c r="B895" t="s">
        <v>219</v>
      </c>
      <c r="D895" t="s">
        <v>327</v>
      </c>
      <c r="E895">
        <v>99999999</v>
      </c>
      <c r="F895">
        <v>11111111</v>
      </c>
      <c r="G895">
        <v>1111111111</v>
      </c>
      <c r="H895" t="s">
        <v>4464</v>
      </c>
      <c r="I895">
        <v>99999999</v>
      </c>
      <c r="J895" s="188">
        <v>45236</v>
      </c>
      <c r="K895" t="s">
        <v>4464</v>
      </c>
      <c r="L895" t="s">
        <v>4464</v>
      </c>
      <c r="M895" t="s">
        <v>497</v>
      </c>
      <c r="N895" t="s">
        <v>97</v>
      </c>
      <c r="O895">
        <v>98247</v>
      </c>
      <c r="P895" t="s">
        <v>221</v>
      </c>
      <c r="Q895" t="s">
        <v>82</v>
      </c>
      <c r="R895">
        <v>4</v>
      </c>
      <c r="S895">
        <v>10.6</v>
      </c>
      <c r="T895">
        <v>0</v>
      </c>
      <c r="U895">
        <v>1</v>
      </c>
      <c r="V895">
        <v>1</v>
      </c>
      <c r="W895">
        <v>30.95</v>
      </c>
      <c r="X895">
        <v>0</v>
      </c>
      <c r="Y895">
        <v>0</v>
      </c>
      <c r="Z895">
        <v>0</v>
      </c>
      <c r="AA895">
        <v>0</v>
      </c>
      <c r="AB895">
        <v>0</v>
      </c>
      <c r="AC895">
        <v>0</v>
      </c>
      <c r="AD895">
        <v>4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</row>
    <row r="896" spans="1:37" x14ac:dyDescent="0.3">
      <c r="A896">
        <v>7979</v>
      </c>
      <c r="B896" t="s">
        <v>219</v>
      </c>
      <c r="D896" t="s">
        <v>327</v>
      </c>
      <c r="E896">
        <v>99999999</v>
      </c>
      <c r="F896">
        <v>11111111</v>
      </c>
      <c r="G896">
        <v>1111111111</v>
      </c>
      <c r="H896" t="s">
        <v>4465</v>
      </c>
      <c r="I896">
        <v>99999999</v>
      </c>
      <c r="J896" s="188">
        <v>45236</v>
      </c>
      <c r="K896" t="s">
        <v>4465</v>
      </c>
      <c r="L896" t="s">
        <v>4465</v>
      </c>
      <c r="M896" t="s">
        <v>176</v>
      </c>
      <c r="N896" t="s">
        <v>130</v>
      </c>
      <c r="O896" t="s">
        <v>1402</v>
      </c>
      <c r="P896" t="s">
        <v>221</v>
      </c>
      <c r="Q896" t="s">
        <v>82</v>
      </c>
      <c r="R896">
        <v>1</v>
      </c>
      <c r="S896">
        <v>1.1100000000000001</v>
      </c>
      <c r="T896">
        <v>0</v>
      </c>
      <c r="U896">
        <v>1</v>
      </c>
      <c r="V896">
        <v>1</v>
      </c>
      <c r="W896">
        <v>21.54</v>
      </c>
      <c r="X896">
        <v>0</v>
      </c>
      <c r="Y896">
        <v>0</v>
      </c>
      <c r="Z896">
        <v>0</v>
      </c>
      <c r="AA896">
        <v>0</v>
      </c>
      <c r="AB896">
        <v>0</v>
      </c>
      <c r="AC896">
        <v>0</v>
      </c>
      <c r="AD896">
        <v>1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</row>
    <row r="897" spans="1:37" x14ac:dyDescent="0.3">
      <c r="A897">
        <v>7979</v>
      </c>
      <c r="B897" t="s">
        <v>219</v>
      </c>
      <c r="D897" t="s">
        <v>327</v>
      </c>
      <c r="E897">
        <v>99999999</v>
      </c>
      <c r="F897">
        <v>11111111</v>
      </c>
      <c r="G897">
        <v>1111111111</v>
      </c>
      <c r="H897" t="s">
        <v>4466</v>
      </c>
      <c r="I897">
        <v>99999999</v>
      </c>
      <c r="J897" s="188">
        <v>45236</v>
      </c>
      <c r="K897" t="s">
        <v>4466</v>
      </c>
      <c r="L897" t="s">
        <v>4466</v>
      </c>
      <c r="M897" t="s">
        <v>1403</v>
      </c>
      <c r="N897" t="s">
        <v>197</v>
      </c>
      <c r="O897" t="s">
        <v>1404</v>
      </c>
      <c r="P897" t="s">
        <v>221</v>
      </c>
      <c r="Q897" t="s">
        <v>82</v>
      </c>
      <c r="R897">
        <v>1</v>
      </c>
      <c r="S897">
        <v>3.5</v>
      </c>
      <c r="T897">
        <v>0</v>
      </c>
      <c r="U897">
        <v>1</v>
      </c>
      <c r="V897">
        <v>1</v>
      </c>
      <c r="W897">
        <v>30.19</v>
      </c>
      <c r="X897">
        <v>0</v>
      </c>
      <c r="Y897">
        <v>0</v>
      </c>
      <c r="Z897">
        <v>0</v>
      </c>
      <c r="AA897">
        <v>0</v>
      </c>
      <c r="AB897">
        <v>0</v>
      </c>
      <c r="AC897">
        <v>0</v>
      </c>
      <c r="AD897">
        <v>1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</row>
    <row r="898" spans="1:37" x14ac:dyDescent="0.3">
      <c r="A898">
        <v>7979</v>
      </c>
      <c r="B898" t="s">
        <v>219</v>
      </c>
      <c r="D898" t="s">
        <v>327</v>
      </c>
      <c r="E898">
        <v>99999999</v>
      </c>
      <c r="F898">
        <v>11111111</v>
      </c>
      <c r="G898">
        <v>1111111111</v>
      </c>
      <c r="H898" t="s">
        <v>4467</v>
      </c>
      <c r="I898">
        <v>99999999</v>
      </c>
      <c r="J898" s="188">
        <v>45236</v>
      </c>
      <c r="K898" t="s">
        <v>4467</v>
      </c>
      <c r="L898" t="s">
        <v>4467</v>
      </c>
      <c r="M898" t="s">
        <v>258</v>
      </c>
      <c r="N898" t="s">
        <v>91</v>
      </c>
      <c r="O898">
        <v>85718</v>
      </c>
      <c r="P898" t="s">
        <v>221</v>
      </c>
      <c r="Q898" t="s">
        <v>82</v>
      </c>
      <c r="R898">
        <v>2</v>
      </c>
      <c r="S898">
        <v>4</v>
      </c>
      <c r="T898">
        <v>0</v>
      </c>
      <c r="U898">
        <v>1</v>
      </c>
      <c r="V898">
        <v>1</v>
      </c>
      <c r="W898">
        <v>24.37</v>
      </c>
      <c r="X898">
        <v>0</v>
      </c>
      <c r="Y898">
        <v>0</v>
      </c>
      <c r="Z898">
        <v>0</v>
      </c>
      <c r="AA898">
        <v>0</v>
      </c>
      <c r="AB898">
        <v>0</v>
      </c>
      <c r="AC898">
        <v>0</v>
      </c>
      <c r="AD898">
        <v>2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</row>
    <row r="899" spans="1:37" x14ac:dyDescent="0.3">
      <c r="A899">
        <v>7979</v>
      </c>
      <c r="B899" t="s">
        <v>219</v>
      </c>
      <c r="D899" t="s">
        <v>327</v>
      </c>
      <c r="E899">
        <v>99999999</v>
      </c>
      <c r="F899">
        <v>11111111</v>
      </c>
      <c r="G899">
        <v>1111111111</v>
      </c>
      <c r="H899" t="s">
        <v>4468</v>
      </c>
      <c r="I899">
        <v>99999999</v>
      </c>
      <c r="J899" s="188">
        <v>45236</v>
      </c>
      <c r="K899" t="s">
        <v>4468</v>
      </c>
      <c r="L899" t="s">
        <v>4468</v>
      </c>
      <c r="M899" t="s">
        <v>824</v>
      </c>
      <c r="N899" t="s">
        <v>164</v>
      </c>
      <c r="O899" t="s">
        <v>825</v>
      </c>
      <c r="P899" t="s">
        <v>221</v>
      </c>
      <c r="Q899" t="s">
        <v>82</v>
      </c>
      <c r="R899">
        <v>1</v>
      </c>
      <c r="S899">
        <v>8.8000000000000007</v>
      </c>
      <c r="T899">
        <v>0</v>
      </c>
      <c r="U899">
        <v>1</v>
      </c>
      <c r="V899">
        <v>1</v>
      </c>
      <c r="W899">
        <v>32.659999999999997</v>
      </c>
      <c r="X899">
        <v>0</v>
      </c>
      <c r="Y899">
        <v>0</v>
      </c>
      <c r="Z899">
        <v>0</v>
      </c>
      <c r="AA899">
        <v>0</v>
      </c>
      <c r="AB899">
        <v>0</v>
      </c>
      <c r="AC899">
        <v>0</v>
      </c>
      <c r="AD899">
        <v>1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</row>
    <row r="900" spans="1:37" x14ac:dyDescent="0.3">
      <c r="A900">
        <v>7979</v>
      </c>
      <c r="B900" t="s">
        <v>219</v>
      </c>
      <c r="D900" t="s">
        <v>327</v>
      </c>
      <c r="E900">
        <v>99999999</v>
      </c>
      <c r="F900">
        <v>11111111</v>
      </c>
      <c r="G900">
        <v>1111111111</v>
      </c>
      <c r="H900" t="s">
        <v>4469</v>
      </c>
      <c r="I900">
        <v>99999999</v>
      </c>
      <c r="J900" s="188">
        <v>45236</v>
      </c>
      <c r="K900" t="s">
        <v>4469</v>
      </c>
      <c r="L900" t="s">
        <v>4469</v>
      </c>
      <c r="M900" t="s">
        <v>879</v>
      </c>
      <c r="N900" t="s">
        <v>164</v>
      </c>
      <c r="O900" t="s">
        <v>1405</v>
      </c>
      <c r="P900" t="s">
        <v>221</v>
      </c>
      <c r="Q900" t="s">
        <v>82</v>
      </c>
      <c r="R900">
        <v>1</v>
      </c>
      <c r="S900">
        <v>10</v>
      </c>
      <c r="T900">
        <v>0</v>
      </c>
      <c r="U900">
        <v>1</v>
      </c>
      <c r="V900">
        <v>1</v>
      </c>
      <c r="W900">
        <v>24.65</v>
      </c>
      <c r="X900">
        <v>0</v>
      </c>
      <c r="Y900">
        <v>0</v>
      </c>
      <c r="Z900">
        <v>0</v>
      </c>
      <c r="AA900">
        <v>0</v>
      </c>
      <c r="AB900">
        <v>0</v>
      </c>
      <c r="AC900">
        <v>0</v>
      </c>
      <c r="AD900">
        <v>1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</row>
    <row r="901" spans="1:37" x14ac:dyDescent="0.3">
      <c r="A901">
        <v>7979</v>
      </c>
      <c r="B901" t="s">
        <v>219</v>
      </c>
      <c r="D901" t="s">
        <v>327</v>
      </c>
      <c r="E901">
        <v>99999999</v>
      </c>
      <c r="F901">
        <v>11111111</v>
      </c>
      <c r="G901">
        <v>1111111111</v>
      </c>
      <c r="H901" t="s">
        <v>4470</v>
      </c>
      <c r="I901">
        <v>99999999</v>
      </c>
      <c r="J901" s="188">
        <v>45236</v>
      </c>
      <c r="K901" t="s">
        <v>4470</v>
      </c>
      <c r="L901" t="s">
        <v>4470</v>
      </c>
      <c r="M901" t="s">
        <v>1406</v>
      </c>
      <c r="N901" t="s">
        <v>197</v>
      </c>
      <c r="O901" t="s">
        <v>1407</v>
      </c>
      <c r="P901" t="s">
        <v>221</v>
      </c>
      <c r="Q901" t="s">
        <v>82</v>
      </c>
      <c r="R901">
        <v>1</v>
      </c>
      <c r="S901">
        <v>15</v>
      </c>
      <c r="T901">
        <v>0</v>
      </c>
      <c r="U901">
        <v>1</v>
      </c>
      <c r="V901">
        <v>1</v>
      </c>
      <c r="W901">
        <v>38.5</v>
      </c>
      <c r="X901">
        <v>0</v>
      </c>
      <c r="Y901">
        <v>0</v>
      </c>
      <c r="Z901">
        <v>0</v>
      </c>
      <c r="AA901">
        <v>0</v>
      </c>
      <c r="AB901">
        <v>0</v>
      </c>
      <c r="AC901">
        <v>0</v>
      </c>
      <c r="AD901">
        <v>1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</row>
    <row r="902" spans="1:37" x14ac:dyDescent="0.3">
      <c r="A902">
        <v>7979</v>
      </c>
      <c r="B902" t="s">
        <v>219</v>
      </c>
      <c r="D902" t="s">
        <v>327</v>
      </c>
      <c r="E902">
        <v>99999999</v>
      </c>
      <c r="F902">
        <v>11111111</v>
      </c>
      <c r="G902">
        <v>1111111111</v>
      </c>
      <c r="H902" t="s">
        <v>4471</v>
      </c>
      <c r="I902">
        <v>99999999</v>
      </c>
      <c r="J902" s="188">
        <v>45236</v>
      </c>
      <c r="K902" t="s">
        <v>4471</v>
      </c>
      <c r="L902" t="s">
        <v>4471</v>
      </c>
      <c r="M902" t="s">
        <v>1286</v>
      </c>
      <c r="N902" t="s">
        <v>183</v>
      </c>
      <c r="O902">
        <v>46074</v>
      </c>
      <c r="P902" t="s">
        <v>221</v>
      </c>
      <c r="Q902" t="s">
        <v>82</v>
      </c>
      <c r="R902">
        <v>1</v>
      </c>
      <c r="S902">
        <v>9.0399999999999991</v>
      </c>
      <c r="T902">
        <v>0</v>
      </c>
      <c r="U902">
        <v>1</v>
      </c>
      <c r="V902">
        <v>1</v>
      </c>
      <c r="W902">
        <v>29.48</v>
      </c>
      <c r="X902">
        <v>0</v>
      </c>
      <c r="Y902">
        <v>0</v>
      </c>
      <c r="Z902">
        <v>0</v>
      </c>
      <c r="AA902">
        <v>0</v>
      </c>
      <c r="AB902">
        <v>0</v>
      </c>
      <c r="AC902">
        <v>0</v>
      </c>
      <c r="AD902">
        <v>1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</row>
    <row r="903" spans="1:37" x14ac:dyDescent="0.3">
      <c r="A903">
        <v>7979</v>
      </c>
      <c r="B903" t="s">
        <v>219</v>
      </c>
      <c r="D903" t="s">
        <v>327</v>
      </c>
      <c r="E903">
        <v>99999999</v>
      </c>
      <c r="F903">
        <v>11111111</v>
      </c>
      <c r="G903">
        <v>1111111111</v>
      </c>
      <c r="H903" t="s">
        <v>4472</v>
      </c>
      <c r="I903">
        <v>99999999</v>
      </c>
      <c r="J903" s="188">
        <v>45236</v>
      </c>
      <c r="K903" t="s">
        <v>4472</v>
      </c>
      <c r="L903" t="s">
        <v>4472</v>
      </c>
      <c r="M903" t="s">
        <v>1408</v>
      </c>
      <c r="N903" t="s">
        <v>99</v>
      </c>
      <c r="O903">
        <v>94553</v>
      </c>
      <c r="P903" t="s">
        <v>221</v>
      </c>
      <c r="Q903" t="s">
        <v>82</v>
      </c>
      <c r="R903">
        <v>1</v>
      </c>
      <c r="S903">
        <v>8.0500000000000007</v>
      </c>
      <c r="T903">
        <v>0</v>
      </c>
      <c r="U903">
        <v>1</v>
      </c>
      <c r="V903">
        <v>1</v>
      </c>
      <c r="W903">
        <v>22.65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1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</row>
    <row r="904" spans="1:37" x14ac:dyDescent="0.3">
      <c r="A904">
        <v>7979</v>
      </c>
      <c r="B904" t="s">
        <v>219</v>
      </c>
      <c r="D904" t="s">
        <v>327</v>
      </c>
      <c r="E904">
        <v>99999999</v>
      </c>
      <c r="F904">
        <v>11111111</v>
      </c>
      <c r="G904">
        <v>1111111111</v>
      </c>
      <c r="H904" t="s">
        <v>4473</v>
      </c>
      <c r="I904">
        <v>99999999</v>
      </c>
      <c r="J904" s="188">
        <v>45236</v>
      </c>
      <c r="K904" t="s">
        <v>4473</v>
      </c>
      <c r="L904" t="s">
        <v>4473</v>
      </c>
      <c r="M904" t="s">
        <v>560</v>
      </c>
      <c r="N904" t="s">
        <v>99</v>
      </c>
      <c r="O904">
        <v>95946</v>
      </c>
      <c r="P904" t="s">
        <v>221</v>
      </c>
      <c r="Q904" t="s">
        <v>82</v>
      </c>
      <c r="R904">
        <v>2</v>
      </c>
      <c r="S904">
        <v>30.5</v>
      </c>
      <c r="T904">
        <v>0</v>
      </c>
      <c r="U904">
        <v>1</v>
      </c>
      <c r="V904">
        <v>2</v>
      </c>
      <c r="W904">
        <v>35.5</v>
      </c>
      <c r="X904">
        <v>0</v>
      </c>
      <c r="Y904">
        <v>0</v>
      </c>
      <c r="Z904">
        <v>0</v>
      </c>
      <c r="AA904">
        <v>0</v>
      </c>
      <c r="AB904">
        <v>0</v>
      </c>
      <c r="AC904">
        <v>0</v>
      </c>
      <c r="AD904">
        <v>2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</row>
    <row r="905" spans="1:37" x14ac:dyDescent="0.3">
      <c r="A905">
        <v>7979</v>
      </c>
      <c r="B905" t="s">
        <v>219</v>
      </c>
      <c r="D905" t="s">
        <v>327</v>
      </c>
      <c r="E905">
        <v>99999999</v>
      </c>
      <c r="F905">
        <v>11111111</v>
      </c>
      <c r="G905">
        <v>1111111111</v>
      </c>
      <c r="H905" t="s">
        <v>4474</v>
      </c>
      <c r="I905">
        <v>99999999</v>
      </c>
      <c r="J905" s="188">
        <v>45236</v>
      </c>
      <c r="K905" t="s">
        <v>4474</v>
      </c>
      <c r="L905" t="s">
        <v>4474</v>
      </c>
      <c r="M905" t="s">
        <v>1409</v>
      </c>
      <c r="N905" t="s">
        <v>91</v>
      </c>
      <c r="O905" t="s">
        <v>1410</v>
      </c>
      <c r="P905" t="s">
        <v>221</v>
      </c>
      <c r="Q905" t="s">
        <v>82</v>
      </c>
      <c r="R905">
        <v>1</v>
      </c>
      <c r="S905">
        <v>4.5</v>
      </c>
      <c r="T905">
        <v>0</v>
      </c>
      <c r="U905">
        <v>1</v>
      </c>
      <c r="V905">
        <v>1</v>
      </c>
      <c r="W905">
        <v>29.05</v>
      </c>
      <c r="X905">
        <v>0</v>
      </c>
      <c r="Y905">
        <v>0</v>
      </c>
      <c r="Z905">
        <v>0</v>
      </c>
      <c r="AA905">
        <v>0</v>
      </c>
      <c r="AB905">
        <v>0</v>
      </c>
      <c r="AC905">
        <v>0</v>
      </c>
      <c r="AD905">
        <v>1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</row>
    <row r="906" spans="1:37" x14ac:dyDescent="0.3">
      <c r="A906">
        <v>7979</v>
      </c>
      <c r="B906" t="s">
        <v>219</v>
      </c>
      <c r="D906" t="s">
        <v>327</v>
      </c>
      <c r="E906">
        <v>99999999</v>
      </c>
      <c r="F906">
        <v>11111111</v>
      </c>
      <c r="G906">
        <v>1111111111</v>
      </c>
      <c r="H906" t="s">
        <v>4475</v>
      </c>
      <c r="I906">
        <v>99999999</v>
      </c>
      <c r="J906" s="188">
        <v>45236</v>
      </c>
      <c r="K906" t="s">
        <v>4475</v>
      </c>
      <c r="L906" t="s">
        <v>4475</v>
      </c>
      <c r="M906" t="s">
        <v>358</v>
      </c>
      <c r="N906" t="s">
        <v>197</v>
      </c>
      <c r="O906" t="s">
        <v>1411</v>
      </c>
      <c r="P906" t="s">
        <v>221</v>
      </c>
      <c r="Q906" t="s">
        <v>82</v>
      </c>
      <c r="R906">
        <v>1</v>
      </c>
      <c r="S906">
        <v>10</v>
      </c>
      <c r="T906">
        <v>0</v>
      </c>
      <c r="U906">
        <v>1</v>
      </c>
      <c r="V906">
        <v>1</v>
      </c>
      <c r="W906">
        <v>27.44</v>
      </c>
      <c r="X906">
        <v>0</v>
      </c>
      <c r="Y906">
        <v>0</v>
      </c>
      <c r="Z906">
        <v>0</v>
      </c>
      <c r="AA906">
        <v>0</v>
      </c>
      <c r="AB906">
        <v>0</v>
      </c>
      <c r="AC906">
        <v>0</v>
      </c>
      <c r="AD906">
        <v>1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</row>
    <row r="907" spans="1:37" x14ac:dyDescent="0.3">
      <c r="A907">
        <v>7979</v>
      </c>
      <c r="B907" t="s">
        <v>219</v>
      </c>
      <c r="D907" t="s">
        <v>327</v>
      </c>
      <c r="E907">
        <v>99999999</v>
      </c>
      <c r="F907">
        <v>11111111</v>
      </c>
      <c r="G907">
        <v>1111111111</v>
      </c>
      <c r="H907" t="s">
        <v>4476</v>
      </c>
      <c r="I907">
        <v>99999999</v>
      </c>
      <c r="J907" s="188">
        <v>45236</v>
      </c>
      <c r="K907" t="s">
        <v>4476</v>
      </c>
      <c r="L907" t="s">
        <v>4476</v>
      </c>
      <c r="M907" t="s">
        <v>246</v>
      </c>
      <c r="N907" t="s">
        <v>99</v>
      </c>
      <c r="O907" t="s">
        <v>1412</v>
      </c>
      <c r="P907" t="s">
        <v>221</v>
      </c>
      <c r="Q907" t="s">
        <v>82</v>
      </c>
      <c r="R907">
        <v>1</v>
      </c>
      <c r="S907">
        <v>3.5</v>
      </c>
      <c r="T907">
        <v>0</v>
      </c>
      <c r="U907">
        <v>1</v>
      </c>
      <c r="V907">
        <v>1</v>
      </c>
      <c r="W907">
        <v>20.77</v>
      </c>
      <c r="X907">
        <v>0</v>
      </c>
      <c r="Y907">
        <v>0</v>
      </c>
      <c r="Z907">
        <v>0</v>
      </c>
      <c r="AA907">
        <v>0</v>
      </c>
      <c r="AB907">
        <v>0</v>
      </c>
      <c r="AC907">
        <v>0</v>
      </c>
      <c r="AD907">
        <v>1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</row>
    <row r="908" spans="1:37" x14ac:dyDescent="0.3">
      <c r="A908">
        <v>7979</v>
      </c>
      <c r="B908" t="s">
        <v>219</v>
      </c>
      <c r="D908" t="s">
        <v>327</v>
      </c>
      <c r="E908">
        <v>99999999</v>
      </c>
      <c r="F908">
        <v>11111111</v>
      </c>
      <c r="G908">
        <v>1111111111</v>
      </c>
      <c r="H908" t="s">
        <v>4477</v>
      </c>
      <c r="I908">
        <v>99999999</v>
      </c>
      <c r="J908" s="188">
        <v>45236</v>
      </c>
      <c r="K908" t="s">
        <v>4477</v>
      </c>
      <c r="L908" t="s">
        <v>4477</v>
      </c>
      <c r="M908" t="s">
        <v>1406</v>
      </c>
      <c r="N908" t="s">
        <v>197</v>
      </c>
      <c r="O908" t="s">
        <v>1407</v>
      </c>
      <c r="P908" t="s">
        <v>221</v>
      </c>
      <c r="Q908" t="s">
        <v>82</v>
      </c>
      <c r="R908">
        <v>1</v>
      </c>
      <c r="S908">
        <v>12.5</v>
      </c>
      <c r="T908">
        <v>0</v>
      </c>
      <c r="U908">
        <v>1</v>
      </c>
      <c r="V908">
        <v>1</v>
      </c>
      <c r="W908">
        <v>35.01</v>
      </c>
      <c r="X908">
        <v>0</v>
      </c>
      <c r="Y908">
        <v>0</v>
      </c>
      <c r="Z908">
        <v>0</v>
      </c>
      <c r="AA908">
        <v>0</v>
      </c>
      <c r="AB908">
        <v>0</v>
      </c>
      <c r="AC908">
        <v>0</v>
      </c>
      <c r="AD908">
        <v>1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</row>
    <row r="909" spans="1:37" x14ac:dyDescent="0.3">
      <c r="A909">
        <v>7979</v>
      </c>
      <c r="B909" t="s">
        <v>219</v>
      </c>
      <c r="D909" t="s">
        <v>327</v>
      </c>
      <c r="E909">
        <v>99999999</v>
      </c>
      <c r="F909">
        <v>11111111</v>
      </c>
      <c r="G909">
        <v>1111111111</v>
      </c>
      <c r="H909" t="s">
        <v>4478</v>
      </c>
      <c r="I909">
        <v>99999999</v>
      </c>
      <c r="J909" s="188">
        <v>45236</v>
      </c>
      <c r="K909" t="s">
        <v>4478</v>
      </c>
      <c r="L909" t="s">
        <v>4478</v>
      </c>
      <c r="M909" t="s">
        <v>341</v>
      </c>
      <c r="N909" t="s">
        <v>130</v>
      </c>
      <c r="O909" t="s">
        <v>1413</v>
      </c>
      <c r="P909" t="s">
        <v>221</v>
      </c>
      <c r="Q909" t="s">
        <v>82</v>
      </c>
      <c r="R909">
        <v>1</v>
      </c>
      <c r="S909">
        <v>4.5</v>
      </c>
      <c r="T909">
        <v>0</v>
      </c>
      <c r="U909">
        <v>1</v>
      </c>
      <c r="V909">
        <v>1</v>
      </c>
      <c r="W909">
        <v>24.37</v>
      </c>
      <c r="X909">
        <v>0</v>
      </c>
      <c r="Y909">
        <v>0</v>
      </c>
      <c r="Z909">
        <v>0</v>
      </c>
      <c r="AA909">
        <v>0</v>
      </c>
      <c r="AB909">
        <v>0</v>
      </c>
      <c r="AC909">
        <v>0</v>
      </c>
      <c r="AD909">
        <v>1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</row>
    <row r="910" spans="1:37" x14ac:dyDescent="0.3">
      <c r="A910">
        <v>7979</v>
      </c>
      <c r="B910" t="s">
        <v>219</v>
      </c>
      <c r="D910" t="s">
        <v>327</v>
      </c>
      <c r="E910">
        <v>99999999</v>
      </c>
      <c r="F910">
        <v>11111111</v>
      </c>
      <c r="G910">
        <v>1111111111</v>
      </c>
      <c r="H910" t="s">
        <v>4479</v>
      </c>
      <c r="I910">
        <v>99999999</v>
      </c>
      <c r="J910" s="188">
        <v>45236</v>
      </c>
      <c r="K910" t="s">
        <v>4479</v>
      </c>
      <c r="L910" t="s">
        <v>4479</v>
      </c>
      <c r="M910" t="s">
        <v>1414</v>
      </c>
      <c r="N910" t="s">
        <v>164</v>
      </c>
      <c r="O910" t="s">
        <v>1415</v>
      </c>
      <c r="P910" t="s">
        <v>221</v>
      </c>
      <c r="Q910" t="s">
        <v>82</v>
      </c>
      <c r="R910">
        <v>1</v>
      </c>
      <c r="S910">
        <v>7.41</v>
      </c>
      <c r="T910">
        <v>0</v>
      </c>
      <c r="U910">
        <v>1</v>
      </c>
      <c r="V910">
        <v>1</v>
      </c>
      <c r="W910">
        <v>30.27</v>
      </c>
      <c r="X910">
        <v>0</v>
      </c>
      <c r="Y910">
        <v>0</v>
      </c>
      <c r="Z910">
        <v>0</v>
      </c>
      <c r="AA910">
        <v>0</v>
      </c>
      <c r="AB910">
        <v>0</v>
      </c>
      <c r="AC910">
        <v>0</v>
      </c>
      <c r="AD910">
        <v>1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</row>
    <row r="911" spans="1:37" x14ac:dyDescent="0.3">
      <c r="A911">
        <v>7979</v>
      </c>
      <c r="B911" t="s">
        <v>219</v>
      </c>
      <c r="D911" t="s">
        <v>327</v>
      </c>
      <c r="E911">
        <v>99999999</v>
      </c>
      <c r="F911">
        <v>11111111</v>
      </c>
      <c r="G911">
        <v>1111111111</v>
      </c>
      <c r="H911" t="s">
        <v>4480</v>
      </c>
      <c r="I911">
        <v>99999999</v>
      </c>
      <c r="J911" s="188">
        <v>45236</v>
      </c>
      <c r="K911" t="s">
        <v>4480</v>
      </c>
      <c r="L911" t="s">
        <v>4480</v>
      </c>
      <c r="M911" t="s">
        <v>1416</v>
      </c>
      <c r="N911" t="s">
        <v>197</v>
      </c>
      <c r="O911" t="s">
        <v>1417</v>
      </c>
      <c r="P911" t="s">
        <v>221</v>
      </c>
      <c r="Q911" t="s">
        <v>82</v>
      </c>
      <c r="R911">
        <v>4</v>
      </c>
      <c r="S911">
        <v>16</v>
      </c>
      <c r="T911">
        <v>0</v>
      </c>
      <c r="U911">
        <v>1</v>
      </c>
      <c r="V911">
        <v>1</v>
      </c>
      <c r="W911">
        <v>40.01</v>
      </c>
      <c r="X911">
        <v>0</v>
      </c>
      <c r="Y911">
        <v>0</v>
      </c>
      <c r="Z911">
        <v>0</v>
      </c>
      <c r="AA911">
        <v>0</v>
      </c>
      <c r="AB911">
        <v>0</v>
      </c>
      <c r="AC911">
        <v>0</v>
      </c>
      <c r="AD911">
        <v>4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</row>
    <row r="912" spans="1:37" x14ac:dyDescent="0.3">
      <c r="A912">
        <v>7979</v>
      </c>
      <c r="B912" t="s">
        <v>219</v>
      </c>
      <c r="D912" t="s">
        <v>327</v>
      </c>
      <c r="E912">
        <v>99999999</v>
      </c>
      <c r="F912">
        <v>11111111</v>
      </c>
      <c r="G912">
        <v>1111111111</v>
      </c>
      <c r="H912" t="s">
        <v>4481</v>
      </c>
      <c r="I912">
        <v>99999999</v>
      </c>
      <c r="J912" s="188">
        <v>45236</v>
      </c>
      <c r="K912" t="s">
        <v>4481</v>
      </c>
      <c r="L912" t="s">
        <v>4481</v>
      </c>
      <c r="M912" t="s">
        <v>1418</v>
      </c>
      <c r="N912" t="s">
        <v>97</v>
      </c>
      <c r="O912" t="s">
        <v>1419</v>
      </c>
      <c r="P912" t="s">
        <v>221</v>
      </c>
      <c r="Q912" t="s">
        <v>82</v>
      </c>
      <c r="R912">
        <v>1</v>
      </c>
      <c r="S912">
        <v>8.14</v>
      </c>
      <c r="T912">
        <v>0</v>
      </c>
      <c r="U912">
        <v>1</v>
      </c>
      <c r="V912">
        <v>1</v>
      </c>
      <c r="W912">
        <v>32.479999999999997</v>
      </c>
      <c r="X912">
        <v>0</v>
      </c>
      <c r="Y912">
        <v>0</v>
      </c>
      <c r="Z912">
        <v>0</v>
      </c>
      <c r="AA912">
        <v>0</v>
      </c>
      <c r="AB912">
        <v>0</v>
      </c>
      <c r="AC912">
        <v>0</v>
      </c>
      <c r="AD912">
        <v>1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</row>
    <row r="913" spans="1:37" x14ac:dyDescent="0.3">
      <c r="A913">
        <v>7979</v>
      </c>
      <c r="B913" t="s">
        <v>219</v>
      </c>
      <c r="D913" t="s">
        <v>327</v>
      </c>
      <c r="E913">
        <v>99999999</v>
      </c>
      <c r="F913">
        <v>11111111</v>
      </c>
      <c r="G913">
        <v>1111111111</v>
      </c>
      <c r="H913" t="s">
        <v>4482</v>
      </c>
      <c r="I913">
        <v>99999999</v>
      </c>
      <c r="J913" s="188">
        <v>45236</v>
      </c>
      <c r="K913" t="s">
        <v>4482</v>
      </c>
      <c r="L913" t="s">
        <v>4482</v>
      </c>
      <c r="M913" t="s">
        <v>1420</v>
      </c>
      <c r="N913" t="s">
        <v>99</v>
      </c>
      <c r="O913" t="s">
        <v>1421</v>
      </c>
      <c r="P913" t="s">
        <v>221</v>
      </c>
      <c r="Q913" t="s">
        <v>82</v>
      </c>
      <c r="R913">
        <v>1</v>
      </c>
      <c r="S913">
        <v>2.5</v>
      </c>
      <c r="T913">
        <v>0</v>
      </c>
      <c r="U913">
        <v>1</v>
      </c>
      <c r="V913">
        <v>1</v>
      </c>
      <c r="W913">
        <v>21.88</v>
      </c>
      <c r="X913">
        <v>0</v>
      </c>
      <c r="Y913">
        <v>0</v>
      </c>
      <c r="Z913">
        <v>0</v>
      </c>
      <c r="AA913">
        <v>0</v>
      </c>
      <c r="AB913">
        <v>0</v>
      </c>
      <c r="AC913">
        <v>0</v>
      </c>
      <c r="AD913">
        <v>1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</row>
    <row r="914" spans="1:37" x14ac:dyDescent="0.3">
      <c r="A914">
        <v>7979</v>
      </c>
      <c r="B914" t="s">
        <v>219</v>
      </c>
      <c r="D914" t="s">
        <v>327</v>
      </c>
      <c r="E914">
        <v>99999999</v>
      </c>
      <c r="F914">
        <v>11111111</v>
      </c>
      <c r="G914">
        <v>1111111111</v>
      </c>
      <c r="H914" t="s">
        <v>4483</v>
      </c>
      <c r="I914">
        <v>99999999</v>
      </c>
      <c r="J914" s="188">
        <v>45236</v>
      </c>
      <c r="K914" t="s">
        <v>4483</v>
      </c>
      <c r="L914" t="s">
        <v>4483</v>
      </c>
      <c r="M914" t="s">
        <v>1422</v>
      </c>
      <c r="N914" t="s">
        <v>118</v>
      </c>
      <c r="O914" t="s">
        <v>1423</v>
      </c>
      <c r="P914" t="s">
        <v>221</v>
      </c>
      <c r="Q914" t="s">
        <v>82</v>
      </c>
      <c r="R914">
        <v>1</v>
      </c>
      <c r="S914">
        <v>3.26</v>
      </c>
      <c r="T914">
        <v>0</v>
      </c>
      <c r="U914">
        <v>1</v>
      </c>
      <c r="V914">
        <v>1</v>
      </c>
      <c r="W914">
        <v>34.409999999999997</v>
      </c>
      <c r="X914">
        <v>0</v>
      </c>
      <c r="Y914">
        <v>0</v>
      </c>
      <c r="Z914">
        <v>0</v>
      </c>
      <c r="AA914">
        <v>0</v>
      </c>
      <c r="AB914">
        <v>0</v>
      </c>
      <c r="AC914">
        <v>0</v>
      </c>
      <c r="AD914">
        <v>1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</row>
    <row r="915" spans="1:37" x14ac:dyDescent="0.3">
      <c r="A915">
        <v>7979</v>
      </c>
      <c r="B915" t="s">
        <v>219</v>
      </c>
      <c r="D915" t="s">
        <v>327</v>
      </c>
      <c r="E915">
        <v>99999999</v>
      </c>
      <c r="F915">
        <v>11111111</v>
      </c>
      <c r="G915">
        <v>1111111111</v>
      </c>
      <c r="H915" t="s">
        <v>4484</v>
      </c>
      <c r="I915">
        <v>99999999</v>
      </c>
      <c r="J915" s="188">
        <v>45236</v>
      </c>
      <c r="K915" t="s">
        <v>4484</v>
      </c>
      <c r="L915" t="s">
        <v>4484</v>
      </c>
      <c r="M915" t="s">
        <v>1424</v>
      </c>
      <c r="N915" t="s">
        <v>551</v>
      </c>
      <c r="O915" t="s">
        <v>1425</v>
      </c>
      <c r="P915" t="s">
        <v>221</v>
      </c>
      <c r="Q915" t="s">
        <v>82</v>
      </c>
      <c r="R915">
        <v>1</v>
      </c>
      <c r="S915">
        <v>2.5</v>
      </c>
      <c r="T915">
        <v>0</v>
      </c>
      <c r="U915">
        <v>1</v>
      </c>
      <c r="V915">
        <v>1</v>
      </c>
      <c r="W915">
        <v>30.93</v>
      </c>
      <c r="X915">
        <v>0</v>
      </c>
      <c r="Y915">
        <v>0</v>
      </c>
      <c r="Z915">
        <v>0</v>
      </c>
      <c r="AA915">
        <v>0</v>
      </c>
      <c r="AB915">
        <v>0</v>
      </c>
      <c r="AC915">
        <v>0</v>
      </c>
      <c r="AD915">
        <v>1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</row>
    <row r="916" spans="1:37" x14ac:dyDescent="0.3">
      <c r="A916">
        <v>7979</v>
      </c>
      <c r="B916" t="s">
        <v>219</v>
      </c>
      <c r="D916" t="s">
        <v>327</v>
      </c>
      <c r="E916">
        <v>99999999</v>
      </c>
      <c r="F916">
        <v>11111111</v>
      </c>
      <c r="G916">
        <v>1111111111</v>
      </c>
      <c r="H916" t="s">
        <v>4485</v>
      </c>
      <c r="I916">
        <v>99999999</v>
      </c>
      <c r="J916" s="188">
        <v>45236</v>
      </c>
      <c r="K916" t="s">
        <v>4485</v>
      </c>
      <c r="L916" t="s">
        <v>4485</v>
      </c>
      <c r="M916" t="s">
        <v>1426</v>
      </c>
      <c r="N916" t="s">
        <v>197</v>
      </c>
      <c r="O916" t="s">
        <v>1427</v>
      </c>
      <c r="P916" t="s">
        <v>221</v>
      </c>
      <c r="Q916" t="s">
        <v>82</v>
      </c>
      <c r="R916">
        <v>3</v>
      </c>
      <c r="S916">
        <v>22.6</v>
      </c>
      <c r="T916">
        <v>0</v>
      </c>
      <c r="U916">
        <v>1</v>
      </c>
      <c r="V916">
        <v>3</v>
      </c>
      <c r="W916">
        <v>42.03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3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</row>
    <row r="917" spans="1:37" x14ac:dyDescent="0.3">
      <c r="A917">
        <v>7979</v>
      </c>
      <c r="B917" t="s">
        <v>219</v>
      </c>
      <c r="D917" t="s">
        <v>327</v>
      </c>
      <c r="E917">
        <v>99999999</v>
      </c>
      <c r="F917">
        <v>11111111</v>
      </c>
      <c r="G917">
        <v>1111111111</v>
      </c>
      <c r="H917" t="s">
        <v>4486</v>
      </c>
      <c r="I917">
        <v>99999999</v>
      </c>
      <c r="J917" s="188">
        <v>45236</v>
      </c>
      <c r="K917" t="s">
        <v>4486</v>
      </c>
      <c r="L917" t="s">
        <v>4486</v>
      </c>
      <c r="M917" t="s">
        <v>754</v>
      </c>
      <c r="N917" t="s">
        <v>130</v>
      </c>
      <c r="O917" t="s">
        <v>1428</v>
      </c>
      <c r="P917" t="s">
        <v>221</v>
      </c>
      <c r="Q917" t="s">
        <v>82</v>
      </c>
      <c r="R917">
        <v>1</v>
      </c>
      <c r="S917">
        <v>10.5</v>
      </c>
      <c r="T917">
        <v>0</v>
      </c>
      <c r="U917">
        <v>1</v>
      </c>
      <c r="V917">
        <v>1</v>
      </c>
      <c r="W917">
        <v>26.28</v>
      </c>
      <c r="X917">
        <v>0</v>
      </c>
      <c r="Y917">
        <v>0</v>
      </c>
      <c r="Z917">
        <v>0</v>
      </c>
      <c r="AA917">
        <v>0</v>
      </c>
      <c r="AB917">
        <v>0</v>
      </c>
      <c r="AC917">
        <v>0</v>
      </c>
      <c r="AD917">
        <v>1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</row>
    <row r="918" spans="1:37" x14ac:dyDescent="0.3">
      <c r="A918">
        <v>7979</v>
      </c>
      <c r="B918" t="s">
        <v>219</v>
      </c>
      <c r="D918" t="s">
        <v>327</v>
      </c>
      <c r="E918">
        <v>99999999</v>
      </c>
      <c r="F918">
        <v>11111111</v>
      </c>
      <c r="G918">
        <v>1111111111</v>
      </c>
      <c r="H918" t="s">
        <v>4487</v>
      </c>
      <c r="I918">
        <v>99999999</v>
      </c>
      <c r="J918" s="188">
        <v>45236</v>
      </c>
      <c r="K918" t="s">
        <v>4487</v>
      </c>
      <c r="L918" t="s">
        <v>4487</v>
      </c>
      <c r="M918" t="s">
        <v>369</v>
      </c>
      <c r="N918" t="s">
        <v>99</v>
      </c>
      <c r="O918" t="s">
        <v>1429</v>
      </c>
      <c r="P918" t="s">
        <v>221</v>
      </c>
      <c r="Q918" t="s">
        <v>82</v>
      </c>
      <c r="R918">
        <v>1</v>
      </c>
      <c r="S918">
        <v>12.5</v>
      </c>
      <c r="T918">
        <v>0</v>
      </c>
      <c r="U918">
        <v>1</v>
      </c>
      <c r="V918">
        <v>1</v>
      </c>
      <c r="W918">
        <v>25.05</v>
      </c>
      <c r="X918">
        <v>0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1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</row>
    <row r="919" spans="1:37" x14ac:dyDescent="0.3">
      <c r="A919">
        <v>7979</v>
      </c>
      <c r="B919" t="s">
        <v>219</v>
      </c>
      <c r="D919" t="s">
        <v>327</v>
      </c>
      <c r="E919">
        <v>99999999</v>
      </c>
      <c r="F919">
        <v>11111111</v>
      </c>
      <c r="G919">
        <v>1111111111</v>
      </c>
      <c r="H919" t="s">
        <v>4488</v>
      </c>
      <c r="I919">
        <v>99999999</v>
      </c>
      <c r="J919" s="188">
        <v>45236</v>
      </c>
      <c r="K919" t="s">
        <v>4488</v>
      </c>
      <c r="L919" t="s">
        <v>4488</v>
      </c>
      <c r="M919" t="s">
        <v>1430</v>
      </c>
      <c r="N919" t="s">
        <v>99</v>
      </c>
      <c r="O919">
        <v>92371</v>
      </c>
      <c r="P919" t="s">
        <v>221</v>
      </c>
      <c r="Q919" t="s">
        <v>82</v>
      </c>
      <c r="R919">
        <v>1</v>
      </c>
      <c r="S919">
        <v>5</v>
      </c>
      <c r="T919">
        <v>0</v>
      </c>
      <c r="U919">
        <v>1</v>
      </c>
      <c r="V919">
        <v>1</v>
      </c>
      <c r="W919">
        <v>31.35</v>
      </c>
      <c r="X919">
        <v>0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1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</row>
    <row r="920" spans="1:37" x14ac:dyDescent="0.3">
      <c r="A920">
        <v>7979</v>
      </c>
      <c r="B920" t="s">
        <v>219</v>
      </c>
      <c r="D920" t="s">
        <v>327</v>
      </c>
      <c r="E920">
        <v>99999999</v>
      </c>
      <c r="F920">
        <v>11111111</v>
      </c>
      <c r="G920">
        <v>1111111111</v>
      </c>
      <c r="H920" t="s">
        <v>4489</v>
      </c>
      <c r="I920">
        <v>99999999</v>
      </c>
      <c r="J920" s="188">
        <v>45236</v>
      </c>
      <c r="K920" t="s">
        <v>4489</v>
      </c>
      <c r="L920" t="s">
        <v>4489</v>
      </c>
      <c r="M920" t="s">
        <v>1431</v>
      </c>
      <c r="N920" t="s">
        <v>125</v>
      </c>
      <c r="O920">
        <v>48130</v>
      </c>
      <c r="P920" t="s">
        <v>221</v>
      </c>
      <c r="Q920" t="s">
        <v>82</v>
      </c>
      <c r="R920">
        <v>1</v>
      </c>
      <c r="S920">
        <v>4.2</v>
      </c>
      <c r="T920">
        <v>0</v>
      </c>
      <c r="U920">
        <v>1</v>
      </c>
      <c r="V920">
        <v>1</v>
      </c>
      <c r="W920">
        <v>33.46</v>
      </c>
      <c r="X920">
        <v>0</v>
      </c>
      <c r="Y920">
        <v>0</v>
      </c>
      <c r="Z920">
        <v>0</v>
      </c>
      <c r="AA920">
        <v>0</v>
      </c>
      <c r="AB920">
        <v>0</v>
      </c>
      <c r="AC920">
        <v>0</v>
      </c>
      <c r="AD920">
        <v>1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</row>
    <row r="921" spans="1:37" x14ac:dyDescent="0.3">
      <c r="A921">
        <v>7979</v>
      </c>
      <c r="B921" t="s">
        <v>219</v>
      </c>
      <c r="D921" t="s">
        <v>327</v>
      </c>
      <c r="E921">
        <v>99999999</v>
      </c>
      <c r="F921">
        <v>11111111</v>
      </c>
      <c r="G921">
        <v>1111111111</v>
      </c>
      <c r="H921" t="s">
        <v>4490</v>
      </c>
      <c r="I921">
        <v>99999999</v>
      </c>
      <c r="J921" s="188">
        <v>45236</v>
      </c>
      <c r="K921" t="s">
        <v>4490</v>
      </c>
      <c r="L921" t="s">
        <v>4490</v>
      </c>
      <c r="M921" t="s">
        <v>1432</v>
      </c>
      <c r="N921" t="s">
        <v>144</v>
      </c>
      <c r="O921" t="s">
        <v>1433</v>
      </c>
      <c r="P921" t="s">
        <v>221</v>
      </c>
      <c r="Q921" t="s">
        <v>82</v>
      </c>
      <c r="R921">
        <v>1</v>
      </c>
      <c r="S921">
        <v>8</v>
      </c>
      <c r="T921">
        <v>0</v>
      </c>
      <c r="U921">
        <v>1</v>
      </c>
      <c r="V921">
        <v>1</v>
      </c>
      <c r="W921">
        <v>28.41</v>
      </c>
      <c r="X921">
        <v>0</v>
      </c>
      <c r="Y921">
        <v>0</v>
      </c>
      <c r="Z921">
        <v>0</v>
      </c>
      <c r="AA921">
        <v>0</v>
      </c>
      <c r="AB921">
        <v>0</v>
      </c>
      <c r="AC921">
        <v>0</v>
      </c>
      <c r="AD921">
        <v>1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</row>
    <row r="922" spans="1:37" x14ac:dyDescent="0.3">
      <c r="A922">
        <v>7979</v>
      </c>
      <c r="B922" t="s">
        <v>219</v>
      </c>
      <c r="D922" t="s">
        <v>327</v>
      </c>
      <c r="E922">
        <v>99999999</v>
      </c>
      <c r="F922">
        <v>11111111</v>
      </c>
      <c r="G922">
        <v>1111111111</v>
      </c>
      <c r="H922" t="s">
        <v>4491</v>
      </c>
      <c r="I922">
        <v>99999999</v>
      </c>
      <c r="J922" s="188">
        <v>45236</v>
      </c>
      <c r="K922" t="s">
        <v>4491</v>
      </c>
      <c r="L922" t="s">
        <v>4491</v>
      </c>
      <c r="M922" t="s">
        <v>463</v>
      </c>
      <c r="N922" t="s">
        <v>104</v>
      </c>
      <c r="O922" t="s">
        <v>1434</v>
      </c>
      <c r="P922" t="s">
        <v>221</v>
      </c>
      <c r="Q922" t="s">
        <v>82</v>
      </c>
      <c r="R922">
        <v>2</v>
      </c>
      <c r="S922">
        <v>21.2</v>
      </c>
      <c r="T922">
        <v>0</v>
      </c>
      <c r="U922">
        <v>1</v>
      </c>
      <c r="V922">
        <v>1</v>
      </c>
      <c r="W922">
        <v>29.18</v>
      </c>
      <c r="X922">
        <v>0</v>
      </c>
      <c r="Y922">
        <v>0</v>
      </c>
      <c r="Z922">
        <v>0</v>
      </c>
      <c r="AA922">
        <v>0</v>
      </c>
      <c r="AB922">
        <v>0</v>
      </c>
      <c r="AC922">
        <v>0</v>
      </c>
      <c r="AD922">
        <v>2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</row>
    <row r="923" spans="1:37" x14ac:dyDescent="0.3">
      <c r="A923">
        <v>7979</v>
      </c>
      <c r="B923" t="s">
        <v>219</v>
      </c>
      <c r="D923" t="s">
        <v>327</v>
      </c>
      <c r="E923">
        <v>99999999</v>
      </c>
      <c r="F923">
        <v>11111111</v>
      </c>
      <c r="G923">
        <v>1111111111</v>
      </c>
      <c r="H923" t="s">
        <v>4492</v>
      </c>
      <c r="I923">
        <v>99999999</v>
      </c>
      <c r="J923" s="188">
        <v>45236</v>
      </c>
      <c r="K923" t="s">
        <v>4492</v>
      </c>
      <c r="L923" t="s">
        <v>4492</v>
      </c>
      <c r="M923" t="s">
        <v>1435</v>
      </c>
      <c r="N923" t="s">
        <v>197</v>
      </c>
      <c r="O923" t="s">
        <v>1436</v>
      </c>
      <c r="P923" t="s">
        <v>221</v>
      </c>
      <c r="Q923" t="s">
        <v>82</v>
      </c>
      <c r="R923">
        <v>2</v>
      </c>
      <c r="S923">
        <v>21.2</v>
      </c>
      <c r="T923">
        <v>0</v>
      </c>
      <c r="U923">
        <v>1</v>
      </c>
      <c r="V923">
        <v>1</v>
      </c>
      <c r="W923">
        <v>54.3</v>
      </c>
      <c r="X923">
        <v>0</v>
      </c>
      <c r="Y923">
        <v>0</v>
      </c>
      <c r="Z923">
        <v>0</v>
      </c>
      <c r="AA923">
        <v>0</v>
      </c>
      <c r="AB923">
        <v>0</v>
      </c>
      <c r="AC923">
        <v>0</v>
      </c>
      <c r="AD923">
        <v>2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</row>
    <row r="924" spans="1:37" x14ac:dyDescent="0.3">
      <c r="A924">
        <v>7979</v>
      </c>
      <c r="B924" t="s">
        <v>219</v>
      </c>
      <c r="D924" t="s">
        <v>327</v>
      </c>
      <c r="E924">
        <v>99999999</v>
      </c>
      <c r="F924">
        <v>11111111</v>
      </c>
      <c r="G924">
        <v>1111111111</v>
      </c>
      <c r="H924" t="s">
        <v>4493</v>
      </c>
      <c r="I924">
        <v>99999999</v>
      </c>
      <c r="J924" s="188">
        <v>45236</v>
      </c>
      <c r="K924" t="s">
        <v>4493</v>
      </c>
      <c r="L924" t="s">
        <v>4493</v>
      </c>
      <c r="M924" t="s">
        <v>716</v>
      </c>
      <c r="N924" t="s">
        <v>97</v>
      </c>
      <c r="O924">
        <v>98014</v>
      </c>
      <c r="P924" t="s">
        <v>221</v>
      </c>
      <c r="Q924" t="s">
        <v>82</v>
      </c>
      <c r="R924">
        <v>1</v>
      </c>
      <c r="S924">
        <v>10</v>
      </c>
      <c r="T924">
        <v>0</v>
      </c>
      <c r="U924">
        <v>1</v>
      </c>
      <c r="V924">
        <v>1</v>
      </c>
      <c r="W924">
        <v>32.909999999999997</v>
      </c>
      <c r="X924">
        <v>0</v>
      </c>
      <c r="Y924">
        <v>0</v>
      </c>
      <c r="Z924">
        <v>0</v>
      </c>
      <c r="AA924">
        <v>0</v>
      </c>
      <c r="AB924">
        <v>0</v>
      </c>
      <c r="AC924">
        <v>0</v>
      </c>
      <c r="AD924">
        <v>1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</row>
    <row r="925" spans="1:37" x14ac:dyDescent="0.3">
      <c r="A925">
        <v>7979</v>
      </c>
      <c r="B925" t="s">
        <v>219</v>
      </c>
      <c r="D925" t="s">
        <v>327</v>
      </c>
      <c r="E925">
        <v>99999999</v>
      </c>
      <c r="F925">
        <v>11111111</v>
      </c>
      <c r="G925">
        <v>1111111111</v>
      </c>
      <c r="H925" t="s">
        <v>4494</v>
      </c>
      <c r="I925">
        <v>99999999</v>
      </c>
      <c r="J925" s="188">
        <v>45236</v>
      </c>
      <c r="K925" t="s">
        <v>4494</v>
      </c>
      <c r="L925" t="s">
        <v>4494</v>
      </c>
      <c r="M925" t="s">
        <v>1437</v>
      </c>
      <c r="N925" t="s">
        <v>99</v>
      </c>
      <c r="O925" t="s">
        <v>1438</v>
      </c>
      <c r="P925" t="s">
        <v>221</v>
      </c>
      <c r="Q925" t="s">
        <v>82</v>
      </c>
      <c r="R925">
        <v>1</v>
      </c>
      <c r="S925">
        <v>5.2</v>
      </c>
      <c r="T925">
        <v>0</v>
      </c>
      <c r="U925">
        <v>1</v>
      </c>
      <c r="V925">
        <v>1</v>
      </c>
      <c r="W925">
        <v>31.35</v>
      </c>
      <c r="X925">
        <v>0</v>
      </c>
      <c r="Y925">
        <v>0</v>
      </c>
      <c r="Z925">
        <v>0</v>
      </c>
      <c r="AA925">
        <v>0</v>
      </c>
      <c r="AB925">
        <v>0</v>
      </c>
      <c r="AC925">
        <v>0</v>
      </c>
      <c r="AD925">
        <v>1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</row>
    <row r="926" spans="1:37" x14ac:dyDescent="0.3">
      <c r="A926">
        <v>7979</v>
      </c>
      <c r="B926" t="s">
        <v>219</v>
      </c>
      <c r="D926" t="s">
        <v>327</v>
      </c>
      <c r="E926">
        <v>99999999</v>
      </c>
      <c r="F926">
        <v>11111111</v>
      </c>
      <c r="G926">
        <v>1111111111</v>
      </c>
      <c r="H926" t="s">
        <v>4495</v>
      </c>
      <c r="I926">
        <v>99999999</v>
      </c>
      <c r="J926" s="188">
        <v>45236</v>
      </c>
      <c r="K926" t="s">
        <v>4495</v>
      </c>
      <c r="L926" t="s">
        <v>4495</v>
      </c>
      <c r="M926" t="s">
        <v>1439</v>
      </c>
      <c r="N926" t="s">
        <v>135</v>
      </c>
      <c r="O926" t="s">
        <v>1440</v>
      </c>
      <c r="P926" t="s">
        <v>221</v>
      </c>
      <c r="Q926" t="s">
        <v>82</v>
      </c>
      <c r="R926">
        <v>1</v>
      </c>
      <c r="S926">
        <v>15.12</v>
      </c>
      <c r="T926">
        <v>0</v>
      </c>
      <c r="U926">
        <v>1</v>
      </c>
      <c r="V926">
        <v>1</v>
      </c>
      <c r="W926">
        <v>25.86</v>
      </c>
      <c r="X926">
        <v>0</v>
      </c>
      <c r="Y926">
        <v>0</v>
      </c>
      <c r="Z926">
        <v>0</v>
      </c>
      <c r="AA926">
        <v>0</v>
      </c>
      <c r="AB926">
        <v>0</v>
      </c>
      <c r="AC926">
        <v>0</v>
      </c>
      <c r="AD926">
        <v>1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</row>
    <row r="927" spans="1:37" x14ac:dyDescent="0.3">
      <c r="A927">
        <v>7979</v>
      </c>
      <c r="B927" t="s">
        <v>219</v>
      </c>
      <c r="D927" t="s">
        <v>327</v>
      </c>
      <c r="E927">
        <v>99999999</v>
      </c>
      <c r="F927">
        <v>11111111</v>
      </c>
      <c r="G927">
        <v>1111111111</v>
      </c>
      <c r="H927" t="s">
        <v>4496</v>
      </c>
      <c r="I927">
        <v>99999999</v>
      </c>
      <c r="J927" s="188">
        <v>45236</v>
      </c>
      <c r="K927" t="s">
        <v>4496</v>
      </c>
      <c r="L927" t="s">
        <v>4496</v>
      </c>
      <c r="M927" t="s">
        <v>726</v>
      </c>
      <c r="N927" t="s">
        <v>97</v>
      </c>
      <c r="O927" t="s">
        <v>1441</v>
      </c>
      <c r="P927" t="s">
        <v>221</v>
      </c>
      <c r="Q927" t="s">
        <v>82</v>
      </c>
      <c r="R927">
        <v>2</v>
      </c>
      <c r="S927">
        <v>31.5</v>
      </c>
      <c r="T927">
        <v>0</v>
      </c>
      <c r="U927">
        <v>1</v>
      </c>
      <c r="V927">
        <v>1</v>
      </c>
      <c r="W927">
        <v>41.89</v>
      </c>
      <c r="X927">
        <v>0</v>
      </c>
      <c r="Y927">
        <v>0</v>
      </c>
      <c r="Z927">
        <v>0</v>
      </c>
      <c r="AA927">
        <v>0</v>
      </c>
      <c r="AB927">
        <v>0</v>
      </c>
      <c r="AC927">
        <v>0</v>
      </c>
      <c r="AD927">
        <v>2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</row>
    <row r="928" spans="1:37" x14ac:dyDescent="0.3">
      <c r="A928">
        <v>7979</v>
      </c>
      <c r="B928" t="s">
        <v>219</v>
      </c>
      <c r="D928" t="s">
        <v>327</v>
      </c>
      <c r="E928">
        <v>99999999</v>
      </c>
      <c r="F928">
        <v>11111111</v>
      </c>
      <c r="G928">
        <v>1111111111</v>
      </c>
      <c r="H928" t="s">
        <v>4497</v>
      </c>
      <c r="I928">
        <v>99999999</v>
      </c>
      <c r="J928" s="188">
        <v>45236</v>
      </c>
      <c r="K928" t="s">
        <v>4497</v>
      </c>
      <c r="L928" t="s">
        <v>4497</v>
      </c>
      <c r="M928" t="s">
        <v>463</v>
      </c>
      <c r="N928" t="s">
        <v>104</v>
      </c>
      <c r="O928" t="s">
        <v>1442</v>
      </c>
      <c r="P928" t="s">
        <v>221</v>
      </c>
      <c r="Q928" t="s">
        <v>82</v>
      </c>
      <c r="R928">
        <v>1</v>
      </c>
      <c r="S928">
        <v>1.5</v>
      </c>
      <c r="T928">
        <v>0</v>
      </c>
      <c r="U928">
        <v>1</v>
      </c>
      <c r="V928">
        <v>1</v>
      </c>
      <c r="W928">
        <v>21.21</v>
      </c>
      <c r="X928">
        <v>0</v>
      </c>
      <c r="Y928">
        <v>0</v>
      </c>
      <c r="Z928">
        <v>0</v>
      </c>
      <c r="AA928">
        <v>0</v>
      </c>
      <c r="AB928">
        <v>0</v>
      </c>
      <c r="AC928">
        <v>0</v>
      </c>
      <c r="AD928">
        <v>1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</row>
    <row r="929" spans="1:37" x14ac:dyDescent="0.3">
      <c r="A929">
        <v>7979</v>
      </c>
      <c r="B929" t="s">
        <v>219</v>
      </c>
      <c r="D929" t="s">
        <v>327</v>
      </c>
      <c r="E929">
        <v>99999999</v>
      </c>
      <c r="F929">
        <v>11111111</v>
      </c>
      <c r="G929">
        <v>1111111111</v>
      </c>
      <c r="H929" t="s">
        <v>4498</v>
      </c>
      <c r="I929">
        <v>99999999</v>
      </c>
      <c r="J929" s="188">
        <v>45236</v>
      </c>
      <c r="K929" t="s">
        <v>4498</v>
      </c>
      <c r="L929" t="s">
        <v>4498</v>
      </c>
      <c r="M929" t="s">
        <v>1090</v>
      </c>
      <c r="N929" t="s">
        <v>265</v>
      </c>
      <c r="O929" t="s">
        <v>1443</v>
      </c>
      <c r="P929" t="s">
        <v>221</v>
      </c>
      <c r="Q929" t="s">
        <v>82</v>
      </c>
      <c r="R929">
        <v>1</v>
      </c>
      <c r="S929">
        <v>2.2000000000000002</v>
      </c>
      <c r="T929">
        <v>0</v>
      </c>
      <c r="U929">
        <v>1</v>
      </c>
      <c r="V929">
        <v>1</v>
      </c>
      <c r="W929">
        <v>30.93</v>
      </c>
      <c r="X929">
        <v>0</v>
      </c>
      <c r="Y929">
        <v>0</v>
      </c>
      <c r="Z929">
        <v>0</v>
      </c>
      <c r="AA929">
        <v>0</v>
      </c>
      <c r="AB929">
        <v>0</v>
      </c>
      <c r="AC929">
        <v>0</v>
      </c>
      <c r="AD929">
        <v>1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</row>
    <row r="930" spans="1:37" x14ac:dyDescent="0.3">
      <c r="A930">
        <v>7979</v>
      </c>
      <c r="B930" t="s">
        <v>219</v>
      </c>
      <c r="D930" t="s">
        <v>327</v>
      </c>
      <c r="E930">
        <v>99999999</v>
      </c>
      <c r="F930">
        <v>11111111</v>
      </c>
      <c r="G930">
        <v>1111111111</v>
      </c>
      <c r="H930" t="s">
        <v>4499</v>
      </c>
      <c r="I930">
        <v>99999999</v>
      </c>
      <c r="J930" s="188">
        <v>45236</v>
      </c>
      <c r="K930" t="s">
        <v>4499</v>
      </c>
      <c r="L930" t="s">
        <v>4499</v>
      </c>
      <c r="M930" t="s">
        <v>1269</v>
      </c>
      <c r="N930" t="s">
        <v>91</v>
      </c>
      <c r="O930" t="s">
        <v>1444</v>
      </c>
      <c r="P930" t="s">
        <v>221</v>
      </c>
      <c r="Q930" t="s">
        <v>82</v>
      </c>
      <c r="R930">
        <v>1</v>
      </c>
      <c r="S930">
        <v>10</v>
      </c>
      <c r="T930">
        <v>0</v>
      </c>
      <c r="U930">
        <v>1</v>
      </c>
      <c r="V930">
        <v>1</v>
      </c>
      <c r="W930">
        <v>32.4</v>
      </c>
      <c r="X930">
        <v>0</v>
      </c>
      <c r="Y930">
        <v>0</v>
      </c>
      <c r="Z930">
        <v>0</v>
      </c>
      <c r="AA930">
        <v>0</v>
      </c>
      <c r="AB930">
        <v>0</v>
      </c>
      <c r="AC930">
        <v>0</v>
      </c>
      <c r="AD930">
        <v>1</v>
      </c>
      <c r="AE930">
        <v>0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</row>
    <row r="931" spans="1:37" x14ac:dyDescent="0.3">
      <c r="A931">
        <v>7979</v>
      </c>
      <c r="B931" t="s">
        <v>219</v>
      </c>
      <c r="D931" t="s">
        <v>327</v>
      </c>
      <c r="E931">
        <v>99999999</v>
      </c>
      <c r="F931">
        <v>11111111</v>
      </c>
      <c r="G931">
        <v>1111111111</v>
      </c>
      <c r="H931" t="s">
        <v>4500</v>
      </c>
      <c r="I931">
        <v>99999999</v>
      </c>
      <c r="J931" s="188">
        <v>45236</v>
      </c>
      <c r="K931" t="s">
        <v>4500</v>
      </c>
      <c r="L931" t="s">
        <v>4500</v>
      </c>
      <c r="M931" t="s">
        <v>1445</v>
      </c>
      <c r="N931" t="s">
        <v>99</v>
      </c>
      <c r="O931" t="s">
        <v>1446</v>
      </c>
      <c r="P931" t="s">
        <v>221</v>
      </c>
      <c r="Q931" t="s">
        <v>82</v>
      </c>
      <c r="R931">
        <v>1</v>
      </c>
      <c r="S931">
        <v>4.5</v>
      </c>
      <c r="T931">
        <v>0</v>
      </c>
      <c r="U931">
        <v>1</v>
      </c>
      <c r="V931">
        <v>1</v>
      </c>
      <c r="W931">
        <v>21.44</v>
      </c>
      <c r="X931">
        <v>0</v>
      </c>
      <c r="Y931">
        <v>0</v>
      </c>
      <c r="Z931">
        <v>0</v>
      </c>
      <c r="AA931">
        <v>0</v>
      </c>
      <c r="AB931">
        <v>0</v>
      </c>
      <c r="AC931">
        <v>0</v>
      </c>
      <c r="AD931">
        <v>1</v>
      </c>
      <c r="AE931">
        <v>0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</row>
    <row r="932" spans="1:37" x14ac:dyDescent="0.3">
      <c r="A932">
        <v>7979</v>
      </c>
      <c r="B932" t="s">
        <v>219</v>
      </c>
      <c r="D932" t="s">
        <v>327</v>
      </c>
      <c r="E932">
        <v>99999999</v>
      </c>
      <c r="F932">
        <v>11111111</v>
      </c>
      <c r="G932">
        <v>1111111111</v>
      </c>
      <c r="H932" t="s">
        <v>4501</v>
      </c>
      <c r="I932">
        <v>99999999</v>
      </c>
      <c r="J932" s="188">
        <v>45236</v>
      </c>
      <c r="K932" t="s">
        <v>4501</v>
      </c>
      <c r="L932" t="s">
        <v>4501</v>
      </c>
      <c r="M932" t="s">
        <v>1447</v>
      </c>
      <c r="N932" t="s">
        <v>228</v>
      </c>
      <c r="O932" t="s">
        <v>1448</v>
      </c>
      <c r="P932" t="s">
        <v>221</v>
      </c>
      <c r="Q932" t="s">
        <v>82</v>
      </c>
      <c r="R932">
        <v>2</v>
      </c>
      <c r="S932">
        <v>2.4</v>
      </c>
      <c r="T932">
        <v>0</v>
      </c>
      <c r="U932">
        <v>1</v>
      </c>
      <c r="V932">
        <v>1</v>
      </c>
      <c r="W932">
        <v>30.93</v>
      </c>
      <c r="X932">
        <v>0</v>
      </c>
      <c r="Y932">
        <v>0</v>
      </c>
      <c r="Z932">
        <v>0</v>
      </c>
      <c r="AA932">
        <v>0</v>
      </c>
      <c r="AB932">
        <v>0</v>
      </c>
      <c r="AC932">
        <v>0</v>
      </c>
      <c r="AD932">
        <v>2</v>
      </c>
      <c r="AE932">
        <v>0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</row>
    <row r="933" spans="1:37" x14ac:dyDescent="0.3">
      <c r="A933">
        <v>7979</v>
      </c>
      <c r="B933" t="s">
        <v>219</v>
      </c>
      <c r="D933" t="s">
        <v>327</v>
      </c>
      <c r="E933">
        <v>99999999</v>
      </c>
      <c r="F933">
        <v>11111111</v>
      </c>
      <c r="G933">
        <v>1111111111</v>
      </c>
      <c r="H933" t="s">
        <v>4502</v>
      </c>
      <c r="I933">
        <v>99999999</v>
      </c>
      <c r="J933" s="188">
        <v>45236</v>
      </c>
      <c r="K933" t="s">
        <v>4502</v>
      </c>
      <c r="L933" t="s">
        <v>4502</v>
      </c>
      <c r="M933" t="s">
        <v>1449</v>
      </c>
      <c r="N933" t="s">
        <v>97</v>
      </c>
      <c r="O933" t="s">
        <v>1450</v>
      </c>
      <c r="P933" t="s">
        <v>221</v>
      </c>
      <c r="Q933" t="s">
        <v>82</v>
      </c>
      <c r="R933">
        <v>1</v>
      </c>
      <c r="S933">
        <v>8.1999999999999993</v>
      </c>
      <c r="T933">
        <v>0</v>
      </c>
      <c r="U933">
        <v>1</v>
      </c>
      <c r="V933">
        <v>1</v>
      </c>
      <c r="W933">
        <v>30.34</v>
      </c>
      <c r="X933">
        <v>0</v>
      </c>
      <c r="Y933">
        <v>0</v>
      </c>
      <c r="Z933">
        <v>0</v>
      </c>
      <c r="AA933">
        <v>0</v>
      </c>
      <c r="AB933">
        <v>0</v>
      </c>
      <c r="AC933">
        <v>0</v>
      </c>
      <c r="AD933">
        <v>1</v>
      </c>
      <c r="AE933">
        <v>0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</row>
    <row r="934" spans="1:37" x14ac:dyDescent="0.3">
      <c r="A934">
        <v>7979</v>
      </c>
      <c r="B934" t="s">
        <v>219</v>
      </c>
      <c r="D934" t="s">
        <v>327</v>
      </c>
      <c r="E934">
        <v>99999999</v>
      </c>
      <c r="F934">
        <v>11111111</v>
      </c>
      <c r="G934">
        <v>1111111111</v>
      </c>
      <c r="H934" t="s">
        <v>4503</v>
      </c>
      <c r="I934">
        <v>99999999</v>
      </c>
      <c r="J934" s="188">
        <v>45236</v>
      </c>
      <c r="K934" t="s">
        <v>4503</v>
      </c>
      <c r="L934" t="s">
        <v>4503</v>
      </c>
      <c r="M934" t="s">
        <v>727</v>
      </c>
      <c r="N934" t="s">
        <v>99</v>
      </c>
      <c r="O934" t="s">
        <v>1451</v>
      </c>
      <c r="P934" t="s">
        <v>221</v>
      </c>
      <c r="Q934" t="s">
        <v>82</v>
      </c>
      <c r="R934">
        <v>1</v>
      </c>
      <c r="S934">
        <v>7.3</v>
      </c>
      <c r="T934">
        <v>0</v>
      </c>
      <c r="U934">
        <v>1</v>
      </c>
      <c r="V934">
        <v>1</v>
      </c>
      <c r="W934">
        <v>27.35</v>
      </c>
      <c r="X934">
        <v>0</v>
      </c>
      <c r="Y934">
        <v>0</v>
      </c>
      <c r="Z934">
        <v>0</v>
      </c>
      <c r="AA934">
        <v>0</v>
      </c>
      <c r="AB934">
        <v>0</v>
      </c>
      <c r="AC934">
        <v>0</v>
      </c>
      <c r="AD934">
        <v>1</v>
      </c>
      <c r="AE934">
        <v>0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</row>
    <row r="935" spans="1:37" x14ac:dyDescent="0.3">
      <c r="A935">
        <v>7979</v>
      </c>
      <c r="B935" t="s">
        <v>219</v>
      </c>
      <c r="D935" t="s">
        <v>327</v>
      </c>
      <c r="E935">
        <v>99999999</v>
      </c>
      <c r="F935">
        <v>11111111</v>
      </c>
      <c r="G935">
        <v>1111111111</v>
      </c>
      <c r="H935" t="s">
        <v>4504</v>
      </c>
      <c r="I935">
        <v>99999999</v>
      </c>
      <c r="J935" s="188">
        <v>45236</v>
      </c>
      <c r="K935" t="s">
        <v>4504</v>
      </c>
      <c r="L935" t="s">
        <v>4504</v>
      </c>
      <c r="M935" t="s">
        <v>396</v>
      </c>
      <c r="N935" t="s">
        <v>99</v>
      </c>
      <c r="O935" t="s">
        <v>974</v>
      </c>
      <c r="P935" t="s">
        <v>221</v>
      </c>
      <c r="Q935" t="s">
        <v>82</v>
      </c>
      <c r="R935">
        <v>1</v>
      </c>
      <c r="S935">
        <v>5.3</v>
      </c>
      <c r="T935">
        <v>0</v>
      </c>
      <c r="U935">
        <v>1</v>
      </c>
      <c r="V935">
        <v>1</v>
      </c>
      <c r="W935">
        <v>21.49</v>
      </c>
      <c r="X935">
        <v>0</v>
      </c>
      <c r="Y935">
        <v>0</v>
      </c>
      <c r="Z935">
        <v>0</v>
      </c>
      <c r="AA935">
        <v>0</v>
      </c>
      <c r="AB935">
        <v>0</v>
      </c>
      <c r="AC935">
        <v>0</v>
      </c>
      <c r="AD935">
        <v>1</v>
      </c>
      <c r="AE935">
        <v>0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</row>
    <row r="936" spans="1:37" x14ac:dyDescent="0.3">
      <c r="A936">
        <v>7979</v>
      </c>
      <c r="B936" t="s">
        <v>219</v>
      </c>
      <c r="D936" t="s">
        <v>327</v>
      </c>
      <c r="E936">
        <v>99999999</v>
      </c>
      <c r="F936">
        <v>11111111</v>
      </c>
      <c r="G936">
        <v>1111111111</v>
      </c>
      <c r="H936" t="s">
        <v>4505</v>
      </c>
      <c r="I936">
        <v>99999999</v>
      </c>
      <c r="J936" s="188">
        <v>45236</v>
      </c>
      <c r="K936" t="s">
        <v>4505</v>
      </c>
      <c r="L936" t="s">
        <v>4505</v>
      </c>
      <c r="M936" t="s">
        <v>1269</v>
      </c>
      <c r="N936" t="s">
        <v>91</v>
      </c>
      <c r="O936">
        <v>85331</v>
      </c>
      <c r="P936" t="s">
        <v>221</v>
      </c>
      <c r="Q936" t="s">
        <v>82</v>
      </c>
      <c r="R936">
        <v>1</v>
      </c>
      <c r="S936">
        <v>4.4000000000000004</v>
      </c>
      <c r="T936">
        <v>0</v>
      </c>
      <c r="U936">
        <v>1</v>
      </c>
      <c r="V936">
        <v>1</v>
      </c>
      <c r="W936">
        <v>30.49</v>
      </c>
      <c r="X936">
        <v>0</v>
      </c>
      <c r="Y936">
        <v>0</v>
      </c>
      <c r="Z936">
        <v>0</v>
      </c>
      <c r="AA936">
        <v>0</v>
      </c>
      <c r="AB936">
        <v>0</v>
      </c>
      <c r="AC936">
        <v>0</v>
      </c>
      <c r="AD936">
        <v>1</v>
      </c>
      <c r="AE936">
        <v>0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</row>
    <row r="937" spans="1:37" x14ac:dyDescent="0.3">
      <c r="A937">
        <v>7979</v>
      </c>
      <c r="B937" t="s">
        <v>219</v>
      </c>
      <c r="D937" t="s">
        <v>327</v>
      </c>
      <c r="E937">
        <v>99999999</v>
      </c>
      <c r="F937">
        <v>11111111</v>
      </c>
      <c r="G937">
        <v>1111111111</v>
      </c>
      <c r="H937" t="s">
        <v>4506</v>
      </c>
      <c r="I937">
        <v>99999999</v>
      </c>
      <c r="J937" s="188">
        <v>45236</v>
      </c>
      <c r="K937" t="s">
        <v>4506</v>
      </c>
      <c r="L937" t="s">
        <v>4506</v>
      </c>
      <c r="M937" t="s">
        <v>481</v>
      </c>
      <c r="N937" t="s">
        <v>122</v>
      </c>
      <c r="O937">
        <v>87551</v>
      </c>
      <c r="P937" t="s">
        <v>221</v>
      </c>
      <c r="Q937" t="s">
        <v>82</v>
      </c>
      <c r="R937">
        <v>2</v>
      </c>
      <c r="S937">
        <v>22.14</v>
      </c>
      <c r="T937">
        <v>0</v>
      </c>
      <c r="U937">
        <v>1</v>
      </c>
      <c r="V937">
        <v>1</v>
      </c>
      <c r="W937">
        <v>49.16</v>
      </c>
      <c r="X937">
        <v>0</v>
      </c>
      <c r="Y937">
        <v>0</v>
      </c>
      <c r="Z937">
        <v>0</v>
      </c>
      <c r="AA937">
        <v>0</v>
      </c>
      <c r="AB937">
        <v>0</v>
      </c>
      <c r="AC937">
        <v>0</v>
      </c>
      <c r="AD937">
        <v>2</v>
      </c>
      <c r="AE937">
        <v>0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</row>
    <row r="938" spans="1:37" x14ac:dyDescent="0.3">
      <c r="A938">
        <v>7979</v>
      </c>
      <c r="B938" t="s">
        <v>219</v>
      </c>
      <c r="D938" t="s">
        <v>327</v>
      </c>
      <c r="E938">
        <v>99999999</v>
      </c>
      <c r="F938">
        <v>11111111</v>
      </c>
      <c r="G938">
        <v>1111111111</v>
      </c>
      <c r="H938" t="s">
        <v>4507</v>
      </c>
      <c r="I938">
        <v>99999999</v>
      </c>
      <c r="J938" s="188">
        <v>45236</v>
      </c>
      <c r="K938" t="s">
        <v>4507</v>
      </c>
      <c r="L938" t="s">
        <v>4507</v>
      </c>
      <c r="M938" t="s">
        <v>1426</v>
      </c>
      <c r="N938" t="s">
        <v>197</v>
      </c>
      <c r="O938" t="s">
        <v>1427</v>
      </c>
      <c r="P938" t="s">
        <v>221</v>
      </c>
      <c r="Q938" t="s">
        <v>82</v>
      </c>
      <c r="R938">
        <v>1</v>
      </c>
      <c r="S938">
        <v>1.5</v>
      </c>
      <c r="T938">
        <v>0</v>
      </c>
      <c r="U938">
        <v>1</v>
      </c>
      <c r="V938">
        <v>1</v>
      </c>
      <c r="W938">
        <v>22.21</v>
      </c>
      <c r="X938">
        <v>0</v>
      </c>
      <c r="Y938">
        <v>0</v>
      </c>
      <c r="Z938">
        <v>0</v>
      </c>
      <c r="AA938">
        <v>0</v>
      </c>
      <c r="AB938">
        <v>0</v>
      </c>
      <c r="AC938">
        <v>0</v>
      </c>
      <c r="AD938">
        <v>1</v>
      </c>
      <c r="AE938">
        <v>0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</row>
    <row r="939" spans="1:37" x14ac:dyDescent="0.3">
      <c r="A939">
        <v>7979</v>
      </c>
      <c r="B939" t="s">
        <v>219</v>
      </c>
      <c r="D939" t="s">
        <v>327</v>
      </c>
      <c r="E939">
        <v>99999999</v>
      </c>
      <c r="F939">
        <v>11111111</v>
      </c>
      <c r="G939">
        <v>1111111111</v>
      </c>
      <c r="H939" t="s">
        <v>4508</v>
      </c>
      <c r="I939">
        <v>99999999</v>
      </c>
      <c r="J939" s="188">
        <v>45236</v>
      </c>
      <c r="K939" t="s">
        <v>4508</v>
      </c>
      <c r="L939" t="s">
        <v>4508</v>
      </c>
      <c r="M939" t="s">
        <v>1273</v>
      </c>
      <c r="N939" t="s">
        <v>104</v>
      </c>
      <c r="O939" t="s">
        <v>1452</v>
      </c>
      <c r="P939" t="s">
        <v>221</v>
      </c>
      <c r="Q939" t="s">
        <v>82</v>
      </c>
      <c r="R939">
        <v>2</v>
      </c>
      <c r="S939">
        <v>7.94</v>
      </c>
      <c r="T939">
        <v>0</v>
      </c>
      <c r="U939">
        <v>1</v>
      </c>
      <c r="V939">
        <v>1</v>
      </c>
      <c r="W939">
        <v>32.479999999999997</v>
      </c>
      <c r="X939">
        <v>0</v>
      </c>
      <c r="Y939">
        <v>0</v>
      </c>
      <c r="Z939">
        <v>0</v>
      </c>
      <c r="AA939">
        <v>0</v>
      </c>
      <c r="AB939">
        <v>0</v>
      </c>
      <c r="AC939">
        <v>0</v>
      </c>
      <c r="AD939">
        <v>2</v>
      </c>
      <c r="AE939">
        <v>0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</row>
    <row r="940" spans="1:37" x14ac:dyDescent="0.3">
      <c r="A940">
        <v>7979</v>
      </c>
      <c r="B940" t="s">
        <v>219</v>
      </c>
      <c r="D940" t="s">
        <v>327</v>
      </c>
      <c r="E940">
        <v>99999999</v>
      </c>
      <c r="F940">
        <v>11111111</v>
      </c>
      <c r="G940">
        <v>1111111111</v>
      </c>
      <c r="H940" t="s">
        <v>4509</v>
      </c>
      <c r="I940">
        <v>99999999</v>
      </c>
      <c r="J940" s="188">
        <v>45236</v>
      </c>
      <c r="K940" t="s">
        <v>4509</v>
      </c>
      <c r="L940" t="s">
        <v>4509</v>
      </c>
      <c r="M940" t="s">
        <v>1103</v>
      </c>
      <c r="N940" t="s">
        <v>97</v>
      </c>
      <c r="O940" t="s">
        <v>1453</v>
      </c>
      <c r="P940" t="s">
        <v>221</v>
      </c>
      <c r="Q940" t="s">
        <v>82</v>
      </c>
      <c r="R940">
        <v>2</v>
      </c>
      <c r="S940">
        <v>16.8</v>
      </c>
      <c r="T940">
        <v>0</v>
      </c>
      <c r="U940">
        <v>1</v>
      </c>
      <c r="V940">
        <v>2</v>
      </c>
      <c r="W940">
        <v>32.409999999999997</v>
      </c>
      <c r="X940">
        <v>0</v>
      </c>
      <c r="Y940">
        <v>0</v>
      </c>
      <c r="Z940">
        <v>0</v>
      </c>
      <c r="AA940">
        <v>0</v>
      </c>
      <c r="AB940">
        <v>0</v>
      </c>
      <c r="AC940">
        <v>0</v>
      </c>
      <c r="AD940">
        <v>2</v>
      </c>
      <c r="AE940">
        <v>0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</row>
    <row r="941" spans="1:37" x14ac:dyDescent="0.3">
      <c r="A941">
        <v>7979</v>
      </c>
      <c r="B941" t="s">
        <v>219</v>
      </c>
      <c r="D941" t="s">
        <v>327</v>
      </c>
      <c r="E941">
        <v>99999999</v>
      </c>
      <c r="F941">
        <v>11111111</v>
      </c>
      <c r="G941">
        <v>1111111111</v>
      </c>
      <c r="H941" t="s">
        <v>4510</v>
      </c>
      <c r="I941">
        <v>99999999</v>
      </c>
      <c r="J941" s="188">
        <v>45236</v>
      </c>
      <c r="K941" t="s">
        <v>4510</v>
      </c>
      <c r="L941" t="s">
        <v>4510</v>
      </c>
      <c r="M941" t="s">
        <v>1454</v>
      </c>
      <c r="N941" t="s">
        <v>197</v>
      </c>
      <c r="O941" t="s">
        <v>1455</v>
      </c>
      <c r="P941" t="s">
        <v>221</v>
      </c>
      <c r="Q941" t="s">
        <v>82</v>
      </c>
      <c r="R941">
        <v>1</v>
      </c>
      <c r="S941">
        <v>8.6</v>
      </c>
      <c r="T941">
        <v>0</v>
      </c>
      <c r="U941">
        <v>1</v>
      </c>
      <c r="V941">
        <v>1</v>
      </c>
      <c r="W941">
        <v>26.92</v>
      </c>
      <c r="X941">
        <v>0</v>
      </c>
      <c r="Y941">
        <v>0</v>
      </c>
      <c r="Z941">
        <v>0</v>
      </c>
      <c r="AA941">
        <v>0</v>
      </c>
      <c r="AB941">
        <v>0</v>
      </c>
      <c r="AC941">
        <v>0</v>
      </c>
      <c r="AD941">
        <v>1</v>
      </c>
      <c r="AE941">
        <v>0</v>
      </c>
      <c r="AF941">
        <v>0</v>
      </c>
      <c r="AG941">
        <v>0</v>
      </c>
      <c r="AH941">
        <v>0</v>
      </c>
      <c r="AI941">
        <v>0</v>
      </c>
      <c r="AJ941">
        <v>0</v>
      </c>
      <c r="AK941">
        <v>0</v>
      </c>
    </row>
    <row r="942" spans="1:37" x14ac:dyDescent="0.3">
      <c r="A942">
        <v>7979</v>
      </c>
      <c r="B942" t="s">
        <v>219</v>
      </c>
      <c r="D942" t="s">
        <v>327</v>
      </c>
      <c r="E942">
        <v>99999999</v>
      </c>
      <c r="F942">
        <v>11111111</v>
      </c>
      <c r="G942">
        <v>1111111111</v>
      </c>
      <c r="H942" t="s">
        <v>4511</v>
      </c>
      <c r="I942">
        <v>99999999</v>
      </c>
      <c r="J942" s="188">
        <v>45236</v>
      </c>
      <c r="K942" t="s">
        <v>4511</v>
      </c>
      <c r="L942" t="s">
        <v>4511</v>
      </c>
      <c r="M942" t="s">
        <v>1456</v>
      </c>
      <c r="N942" t="s">
        <v>197</v>
      </c>
      <c r="O942" t="s">
        <v>1457</v>
      </c>
      <c r="P942" t="s">
        <v>221</v>
      </c>
      <c r="Q942" t="s">
        <v>82</v>
      </c>
      <c r="R942">
        <v>1</v>
      </c>
      <c r="S942">
        <v>15.24</v>
      </c>
      <c r="T942">
        <v>0</v>
      </c>
      <c r="U942">
        <v>1</v>
      </c>
      <c r="V942">
        <v>1</v>
      </c>
      <c r="W942">
        <v>38.5</v>
      </c>
      <c r="X942">
        <v>0</v>
      </c>
      <c r="Y942">
        <v>0</v>
      </c>
      <c r="Z942">
        <v>0</v>
      </c>
      <c r="AA942">
        <v>0</v>
      </c>
      <c r="AB942">
        <v>0</v>
      </c>
      <c r="AC942">
        <v>0</v>
      </c>
      <c r="AD942">
        <v>1</v>
      </c>
      <c r="AE942">
        <v>0</v>
      </c>
      <c r="AF942">
        <v>0</v>
      </c>
      <c r="AG942">
        <v>0</v>
      </c>
      <c r="AH942">
        <v>0</v>
      </c>
      <c r="AI942">
        <v>0</v>
      </c>
      <c r="AJ942">
        <v>0</v>
      </c>
      <c r="AK942">
        <v>0</v>
      </c>
    </row>
    <row r="943" spans="1:37" x14ac:dyDescent="0.3">
      <c r="A943">
        <v>7979</v>
      </c>
      <c r="B943" t="s">
        <v>219</v>
      </c>
      <c r="D943" t="s">
        <v>327</v>
      </c>
      <c r="E943">
        <v>99999999</v>
      </c>
      <c r="F943">
        <v>11111111</v>
      </c>
      <c r="G943">
        <v>1111111111</v>
      </c>
      <c r="H943" t="s">
        <v>4512</v>
      </c>
      <c r="I943">
        <v>99999999</v>
      </c>
      <c r="J943" s="188">
        <v>45236</v>
      </c>
      <c r="K943" t="s">
        <v>4512</v>
      </c>
      <c r="L943" t="s">
        <v>4512</v>
      </c>
      <c r="M943" t="s">
        <v>1458</v>
      </c>
      <c r="N943" t="s">
        <v>164</v>
      </c>
      <c r="O943" t="s">
        <v>1459</v>
      </c>
      <c r="P943" t="s">
        <v>221</v>
      </c>
      <c r="Q943" t="s">
        <v>82</v>
      </c>
      <c r="R943">
        <v>1</v>
      </c>
      <c r="S943">
        <v>10</v>
      </c>
      <c r="T943">
        <v>0</v>
      </c>
      <c r="U943">
        <v>1</v>
      </c>
      <c r="V943">
        <v>1</v>
      </c>
      <c r="W943">
        <v>30.77</v>
      </c>
      <c r="X943">
        <v>0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1</v>
      </c>
      <c r="AE943">
        <v>0</v>
      </c>
      <c r="AF943">
        <v>0</v>
      </c>
      <c r="AG943">
        <v>0</v>
      </c>
      <c r="AH943">
        <v>0</v>
      </c>
      <c r="AI943">
        <v>0</v>
      </c>
      <c r="AJ943">
        <v>0</v>
      </c>
      <c r="AK943">
        <v>0</v>
      </c>
    </row>
    <row r="944" spans="1:37" x14ac:dyDescent="0.3">
      <c r="A944">
        <v>7979</v>
      </c>
      <c r="B944" t="s">
        <v>219</v>
      </c>
      <c r="D944" t="s">
        <v>327</v>
      </c>
      <c r="E944">
        <v>99999999</v>
      </c>
      <c r="F944">
        <v>11111111</v>
      </c>
      <c r="G944">
        <v>1111111111</v>
      </c>
      <c r="H944" t="s">
        <v>4513</v>
      </c>
      <c r="I944">
        <v>99999999</v>
      </c>
      <c r="J944" s="188">
        <v>45236</v>
      </c>
      <c r="K944" t="s">
        <v>4513</v>
      </c>
      <c r="L944" t="s">
        <v>4513</v>
      </c>
      <c r="M944" t="s">
        <v>159</v>
      </c>
      <c r="N944" t="s">
        <v>99</v>
      </c>
      <c r="O944" t="s">
        <v>1460</v>
      </c>
      <c r="P944" t="s">
        <v>221</v>
      </c>
      <c r="Q944" t="s">
        <v>82</v>
      </c>
      <c r="R944">
        <v>1</v>
      </c>
      <c r="S944">
        <v>7.63</v>
      </c>
      <c r="T944">
        <v>0</v>
      </c>
      <c r="U944">
        <v>1</v>
      </c>
      <c r="V944">
        <v>1</v>
      </c>
      <c r="W944">
        <v>21.46</v>
      </c>
      <c r="X944">
        <v>0</v>
      </c>
      <c r="Y944">
        <v>0</v>
      </c>
      <c r="Z944">
        <v>0</v>
      </c>
      <c r="AA944">
        <v>0</v>
      </c>
      <c r="AB944">
        <v>0</v>
      </c>
      <c r="AC944">
        <v>0</v>
      </c>
      <c r="AD944">
        <v>1</v>
      </c>
      <c r="AE944">
        <v>0</v>
      </c>
      <c r="AF944">
        <v>0</v>
      </c>
      <c r="AG944">
        <v>0</v>
      </c>
      <c r="AH944">
        <v>0</v>
      </c>
      <c r="AI944">
        <v>0</v>
      </c>
      <c r="AJ944">
        <v>0</v>
      </c>
      <c r="AK944">
        <v>0</v>
      </c>
    </row>
    <row r="945" spans="1:37" x14ac:dyDescent="0.3">
      <c r="A945">
        <v>7979</v>
      </c>
      <c r="B945" t="s">
        <v>219</v>
      </c>
      <c r="D945" t="s">
        <v>327</v>
      </c>
      <c r="E945">
        <v>99999999</v>
      </c>
      <c r="F945">
        <v>11111111</v>
      </c>
      <c r="G945">
        <v>1111111111</v>
      </c>
      <c r="H945" t="s">
        <v>4514</v>
      </c>
      <c r="I945">
        <v>99999999</v>
      </c>
      <c r="J945" s="188">
        <v>45236</v>
      </c>
      <c r="K945" t="s">
        <v>4514</v>
      </c>
      <c r="L945" t="s">
        <v>4514</v>
      </c>
      <c r="M945" t="s">
        <v>297</v>
      </c>
      <c r="N945" t="s">
        <v>197</v>
      </c>
      <c r="O945" t="s">
        <v>1461</v>
      </c>
      <c r="P945" t="s">
        <v>221</v>
      </c>
      <c r="Q945" t="s">
        <v>82</v>
      </c>
      <c r="R945">
        <v>1</v>
      </c>
      <c r="S945">
        <v>8.58</v>
      </c>
      <c r="T945">
        <v>0</v>
      </c>
      <c r="U945">
        <v>1</v>
      </c>
      <c r="V945">
        <v>1</v>
      </c>
      <c r="W945">
        <v>26.92</v>
      </c>
      <c r="X945">
        <v>0</v>
      </c>
      <c r="Y945">
        <v>0</v>
      </c>
      <c r="Z945">
        <v>0</v>
      </c>
      <c r="AA945">
        <v>0</v>
      </c>
      <c r="AB945">
        <v>0</v>
      </c>
      <c r="AC945">
        <v>0</v>
      </c>
      <c r="AD945">
        <v>1</v>
      </c>
      <c r="AE945">
        <v>0</v>
      </c>
      <c r="AF945">
        <v>0</v>
      </c>
      <c r="AG945">
        <v>0</v>
      </c>
      <c r="AH945">
        <v>0</v>
      </c>
      <c r="AI945">
        <v>0</v>
      </c>
      <c r="AJ945">
        <v>0</v>
      </c>
      <c r="AK945">
        <v>0</v>
      </c>
    </row>
    <row r="946" spans="1:37" x14ac:dyDescent="0.3">
      <c r="A946">
        <v>7979</v>
      </c>
      <c r="B946" t="s">
        <v>219</v>
      </c>
      <c r="D946" t="s">
        <v>327</v>
      </c>
      <c r="E946">
        <v>99999999</v>
      </c>
      <c r="F946">
        <v>11111111</v>
      </c>
      <c r="G946">
        <v>1111111111</v>
      </c>
      <c r="H946" t="s">
        <v>4515</v>
      </c>
      <c r="I946">
        <v>99999999</v>
      </c>
      <c r="J946" s="188">
        <v>45236</v>
      </c>
      <c r="K946" t="s">
        <v>4515</v>
      </c>
      <c r="L946" t="s">
        <v>4515</v>
      </c>
      <c r="M946" t="s">
        <v>1462</v>
      </c>
      <c r="N946" t="s">
        <v>161</v>
      </c>
      <c r="O946" t="s">
        <v>1463</v>
      </c>
      <c r="P946" t="s">
        <v>221</v>
      </c>
      <c r="Q946" t="s">
        <v>82</v>
      </c>
      <c r="R946">
        <v>1</v>
      </c>
      <c r="S946">
        <v>9.0399999999999991</v>
      </c>
      <c r="T946">
        <v>0</v>
      </c>
      <c r="U946">
        <v>1</v>
      </c>
      <c r="V946">
        <v>1</v>
      </c>
      <c r="W946">
        <v>35.6</v>
      </c>
      <c r="X946">
        <v>0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1</v>
      </c>
      <c r="AE946">
        <v>0</v>
      </c>
      <c r="AF946">
        <v>0</v>
      </c>
      <c r="AG946">
        <v>0</v>
      </c>
      <c r="AH946">
        <v>0</v>
      </c>
      <c r="AI946">
        <v>0</v>
      </c>
      <c r="AJ946">
        <v>0</v>
      </c>
      <c r="AK946">
        <v>0</v>
      </c>
    </row>
    <row r="947" spans="1:37" x14ac:dyDescent="0.3">
      <c r="A947">
        <v>7979</v>
      </c>
      <c r="B947" t="s">
        <v>219</v>
      </c>
      <c r="D947" t="s">
        <v>327</v>
      </c>
      <c r="E947">
        <v>99999999</v>
      </c>
      <c r="F947">
        <v>11111111</v>
      </c>
      <c r="G947">
        <v>1111111111</v>
      </c>
      <c r="H947" t="s">
        <v>4516</v>
      </c>
      <c r="I947">
        <v>99999999</v>
      </c>
      <c r="J947" s="188">
        <v>45236</v>
      </c>
      <c r="K947" t="s">
        <v>4516</v>
      </c>
      <c r="L947" t="s">
        <v>4516</v>
      </c>
      <c r="M947" t="s">
        <v>406</v>
      </c>
      <c r="N947" t="s">
        <v>99</v>
      </c>
      <c r="O947" t="s">
        <v>1464</v>
      </c>
      <c r="P947" t="s">
        <v>221</v>
      </c>
      <c r="Q947" t="s">
        <v>82</v>
      </c>
      <c r="R947">
        <v>1</v>
      </c>
      <c r="S947">
        <v>6.5</v>
      </c>
      <c r="T947">
        <v>0</v>
      </c>
      <c r="U947">
        <v>1</v>
      </c>
      <c r="V947">
        <v>1</v>
      </c>
      <c r="W947">
        <v>23.54</v>
      </c>
      <c r="X947">
        <v>0</v>
      </c>
      <c r="Y947">
        <v>0</v>
      </c>
      <c r="Z947">
        <v>0</v>
      </c>
      <c r="AA947">
        <v>0</v>
      </c>
      <c r="AB947">
        <v>0</v>
      </c>
      <c r="AC947">
        <v>0</v>
      </c>
      <c r="AD947">
        <v>1</v>
      </c>
      <c r="AE947">
        <v>0</v>
      </c>
      <c r="AF947">
        <v>0</v>
      </c>
      <c r="AG947">
        <v>0</v>
      </c>
      <c r="AH947">
        <v>0</v>
      </c>
      <c r="AI947">
        <v>0</v>
      </c>
      <c r="AJ947">
        <v>0</v>
      </c>
      <c r="AK947">
        <v>0</v>
      </c>
    </row>
    <row r="948" spans="1:37" x14ac:dyDescent="0.3">
      <c r="A948">
        <v>7979</v>
      </c>
      <c r="B948" t="s">
        <v>219</v>
      </c>
      <c r="D948" t="s">
        <v>327</v>
      </c>
      <c r="E948">
        <v>99999999</v>
      </c>
      <c r="F948">
        <v>11111111</v>
      </c>
      <c r="G948">
        <v>1111111111</v>
      </c>
      <c r="H948" t="s">
        <v>4517</v>
      </c>
      <c r="I948">
        <v>99999999</v>
      </c>
      <c r="J948" s="188">
        <v>45236</v>
      </c>
      <c r="K948" t="s">
        <v>4517</v>
      </c>
      <c r="L948" t="s">
        <v>4517</v>
      </c>
      <c r="M948" t="s">
        <v>1465</v>
      </c>
      <c r="N948" t="s">
        <v>97</v>
      </c>
      <c r="O948" t="s">
        <v>1466</v>
      </c>
      <c r="P948" t="s">
        <v>221</v>
      </c>
      <c r="Q948" t="s">
        <v>82</v>
      </c>
      <c r="R948">
        <v>1</v>
      </c>
      <c r="S948">
        <v>8.58</v>
      </c>
      <c r="T948">
        <v>0</v>
      </c>
      <c r="U948">
        <v>1</v>
      </c>
      <c r="V948">
        <v>1</v>
      </c>
      <c r="W948">
        <v>24.41</v>
      </c>
      <c r="X948">
        <v>0</v>
      </c>
      <c r="Y948">
        <v>0</v>
      </c>
      <c r="Z948">
        <v>0</v>
      </c>
      <c r="AA948">
        <v>0</v>
      </c>
      <c r="AB948">
        <v>0</v>
      </c>
      <c r="AC948">
        <v>0</v>
      </c>
      <c r="AD948">
        <v>1</v>
      </c>
      <c r="AE948">
        <v>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</row>
    <row r="949" spans="1:37" x14ac:dyDescent="0.3">
      <c r="A949">
        <v>7979</v>
      </c>
      <c r="B949" t="s">
        <v>219</v>
      </c>
      <c r="D949" t="s">
        <v>327</v>
      </c>
      <c r="E949">
        <v>99999999</v>
      </c>
      <c r="F949">
        <v>11111111</v>
      </c>
      <c r="G949">
        <v>1111111111</v>
      </c>
      <c r="H949" t="s">
        <v>4518</v>
      </c>
      <c r="I949">
        <v>99999999</v>
      </c>
      <c r="J949" s="188">
        <v>45236</v>
      </c>
      <c r="K949" t="s">
        <v>4518</v>
      </c>
      <c r="L949" t="s">
        <v>4518</v>
      </c>
      <c r="M949" t="s">
        <v>1467</v>
      </c>
      <c r="N949" t="s">
        <v>99</v>
      </c>
      <c r="O949" t="s">
        <v>1468</v>
      </c>
      <c r="P949" t="s">
        <v>221</v>
      </c>
      <c r="Q949" t="s">
        <v>82</v>
      </c>
      <c r="R949">
        <v>2</v>
      </c>
      <c r="S949">
        <v>24.04</v>
      </c>
      <c r="T949">
        <v>0</v>
      </c>
      <c r="U949">
        <v>1</v>
      </c>
      <c r="V949">
        <v>2</v>
      </c>
      <c r="W949">
        <v>29.42</v>
      </c>
      <c r="X949">
        <v>0</v>
      </c>
      <c r="Y949">
        <v>0</v>
      </c>
      <c r="Z949">
        <v>0</v>
      </c>
      <c r="AA949">
        <v>0</v>
      </c>
      <c r="AB949">
        <v>0</v>
      </c>
      <c r="AC949">
        <v>0</v>
      </c>
      <c r="AD949">
        <v>2</v>
      </c>
      <c r="AE949">
        <v>0</v>
      </c>
      <c r="AF949">
        <v>0</v>
      </c>
      <c r="AG949">
        <v>0</v>
      </c>
      <c r="AH949">
        <v>0</v>
      </c>
      <c r="AI949">
        <v>0</v>
      </c>
      <c r="AJ949">
        <v>0</v>
      </c>
      <c r="AK949">
        <v>0</v>
      </c>
    </row>
    <row r="950" spans="1:37" x14ac:dyDescent="0.3">
      <c r="A950">
        <v>7979</v>
      </c>
      <c r="B950" t="s">
        <v>219</v>
      </c>
      <c r="D950" t="s">
        <v>327</v>
      </c>
      <c r="E950">
        <v>99999999</v>
      </c>
      <c r="F950">
        <v>11111111</v>
      </c>
      <c r="G950">
        <v>1111111111</v>
      </c>
      <c r="H950" t="s">
        <v>4519</v>
      </c>
      <c r="I950">
        <v>99999999</v>
      </c>
      <c r="J950" s="188">
        <v>45236</v>
      </c>
      <c r="K950" t="s">
        <v>4519</v>
      </c>
      <c r="L950" t="s">
        <v>4519</v>
      </c>
      <c r="M950" t="s">
        <v>1469</v>
      </c>
      <c r="N950" t="s">
        <v>141</v>
      </c>
      <c r="O950" t="s">
        <v>1470</v>
      </c>
      <c r="P950" t="s">
        <v>221</v>
      </c>
      <c r="Q950" t="s">
        <v>82</v>
      </c>
      <c r="R950">
        <v>1</v>
      </c>
      <c r="S950">
        <v>3.26</v>
      </c>
      <c r="T950">
        <v>0</v>
      </c>
      <c r="U950">
        <v>1</v>
      </c>
      <c r="V950">
        <v>1</v>
      </c>
      <c r="W950">
        <v>26.15</v>
      </c>
      <c r="X950">
        <v>0</v>
      </c>
      <c r="Y950">
        <v>0</v>
      </c>
      <c r="Z950">
        <v>0</v>
      </c>
      <c r="AA950">
        <v>0</v>
      </c>
      <c r="AB950">
        <v>0</v>
      </c>
      <c r="AC950">
        <v>0</v>
      </c>
      <c r="AD950">
        <v>1</v>
      </c>
      <c r="AE950">
        <v>0</v>
      </c>
      <c r="AF950">
        <v>0</v>
      </c>
      <c r="AG950">
        <v>0</v>
      </c>
      <c r="AH950">
        <v>0</v>
      </c>
      <c r="AI950">
        <v>0</v>
      </c>
      <c r="AJ950">
        <v>0</v>
      </c>
      <c r="AK950">
        <v>0</v>
      </c>
    </row>
    <row r="951" spans="1:37" x14ac:dyDescent="0.3">
      <c r="A951">
        <v>7979</v>
      </c>
      <c r="B951" t="s">
        <v>219</v>
      </c>
      <c r="D951" t="s">
        <v>327</v>
      </c>
      <c r="E951">
        <v>99999999</v>
      </c>
      <c r="F951">
        <v>11111111</v>
      </c>
      <c r="G951">
        <v>1111111111</v>
      </c>
      <c r="H951" t="s">
        <v>4520</v>
      </c>
      <c r="I951">
        <v>99999999</v>
      </c>
      <c r="J951" s="188">
        <v>45236</v>
      </c>
      <c r="K951" t="s">
        <v>4520</v>
      </c>
      <c r="L951" t="s">
        <v>4520</v>
      </c>
      <c r="M951" t="s">
        <v>380</v>
      </c>
      <c r="N951" t="s">
        <v>381</v>
      </c>
      <c r="O951" t="s">
        <v>1471</v>
      </c>
      <c r="P951" t="s">
        <v>221</v>
      </c>
      <c r="Q951" t="s">
        <v>82</v>
      </c>
      <c r="R951">
        <v>1</v>
      </c>
      <c r="S951">
        <v>8.14</v>
      </c>
      <c r="T951">
        <v>0</v>
      </c>
      <c r="U951">
        <v>1</v>
      </c>
      <c r="V951">
        <v>1</v>
      </c>
      <c r="W951">
        <v>31.87</v>
      </c>
      <c r="X951">
        <v>0</v>
      </c>
      <c r="Y951">
        <v>0</v>
      </c>
      <c r="Z951">
        <v>0</v>
      </c>
      <c r="AA951">
        <v>0</v>
      </c>
      <c r="AB951">
        <v>0</v>
      </c>
      <c r="AC951">
        <v>0</v>
      </c>
      <c r="AD951">
        <v>1</v>
      </c>
      <c r="AE951">
        <v>0</v>
      </c>
      <c r="AF951">
        <v>0</v>
      </c>
      <c r="AG951">
        <v>0</v>
      </c>
      <c r="AH951">
        <v>0</v>
      </c>
      <c r="AI951">
        <v>0</v>
      </c>
      <c r="AJ951">
        <v>0</v>
      </c>
      <c r="AK951">
        <v>0</v>
      </c>
    </row>
    <row r="952" spans="1:37" x14ac:dyDescent="0.3">
      <c r="A952">
        <v>7979</v>
      </c>
      <c r="B952" t="s">
        <v>219</v>
      </c>
      <c r="D952" t="s">
        <v>327</v>
      </c>
      <c r="E952">
        <v>99999999</v>
      </c>
      <c r="F952">
        <v>11111111</v>
      </c>
      <c r="G952">
        <v>1111111111</v>
      </c>
      <c r="H952" t="s">
        <v>4521</v>
      </c>
      <c r="I952">
        <v>99999999</v>
      </c>
      <c r="J952" s="188">
        <v>45236</v>
      </c>
      <c r="K952" t="s">
        <v>4521</v>
      </c>
      <c r="L952" t="s">
        <v>4521</v>
      </c>
      <c r="M952" t="s">
        <v>516</v>
      </c>
      <c r="N952" t="s">
        <v>91</v>
      </c>
      <c r="O952" t="s">
        <v>1472</v>
      </c>
      <c r="P952" t="s">
        <v>221</v>
      </c>
      <c r="Q952" t="s">
        <v>82</v>
      </c>
      <c r="R952">
        <v>1</v>
      </c>
      <c r="S952">
        <v>5.82</v>
      </c>
      <c r="T952">
        <v>0</v>
      </c>
      <c r="U952">
        <v>1</v>
      </c>
      <c r="V952">
        <v>1</v>
      </c>
      <c r="W952">
        <v>40.1</v>
      </c>
      <c r="X952">
        <v>0</v>
      </c>
      <c r="Y952">
        <v>0</v>
      </c>
      <c r="Z952">
        <v>0</v>
      </c>
      <c r="AA952">
        <v>0</v>
      </c>
      <c r="AB952">
        <v>0</v>
      </c>
      <c r="AC952">
        <v>0</v>
      </c>
      <c r="AD952">
        <v>1</v>
      </c>
      <c r="AE952">
        <v>0</v>
      </c>
      <c r="AF952">
        <v>0</v>
      </c>
      <c r="AG952">
        <v>0</v>
      </c>
      <c r="AH952">
        <v>0</v>
      </c>
      <c r="AI952">
        <v>0</v>
      </c>
      <c r="AJ952">
        <v>0</v>
      </c>
      <c r="AK952">
        <v>0</v>
      </c>
    </row>
    <row r="953" spans="1:37" x14ac:dyDescent="0.3">
      <c r="A953">
        <v>7979</v>
      </c>
      <c r="B953" t="s">
        <v>219</v>
      </c>
      <c r="D953" t="s">
        <v>327</v>
      </c>
      <c r="E953">
        <v>99999999</v>
      </c>
      <c r="F953">
        <v>11111111</v>
      </c>
      <c r="G953">
        <v>1111111111</v>
      </c>
      <c r="H953" t="s">
        <v>4522</v>
      </c>
      <c r="I953">
        <v>99999999</v>
      </c>
      <c r="J953" s="188">
        <v>45236</v>
      </c>
      <c r="K953" t="s">
        <v>4522</v>
      </c>
      <c r="L953" t="s">
        <v>4522</v>
      </c>
      <c r="M953" t="s">
        <v>1473</v>
      </c>
      <c r="N953" t="s">
        <v>118</v>
      </c>
      <c r="O953">
        <v>18462</v>
      </c>
      <c r="P953" t="s">
        <v>221</v>
      </c>
      <c r="Q953" t="s">
        <v>82</v>
      </c>
      <c r="R953">
        <v>1</v>
      </c>
      <c r="S953">
        <v>2.2000000000000002</v>
      </c>
      <c r="T953">
        <v>0</v>
      </c>
      <c r="U953">
        <v>1</v>
      </c>
      <c r="V953">
        <v>1</v>
      </c>
      <c r="W953">
        <v>33.07</v>
      </c>
      <c r="X953">
        <v>0</v>
      </c>
      <c r="Y953">
        <v>0</v>
      </c>
      <c r="Z953">
        <v>0</v>
      </c>
      <c r="AA953">
        <v>0</v>
      </c>
      <c r="AB953">
        <v>0</v>
      </c>
      <c r="AC953">
        <v>0</v>
      </c>
      <c r="AD953">
        <v>1</v>
      </c>
      <c r="AE953">
        <v>0</v>
      </c>
      <c r="AF953">
        <v>0</v>
      </c>
      <c r="AG953">
        <v>0</v>
      </c>
      <c r="AH953">
        <v>0</v>
      </c>
      <c r="AI953">
        <v>0</v>
      </c>
      <c r="AJ953">
        <v>0</v>
      </c>
      <c r="AK953">
        <v>0</v>
      </c>
    </row>
    <row r="954" spans="1:37" x14ac:dyDescent="0.3">
      <c r="A954">
        <v>7979</v>
      </c>
      <c r="B954" t="s">
        <v>219</v>
      </c>
      <c r="D954" t="s">
        <v>327</v>
      </c>
      <c r="E954">
        <v>99999999</v>
      </c>
      <c r="F954">
        <v>11111111</v>
      </c>
      <c r="G954">
        <v>1111111111</v>
      </c>
      <c r="H954" t="s">
        <v>4523</v>
      </c>
      <c r="I954">
        <v>99999999</v>
      </c>
      <c r="J954" s="188">
        <v>45236</v>
      </c>
      <c r="K954" t="s">
        <v>4523</v>
      </c>
      <c r="L954" t="s">
        <v>4523</v>
      </c>
      <c r="M954" t="s">
        <v>1474</v>
      </c>
      <c r="N954" t="s">
        <v>99</v>
      </c>
      <c r="O954">
        <v>95660</v>
      </c>
      <c r="P954" t="s">
        <v>221</v>
      </c>
      <c r="Q954" t="s">
        <v>82</v>
      </c>
      <c r="R954">
        <v>1</v>
      </c>
      <c r="S954">
        <v>15</v>
      </c>
      <c r="T954">
        <v>0</v>
      </c>
      <c r="U954">
        <v>1</v>
      </c>
      <c r="V954">
        <v>1</v>
      </c>
      <c r="W954">
        <v>23.76</v>
      </c>
      <c r="X954">
        <v>0</v>
      </c>
      <c r="Y954">
        <v>0</v>
      </c>
      <c r="Z954">
        <v>0</v>
      </c>
      <c r="AA954">
        <v>0</v>
      </c>
      <c r="AB954">
        <v>0</v>
      </c>
      <c r="AC954">
        <v>0</v>
      </c>
      <c r="AD954">
        <v>1</v>
      </c>
      <c r="AE954">
        <v>0</v>
      </c>
      <c r="AF954">
        <v>0</v>
      </c>
      <c r="AG954">
        <v>0</v>
      </c>
      <c r="AH954">
        <v>0</v>
      </c>
      <c r="AI954">
        <v>0</v>
      </c>
      <c r="AJ954">
        <v>0</v>
      </c>
      <c r="AK954">
        <v>0</v>
      </c>
    </row>
    <row r="955" spans="1:37" x14ac:dyDescent="0.3">
      <c r="A955">
        <v>7979</v>
      </c>
      <c r="B955" t="s">
        <v>219</v>
      </c>
      <c r="D955" t="s">
        <v>327</v>
      </c>
      <c r="E955">
        <v>99999999</v>
      </c>
      <c r="F955">
        <v>11111111</v>
      </c>
      <c r="G955">
        <v>1111111111</v>
      </c>
      <c r="H955" t="s">
        <v>4524</v>
      </c>
      <c r="I955">
        <v>99999999</v>
      </c>
      <c r="J955" s="188">
        <v>45236</v>
      </c>
      <c r="K955" t="s">
        <v>4524</v>
      </c>
      <c r="L955" t="s">
        <v>4524</v>
      </c>
      <c r="M955" t="s">
        <v>587</v>
      </c>
      <c r="N955" t="s">
        <v>99</v>
      </c>
      <c r="O955" t="s">
        <v>1475</v>
      </c>
      <c r="P955" t="s">
        <v>221</v>
      </c>
      <c r="Q955" t="s">
        <v>82</v>
      </c>
      <c r="R955">
        <v>1</v>
      </c>
      <c r="S955">
        <v>12.5</v>
      </c>
      <c r="T955">
        <v>0</v>
      </c>
      <c r="U955">
        <v>1</v>
      </c>
      <c r="V955">
        <v>1</v>
      </c>
      <c r="W955">
        <v>28.82</v>
      </c>
      <c r="X955">
        <v>0</v>
      </c>
      <c r="Y955">
        <v>0</v>
      </c>
      <c r="Z955">
        <v>0</v>
      </c>
      <c r="AA955">
        <v>0</v>
      </c>
      <c r="AB955">
        <v>0</v>
      </c>
      <c r="AC955">
        <v>0</v>
      </c>
      <c r="AD955">
        <v>1</v>
      </c>
      <c r="AE955">
        <v>0</v>
      </c>
      <c r="AF955">
        <v>0</v>
      </c>
      <c r="AG955">
        <v>0</v>
      </c>
      <c r="AH955">
        <v>0</v>
      </c>
      <c r="AI955">
        <v>0</v>
      </c>
      <c r="AJ955">
        <v>0</v>
      </c>
      <c r="AK955">
        <v>0</v>
      </c>
    </row>
    <row r="956" spans="1:37" x14ac:dyDescent="0.3">
      <c r="A956">
        <v>7979</v>
      </c>
      <c r="B956" t="s">
        <v>219</v>
      </c>
      <c r="D956" t="s">
        <v>327</v>
      </c>
      <c r="E956">
        <v>99999999</v>
      </c>
      <c r="F956">
        <v>11111111</v>
      </c>
      <c r="G956">
        <v>1111111111</v>
      </c>
      <c r="H956" t="s">
        <v>4525</v>
      </c>
      <c r="I956">
        <v>99999999</v>
      </c>
      <c r="J956" s="188">
        <v>45236</v>
      </c>
      <c r="K956" t="s">
        <v>4525</v>
      </c>
      <c r="L956" t="s">
        <v>4525</v>
      </c>
      <c r="M956" t="s">
        <v>196</v>
      </c>
      <c r="N956" t="s">
        <v>99</v>
      </c>
      <c r="O956">
        <v>92869</v>
      </c>
      <c r="P956" t="s">
        <v>221</v>
      </c>
      <c r="Q956" t="s">
        <v>82</v>
      </c>
      <c r="R956">
        <v>4</v>
      </c>
      <c r="S956">
        <v>12</v>
      </c>
      <c r="T956">
        <v>0</v>
      </c>
      <c r="U956">
        <v>1</v>
      </c>
      <c r="V956">
        <v>1</v>
      </c>
      <c r="W956">
        <v>25.05</v>
      </c>
      <c r="X956">
        <v>0</v>
      </c>
      <c r="Y956">
        <v>0</v>
      </c>
      <c r="Z956">
        <v>0</v>
      </c>
      <c r="AA956">
        <v>0</v>
      </c>
      <c r="AB956">
        <v>0</v>
      </c>
      <c r="AC956">
        <v>0</v>
      </c>
      <c r="AD956">
        <v>4</v>
      </c>
      <c r="AE956">
        <v>0</v>
      </c>
      <c r="AF956">
        <v>0</v>
      </c>
      <c r="AG956">
        <v>0</v>
      </c>
      <c r="AH956">
        <v>0</v>
      </c>
      <c r="AI956">
        <v>0</v>
      </c>
      <c r="AJ956">
        <v>0</v>
      </c>
      <c r="AK956">
        <v>0</v>
      </c>
    </row>
    <row r="957" spans="1:37" x14ac:dyDescent="0.3">
      <c r="A957">
        <v>7979</v>
      </c>
      <c r="B957" t="s">
        <v>219</v>
      </c>
      <c r="D957" t="s">
        <v>327</v>
      </c>
      <c r="E957">
        <v>99999999</v>
      </c>
      <c r="F957">
        <v>11111111</v>
      </c>
      <c r="G957">
        <v>1111111111</v>
      </c>
      <c r="H957" t="s">
        <v>4526</v>
      </c>
      <c r="I957">
        <v>99999999</v>
      </c>
      <c r="J957" s="188">
        <v>45236</v>
      </c>
      <c r="K957" t="s">
        <v>4526</v>
      </c>
      <c r="L957" t="s">
        <v>4526</v>
      </c>
      <c r="M957" t="s">
        <v>1346</v>
      </c>
      <c r="N957" t="s">
        <v>97</v>
      </c>
      <c r="O957" t="s">
        <v>1476</v>
      </c>
      <c r="P957" t="s">
        <v>221</v>
      </c>
      <c r="Q957" t="s">
        <v>82</v>
      </c>
      <c r="R957">
        <v>1</v>
      </c>
      <c r="S957">
        <v>1.2</v>
      </c>
      <c r="T957">
        <v>0</v>
      </c>
      <c r="U957">
        <v>1</v>
      </c>
      <c r="V957">
        <v>1</v>
      </c>
      <c r="W957">
        <v>21.21</v>
      </c>
      <c r="X957">
        <v>0</v>
      </c>
      <c r="Y957">
        <v>0</v>
      </c>
      <c r="Z957">
        <v>0</v>
      </c>
      <c r="AA957">
        <v>0</v>
      </c>
      <c r="AB957">
        <v>0</v>
      </c>
      <c r="AC957">
        <v>0</v>
      </c>
      <c r="AD957">
        <v>1</v>
      </c>
      <c r="AE957">
        <v>0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</row>
    <row r="958" spans="1:37" x14ac:dyDescent="0.3">
      <c r="A958">
        <v>7979</v>
      </c>
      <c r="B958" t="s">
        <v>219</v>
      </c>
      <c r="D958" t="s">
        <v>327</v>
      </c>
      <c r="E958">
        <v>99999999</v>
      </c>
      <c r="F958">
        <v>11111111</v>
      </c>
      <c r="G958">
        <v>1111111111</v>
      </c>
      <c r="H958" t="s">
        <v>4527</v>
      </c>
      <c r="I958">
        <v>99999999</v>
      </c>
      <c r="J958" s="188">
        <v>45236</v>
      </c>
      <c r="K958" t="s">
        <v>4527</v>
      </c>
      <c r="L958" t="s">
        <v>4527</v>
      </c>
      <c r="M958" t="s">
        <v>1477</v>
      </c>
      <c r="N958" t="s">
        <v>130</v>
      </c>
      <c r="O958" t="s">
        <v>1478</v>
      </c>
      <c r="P958" t="s">
        <v>221</v>
      </c>
      <c r="Q958" t="s">
        <v>82</v>
      </c>
      <c r="R958">
        <v>1</v>
      </c>
      <c r="S958">
        <v>7</v>
      </c>
      <c r="T958">
        <v>0</v>
      </c>
      <c r="U958">
        <v>1</v>
      </c>
      <c r="V958">
        <v>1</v>
      </c>
      <c r="W958">
        <v>31.69</v>
      </c>
      <c r="X958">
        <v>0</v>
      </c>
      <c r="Y958">
        <v>0</v>
      </c>
      <c r="Z958">
        <v>0</v>
      </c>
      <c r="AA958">
        <v>0</v>
      </c>
      <c r="AB958">
        <v>0</v>
      </c>
      <c r="AC958">
        <v>0</v>
      </c>
      <c r="AD958">
        <v>1</v>
      </c>
      <c r="AE958">
        <v>0</v>
      </c>
      <c r="AF958">
        <v>0</v>
      </c>
      <c r="AG958">
        <v>0</v>
      </c>
      <c r="AH958">
        <v>0</v>
      </c>
      <c r="AI958">
        <v>0</v>
      </c>
      <c r="AJ958">
        <v>0</v>
      </c>
      <c r="AK958">
        <v>0</v>
      </c>
    </row>
    <row r="959" spans="1:37" x14ac:dyDescent="0.3">
      <c r="A959">
        <v>7979</v>
      </c>
      <c r="B959" t="s">
        <v>219</v>
      </c>
      <c r="D959" t="s">
        <v>327</v>
      </c>
      <c r="E959">
        <v>99999999</v>
      </c>
      <c r="F959">
        <v>11111111</v>
      </c>
      <c r="G959">
        <v>1111111111</v>
      </c>
      <c r="H959" t="s">
        <v>4528</v>
      </c>
      <c r="I959">
        <v>99999999</v>
      </c>
      <c r="J959" s="188">
        <v>45236</v>
      </c>
      <c r="K959" t="s">
        <v>4528</v>
      </c>
      <c r="L959" t="s">
        <v>4528</v>
      </c>
      <c r="M959" t="s">
        <v>448</v>
      </c>
      <c r="N959" t="s">
        <v>197</v>
      </c>
      <c r="O959" t="s">
        <v>1479</v>
      </c>
      <c r="P959" t="s">
        <v>221</v>
      </c>
      <c r="Q959" t="s">
        <v>82</v>
      </c>
      <c r="R959">
        <v>1</v>
      </c>
      <c r="S959">
        <v>10</v>
      </c>
      <c r="T959">
        <v>0</v>
      </c>
      <c r="U959">
        <v>1</v>
      </c>
      <c r="V959">
        <v>1</v>
      </c>
      <c r="W959">
        <v>31.23</v>
      </c>
      <c r="X959">
        <v>0</v>
      </c>
      <c r="Y959">
        <v>0</v>
      </c>
      <c r="Z959">
        <v>0</v>
      </c>
      <c r="AA959">
        <v>0</v>
      </c>
      <c r="AB959">
        <v>0</v>
      </c>
      <c r="AC959">
        <v>0</v>
      </c>
      <c r="AD959">
        <v>1</v>
      </c>
      <c r="AE959">
        <v>0</v>
      </c>
      <c r="AF959">
        <v>0</v>
      </c>
      <c r="AG959">
        <v>0</v>
      </c>
      <c r="AH959">
        <v>0</v>
      </c>
      <c r="AI959">
        <v>0</v>
      </c>
      <c r="AJ959">
        <v>0</v>
      </c>
      <c r="AK959">
        <v>0</v>
      </c>
    </row>
    <row r="960" spans="1:37" x14ac:dyDescent="0.3">
      <c r="A960">
        <v>7979</v>
      </c>
      <c r="B960" t="s">
        <v>219</v>
      </c>
      <c r="D960" t="s">
        <v>327</v>
      </c>
      <c r="E960">
        <v>99999999</v>
      </c>
      <c r="F960">
        <v>11111111</v>
      </c>
      <c r="G960">
        <v>1111111111</v>
      </c>
      <c r="H960" t="s">
        <v>4529</v>
      </c>
      <c r="I960">
        <v>99999999</v>
      </c>
      <c r="J960" s="188">
        <v>45236</v>
      </c>
      <c r="K960" t="s">
        <v>4529</v>
      </c>
      <c r="L960" t="s">
        <v>4529</v>
      </c>
      <c r="M960" t="s">
        <v>1480</v>
      </c>
      <c r="N960" t="s">
        <v>197</v>
      </c>
      <c r="O960" t="s">
        <v>1481</v>
      </c>
      <c r="P960" t="s">
        <v>221</v>
      </c>
      <c r="Q960" t="s">
        <v>82</v>
      </c>
      <c r="R960">
        <v>2</v>
      </c>
      <c r="S960">
        <v>30</v>
      </c>
      <c r="T960">
        <v>0</v>
      </c>
      <c r="U960">
        <v>1</v>
      </c>
      <c r="V960">
        <v>1</v>
      </c>
      <c r="W960">
        <v>50.85</v>
      </c>
      <c r="X960">
        <v>0</v>
      </c>
      <c r="Y960">
        <v>0</v>
      </c>
      <c r="Z960">
        <v>0</v>
      </c>
      <c r="AA960">
        <v>0</v>
      </c>
      <c r="AB960">
        <v>0</v>
      </c>
      <c r="AC960">
        <v>0</v>
      </c>
      <c r="AD960">
        <v>2</v>
      </c>
      <c r="AE960">
        <v>0</v>
      </c>
      <c r="AF960">
        <v>0</v>
      </c>
      <c r="AG960">
        <v>0</v>
      </c>
      <c r="AH960">
        <v>0</v>
      </c>
      <c r="AI960">
        <v>0</v>
      </c>
      <c r="AJ960">
        <v>0</v>
      </c>
      <c r="AK960">
        <v>0</v>
      </c>
    </row>
    <row r="961" spans="1:37" x14ac:dyDescent="0.3">
      <c r="A961">
        <v>7979</v>
      </c>
      <c r="B961" t="s">
        <v>219</v>
      </c>
      <c r="D961" t="s">
        <v>327</v>
      </c>
      <c r="E961">
        <v>99999999</v>
      </c>
      <c r="F961">
        <v>11111111</v>
      </c>
      <c r="G961">
        <v>1111111111</v>
      </c>
      <c r="H961" t="s">
        <v>4530</v>
      </c>
      <c r="I961">
        <v>99999999</v>
      </c>
      <c r="J961" s="188">
        <v>45236</v>
      </c>
      <c r="K961" t="s">
        <v>4530</v>
      </c>
      <c r="L961" t="s">
        <v>4530</v>
      </c>
      <c r="M961" t="s">
        <v>1482</v>
      </c>
      <c r="N961" t="s">
        <v>381</v>
      </c>
      <c r="O961" t="s">
        <v>1483</v>
      </c>
      <c r="P961" t="s">
        <v>221</v>
      </c>
      <c r="Q961" t="s">
        <v>82</v>
      </c>
      <c r="R961">
        <v>2</v>
      </c>
      <c r="S961">
        <v>6</v>
      </c>
      <c r="T961">
        <v>0</v>
      </c>
      <c r="U961">
        <v>1</v>
      </c>
      <c r="V961">
        <v>2</v>
      </c>
      <c r="W961">
        <v>23.54</v>
      </c>
      <c r="X961">
        <v>0</v>
      </c>
      <c r="Y961">
        <v>0</v>
      </c>
      <c r="Z961">
        <v>0</v>
      </c>
      <c r="AA961">
        <v>0</v>
      </c>
      <c r="AB961">
        <v>0</v>
      </c>
      <c r="AC961">
        <v>0</v>
      </c>
      <c r="AD961">
        <v>2</v>
      </c>
      <c r="AE961">
        <v>0</v>
      </c>
      <c r="AF961">
        <v>0</v>
      </c>
      <c r="AG961">
        <v>0</v>
      </c>
      <c r="AH961">
        <v>0</v>
      </c>
      <c r="AI961">
        <v>0</v>
      </c>
      <c r="AJ961">
        <v>0</v>
      </c>
      <c r="AK961">
        <v>0</v>
      </c>
    </row>
    <row r="962" spans="1:37" x14ac:dyDescent="0.3">
      <c r="A962">
        <v>7979</v>
      </c>
      <c r="B962" t="s">
        <v>219</v>
      </c>
      <c r="D962" t="s">
        <v>327</v>
      </c>
      <c r="E962">
        <v>99999999</v>
      </c>
      <c r="F962">
        <v>11111111</v>
      </c>
      <c r="G962">
        <v>1111111111</v>
      </c>
      <c r="H962" t="s">
        <v>4531</v>
      </c>
      <c r="I962">
        <v>99999999</v>
      </c>
      <c r="J962" s="188">
        <v>45236</v>
      </c>
      <c r="K962" t="s">
        <v>4531</v>
      </c>
      <c r="L962" t="s">
        <v>4531</v>
      </c>
      <c r="M962" t="s">
        <v>749</v>
      </c>
      <c r="N962" t="s">
        <v>130</v>
      </c>
      <c r="O962">
        <v>80908</v>
      </c>
      <c r="P962" t="s">
        <v>221</v>
      </c>
      <c r="Q962" t="s">
        <v>82</v>
      </c>
      <c r="R962">
        <v>1</v>
      </c>
      <c r="S962">
        <v>7.6</v>
      </c>
      <c r="T962">
        <v>0</v>
      </c>
      <c r="U962">
        <v>1</v>
      </c>
      <c r="V962">
        <v>1</v>
      </c>
      <c r="W962">
        <v>31.87</v>
      </c>
      <c r="X962">
        <v>0</v>
      </c>
      <c r="Y962">
        <v>0</v>
      </c>
      <c r="Z962">
        <v>0</v>
      </c>
      <c r="AA962">
        <v>0</v>
      </c>
      <c r="AB962">
        <v>0</v>
      </c>
      <c r="AC962">
        <v>0</v>
      </c>
      <c r="AD962">
        <v>1</v>
      </c>
      <c r="AE962">
        <v>0</v>
      </c>
      <c r="AF962">
        <v>0</v>
      </c>
      <c r="AG962">
        <v>0</v>
      </c>
      <c r="AH962">
        <v>0</v>
      </c>
      <c r="AI962">
        <v>0</v>
      </c>
      <c r="AJ962">
        <v>0</v>
      </c>
      <c r="AK962">
        <v>0</v>
      </c>
    </row>
    <row r="963" spans="1:37" x14ac:dyDescent="0.3">
      <c r="A963">
        <v>7979</v>
      </c>
      <c r="B963" t="s">
        <v>219</v>
      </c>
      <c r="D963" t="s">
        <v>327</v>
      </c>
      <c r="E963">
        <v>99999999</v>
      </c>
      <c r="F963">
        <v>11111111</v>
      </c>
      <c r="G963">
        <v>1111111111</v>
      </c>
      <c r="H963" t="s">
        <v>4532</v>
      </c>
      <c r="I963">
        <v>99999999</v>
      </c>
      <c r="J963" s="188">
        <v>45236</v>
      </c>
      <c r="K963" t="s">
        <v>4532</v>
      </c>
      <c r="L963" t="s">
        <v>4532</v>
      </c>
      <c r="M963" t="s">
        <v>1484</v>
      </c>
      <c r="N963" t="s">
        <v>97</v>
      </c>
      <c r="O963" t="s">
        <v>1485</v>
      </c>
      <c r="P963" t="s">
        <v>221</v>
      </c>
      <c r="Q963" t="s">
        <v>82</v>
      </c>
      <c r="R963">
        <v>1</v>
      </c>
      <c r="S963">
        <v>6.2</v>
      </c>
      <c r="T963">
        <v>0</v>
      </c>
      <c r="U963">
        <v>1</v>
      </c>
      <c r="V963">
        <v>1</v>
      </c>
      <c r="W963">
        <v>23.54</v>
      </c>
      <c r="X963">
        <v>0</v>
      </c>
      <c r="Y963">
        <v>0</v>
      </c>
      <c r="Z963">
        <v>0</v>
      </c>
      <c r="AA963">
        <v>0</v>
      </c>
      <c r="AB963">
        <v>0</v>
      </c>
      <c r="AC963">
        <v>0</v>
      </c>
      <c r="AD963">
        <v>1</v>
      </c>
      <c r="AE963">
        <v>0</v>
      </c>
      <c r="AF963">
        <v>0</v>
      </c>
      <c r="AG963">
        <v>0</v>
      </c>
      <c r="AH963">
        <v>0</v>
      </c>
      <c r="AI963">
        <v>0</v>
      </c>
      <c r="AJ963">
        <v>0</v>
      </c>
      <c r="AK963">
        <v>0</v>
      </c>
    </row>
    <row r="964" spans="1:37" x14ac:dyDescent="0.3">
      <c r="A964">
        <v>7979</v>
      </c>
      <c r="B964" t="s">
        <v>219</v>
      </c>
      <c r="D964" t="s">
        <v>327</v>
      </c>
      <c r="E964">
        <v>99999999</v>
      </c>
      <c r="F964">
        <v>11111111</v>
      </c>
      <c r="G964">
        <v>1111111111</v>
      </c>
      <c r="H964" t="s">
        <v>4533</v>
      </c>
      <c r="I964">
        <v>99999999</v>
      </c>
      <c r="J964" s="188">
        <v>45236</v>
      </c>
      <c r="K964" t="s">
        <v>4533</v>
      </c>
      <c r="L964" t="s">
        <v>4533</v>
      </c>
      <c r="M964" t="s">
        <v>1486</v>
      </c>
      <c r="N964" t="s">
        <v>97</v>
      </c>
      <c r="O964" t="s">
        <v>1487</v>
      </c>
      <c r="P964" t="s">
        <v>221</v>
      </c>
      <c r="Q964" t="s">
        <v>82</v>
      </c>
      <c r="R964">
        <v>1</v>
      </c>
      <c r="S964">
        <v>10</v>
      </c>
      <c r="T964">
        <v>0</v>
      </c>
      <c r="U964">
        <v>1</v>
      </c>
      <c r="V964">
        <v>1</v>
      </c>
      <c r="W964">
        <v>32.909999999999997</v>
      </c>
      <c r="X964">
        <v>0</v>
      </c>
      <c r="Y964">
        <v>0</v>
      </c>
      <c r="Z964">
        <v>0</v>
      </c>
      <c r="AA964">
        <v>0</v>
      </c>
      <c r="AB964">
        <v>0</v>
      </c>
      <c r="AC964">
        <v>0</v>
      </c>
      <c r="AD964">
        <v>1</v>
      </c>
      <c r="AE964">
        <v>0</v>
      </c>
      <c r="AF964">
        <v>0</v>
      </c>
      <c r="AG964">
        <v>0</v>
      </c>
      <c r="AH964">
        <v>0</v>
      </c>
      <c r="AI964">
        <v>0</v>
      </c>
      <c r="AJ964">
        <v>0</v>
      </c>
      <c r="AK964">
        <v>0</v>
      </c>
    </row>
    <row r="965" spans="1:37" x14ac:dyDescent="0.3">
      <c r="A965">
        <v>7979</v>
      </c>
      <c r="B965" t="s">
        <v>219</v>
      </c>
      <c r="D965" t="s">
        <v>327</v>
      </c>
      <c r="E965">
        <v>99999999</v>
      </c>
      <c r="F965">
        <v>11111111</v>
      </c>
      <c r="G965">
        <v>1111111111</v>
      </c>
      <c r="H965" t="s">
        <v>4534</v>
      </c>
      <c r="I965">
        <v>99999999</v>
      </c>
      <c r="J965" s="188">
        <v>45236</v>
      </c>
      <c r="K965" t="s">
        <v>4534</v>
      </c>
      <c r="L965" t="s">
        <v>4534</v>
      </c>
      <c r="M965" t="s">
        <v>193</v>
      </c>
      <c r="N965" t="s">
        <v>85</v>
      </c>
      <c r="O965" t="s">
        <v>1488</v>
      </c>
      <c r="P965" t="s">
        <v>221</v>
      </c>
      <c r="Q965" t="s">
        <v>82</v>
      </c>
      <c r="R965">
        <v>1</v>
      </c>
      <c r="S965">
        <v>5.4</v>
      </c>
      <c r="T965">
        <v>0</v>
      </c>
      <c r="U965">
        <v>1</v>
      </c>
      <c r="V965">
        <v>1</v>
      </c>
      <c r="W965">
        <v>23.09</v>
      </c>
      <c r="X965">
        <v>0</v>
      </c>
      <c r="Y965">
        <v>0</v>
      </c>
      <c r="Z965">
        <v>0</v>
      </c>
      <c r="AA965">
        <v>0</v>
      </c>
      <c r="AB965">
        <v>0</v>
      </c>
      <c r="AC965">
        <v>0</v>
      </c>
      <c r="AD965">
        <v>1</v>
      </c>
      <c r="AE965">
        <v>0</v>
      </c>
      <c r="AF965">
        <v>0</v>
      </c>
      <c r="AG965">
        <v>0</v>
      </c>
      <c r="AH965">
        <v>0</v>
      </c>
      <c r="AI965">
        <v>0</v>
      </c>
      <c r="AJ965">
        <v>0</v>
      </c>
      <c r="AK965">
        <v>0</v>
      </c>
    </row>
    <row r="966" spans="1:37" x14ac:dyDescent="0.3">
      <c r="A966">
        <v>7979</v>
      </c>
      <c r="B966" t="s">
        <v>219</v>
      </c>
      <c r="D966" t="s">
        <v>327</v>
      </c>
      <c r="E966">
        <v>99999999</v>
      </c>
      <c r="F966">
        <v>11111111</v>
      </c>
      <c r="G966">
        <v>1111111111</v>
      </c>
      <c r="H966" t="s">
        <v>4535</v>
      </c>
      <c r="I966">
        <v>99999999</v>
      </c>
      <c r="J966" s="188">
        <v>45236</v>
      </c>
      <c r="K966" t="s">
        <v>4535</v>
      </c>
      <c r="L966" t="s">
        <v>4535</v>
      </c>
      <c r="M966" t="s">
        <v>1426</v>
      </c>
      <c r="N966" t="s">
        <v>197</v>
      </c>
      <c r="O966" t="s">
        <v>1489</v>
      </c>
      <c r="P966" t="s">
        <v>221</v>
      </c>
      <c r="Q966" t="s">
        <v>82</v>
      </c>
      <c r="R966">
        <v>1</v>
      </c>
      <c r="S966">
        <v>10</v>
      </c>
      <c r="T966">
        <v>0</v>
      </c>
      <c r="U966">
        <v>1</v>
      </c>
      <c r="V966">
        <v>1</v>
      </c>
      <c r="W966">
        <v>27.44</v>
      </c>
      <c r="X966">
        <v>0</v>
      </c>
      <c r="Y966">
        <v>0</v>
      </c>
      <c r="Z966">
        <v>0</v>
      </c>
      <c r="AA966">
        <v>0</v>
      </c>
      <c r="AB966">
        <v>0</v>
      </c>
      <c r="AC966">
        <v>0</v>
      </c>
      <c r="AD966">
        <v>1</v>
      </c>
      <c r="AE966">
        <v>0</v>
      </c>
      <c r="AF966">
        <v>0</v>
      </c>
      <c r="AG966">
        <v>0</v>
      </c>
      <c r="AH966">
        <v>0</v>
      </c>
      <c r="AI966">
        <v>0</v>
      </c>
      <c r="AJ966">
        <v>0</v>
      </c>
      <c r="AK966">
        <v>0</v>
      </c>
    </row>
    <row r="967" spans="1:37" x14ac:dyDescent="0.3">
      <c r="A967">
        <v>7979</v>
      </c>
      <c r="B967" t="s">
        <v>219</v>
      </c>
      <c r="D967" t="s">
        <v>327</v>
      </c>
      <c r="E967">
        <v>99999999</v>
      </c>
      <c r="F967">
        <v>11111111</v>
      </c>
      <c r="G967">
        <v>1111111111</v>
      </c>
      <c r="H967" t="s">
        <v>4536</v>
      </c>
      <c r="I967">
        <v>99999999</v>
      </c>
      <c r="J967" s="188">
        <v>45236</v>
      </c>
      <c r="K967" t="s">
        <v>4536</v>
      </c>
      <c r="L967" t="s">
        <v>4536</v>
      </c>
      <c r="M967" t="s">
        <v>1490</v>
      </c>
      <c r="N967" t="s">
        <v>97</v>
      </c>
      <c r="O967" t="s">
        <v>1491</v>
      </c>
      <c r="P967" t="s">
        <v>221</v>
      </c>
      <c r="Q967" t="s">
        <v>82</v>
      </c>
      <c r="R967">
        <v>1</v>
      </c>
      <c r="S967">
        <v>5.2</v>
      </c>
      <c r="T967">
        <v>0</v>
      </c>
      <c r="U967">
        <v>1</v>
      </c>
      <c r="V967">
        <v>1</v>
      </c>
      <c r="W967">
        <v>23.09</v>
      </c>
      <c r="X967">
        <v>0</v>
      </c>
      <c r="Y967">
        <v>0</v>
      </c>
      <c r="Z967">
        <v>0</v>
      </c>
      <c r="AA967">
        <v>0</v>
      </c>
      <c r="AB967">
        <v>0</v>
      </c>
      <c r="AC967">
        <v>0</v>
      </c>
      <c r="AD967">
        <v>1</v>
      </c>
      <c r="AE967">
        <v>0</v>
      </c>
      <c r="AF967">
        <v>0</v>
      </c>
      <c r="AG967">
        <v>0</v>
      </c>
      <c r="AH967">
        <v>0</v>
      </c>
      <c r="AI967">
        <v>0</v>
      </c>
      <c r="AJ967">
        <v>0</v>
      </c>
      <c r="AK967">
        <v>0</v>
      </c>
    </row>
    <row r="968" spans="1:37" x14ac:dyDescent="0.3">
      <c r="A968">
        <v>7979</v>
      </c>
      <c r="B968" t="s">
        <v>219</v>
      </c>
      <c r="D968" t="s">
        <v>327</v>
      </c>
      <c r="E968">
        <v>99999999</v>
      </c>
      <c r="F968">
        <v>11111111</v>
      </c>
      <c r="G968">
        <v>1111111111</v>
      </c>
      <c r="H968" t="s">
        <v>4537</v>
      </c>
      <c r="I968">
        <v>99999999</v>
      </c>
      <c r="J968" s="188">
        <v>45236</v>
      </c>
      <c r="K968" t="s">
        <v>4537</v>
      </c>
      <c r="L968" t="s">
        <v>4537</v>
      </c>
      <c r="M968" t="s">
        <v>1492</v>
      </c>
      <c r="N968" t="s">
        <v>164</v>
      </c>
      <c r="O968" t="s">
        <v>1493</v>
      </c>
      <c r="P968" t="s">
        <v>221</v>
      </c>
      <c r="Q968" t="s">
        <v>82</v>
      </c>
      <c r="R968">
        <v>1</v>
      </c>
      <c r="S968">
        <v>7.5</v>
      </c>
      <c r="T968">
        <v>0</v>
      </c>
      <c r="U968">
        <v>1</v>
      </c>
      <c r="V968">
        <v>1</v>
      </c>
      <c r="W968">
        <v>24.15</v>
      </c>
      <c r="X968">
        <v>0</v>
      </c>
      <c r="Y968">
        <v>0</v>
      </c>
      <c r="Z968">
        <v>0</v>
      </c>
      <c r="AA968">
        <v>0</v>
      </c>
      <c r="AB968">
        <v>0</v>
      </c>
      <c r="AC968">
        <v>0</v>
      </c>
      <c r="AD968">
        <v>1</v>
      </c>
      <c r="AE968">
        <v>0</v>
      </c>
      <c r="AF968">
        <v>0</v>
      </c>
      <c r="AG968">
        <v>0</v>
      </c>
      <c r="AH968">
        <v>0</v>
      </c>
      <c r="AI968">
        <v>0</v>
      </c>
      <c r="AJ968">
        <v>0</v>
      </c>
      <c r="AK968">
        <v>0</v>
      </c>
    </row>
    <row r="969" spans="1:37" x14ac:dyDescent="0.3">
      <c r="A969">
        <v>7979</v>
      </c>
      <c r="B969" t="s">
        <v>219</v>
      </c>
      <c r="D969" t="s">
        <v>327</v>
      </c>
      <c r="E969">
        <v>99999999</v>
      </c>
      <c r="F969">
        <v>11111111</v>
      </c>
      <c r="G969">
        <v>1111111111</v>
      </c>
      <c r="H969" t="s">
        <v>4538</v>
      </c>
      <c r="I969">
        <v>99999999</v>
      </c>
      <c r="J969" s="188">
        <v>45236</v>
      </c>
      <c r="K969" t="s">
        <v>4538</v>
      </c>
      <c r="L969" t="s">
        <v>4538</v>
      </c>
      <c r="M969" t="s">
        <v>196</v>
      </c>
      <c r="N969" t="s">
        <v>99</v>
      </c>
      <c r="O969" t="s">
        <v>1494</v>
      </c>
      <c r="P969" t="s">
        <v>221</v>
      </c>
      <c r="Q969" t="s">
        <v>82</v>
      </c>
      <c r="R969">
        <v>2</v>
      </c>
      <c r="S969">
        <v>10.4</v>
      </c>
      <c r="T969">
        <v>0</v>
      </c>
      <c r="U969">
        <v>1</v>
      </c>
      <c r="V969">
        <v>1</v>
      </c>
      <c r="W969">
        <v>24.65</v>
      </c>
      <c r="X969">
        <v>0</v>
      </c>
      <c r="Y969">
        <v>0</v>
      </c>
      <c r="Z969">
        <v>0</v>
      </c>
      <c r="AA969">
        <v>0</v>
      </c>
      <c r="AB969">
        <v>0</v>
      </c>
      <c r="AC969">
        <v>0</v>
      </c>
      <c r="AD969">
        <v>2</v>
      </c>
      <c r="AE969">
        <v>0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0</v>
      </c>
    </row>
    <row r="970" spans="1:37" x14ac:dyDescent="0.3">
      <c r="A970">
        <v>7979</v>
      </c>
      <c r="B970" t="s">
        <v>219</v>
      </c>
      <c r="D970" t="s">
        <v>327</v>
      </c>
      <c r="E970">
        <v>99999999</v>
      </c>
      <c r="F970">
        <v>11111111</v>
      </c>
      <c r="G970">
        <v>1111111111</v>
      </c>
      <c r="H970" t="s">
        <v>4539</v>
      </c>
      <c r="I970">
        <v>99999999</v>
      </c>
      <c r="J970" s="188">
        <v>45236</v>
      </c>
      <c r="K970" t="s">
        <v>4539</v>
      </c>
      <c r="L970" t="s">
        <v>4539</v>
      </c>
      <c r="M970" t="s">
        <v>649</v>
      </c>
      <c r="N970" t="s">
        <v>97</v>
      </c>
      <c r="O970" t="s">
        <v>650</v>
      </c>
      <c r="P970" t="s">
        <v>221</v>
      </c>
      <c r="Q970" t="s">
        <v>82</v>
      </c>
      <c r="R970">
        <v>1</v>
      </c>
      <c r="S970">
        <v>8.69</v>
      </c>
      <c r="T970">
        <v>0</v>
      </c>
      <c r="U970">
        <v>1</v>
      </c>
      <c r="V970">
        <v>1</v>
      </c>
      <c r="W970">
        <v>30.53</v>
      </c>
      <c r="X970">
        <v>0</v>
      </c>
      <c r="Y970">
        <v>0</v>
      </c>
      <c r="Z970">
        <v>0</v>
      </c>
      <c r="AA970">
        <v>0</v>
      </c>
      <c r="AB970">
        <v>0</v>
      </c>
      <c r="AC970">
        <v>0</v>
      </c>
      <c r="AD970">
        <v>1</v>
      </c>
      <c r="AE970">
        <v>0</v>
      </c>
      <c r="AF970">
        <v>0</v>
      </c>
      <c r="AG970">
        <v>0</v>
      </c>
      <c r="AH970">
        <v>0</v>
      </c>
      <c r="AI970">
        <v>0</v>
      </c>
      <c r="AJ970">
        <v>0</v>
      </c>
      <c r="AK970">
        <v>0</v>
      </c>
    </row>
    <row r="971" spans="1:37" x14ac:dyDescent="0.3">
      <c r="A971">
        <v>7979</v>
      </c>
      <c r="B971" t="s">
        <v>219</v>
      </c>
      <c r="D971" t="s">
        <v>327</v>
      </c>
      <c r="E971">
        <v>99999999</v>
      </c>
      <c r="F971">
        <v>11111111</v>
      </c>
      <c r="G971">
        <v>1111111111</v>
      </c>
      <c r="H971" t="s">
        <v>4540</v>
      </c>
      <c r="I971">
        <v>99999999</v>
      </c>
      <c r="J971" s="188">
        <v>45236</v>
      </c>
      <c r="K971" t="s">
        <v>4540</v>
      </c>
      <c r="L971" t="s">
        <v>4540</v>
      </c>
      <c r="M971" t="s">
        <v>1495</v>
      </c>
      <c r="N971" t="s">
        <v>197</v>
      </c>
      <c r="O971" t="s">
        <v>1496</v>
      </c>
      <c r="P971" t="s">
        <v>221</v>
      </c>
      <c r="Q971" t="s">
        <v>82</v>
      </c>
      <c r="R971">
        <v>1</v>
      </c>
      <c r="S971">
        <v>5.6</v>
      </c>
      <c r="T971">
        <v>0</v>
      </c>
      <c r="U971">
        <v>1</v>
      </c>
      <c r="V971">
        <v>1</v>
      </c>
      <c r="W971">
        <v>26.69</v>
      </c>
      <c r="X971">
        <v>0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1</v>
      </c>
      <c r="AE971">
        <v>0</v>
      </c>
      <c r="AF971">
        <v>0</v>
      </c>
      <c r="AG971">
        <v>0</v>
      </c>
      <c r="AH971">
        <v>0</v>
      </c>
      <c r="AI971">
        <v>0</v>
      </c>
      <c r="AJ971">
        <v>0</v>
      </c>
      <c r="AK971">
        <v>0</v>
      </c>
    </row>
    <row r="972" spans="1:37" x14ac:dyDescent="0.3">
      <c r="A972">
        <v>7979</v>
      </c>
      <c r="B972" t="s">
        <v>219</v>
      </c>
      <c r="D972" t="s">
        <v>327</v>
      </c>
      <c r="E972">
        <v>99999999</v>
      </c>
      <c r="F972">
        <v>11111111</v>
      </c>
      <c r="G972">
        <v>1111111111</v>
      </c>
      <c r="H972" t="s">
        <v>4541</v>
      </c>
      <c r="I972">
        <v>99999999</v>
      </c>
      <c r="J972" s="188">
        <v>45236</v>
      </c>
      <c r="K972" t="s">
        <v>4541</v>
      </c>
      <c r="L972" t="s">
        <v>4541</v>
      </c>
      <c r="M972" t="s">
        <v>1497</v>
      </c>
      <c r="N972" t="s">
        <v>814</v>
      </c>
      <c r="O972" t="s">
        <v>1498</v>
      </c>
      <c r="P972" t="s">
        <v>221</v>
      </c>
      <c r="Q972" t="s">
        <v>82</v>
      </c>
      <c r="R972">
        <v>1</v>
      </c>
      <c r="S972">
        <v>2.2000000000000002</v>
      </c>
      <c r="T972">
        <v>0</v>
      </c>
      <c r="U972">
        <v>1</v>
      </c>
      <c r="V972">
        <v>1</v>
      </c>
      <c r="W972">
        <v>30.93</v>
      </c>
      <c r="X972">
        <v>0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1</v>
      </c>
      <c r="AE972">
        <v>0</v>
      </c>
      <c r="AF972">
        <v>0</v>
      </c>
      <c r="AG972">
        <v>0</v>
      </c>
      <c r="AH972">
        <v>0</v>
      </c>
      <c r="AI972">
        <v>0</v>
      </c>
      <c r="AJ972">
        <v>0</v>
      </c>
      <c r="AK972">
        <v>0</v>
      </c>
    </row>
    <row r="973" spans="1:37" x14ac:dyDescent="0.3">
      <c r="A973">
        <v>7979</v>
      </c>
      <c r="B973" t="s">
        <v>219</v>
      </c>
      <c r="D973" t="s">
        <v>327</v>
      </c>
      <c r="E973">
        <v>99999999</v>
      </c>
      <c r="F973">
        <v>11111111</v>
      </c>
      <c r="G973">
        <v>1111111111</v>
      </c>
      <c r="H973" t="s">
        <v>4542</v>
      </c>
      <c r="I973">
        <v>99999999</v>
      </c>
      <c r="J973" s="188">
        <v>45236</v>
      </c>
      <c r="K973" t="s">
        <v>4542</v>
      </c>
      <c r="L973" t="s">
        <v>4542</v>
      </c>
      <c r="M973" t="s">
        <v>1499</v>
      </c>
      <c r="N973" t="s">
        <v>99</v>
      </c>
      <c r="O973" t="s">
        <v>1500</v>
      </c>
      <c r="P973" t="s">
        <v>221</v>
      </c>
      <c r="Q973" t="s">
        <v>82</v>
      </c>
      <c r="R973">
        <v>1</v>
      </c>
      <c r="S973">
        <v>11.5</v>
      </c>
      <c r="T973">
        <v>0</v>
      </c>
      <c r="U973">
        <v>1</v>
      </c>
      <c r="V973">
        <v>1</v>
      </c>
      <c r="W973">
        <v>23.75</v>
      </c>
      <c r="X973">
        <v>0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1</v>
      </c>
      <c r="AE973">
        <v>0</v>
      </c>
      <c r="AF973">
        <v>0</v>
      </c>
      <c r="AG973">
        <v>0</v>
      </c>
      <c r="AH973">
        <v>0</v>
      </c>
      <c r="AI973">
        <v>0</v>
      </c>
      <c r="AJ973">
        <v>0</v>
      </c>
      <c r="AK973">
        <v>0</v>
      </c>
    </row>
    <row r="974" spans="1:37" x14ac:dyDescent="0.3">
      <c r="A974">
        <v>7979</v>
      </c>
      <c r="B974" t="s">
        <v>219</v>
      </c>
      <c r="D974" t="s">
        <v>327</v>
      </c>
      <c r="E974">
        <v>99999999</v>
      </c>
      <c r="F974">
        <v>11111111</v>
      </c>
      <c r="G974">
        <v>1111111111</v>
      </c>
      <c r="H974" t="s">
        <v>4543</v>
      </c>
      <c r="I974">
        <v>99999999</v>
      </c>
      <c r="J974" s="188">
        <v>45236</v>
      </c>
      <c r="K974" t="s">
        <v>4543</v>
      </c>
      <c r="L974" t="s">
        <v>4543</v>
      </c>
      <c r="M974" t="s">
        <v>337</v>
      </c>
      <c r="N974" t="s">
        <v>99</v>
      </c>
      <c r="O974" t="s">
        <v>1501</v>
      </c>
      <c r="P974" t="s">
        <v>221</v>
      </c>
      <c r="Q974" t="s">
        <v>82</v>
      </c>
      <c r="R974">
        <v>1</v>
      </c>
      <c r="S974">
        <v>5.0999999999999996</v>
      </c>
      <c r="T974">
        <v>0</v>
      </c>
      <c r="U974">
        <v>1</v>
      </c>
      <c r="V974">
        <v>1</v>
      </c>
      <c r="W974">
        <v>20.02</v>
      </c>
      <c r="X974">
        <v>0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1</v>
      </c>
      <c r="AE974">
        <v>0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</row>
    <row r="975" spans="1:37" x14ac:dyDescent="0.3">
      <c r="A975">
        <v>7979</v>
      </c>
      <c r="B975" t="s">
        <v>219</v>
      </c>
      <c r="D975" t="s">
        <v>327</v>
      </c>
      <c r="E975">
        <v>99999999</v>
      </c>
      <c r="F975">
        <v>11111111</v>
      </c>
      <c r="G975">
        <v>1111111111</v>
      </c>
      <c r="H975" t="s">
        <v>4544</v>
      </c>
      <c r="I975">
        <v>99999999</v>
      </c>
      <c r="J975" s="188">
        <v>45236</v>
      </c>
      <c r="K975" t="s">
        <v>4544</v>
      </c>
      <c r="L975" t="s">
        <v>4544</v>
      </c>
      <c r="M975" t="s">
        <v>1502</v>
      </c>
      <c r="N975" t="s">
        <v>99</v>
      </c>
      <c r="O975">
        <v>94028</v>
      </c>
      <c r="P975" t="s">
        <v>221</v>
      </c>
      <c r="Q975" t="s">
        <v>82</v>
      </c>
      <c r="R975">
        <v>1</v>
      </c>
      <c r="S975">
        <v>2.2000000000000002</v>
      </c>
      <c r="T975">
        <v>0</v>
      </c>
      <c r="U975">
        <v>1</v>
      </c>
      <c r="V975">
        <v>1</v>
      </c>
      <c r="W975">
        <v>26.8</v>
      </c>
      <c r="X975">
        <v>0</v>
      </c>
      <c r="Y975">
        <v>0</v>
      </c>
      <c r="Z975">
        <v>0</v>
      </c>
      <c r="AA975">
        <v>0</v>
      </c>
      <c r="AB975">
        <v>0</v>
      </c>
      <c r="AC975">
        <v>0</v>
      </c>
      <c r="AD975">
        <v>1</v>
      </c>
      <c r="AE975">
        <v>0</v>
      </c>
      <c r="AF975">
        <v>0</v>
      </c>
      <c r="AG975">
        <v>0</v>
      </c>
      <c r="AH975">
        <v>0</v>
      </c>
      <c r="AI975">
        <v>0</v>
      </c>
      <c r="AJ975">
        <v>0</v>
      </c>
      <c r="AK975">
        <v>0</v>
      </c>
    </row>
    <row r="976" spans="1:37" x14ac:dyDescent="0.3">
      <c r="A976">
        <v>7979</v>
      </c>
      <c r="B976" t="s">
        <v>219</v>
      </c>
      <c r="D976" t="s">
        <v>327</v>
      </c>
      <c r="E976">
        <v>99999999</v>
      </c>
      <c r="F976">
        <v>11111111</v>
      </c>
      <c r="G976">
        <v>1111111111</v>
      </c>
      <c r="H976" t="s">
        <v>4545</v>
      </c>
      <c r="I976">
        <v>99999999</v>
      </c>
      <c r="J976" s="188">
        <v>45236</v>
      </c>
      <c r="K976" t="s">
        <v>4545</v>
      </c>
      <c r="L976" t="s">
        <v>4545</v>
      </c>
      <c r="M976" t="s">
        <v>1503</v>
      </c>
      <c r="N976" t="s">
        <v>91</v>
      </c>
      <c r="O976" t="s">
        <v>1504</v>
      </c>
      <c r="P976" t="s">
        <v>221</v>
      </c>
      <c r="Q976" t="s">
        <v>82</v>
      </c>
      <c r="R976">
        <v>1</v>
      </c>
      <c r="S976">
        <v>10</v>
      </c>
      <c r="T976">
        <v>0</v>
      </c>
      <c r="U976">
        <v>1</v>
      </c>
      <c r="V976">
        <v>1</v>
      </c>
      <c r="W976">
        <v>32.4</v>
      </c>
      <c r="X976">
        <v>0</v>
      </c>
      <c r="Y976">
        <v>0</v>
      </c>
      <c r="Z976">
        <v>0</v>
      </c>
      <c r="AA976">
        <v>0</v>
      </c>
      <c r="AB976">
        <v>0</v>
      </c>
      <c r="AC976">
        <v>0</v>
      </c>
      <c r="AD976">
        <v>1</v>
      </c>
      <c r="AE976">
        <v>0</v>
      </c>
      <c r="AF976">
        <v>0</v>
      </c>
      <c r="AG976">
        <v>0</v>
      </c>
      <c r="AH976">
        <v>0</v>
      </c>
      <c r="AI976">
        <v>0</v>
      </c>
      <c r="AJ976">
        <v>0</v>
      </c>
      <c r="AK976">
        <v>0</v>
      </c>
    </row>
    <row r="977" spans="1:37" x14ac:dyDescent="0.3">
      <c r="A977">
        <v>7979</v>
      </c>
      <c r="B977" t="s">
        <v>219</v>
      </c>
      <c r="D977" t="s">
        <v>327</v>
      </c>
      <c r="E977">
        <v>99999999</v>
      </c>
      <c r="F977">
        <v>11111111</v>
      </c>
      <c r="G977">
        <v>1111111111</v>
      </c>
      <c r="H977" t="s">
        <v>4546</v>
      </c>
      <c r="I977">
        <v>99999999</v>
      </c>
      <c r="J977" s="188">
        <v>45236</v>
      </c>
      <c r="K977" t="s">
        <v>4546</v>
      </c>
      <c r="L977" t="s">
        <v>4546</v>
      </c>
      <c r="M977" t="s">
        <v>1505</v>
      </c>
      <c r="N977" t="s">
        <v>99</v>
      </c>
      <c r="O977" t="s">
        <v>1506</v>
      </c>
      <c r="P977" t="s">
        <v>221</v>
      </c>
      <c r="Q977" t="s">
        <v>82</v>
      </c>
      <c r="R977">
        <v>1</v>
      </c>
      <c r="S977">
        <v>8</v>
      </c>
      <c r="T977">
        <v>0</v>
      </c>
      <c r="U977">
        <v>1</v>
      </c>
      <c r="V977">
        <v>1</v>
      </c>
      <c r="W977">
        <v>30.34</v>
      </c>
      <c r="X977">
        <v>0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1</v>
      </c>
      <c r="AE977">
        <v>0</v>
      </c>
      <c r="AF977">
        <v>0</v>
      </c>
      <c r="AG977">
        <v>0</v>
      </c>
      <c r="AH977">
        <v>0</v>
      </c>
      <c r="AI977">
        <v>0</v>
      </c>
      <c r="AJ977">
        <v>0</v>
      </c>
      <c r="AK977">
        <v>0</v>
      </c>
    </row>
    <row r="978" spans="1:37" x14ac:dyDescent="0.3">
      <c r="A978">
        <v>7979</v>
      </c>
      <c r="B978" t="s">
        <v>219</v>
      </c>
      <c r="D978" t="s">
        <v>327</v>
      </c>
      <c r="E978">
        <v>99999999</v>
      </c>
      <c r="F978">
        <v>11111111</v>
      </c>
      <c r="G978">
        <v>1111111111</v>
      </c>
      <c r="H978" t="s">
        <v>4547</v>
      </c>
      <c r="I978">
        <v>99999999</v>
      </c>
      <c r="J978" s="188">
        <v>45236</v>
      </c>
      <c r="K978" t="s">
        <v>4547</v>
      </c>
      <c r="L978" t="s">
        <v>4547</v>
      </c>
      <c r="M978" t="s">
        <v>771</v>
      </c>
      <c r="N978" t="s">
        <v>97</v>
      </c>
      <c r="O978" t="s">
        <v>1507</v>
      </c>
      <c r="P978" t="s">
        <v>221</v>
      </c>
      <c r="Q978" t="s">
        <v>82</v>
      </c>
      <c r="R978">
        <v>1</v>
      </c>
      <c r="S978">
        <v>2.64</v>
      </c>
      <c r="T978">
        <v>0</v>
      </c>
      <c r="U978">
        <v>1</v>
      </c>
      <c r="V978">
        <v>1</v>
      </c>
      <c r="W978">
        <v>22.52</v>
      </c>
      <c r="X978">
        <v>0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1</v>
      </c>
      <c r="AE978">
        <v>0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</row>
    <row r="979" spans="1:37" x14ac:dyDescent="0.3">
      <c r="A979">
        <v>7979</v>
      </c>
      <c r="B979" t="s">
        <v>219</v>
      </c>
      <c r="D979" t="s">
        <v>327</v>
      </c>
      <c r="E979">
        <v>99999999</v>
      </c>
      <c r="F979">
        <v>11111111</v>
      </c>
      <c r="G979">
        <v>1111111111</v>
      </c>
      <c r="H979" t="s">
        <v>4548</v>
      </c>
      <c r="I979">
        <v>99999999</v>
      </c>
      <c r="J979" s="188">
        <v>45236</v>
      </c>
      <c r="K979" t="s">
        <v>4548</v>
      </c>
      <c r="L979" t="s">
        <v>4548</v>
      </c>
      <c r="M979" t="s">
        <v>1508</v>
      </c>
      <c r="N979" t="s">
        <v>99</v>
      </c>
      <c r="O979">
        <v>94306</v>
      </c>
      <c r="P979" t="s">
        <v>221</v>
      </c>
      <c r="Q979" t="s">
        <v>82</v>
      </c>
      <c r="R979">
        <v>1</v>
      </c>
      <c r="S979">
        <v>2</v>
      </c>
      <c r="T979">
        <v>0</v>
      </c>
      <c r="U979">
        <v>1</v>
      </c>
      <c r="V979">
        <v>1</v>
      </c>
      <c r="W979">
        <v>20.67</v>
      </c>
      <c r="X979">
        <v>0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1</v>
      </c>
      <c r="AE979">
        <v>0</v>
      </c>
      <c r="AF979">
        <v>0</v>
      </c>
      <c r="AG979">
        <v>0</v>
      </c>
      <c r="AH979">
        <v>0</v>
      </c>
      <c r="AI979">
        <v>0</v>
      </c>
      <c r="AJ979">
        <v>0</v>
      </c>
      <c r="AK979">
        <v>0</v>
      </c>
    </row>
    <row r="980" spans="1:37" x14ac:dyDescent="0.3">
      <c r="A980">
        <v>7979</v>
      </c>
      <c r="B980" t="s">
        <v>219</v>
      </c>
      <c r="D980" t="s">
        <v>327</v>
      </c>
      <c r="E980">
        <v>99999999</v>
      </c>
      <c r="F980">
        <v>11111111</v>
      </c>
      <c r="G980">
        <v>1111111111</v>
      </c>
      <c r="H980" t="s">
        <v>4549</v>
      </c>
      <c r="I980">
        <v>99999999</v>
      </c>
      <c r="J980" s="188">
        <v>45236</v>
      </c>
      <c r="K980" t="s">
        <v>4549</v>
      </c>
      <c r="L980" t="s">
        <v>4549</v>
      </c>
      <c r="M980" t="s">
        <v>343</v>
      </c>
      <c r="N980" t="s">
        <v>164</v>
      </c>
      <c r="O980" t="s">
        <v>1509</v>
      </c>
      <c r="P980" t="s">
        <v>221</v>
      </c>
      <c r="Q980" t="s">
        <v>82</v>
      </c>
      <c r="R980">
        <v>1</v>
      </c>
      <c r="S980">
        <v>2.4</v>
      </c>
      <c r="T980">
        <v>0</v>
      </c>
      <c r="U980">
        <v>1</v>
      </c>
      <c r="V980">
        <v>1</v>
      </c>
      <c r="W980">
        <v>21.88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1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</row>
    <row r="981" spans="1:37" x14ac:dyDescent="0.3">
      <c r="A981">
        <v>7979</v>
      </c>
      <c r="B981" t="s">
        <v>219</v>
      </c>
      <c r="D981" t="s">
        <v>327</v>
      </c>
      <c r="E981">
        <v>99999999</v>
      </c>
      <c r="F981">
        <v>11111111</v>
      </c>
      <c r="G981">
        <v>1111111111</v>
      </c>
      <c r="H981" t="s">
        <v>4550</v>
      </c>
      <c r="I981">
        <v>99999999</v>
      </c>
      <c r="J981" s="188">
        <v>45236</v>
      </c>
      <c r="K981" t="s">
        <v>4550</v>
      </c>
      <c r="L981" t="s">
        <v>4550</v>
      </c>
      <c r="M981" t="s">
        <v>911</v>
      </c>
      <c r="N981" t="s">
        <v>97</v>
      </c>
      <c r="O981" t="s">
        <v>1510</v>
      </c>
      <c r="P981" t="s">
        <v>221</v>
      </c>
      <c r="Q981" t="s">
        <v>82</v>
      </c>
      <c r="R981">
        <v>1</v>
      </c>
      <c r="S981">
        <v>1.55</v>
      </c>
      <c r="T981">
        <v>0</v>
      </c>
      <c r="U981">
        <v>1</v>
      </c>
      <c r="V981">
        <v>1</v>
      </c>
      <c r="W981">
        <v>21.88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1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</row>
    <row r="982" spans="1:37" x14ac:dyDescent="0.3">
      <c r="A982">
        <v>7979</v>
      </c>
      <c r="B982" t="s">
        <v>219</v>
      </c>
      <c r="D982" t="s">
        <v>327</v>
      </c>
      <c r="E982">
        <v>99999999</v>
      </c>
      <c r="F982">
        <v>11111111</v>
      </c>
      <c r="G982">
        <v>1111111111</v>
      </c>
      <c r="H982" t="s">
        <v>4551</v>
      </c>
      <c r="I982">
        <v>99999999</v>
      </c>
      <c r="J982" s="188">
        <v>45236</v>
      </c>
      <c r="K982" t="s">
        <v>4551</v>
      </c>
      <c r="L982" t="s">
        <v>4551</v>
      </c>
      <c r="M982" t="s">
        <v>1511</v>
      </c>
      <c r="N982" t="s">
        <v>983</v>
      </c>
      <c r="O982" t="s">
        <v>1512</v>
      </c>
      <c r="P982" t="s">
        <v>221</v>
      </c>
      <c r="Q982" t="s">
        <v>82</v>
      </c>
      <c r="R982">
        <v>1</v>
      </c>
      <c r="S982">
        <v>4.5</v>
      </c>
      <c r="T982">
        <v>0</v>
      </c>
      <c r="U982">
        <v>1</v>
      </c>
      <c r="V982">
        <v>1</v>
      </c>
      <c r="W982">
        <v>27.34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1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</row>
    <row r="983" spans="1:37" x14ac:dyDescent="0.3">
      <c r="A983">
        <v>7979</v>
      </c>
      <c r="B983" t="s">
        <v>219</v>
      </c>
      <c r="D983" t="s">
        <v>327</v>
      </c>
      <c r="E983">
        <v>99999999</v>
      </c>
      <c r="F983">
        <v>11111111</v>
      </c>
      <c r="G983">
        <v>1111111111</v>
      </c>
      <c r="H983" t="s">
        <v>4552</v>
      </c>
      <c r="I983">
        <v>99999999</v>
      </c>
      <c r="J983" s="188">
        <v>45236</v>
      </c>
      <c r="K983" t="s">
        <v>4552</v>
      </c>
      <c r="L983" t="s">
        <v>4552</v>
      </c>
      <c r="M983" t="s">
        <v>1513</v>
      </c>
      <c r="N983" t="s">
        <v>814</v>
      </c>
      <c r="O983" t="s">
        <v>1514</v>
      </c>
      <c r="P983" t="s">
        <v>221</v>
      </c>
      <c r="Q983" t="s">
        <v>82</v>
      </c>
      <c r="R983">
        <v>1</v>
      </c>
      <c r="S983">
        <v>3.75</v>
      </c>
      <c r="T983">
        <v>0</v>
      </c>
      <c r="U983">
        <v>1</v>
      </c>
      <c r="V983">
        <v>1</v>
      </c>
      <c r="W983">
        <v>27.34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1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</row>
    <row r="984" spans="1:37" x14ac:dyDescent="0.3">
      <c r="A984">
        <v>7979</v>
      </c>
      <c r="B984" t="s">
        <v>219</v>
      </c>
      <c r="D984" t="s">
        <v>327</v>
      </c>
      <c r="E984">
        <v>99999999</v>
      </c>
      <c r="F984">
        <v>11111111</v>
      </c>
      <c r="G984">
        <v>1111111111</v>
      </c>
      <c r="H984" t="s">
        <v>4553</v>
      </c>
      <c r="I984">
        <v>99999999</v>
      </c>
      <c r="J984" s="188">
        <v>45236</v>
      </c>
      <c r="K984" t="s">
        <v>4553</v>
      </c>
      <c r="L984" t="s">
        <v>4553</v>
      </c>
      <c r="M984" t="s">
        <v>1137</v>
      </c>
      <c r="N984" t="s">
        <v>99</v>
      </c>
      <c r="O984" t="s">
        <v>1515</v>
      </c>
      <c r="P984" t="s">
        <v>221</v>
      </c>
      <c r="Q984" t="s">
        <v>82</v>
      </c>
      <c r="R984">
        <v>1</v>
      </c>
      <c r="S984">
        <v>2.8</v>
      </c>
      <c r="T984">
        <v>0</v>
      </c>
      <c r="U984">
        <v>1</v>
      </c>
      <c r="V984">
        <v>1</v>
      </c>
      <c r="W984">
        <v>22.52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1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</row>
    <row r="985" spans="1:37" x14ac:dyDescent="0.3">
      <c r="A985">
        <v>7979</v>
      </c>
      <c r="B985" t="s">
        <v>219</v>
      </c>
      <c r="D985" t="s">
        <v>327</v>
      </c>
      <c r="E985">
        <v>99999999</v>
      </c>
      <c r="F985">
        <v>11111111</v>
      </c>
      <c r="G985">
        <v>1111111111</v>
      </c>
      <c r="H985" t="s">
        <v>4554</v>
      </c>
      <c r="I985">
        <v>99999999</v>
      </c>
      <c r="J985" s="188">
        <v>45236</v>
      </c>
      <c r="K985" t="s">
        <v>4554</v>
      </c>
      <c r="L985" t="s">
        <v>4554</v>
      </c>
      <c r="M985" t="s">
        <v>374</v>
      </c>
      <c r="N985" t="s">
        <v>130</v>
      </c>
      <c r="O985" t="s">
        <v>1516</v>
      </c>
      <c r="P985" t="s">
        <v>221</v>
      </c>
      <c r="Q985" t="s">
        <v>82</v>
      </c>
      <c r="R985">
        <v>1</v>
      </c>
      <c r="S985">
        <v>2.8</v>
      </c>
      <c r="T985">
        <v>0</v>
      </c>
      <c r="U985">
        <v>1</v>
      </c>
      <c r="V985">
        <v>1</v>
      </c>
      <c r="W985">
        <v>23.59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1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</row>
    <row r="986" spans="1:37" x14ac:dyDescent="0.3">
      <c r="A986">
        <v>7979</v>
      </c>
      <c r="B986" t="s">
        <v>219</v>
      </c>
      <c r="D986" t="s">
        <v>327</v>
      </c>
      <c r="E986">
        <v>99999999</v>
      </c>
      <c r="F986">
        <v>11111111</v>
      </c>
      <c r="G986">
        <v>1111111111</v>
      </c>
      <c r="H986" t="s">
        <v>4555</v>
      </c>
      <c r="I986">
        <v>99999999</v>
      </c>
      <c r="J986" s="188">
        <v>45236</v>
      </c>
      <c r="K986" t="s">
        <v>4555</v>
      </c>
      <c r="L986" t="s">
        <v>4555</v>
      </c>
      <c r="M986" t="s">
        <v>1517</v>
      </c>
      <c r="N986" t="s">
        <v>197</v>
      </c>
      <c r="O986" t="s">
        <v>1518</v>
      </c>
      <c r="P986" t="s">
        <v>221</v>
      </c>
      <c r="Q986" t="s">
        <v>82</v>
      </c>
      <c r="R986">
        <v>1</v>
      </c>
      <c r="S986">
        <v>9.24</v>
      </c>
      <c r="T986">
        <v>0</v>
      </c>
      <c r="U986">
        <v>1</v>
      </c>
      <c r="V986">
        <v>1</v>
      </c>
      <c r="W986">
        <v>26.92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1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</row>
    <row r="987" spans="1:37" x14ac:dyDescent="0.3">
      <c r="A987">
        <v>7979</v>
      </c>
      <c r="B987" t="s">
        <v>219</v>
      </c>
      <c r="D987" t="s">
        <v>327</v>
      </c>
      <c r="E987">
        <v>99999999</v>
      </c>
      <c r="F987">
        <v>11111111</v>
      </c>
      <c r="G987">
        <v>1111111111</v>
      </c>
      <c r="H987" t="s">
        <v>4556</v>
      </c>
      <c r="I987">
        <v>99999999</v>
      </c>
      <c r="J987" s="188">
        <v>45236</v>
      </c>
      <c r="K987" t="s">
        <v>4556</v>
      </c>
      <c r="L987" t="s">
        <v>4556</v>
      </c>
      <c r="M987" t="s">
        <v>1519</v>
      </c>
      <c r="N987" t="s">
        <v>99</v>
      </c>
      <c r="O987" t="s">
        <v>1520</v>
      </c>
      <c r="P987" t="s">
        <v>221</v>
      </c>
      <c r="Q987" t="s">
        <v>82</v>
      </c>
      <c r="R987">
        <v>1</v>
      </c>
      <c r="S987">
        <v>8.8000000000000007</v>
      </c>
      <c r="T987">
        <v>0</v>
      </c>
      <c r="U987">
        <v>1</v>
      </c>
      <c r="V987">
        <v>1</v>
      </c>
      <c r="W987">
        <v>29.93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1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</row>
    <row r="988" spans="1:37" x14ac:dyDescent="0.3">
      <c r="A988">
        <v>7979</v>
      </c>
      <c r="B988" t="s">
        <v>219</v>
      </c>
      <c r="D988" t="s">
        <v>327</v>
      </c>
      <c r="E988">
        <v>99999999</v>
      </c>
      <c r="F988">
        <v>11111111</v>
      </c>
      <c r="G988">
        <v>1111111111</v>
      </c>
      <c r="H988" t="s">
        <v>4557</v>
      </c>
      <c r="I988">
        <v>99999999</v>
      </c>
      <c r="J988" s="188">
        <v>45236</v>
      </c>
      <c r="K988" t="s">
        <v>4557</v>
      </c>
      <c r="L988" t="s">
        <v>4557</v>
      </c>
      <c r="M988" t="s">
        <v>1503</v>
      </c>
      <c r="N988" t="s">
        <v>91</v>
      </c>
      <c r="O988" t="s">
        <v>1521</v>
      </c>
      <c r="P988" t="s">
        <v>221</v>
      </c>
      <c r="Q988" t="s">
        <v>82</v>
      </c>
      <c r="R988">
        <v>1</v>
      </c>
      <c r="S988">
        <v>7.3</v>
      </c>
      <c r="T988">
        <v>0</v>
      </c>
      <c r="U988">
        <v>1</v>
      </c>
      <c r="V988">
        <v>1</v>
      </c>
      <c r="W988">
        <v>31.69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1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</row>
    <row r="989" spans="1:37" x14ac:dyDescent="0.3">
      <c r="A989">
        <v>7979</v>
      </c>
      <c r="B989" t="s">
        <v>219</v>
      </c>
      <c r="D989" t="s">
        <v>327</v>
      </c>
      <c r="E989">
        <v>99999999</v>
      </c>
      <c r="F989">
        <v>11111111</v>
      </c>
      <c r="G989">
        <v>1111111111</v>
      </c>
      <c r="H989" t="s">
        <v>4558</v>
      </c>
      <c r="I989">
        <v>99999999</v>
      </c>
      <c r="J989" s="188">
        <v>45236</v>
      </c>
      <c r="K989" t="s">
        <v>4558</v>
      </c>
      <c r="L989" t="s">
        <v>4558</v>
      </c>
      <c r="M989" t="s">
        <v>369</v>
      </c>
      <c r="N989" t="s">
        <v>99</v>
      </c>
      <c r="O989">
        <v>91331</v>
      </c>
      <c r="P989" t="s">
        <v>221</v>
      </c>
      <c r="Q989" t="s">
        <v>82</v>
      </c>
      <c r="R989">
        <v>1</v>
      </c>
      <c r="S989">
        <v>2.4</v>
      </c>
      <c r="T989">
        <v>0</v>
      </c>
      <c r="U989">
        <v>1</v>
      </c>
      <c r="V989">
        <v>1</v>
      </c>
      <c r="W989">
        <v>21.88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1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</row>
    <row r="990" spans="1:37" x14ac:dyDescent="0.3">
      <c r="A990">
        <v>7979</v>
      </c>
      <c r="B990" t="s">
        <v>219</v>
      </c>
      <c r="D990" t="s">
        <v>327</v>
      </c>
      <c r="E990">
        <v>99999999</v>
      </c>
      <c r="F990">
        <v>11111111</v>
      </c>
      <c r="G990">
        <v>1111111111</v>
      </c>
      <c r="H990" t="s">
        <v>4559</v>
      </c>
      <c r="I990">
        <v>99999999</v>
      </c>
      <c r="J990" s="188">
        <v>45236</v>
      </c>
      <c r="K990" t="s">
        <v>4559</v>
      </c>
      <c r="L990" t="s">
        <v>4559</v>
      </c>
      <c r="M990" t="s">
        <v>516</v>
      </c>
      <c r="N990" t="s">
        <v>91</v>
      </c>
      <c r="O990" t="s">
        <v>1522</v>
      </c>
      <c r="P990" t="s">
        <v>221</v>
      </c>
      <c r="Q990" t="s">
        <v>82</v>
      </c>
      <c r="R990">
        <v>1</v>
      </c>
      <c r="S990">
        <v>10.61</v>
      </c>
      <c r="T990">
        <v>0</v>
      </c>
      <c r="U990">
        <v>1</v>
      </c>
      <c r="V990">
        <v>1</v>
      </c>
      <c r="W990">
        <v>41.58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1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</row>
    <row r="991" spans="1:37" x14ac:dyDescent="0.3">
      <c r="A991">
        <v>7979</v>
      </c>
      <c r="B991" t="s">
        <v>219</v>
      </c>
      <c r="D991" t="s">
        <v>327</v>
      </c>
      <c r="E991">
        <v>99999999</v>
      </c>
      <c r="F991">
        <v>11111111</v>
      </c>
      <c r="G991">
        <v>1111111111</v>
      </c>
      <c r="H991" t="s">
        <v>4560</v>
      </c>
      <c r="I991">
        <v>99999999</v>
      </c>
      <c r="J991" s="188">
        <v>45236</v>
      </c>
      <c r="K991" t="s">
        <v>4560</v>
      </c>
      <c r="L991" t="s">
        <v>4560</v>
      </c>
      <c r="M991" t="s">
        <v>531</v>
      </c>
      <c r="N991" t="s">
        <v>97</v>
      </c>
      <c r="O991" t="s">
        <v>1523</v>
      </c>
      <c r="P991" t="s">
        <v>221</v>
      </c>
      <c r="Q991" t="s">
        <v>82</v>
      </c>
      <c r="R991">
        <v>1</v>
      </c>
      <c r="S991">
        <v>9.5</v>
      </c>
      <c r="T991">
        <v>0</v>
      </c>
      <c r="U991">
        <v>1</v>
      </c>
      <c r="V991">
        <v>1</v>
      </c>
      <c r="W991">
        <v>24.41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1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</row>
    <row r="992" spans="1:37" x14ac:dyDescent="0.3">
      <c r="A992">
        <v>7979</v>
      </c>
      <c r="B992" t="s">
        <v>219</v>
      </c>
      <c r="D992" t="s">
        <v>327</v>
      </c>
      <c r="E992">
        <v>99999999</v>
      </c>
      <c r="F992">
        <v>11111111</v>
      </c>
      <c r="G992">
        <v>1111111111</v>
      </c>
      <c r="H992" t="s">
        <v>4561</v>
      </c>
      <c r="I992">
        <v>99999999</v>
      </c>
      <c r="J992" s="188">
        <v>45236</v>
      </c>
      <c r="K992" t="s">
        <v>4561</v>
      </c>
      <c r="L992" t="s">
        <v>4561</v>
      </c>
      <c r="M992" t="s">
        <v>1524</v>
      </c>
      <c r="N992" t="s">
        <v>104</v>
      </c>
      <c r="O992" t="s">
        <v>1525</v>
      </c>
      <c r="P992" t="s">
        <v>221</v>
      </c>
      <c r="Q992" t="s">
        <v>82</v>
      </c>
      <c r="R992">
        <v>1</v>
      </c>
      <c r="S992">
        <v>4</v>
      </c>
      <c r="T992">
        <v>0</v>
      </c>
      <c r="U992">
        <v>1</v>
      </c>
      <c r="V992">
        <v>1</v>
      </c>
      <c r="W992">
        <v>31.19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1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</row>
    <row r="993" spans="1:37" x14ac:dyDescent="0.3">
      <c r="A993">
        <v>7979</v>
      </c>
      <c r="B993" t="s">
        <v>219</v>
      </c>
      <c r="D993" t="s">
        <v>327</v>
      </c>
      <c r="E993">
        <v>99999999</v>
      </c>
      <c r="F993">
        <v>11111111</v>
      </c>
      <c r="G993">
        <v>1111111111</v>
      </c>
      <c r="H993" t="s">
        <v>4562</v>
      </c>
      <c r="I993">
        <v>99999999</v>
      </c>
      <c r="J993" s="188">
        <v>45236</v>
      </c>
      <c r="K993" t="s">
        <v>4562</v>
      </c>
      <c r="L993" t="s">
        <v>4562</v>
      </c>
      <c r="M993" t="s">
        <v>1526</v>
      </c>
      <c r="N993" t="s">
        <v>381</v>
      </c>
      <c r="O993" t="s">
        <v>1527</v>
      </c>
      <c r="P993" t="s">
        <v>221</v>
      </c>
      <c r="Q993" t="s">
        <v>82</v>
      </c>
      <c r="R993">
        <v>1</v>
      </c>
      <c r="S993">
        <v>3.48</v>
      </c>
      <c r="T993">
        <v>0</v>
      </c>
      <c r="U993">
        <v>1</v>
      </c>
      <c r="V993">
        <v>1</v>
      </c>
      <c r="W993">
        <v>31.84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1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</row>
    <row r="994" spans="1:37" x14ac:dyDescent="0.3">
      <c r="A994">
        <v>7979</v>
      </c>
      <c r="B994" t="s">
        <v>219</v>
      </c>
      <c r="D994" t="s">
        <v>327</v>
      </c>
      <c r="E994">
        <v>99999999</v>
      </c>
      <c r="F994">
        <v>11111111</v>
      </c>
      <c r="G994">
        <v>1111111111</v>
      </c>
      <c r="H994" t="s">
        <v>4563</v>
      </c>
      <c r="I994">
        <v>99999999</v>
      </c>
      <c r="J994" s="188">
        <v>45236</v>
      </c>
      <c r="K994" t="s">
        <v>4563</v>
      </c>
      <c r="L994" t="s">
        <v>4563</v>
      </c>
      <c r="M994" t="s">
        <v>1163</v>
      </c>
      <c r="N994" t="s">
        <v>99</v>
      </c>
      <c r="O994" t="s">
        <v>1528</v>
      </c>
      <c r="P994" t="s">
        <v>221</v>
      </c>
      <c r="Q994" t="s">
        <v>82</v>
      </c>
      <c r="R994">
        <v>1</v>
      </c>
      <c r="S994">
        <v>8.14</v>
      </c>
      <c r="T994">
        <v>0</v>
      </c>
      <c r="U994">
        <v>1</v>
      </c>
      <c r="V994">
        <v>1</v>
      </c>
      <c r="W994">
        <v>27.58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1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</row>
    <row r="995" spans="1:37" x14ac:dyDescent="0.3">
      <c r="A995">
        <v>7979</v>
      </c>
      <c r="B995" t="s">
        <v>219</v>
      </c>
      <c r="D995" t="s">
        <v>327</v>
      </c>
      <c r="E995">
        <v>99999999</v>
      </c>
      <c r="F995">
        <v>11111111</v>
      </c>
      <c r="G995">
        <v>1111111111</v>
      </c>
      <c r="H995" t="s">
        <v>4564</v>
      </c>
      <c r="I995">
        <v>99999999</v>
      </c>
      <c r="J995" s="188">
        <v>45236</v>
      </c>
      <c r="K995" t="s">
        <v>4564</v>
      </c>
      <c r="L995" t="s">
        <v>4564</v>
      </c>
      <c r="M995" t="s">
        <v>915</v>
      </c>
      <c r="N995" t="s">
        <v>164</v>
      </c>
      <c r="O995" t="s">
        <v>1529</v>
      </c>
      <c r="P995" t="s">
        <v>221</v>
      </c>
      <c r="Q995" t="s">
        <v>82</v>
      </c>
      <c r="R995">
        <v>1</v>
      </c>
      <c r="S995">
        <v>5</v>
      </c>
      <c r="T995">
        <v>0</v>
      </c>
      <c r="U995">
        <v>1</v>
      </c>
      <c r="V995">
        <v>1</v>
      </c>
      <c r="W995">
        <v>23.09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1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</row>
    <row r="996" spans="1:37" x14ac:dyDescent="0.3">
      <c r="A996">
        <v>7979</v>
      </c>
      <c r="B996" t="s">
        <v>219</v>
      </c>
      <c r="D996" t="s">
        <v>327</v>
      </c>
      <c r="E996">
        <v>99999999</v>
      </c>
      <c r="F996">
        <v>11111111</v>
      </c>
      <c r="G996">
        <v>1111111111</v>
      </c>
      <c r="H996" t="s">
        <v>4565</v>
      </c>
      <c r="I996">
        <v>99999999</v>
      </c>
      <c r="J996" s="188">
        <v>45236</v>
      </c>
      <c r="K996" t="s">
        <v>4565</v>
      </c>
      <c r="L996" t="s">
        <v>4565</v>
      </c>
      <c r="M996" t="s">
        <v>1530</v>
      </c>
      <c r="N996" t="s">
        <v>99</v>
      </c>
      <c r="O996" t="s">
        <v>1531</v>
      </c>
      <c r="P996" t="s">
        <v>221</v>
      </c>
      <c r="Q996" t="s">
        <v>82</v>
      </c>
      <c r="R996">
        <v>4</v>
      </c>
      <c r="S996">
        <v>7.76</v>
      </c>
      <c r="T996">
        <v>0</v>
      </c>
      <c r="U996">
        <v>1</v>
      </c>
      <c r="V996">
        <v>1</v>
      </c>
      <c r="W996">
        <v>28.77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4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</row>
    <row r="997" spans="1:37" x14ac:dyDescent="0.3">
      <c r="A997">
        <v>7979</v>
      </c>
      <c r="B997" t="s">
        <v>219</v>
      </c>
      <c r="D997" t="s">
        <v>327</v>
      </c>
      <c r="E997">
        <v>99999999</v>
      </c>
      <c r="F997">
        <v>11111111</v>
      </c>
      <c r="G997">
        <v>1111111111</v>
      </c>
      <c r="H997" t="s">
        <v>4566</v>
      </c>
      <c r="I997">
        <v>99999999</v>
      </c>
      <c r="J997" s="188">
        <v>45236</v>
      </c>
      <c r="K997" t="s">
        <v>4566</v>
      </c>
      <c r="L997" t="s">
        <v>4566</v>
      </c>
      <c r="M997" t="s">
        <v>476</v>
      </c>
      <c r="N997" t="s">
        <v>135</v>
      </c>
      <c r="O997" t="s">
        <v>1532</v>
      </c>
      <c r="P997" t="s">
        <v>221</v>
      </c>
      <c r="Q997" t="s">
        <v>82</v>
      </c>
      <c r="R997">
        <v>1</v>
      </c>
      <c r="S997">
        <v>3.5</v>
      </c>
      <c r="T997">
        <v>0</v>
      </c>
      <c r="U997">
        <v>1</v>
      </c>
      <c r="V997">
        <v>1</v>
      </c>
      <c r="W997">
        <v>22.52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1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</row>
    <row r="998" spans="1:37" x14ac:dyDescent="0.3">
      <c r="A998">
        <v>7979</v>
      </c>
      <c r="B998" t="s">
        <v>219</v>
      </c>
      <c r="D998" t="s">
        <v>327</v>
      </c>
      <c r="E998">
        <v>99999999</v>
      </c>
      <c r="F998">
        <v>11111111</v>
      </c>
      <c r="G998">
        <v>1111111111</v>
      </c>
      <c r="H998" t="s">
        <v>4567</v>
      </c>
      <c r="I998">
        <v>99999999</v>
      </c>
      <c r="J998" s="188">
        <v>45236</v>
      </c>
      <c r="K998" t="s">
        <v>4567</v>
      </c>
      <c r="L998" t="s">
        <v>4567</v>
      </c>
      <c r="M998" t="s">
        <v>855</v>
      </c>
      <c r="N998" t="s">
        <v>122</v>
      </c>
      <c r="O998" t="s">
        <v>1533</v>
      </c>
      <c r="P998" t="s">
        <v>221</v>
      </c>
      <c r="Q998" t="s">
        <v>82</v>
      </c>
      <c r="R998">
        <v>1</v>
      </c>
      <c r="S998">
        <v>2.4</v>
      </c>
      <c r="T998">
        <v>0</v>
      </c>
      <c r="U998">
        <v>1</v>
      </c>
      <c r="V998">
        <v>1</v>
      </c>
      <c r="W998">
        <v>22.67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1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</row>
    <row r="999" spans="1:37" x14ac:dyDescent="0.3">
      <c r="A999">
        <v>7979</v>
      </c>
      <c r="B999" t="s">
        <v>219</v>
      </c>
      <c r="D999" t="s">
        <v>327</v>
      </c>
      <c r="E999">
        <v>99999999</v>
      </c>
      <c r="F999">
        <v>11111111</v>
      </c>
      <c r="G999">
        <v>1111111111</v>
      </c>
      <c r="H999" t="s">
        <v>4568</v>
      </c>
      <c r="I999">
        <v>99999999</v>
      </c>
      <c r="J999" s="188">
        <v>45236</v>
      </c>
      <c r="K999" t="s">
        <v>4568</v>
      </c>
      <c r="L999" t="s">
        <v>4568</v>
      </c>
      <c r="M999" t="s">
        <v>915</v>
      </c>
      <c r="N999" t="s">
        <v>164</v>
      </c>
      <c r="O999" t="s">
        <v>1534</v>
      </c>
      <c r="P999" t="s">
        <v>221</v>
      </c>
      <c r="Q999" t="s">
        <v>82</v>
      </c>
      <c r="R999">
        <v>1</v>
      </c>
      <c r="S999">
        <v>6</v>
      </c>
      <c r="T999">
        <v>0</v>
      </c>
      <c r="U999">
        <v>1</v>
      </c>
      <c r="V999">
        <v>1</v>
      </c>
      <c r="W999">
        <v>23.54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1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</row>
    <row r="1000" spans="1:37" x14ac:dyDescent="0.3">
      <c r="A1000">
        <v>7979</v>
      </c>
      <c r="B1000" t="s">
        <v>219</v>
      </c>
      <c r="D1000" t="s">
        <v>327</v>
      </c>
      <c r="E1000">
        <v>99999999</v>
      </c>
      <c r="F1000">
        <v>11111111</v>
      </c>
      <c r="G1000">
        <v>1111111111</v>
      </c>
      <c r="H1000" t="s">
        <v>4569</v>
      </c>
      <c r="I1000">
        <v>99999999</v>
      </c>
      <c r="J1000" s="188">
        <v>45236</v>
      </c>
      <c r="K1000" t="s">
        <v>4569</v>
      </c>
      <c r="L1000" t="s">
        <v>4569</v>
      </c>
      <c r="M1000" t="s">
        <v>684</v>
      </c>
      <c r="N1000" t="s">
        <v>99</v>
      </c>
      <c r="O1000" t="s">
        <v>685</v>
      </c>
      <c r="P1000" t="s">
        <v>221</v>
      </c>
      <c r="Q1000" t="s">
        <v>82</v>
      </c>
      <c r="R1000">
        <v>1</v>
      </c>
      <c r="S1000">
        <v>3.5</v>
      </c>
      <c r="T1000">
        <v>0</v>
      </c>
      <c r="U1000">
        <v>1</v>
      </c>
      <c r="V1000">
        <v>1</v>
      </c>
      <c r="W1000">
        <v>22.52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1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</row>
    <row r="1001" spans="1:37" x14ac:dyDescent="0.3">
      <c r="A1001">
        <v>7979</v>
      </c>
      <c r="B1001" t="s">
        <v>219</v>
      </c>
      <c r="D1001" t="s">
        <v>327</v>
      </c>
      <c r="E1001">
        <v>99999999</v>
      </c>
      <c r="F1001">
        <v>11111111</v>
      </c>
      <c r="G1001">
        <v>1111111111</v>
      </c>
      <c r="H1001" t="s">
        <v>4570</v>
      </c>
      <c r="I1001">
        <v>99999999</v>
      </c>
      <c r="J1001" s="188">
        <v>45236</v>
      </c>
      <c r="K1001" t="s">
        <v>4570</v>
      </c>
      <c r="L1001" t="s">
        <v>4570</v>
      </c>
      <c r="M1001" t="s">
        <v>1535</v>
      </c>
      <c r="N1001" t="s">
        <v>164</v>
      </c>
      <c r="O1001" t="s">
        <v>1536</v>
      </c>
      <c r="P1001" t="s">
        <v>221</v>
      </c>
      <c r="Q1001" t="s">
        <v>82</v>
      </c>
      <c r="R1001">
        <v>1</v>
      </c>
      <c r="S1001">
        <v>5.4</v>
      </c>
      <c r="T1001">
        <v>0</v>
      </c>
      <c r="U1001">
        <v>1</v>
      </c>
      <c r="V1001">
        <v>1</v>
      </c>
      <c r="W1001">
        <v>21.49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1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</row>
    <row r="1002" spans="1:37" x14ac:dyDescent="0.3">
      <c r="A1002">
        <v>7979</v>
      </c>
      <c r="B1002" t="s">
        <v>219</v>
      </c>
      <c r="D1002" t="s">
        <v>327</v>
      </c>
      <c r="E1002">
        <v>99999999</v>
      </c>
      <c r="F1002">
        <v>11111111</v>
      </c>
      <c r="G1002">
        <v>1111111111</v>
      </c>
      <c r="H1002" t="s">
        <v>4571</v>
      </c>
      <c r="I1002">
        <v>99999999</v>
      </c>
      <c r="J1002" s="188">
        <v>45236</v>
      </c>
      <c r="K1002" t="s">
        <v>4571</v>
      </c>
      <c r="L1002" t="s">
        <v>4571</v>
      </c>
      <c r="M1002" t="s">
        <v>101</v>
      </c>
      <c r="N1002" t="s">
        <v>97</v>
      </c>
      <c r="O1002" t="s">
        <v>1537</v>
      </c>
      <c r="P1002" t="s">
        <v>221</v>
      </c>
      <c r="Q1002" t="s">
        <v>82</v>
      </c>
      <c r="R1002">
        <v>1</v>
      </c>
      <c r="S1002">
        <v>7.7</v>
      </c>
      <c r="T1002">
        <v>0</v>
      </c>
      <c r="U1002">
        <v>1</v>
      </c>
      <c r="V1002">
        <v>1</v>
      </c>
      <c r="W1002">
        <v>24.22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1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</row>
    <row r="1003" spans="1:37" x14ac:dyDescent="0.3">
      <c r="A1003">
        <v>7979</v>
      </c>
      <c r="B1003" t="s">
        <v>219</v>
      </c>
      <c r="D1003" t="s">
        <v>327</v>
      </c>
      <c r="E1003">
        <v>99999999</v>
      </c>
      <c r="F1003">
        <v>11111111</v>
      </c>
      <c r="G1003">
        <v>1111111111</v>
      </c>
      <c r="H1003" t="s">
        <v>4572</v>
      </c>
      <c r="I1003">
        <v>99999999</v>
      </c>
      <c r="J1003" s="188">
        <v>45236</v>
      </c>
      <c r="K1003" t="s">
        <v>4572</v>
      </c>
      <c r="L1003" t="s">
        <v>4572</v>
      </c>
      <c r="M1003" t="s">
        <v>1085</v>
      </c>
      <c r="N1003" t="s">
        <v>104</v>
      </c>
      <c r="O1003">
        <v>83835</v>
      </c>
      <c r="P1003" t="s">
        <v>221</v>
      </c>
      <c r="Q1003" t="s">
        <v>82</v>
      </c>
      <c r="R1003">
        <v>1</v>
      </c>
      <c r="S1003">
        <v>8.8000000000000007</v>
      </c>
      <c r="T1003">
        <v>0</v>
      </c>
      <c r="U1003">
        <v>1</v>
      </c>
      <c r="V1003">
        <v>1</v>
      </c>
      <c r="W1003">
        <v>32.340000000000003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1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</row>
    <row r="1004" spans="1:37" x14ac:dyDescent="0.3">
      <c r="A1004">
        <v>7979</v>
      </c>
      <c r="B1004" t="s">
        <v>219</v>
      </c>
      <c r="D1004" t="s">
        <v>327</v>
      </c>
      <c r="E1004">
        <v>99999999</v>
      </c>
      <c r="F1004">
        <v>11111111</v>
      </c>
      <c r="G1004">
        <v>1111111111</v>
      </c>
      <c r="H1004" t="s">
        <v>4573</v>
      </c>
      <c r="I1004">
        <v>99999999</v>
      </c>
      <c r="J1004" s="188">
        <v>45236</v>
      </c>
      <c r="K1004" t="s">
        <v>4573</v>
      </c>
      <c r="L1004" t="s">
        <v>4573</v>
      </c>
      <c r="M1004" t="s">
        <v>879</v>
      </c>
      <c r="N1004" t="s">
        <v>164</v>
      </c>
      <c r="O1004" t="s">
        <v>1538</v>
      </c>
      <c r="P1004" t="s">
        <v>221</v>
      </c>
      <c r="Q1004" t="s">
        <v>82</v>
      </c>
      <c r="R1004">
        <v>1</v>
      </c>
      <c r="S1004">
        <v>3.75</v>
      </c>
      <c r="T1004">
        <v>0</v>
      </c>
      <c r="U1004">
        <v>1</v>
      </c>
      <c r="V1004">
        <v>1</v>
      </c>
      <c r="W1004">
        <v>22.93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1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</row>
    <row r="1005" spans="1:37" x14ac:dyDescent="0.3">
      <c r="A1005">
        <v>7979</v>
      </c>
      <c r="B1005" t="s">
        <v>219</v>
      </c>
      <c r="D1005" t="s">
        <v>327</v>
      </c>
      <c r="E1005">
        <v>99999999</v>
      </c>
      <c r="F1005">
        <v>11111111</v>
      </c>
      <c r="G1005">
        <v>1111111111</v>
      </c>
      <c r="H1005" t="s">
        <v>4574</v>
      </c>
      <c r="I1005">
        <v>99999999</v>
      </c>
      <c r="J1005" s="188">
        <v>45236</v>
      </c>
      <c r="K1005" t="s">
        <v>4574</v>
      </c>
      <c r="L1005" t="s">
        <v>4574</v>
      </c>
      <c r="M1005" t="s">
        <v>1067</v>
      </c>
      <c r="N1005" t="s">
        <v>97</v>
      </c>
      <c r="O1005">
        <v>99021</v>
      </c>
      <c r="P1005" t="s">
        <v>221</v>
      </c>
      <c r="Q1005" t="s">
        <v>82</v>
      </c>
      <c r="R1005">
        <v>1</v>
      </c>
      <c r="S1005">
        <v>8</v>
      </c>
      <c r="T1005">
        <v>0</v>
      </c>
      <c r="U1005">
        <v>1</v>
      </c>
      <c r="V1005">
        <v>1</v>
      </c>
      <c r="W1005">
        <v>30.34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1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</row>
    <row r="1006" spans="1:37" x14ac:dyDescent="0.3">
      <c r="A1006">
        <v>7979</v>
      </c>
      <c r="B1006" t="s">
        <v>219</v>
      </c>
      <c r="D1006" t="s">
        <v>327</v>
      </c>
      <c r="E1006">
        <v>99999999</v>
      </c>
      <c r="F1006">
        <v>11111111</v>
      </c>
      <c r="G1006">
        <v>1111111111</v>
      </c>
      <c r="H1006" t="s">
        <v>4575</v>
      </c>
      <c r="I1006">
        <v>99999999</v>
      </c>
      <c r="J1006" s="188">
        <v>45236</v>
      </c>
      <c r="K1006" t="s">
        <v>4575</v>
      </c>
      <c r="L1006" t="s">
        <v>4575</v>
      </c>
      <c r="M1006" t="s">
        <v>410</v>
      </c>
      <c r="N1006" t="s">
        <v>99</v>
      </c>
      <c r="O1006" t="s">
        <v>1539</v>
      </c>
      <c r="P1006" t="s">
        <v>221</v>
      </c>
      <c r="Q1006" t="s">
        <v>82</v>
      </c>
      <c r="R1006">
        <v>2</v>
      </c>
      <c r="S1006">
        <v>8.3800000000000008</v>
      </c>
      <c r="T1006">
        <v>0</v>
      </c>
      <c r="U1006">
        <v>1</v>
      </c>
      <c r="V1006">
        <v>1</v>
      </c>
      <c r="W1006">
        <v>22.65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2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</row>
    <row r="1007" spans="1:37" x14ac:dyDescent="0.3">
      <c r="A1007">
        <v>7979</v>
      </c>
      <c r="B1007" t="s">
        <v>219</v>
      </c>
      <c r="D1007" t="s">
        <v>327</v>
      </c>
      <c r="E1007">
        <v>99999999</v>
      </c>
      <c r="F1007">
        <v>11111111</v>
      </c>
      <c r="G1007">
        <v>1111111111</v>
      </c>
      <c r="H1007" t="s">
        <v>4576</v>
      </c>
      <c r="I1007">
        <v>99999999</v>
      </c>
      <c r="J1007" s="188">
        <v>45236</v>
      </c>
      <c r="K1007" t="s">
        <v>4576</v>
      </c>
      <c r="L1007" t="s">
        <v>4576</v>
      </c>
      <c r="M1007" t="s">
        <v>1540</v>
      </c>
      <c r="N1007" t="s">
        <v>104</v>
      </c>
      <c r="O1007">
        <v>83669</v>
      </c>
      <c r="P1007" t="s">
        <v>221</v>
      </c>
      <c r="Q1007" t="s">
        <v>82</v>
      </c>
      <c r="R1007">
        <v>2</v>
      </c>
      <c r="S1007">
        <v>14.8</v>
      </c>
      <c r="T1007">
        <v>0</v>
      </c>
      <c r="U1007">
        <v>1</v>
      </c>
      <c r="V1007">
        <v>2</v>
      </c>
      <c r="W1007">
        <v>25.86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2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</row>
    <row r="1008" spans="1:37" x14ac:dyDescent="0.3">
      <c r="A1008">
        <v>7979</v>
      </c>
      <c r="B1008" t="s">
        <v>219</v>
      </c>
      <c r="D1008" t="s">
        <v>327</v>
      </c>
      <c r="E1008">
        <v>99999999</v>
      </c>
      <c r="F1008">
        <v>11111111</v>
      </c>
      <c r="G1008">
        <v>1111111111</v>
      </c>
      <c r="H1008" t="s">
        <v>4577</v>
      </c>
      <c r="I1008">
        <v>99999999</v>
      </c>
      <c r="J1008" s="188">
        <v>45236</v>
      </c>
      <c r="K1008" t="s">
        <v>4577</v>
      </c>
      <c r="L1008" t="s">
        <v>4577</v>
      </c>
      <c r="M1008" t="s">
        <v>1541</v>
      </c>
      <c r="N1008" t="s">
        <v>99</v>
      </c>
      <c r="O1008" t="s">
        <v>1542</v>
      </c>
      <c r="P1008" t="s">
        <v>221</v>
      </c>
      <c r="Q1008" t="s">
        <v>82</v>
      </c>
      <c r="R1008">
        <v>1</v>
      </c>
      <c r="S1008">
        <v>5.0999999999999996</v>
      </c>
      <c r="T1008">
        <v>0</v>
      </c>
      <c r="U1008">
        <v>1</v>
      </c>
      <c r="V1008">
        <v>1</v>
      </c>
      <c r="W1008">
        <v>28.27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1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</row>
    <row r="1009" spans="1:37" x14ac:dyDescent="0.3">
      <c r="A1009">
        <v>7979</v>
      </c>
      <c r="B1009" t="s">
        <v>219</v>
      </c>
      <c r="D1009" t="s">
        <v>327</v>
      </c>
      <c r="E1009">
        <v>99999999</v>
      </c>
      <c r="F1009">
        <v>11111111</v>
      </c>
      <c r="G1009">
        <v>1111111111</v>
      </c>
      <c r="H1009" t="s">
        <v>4578</v>
      </c>
      <c r="I1009">
        <v>99999999</v>
      </c>
      <c r="J1009" s="188">
        <v>45236</v>
      </c>
      <c r="K1009" t="s">
        <v>4578</v>
      </c>
      <c r="L1009" t="s">
        <v>4578</v>
      </c>
      <c r="M1009" t="s">
        <v>1028</v>
      </c>
      <c r="N1009" t="s">
        <v>97</v>
      </c>
      <c r="O1009">
        <v>99337</v>
      </c>
      <c r="P1009" t="s">
        <v>221</v>
      </c>
      <c r="Q1009" t="s">
        <v>82</v>
      </c>
      <c r="R1009">
        <v>1</v>
      </c>
      <c r="S1009">
        <v>2.4</v>
      </c>
      <c r="T1009">
        <v>0</v>
      </c>
      <c r="U1009">
        <v>1</v>
      </c>
      <c r="V1009">
        <v>1</v>
      </c>
      <c r="W1009">
        <v>21.88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1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</row>
    <row r="1010" spans="1:37" x14ac:dyDescent="0.3">
      <c r="A1010">
        <v>7979</v>
      </c>
      <c r="B1010" t="s">
        <v>219</v>
      </c>
      <c r="D1010" t="s">
        <v>327</v>
      </c>
      <c r="E1010">
        <v>99999999</v>
      </c>
      <c r="F1010">
        <v>11111111</v>
      </c>
      <c r="G1010">
        <v>1111111111</v>
      </c>
      <c r="H1010" t="s">
        <v>4579</v>
      </c>
      <c r="I1010">
        <v>99999999</v>
      </c>
      <c r="J1010" s="188">
        <v>45236</v>
      </c>
      <c r="K1010" t="s">
        <v>4579</v>
      </c>
      <c r="L1010" t="s">
        <v>4579</v>
      </c>
      <c r="M1010" t="s">
        <v>1543</v>
      </c>
      <c r="N1010" t="s">
        <v>97</v>
      </c>
      <c r="O1010">
        <v>98930</v>
      </c>
      <c r="P1010" t="s">
        <v>221</v>
      </c>
      <c r="Q1010" t="s">
        <v>82</v>
      </c>
      <c r="R1010">
        <v>2</v>
      </c>
      <c r="S1010">
        <v>7.58</v>
      </c>
      <c r="T1010">
        <v>0</v>
      </c>
      <c r="U1010">
        <v>1</v>
      </c>
      <c r="V1010">
        <v>2</v>
      </c>
      <c r="W1010">
        <v>32.479999999999997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2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</row>
    <row r="1011" spans="1:37" x14ac:dyDescent="0.3">
      <c r="A1011">
        <v>7979</v>
      </c>
      <c r="B1011" t="s">
        <v>219</v>
      </c>
      <c r="D1011" t="s">
        <v>327</v>
      </c>
      <c r="E1011">
        <v>99999999</v>
      </c>
      <c r="F1011">
        <v>11111111</v>
      </c>
      <c r="G1011">
        <v>1111111111</v>
      </c>
      <c r="H1011" t="s">
        <v>4580</v>
      </c>
      <c r="I1011">
        <v>99999999</v>
      </c>
      <c r="J1011" s="188">
        <v>45236</v>
      </c>
      <c r="K1011" t="s">
        <v>4580</v>
      </c>
      <c r="L1011" t="s">
        <v>4580</v>
      </c>
      <c r="M1011" t="s">
        <v>1544</v>
      </c>
      <c r="N1011" t="s">
        <v>522</v>
      </c>
      <c r="O1011" t="s">
        <v>1545</v>
      </c>
      <c r="P1011" t="s">
        <v>221</v>
      </c>
      <c r="Q1011" t="s">
        <v>82</v>
      </c>
      <c r="R1011">
        <v>1</v>
      </c>
      <c r="S1011">
        <v>4.5</v>
      </c>
      <c r="T1011">
        <v>0</v>
      </c>
      <c r="U1011">
        <v>1</v>
      </c>
      <c r="V1011">
        <v>1</v>
      </c>
      <c r="W1011">
        <v>35.6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1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</row>
    <row r="1012" spans="1:37" x14ac:dyDescent="0.3">
      <c r="A1012">
        <v>7979</v>
      </c>
      <c r="B1012" t="s">
        <v>219</v>
      </c>
      <c r="D1012" t="s">
        <v>327</v>
      </c>
      <c r="E1012">
        <v>99999999</v>
      </c>
      <c r="F1012">
        <v>11111111</v>
      </c>
      <c r="G1012">
        <v>1111111111</v>
      </c>
      <c r="H1012" t="s">
        <v>4581</v>
      </c>
      <c r="I1012">
        <v>99999999</v>
      </c>
      <c r="J1012" s="188">
        <v>45236</v>
      </c>
      <c r="K1012" t="s">
        <v>4581</v>
      </c>
      <c r="L1012" t="s">
        <v>4581</v>
      </c>
      <c r="M1012" t="s">
        <v>1117</v>
      </c>
      <c r="N1012" t="s">
        <v>97</v>
      </c>
      <c r="O1012">
        <v>98629</v>
      </c>
      <c r="P1012" t="s">
        <v>221</v>
      </c>
      <c r="Q1012" t="s">
        <v>82</v>
      </c>
      <c r="R1012">
        <v>1</v>
      </c>
      <c r="S1012">
        <v>4</v>
      </c>
      <c r="T1012">
        <v>0</v>
      </c>
      <c r="U1012">
        <v>1</v>
      </c>
      <c r="V1012">
        <v>1</v>
      </c>
      <c r="W1012">
        <v>31.19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1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</row>
    <row r="1013" spans="1:37" x14ac:dyDescent="0.3">
      <c r="A1013">
        <v>7979</v>
      </c>
      <c r="B1013" t="s">
        <v>219</v>
      </c>
      <c r="D1013" t="s">
        <v>327</v>
      </c>
      <c r="E1013">
        <v>99999999</v>
      </c>
      <c r="F1013">
        <v>11111111</v>
      </c>
      <c r="G1013">
        <v>1111111111</v>
      </c>
      <c r="H1013" t="s">
        <v>4582</v>
      </c>
      <c r="I1013">
        <v>99999999</v>
      </c>
      <c r="J1013" s="188">
        <v>45236</v>
      </c>
      <c r="K1013" t="s">
        <v>4582</v>
      </c>
      <c r="L1013" t="s">
        <v>4582</v>
      </c>
      <c r="M1013" t="s">
        <v>1546</v>
      </c>
      <c r="N1013" t="s">
        <v>522</v>
      </c>
      <c r="O1013" t="s">
        <v>1547</v>
      </c>
      <c r="P1013" t="s">
        <v>221</v>
      </c>
      <c r="Q1013" t="s">
        <v>82</v>
      </c>
      <c r="R1013">
        <v>1</v>
      </c>
      <c r="S1013">
        <v>5</v>
      </c>
      <c r="T1013">
        <v>0</v>
      </c>
      <c r="U1013">
        <v>1</v>
      </c>
      <c r="V1013">
        <v>1</v>
      </c>
      <c r="W1013">
        <v>27.35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1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</row>
    <row r="1014" spans="1:37" x14ac:dyDescent="0.3">
      <c r="A1014">
        <v>7979</v>
      </c>
      <c r="B1014" t="s">
        <v>219</v>
      </c>
      <c r="D1014" t="s">
        <v>327</v>
      </c>
      <c r="E1014">
        <v>99999999</v>
      </c>
      <c r="F1014">
        <v>11111111</v>
      </c>
      <c r="G1014">
        <v>1111111111</v>
      </c>
      <c r="H1014" t="s">
        <v>4583</v>
      </c>
      <c r="I1014">
        <v>99999999</v>
      </c>
      <c r="J1014" s="188">
        <v>45236</v>
      </c>
      <c r="K1014" t="s">
        <v>4583</v>
      </c>
      <c r="L1014" t="s">
        <v>4583</v>
      </c>
      <c r="M1014" t="s">
        <v>1548</v>
      </c>
      <c r="N1014" t="s">
        <v>1022</v>
      </c>
      <c r="O1014">
        <v>2852</v>
      </c>
      <c r="P1014" t="s">
        <v>221</v>
      </c>
      <c r="Q1014" t="s">
        <v>82</v>
      </c>
      <c r="R1014">
        <v>1</v>
      </c>
      <c r="S1014">
        <v>4.5</v>
      </c>
      <c r="T1014">
        <v>0</v>
      </c>
      <c r="U1014">
        <v>1</v>
      </c>
      <c r="V1014">
        <v>1</v>
      </c>
      <c r="W1014">
        <v>27.34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1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</row>
    <row r="1015" spans="1:37" x14ac:dyDescent="0.3">
      <c r="A1015">
        <v>7979</v>
      </c>
      <c r="B1015" t="s">
        <v>219</v>
      </c>
      <c r="D1015" t="s">
        <v>327</v>
      </c>
      <c r="E1015">
        <v>99999999</v>
      </c>
      <c r="F1015">
        <v>11111111</v>
      </c>
      <c r="G1015">
        <v>1111111111</v>
      </c>
      <c r="H1015" t="s">
        <v>4584</v>
      </c>
      <c r="I1015">
        <v>99999999</v>
      </c>
      <c r="J1015" s="188">
        <v>45236</v>
      </c>
      <c r="K1015" t="s">
        <v>4584</v>
      </c>
      <c r="L1015" t="s">
        <v>4584</v>
      </c>
      <c r="M1015" t="s">
        <v>1301</v>
      </c>
      <c r="N1015" t="s">
        <v>99</v>
      </c>
      <c r="O1015" t="s">
        <v>1549</v>
      </c>
      <c r="P1015" t="s">
        <v>221</v>
      </c>
      <c r="Q1015" t="s">
        <v>82</v>
      </c>
      <c r="R1015">
        <v>1</v>
      </c>
      <c r="S1015">
        <v>7.7</v>
      </c>
      <c r="T1015">
        <v>0</v>
      </c>
      <c r="U1015">
        <v>1</v>
      </c>
      <c r="V1015">
        <v>1</v>
      </c>
      <c r="W1015">
        <v>27.58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1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</row>
    <row r="1016" spans="1:37" x14ac:dyDescent="0.3">
      <c r="A1016">
        <v>7979</v>
      </c>
      <c r="B1016" t="s">
        <v>219</v>
      </c>
      <c r="D1016" t="s">
        <v>327</v>
      </c>
      <c r="E1016">
        <v>99999999</v>
      </c>
      <c r="F1016">
        <v>11111111</v>
      </c>
      <c r="G1016">
        <v>1111111111</v>
      </c>
      <c r="H1016" t="s">
        <v>4585</v>
      </c>
      <c r="I1016">
        <v>99999999</v>
      </c>
      <c r="J1016" s="188">
        <v>45236</v>
      </c>
      <c r="K1016" t="s">
        <v>4585</v>
      </c>
      <c r="L1016" t="s">
        <v>4585</v>
      </c>
      <c r="M1016" t="s">
        <v>1550</v>
      </c>
      <c r="N1016" t="s">
        <v>99</v>
      </c>
      <c r="O1016">
        <v>93065</v>
      </c>
      <c r="P1016" t="s">
        <v>221</v>
      </c>
      <c r="Q1016" t="s">
        <v>82</v>
      </c>
      <c r="R1016">
        <v>1</v>
      </c>
      <c r="S1016">
        <v>9.4600000000000009</v>
      </c>
      <c r="T1016">
        <v>0</v>
      </c>
      <c r="U1016">
        <v>1</v>
      </c>
      <c r="V1016">
        <v>1</v>
      </c>
      <c r="W1016">
        <v>24.41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1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</row>
    <row r="1017" spans="1:37" x14ac:dyDescent="0.3">
      <c r="A1017">
        <v>7979</v>
      </c>
      <c r="B1017" t="s">
        <v>219</v>
      </c>
      <c r="D1017" t="s">
        <v>327</v>
      </c>
      <c r="E1017">
        <v>99999999</v>
      </c>
      <c r="F1017">
        <v>11111111</v>
      </c>
      <c r="G1017">
        <v>1111111111</v>
      </c>
      <c r="H1017" t="s">
        <v>4586</v>
      </c>
      <c r="I1017">
        <v>99999999</v>
      </c>
      <c r="J1017" s="188">
        <v>45236</v>
      </c>
      <c r="K1017" t="s">
        <v>4586</v>
      </c>
      <c r="L1017" t="s">
        <v>4586</v>
      </c>
      <c r="M1017" t="s">
        <v>672</v>
      </c>
      <c r="N1017" t="s">
        <v>91</v>
      </c>
      <c r="O1017" t="s">
        <v>1551</v>
      </c>
      <c r="P1017" t="s">
        <v>221</v>
      </c>
      <c r="Q1017" t="s">
        <v>82</v>
      </c>
      <c r="R1017">
        <v>3</v>
      </c>
      <c r="S1017">
        <v>10.11</v>
      </c>
      <c r="T1017">
        <v>0</v>
      </c>
      <c r="U1017">
        <v>1</v>
      </c>
      <c r="V1017">
        <v>3</v>
      </c>
      <c r="W1017">
        <v>30.77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3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</row>
    <row r="1018" spans="1:37" x14ac:dyDescent="0.3">
      <c r="A1018">
        <v>7979</v>
      </c>
      <c r="B1018" t="s">
        <v>219</v>
      </c>
      <c r="D1018" t="s">
        <v>327</v>
      </c>
      <c r="E1018">
        <v>99999999</v>
      </c>
      <c r="F1018">
        <v>11111111</v>
      </c>
      <c r="G1018">
        <v>1111111111</v>
      </c>
      <c r="H1018" t="s">
        <v>4587</v>
      </c>
      <c r="I1018">
        <v>99999999</v>
      </c>
      <c r="J1018" s="188">
        <v>45236</v>
      </c>
      <c r="K1018" t="s">
        <v>4587</v>
      </c>
      <c r="L1018" t="s">
        <v>4587</v>
      </c>
      <c r="M1018" t="s">
        <v>1552</v>
      </c>
      <c r="N1018" t="s">
        <v>99</v>
      </c>
      <c r="O1018" t="s">
        <v>1553</v>
      </c>
      <c r="P1018" t="s">
        <v>221</v>
      </c>
      <c r="Q1018" t="s">
        <v>82</v>
      </c>
      <c r="R1018">
        <v>2</v>
      </c>
      <c r="S1018">
        <v>6.4</v>
      </c>
      <c r="T1018">
        <v>0</v>
      </c>
      <c r="U1018">
        <v>1</v>
      </c>
      <c r="V1018">
        <v>2</v>
      </c>
      <c r="W1018">
        <v>24.22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2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</row>
    <row r="1019" spans="1:37" x14ac:dyDescent="0.3">
      <c r="A1019">
        <v>7979</v>
      </c>
      <c r="B1019" t="s">
        <v>219</v>
      </c>
      <c r="D1019" t="s">
        <v>327</v>
      </c>
      <c r="E1019">
        <v>99999999</v>
      </c>
      <c r="F1019">
        <v>11111111</v>
      </c>
      <c r="G1019">
        <v>1111111111</v>
      </c>
      <c r="H1019" t="s">
        <v>4588</v>
      </c>
      <c r="I1019">
        <v>99999999</v>
      </c>
      <c r="J1019" s="188">
        <v>45236</v>
      </c>
      <c r="K1019" t="s">
        <v>4588</v>
      </c>
      <c r="L1019" t="s">
        <v>4588</v>
      </c>
      <c r="M1019" t="s">
        <v>1480</v>
      </c>
      <c r="N1019" t="s">
        <v>197</v>
      </c>
      <c r="O1019" t="s">
        <v>1554</v>
      </c>
      <c r="P1019" t="s">
        <v>221</v>
      </c>
      <c r="Q1019" t="s">
        <v>82</v>
      </c>
      <c r="R1019">
        <v>2</v>
      </c>
      <c r="S1019">
        <v>1</v>
      </c>
      <c r="T1019">
        <v>0</v>
      </c>
      <c r="U1019">
        <v>1</v>
      </c>
      <c r="V1019">
        <v>2</v>
      </c>
      <c r="W1019">
        <v>22.21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2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</row>
    <row r="1020" spans="1:37" x14ac:dyDescent="0.3">
      <c r="A1020">
        <v>7979</v>
      </c>
      <c r="B1020" t="s">
        <v>219</v>
      </c>
      <c r="D1020" t="s">
        <v>327</v>
      </c>
      <c r="E1020">
        <v>99999999</v>
      </c>
      <c r="F1020">
        <v>11111111</v>
      </c>
      <c r="G1020">
        <v>1111111111</v>
      </c>
      <c r="H1020" t="s">
        <v>4589</v>
      </c>
      <c r="I1020">
        <v>99999999</v>
      </c>
      <c r="J1020" s="188">
        <v>45236</v>
      </c>
      <c r="K1020" t="s">
        <v>4589</v>
      </c>
      <c r="L1020" t="s">
        <v>4589</v>
      </c>
      <c r="M1020" t="s">
        <v>134</v>
      </c>
      <c r="N1020" t="s">
        <v>135</v>
      </c>
      <c r="O1020" t="s">
        <v>1555</v>
      </c>
      <c r="P1020" t="s">
        <v>221</v>
      </c>
      <c r="Q1020" t="s">
        <v>82</v>
      </c>
      <c r="R1020">
        <v>2</v>
      </c>
      <c r="S1020">
        <v>4.88</v>
      </c>
      <c r="T1020">
        <v>0</v>
      </c>
      <c r="U1020">
        <v>1</v>
      </c>
      <c r="V1020">
        <v>2</v>
      </c>
      <c r="W1020">
        <v>23.09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2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</row>
    <row r="1021" spans="1:37" x14ac:dyDescent="0.3">
      <c r="A1021">
        <v>7979</v>
      </c>
      <c r="B1021" t="s">
        <v>219</v>
      </c>
      <c r="D1021" t="s">
        <v>327</v>
      </c>
      <c r="E1021">
        <v>99999999</v>
      </c>
      <c r="F1021">
        <v>11111111</v>
      </c>
      <c r="G1021">
        <v>1111111111</v>
      </c>
      <c r="H1021" t="s">
        <v>4590</v>
      </c>
      <c r="I1021">
        <v>99999999</v>
      </c>
      <c r="J1021" s="188">
        <v>45236</v>
      </c>
      <c r="K1021" t="s">
        <v>4590</v>
      </c>
      <c r="L1021" t="s">
        <v>4590</v>
      </c>
      <c r="M1021" t="s">
        <v>1556</v>
      </c>
      <c r="N1021" t="s">
        <v>99</v>
      </c>
      <c r="O1021" t="s">
        <v>1557</v>
      </c>
      <c r="P1021" t="s">
        <v>221</v>
      </c>
      <c r="Q1021" t="s">
        <v>82</v>
      </c>
      <c r="R1021">
        <v>2</v>
      </c>
      <c r="S1021">
        <v>1.6</v>
      </c>
      <c r="T1021">
        <v>0</v>
      </c>
      <c r="U1021">
        <v>1</v>
      </c>
      <c r="V1021">
        <v>2</v>
      </c>
      <c r="W1021">
        <v>21.88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2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</row>
    <row r="1022" spans="1:37" x14ac:dyDescent="0.3">
      <c r="A1022">
        <v>7979</v>
      </c>
      <c r="B1022" t="s">
        <v>219</v>
      </c>
      <c r="D1022" t="s">
        <v>327</v>
      </c>
      <c r="E1022">
        <v>99999999</v>
      </c>
      <c r="F1022">
        <v>11111111</v>
      </c>
      <c r="G1022">
        <v>1111111111</v>
      </c>
      <c r="H1022" t="s">
        <v>4591</v>
      </c>
      <c r="I1022">
        <v>99999999</v>
      </c>
      <c r="J1022" s="188">
        <v>45236</v>
      </c>
      <c r="K1022" t="s">
        <v>4591</v>
      </c>
      <c r="L1022" t="s">
        <v>4591</v>
      </c>
      <c r="M1022" t="s">
        <v>1558</v>
      </c>
      <c r="N1022" t="s">
        <v>97</v>
      </c>
      <c r="O1022" t="s">
        <v>1559</v>
      </c>
      <c r="P1022" t="s">
        <v>221</v>
      </c>
      <c r="Q1022" t="s">
        <v>82</v>
      </c>
      <c r="R1022">
        <v>12</v>
      </c>
      <c r="S1022">
        <v>61.56</v>
      </c>
      <c r="T1022">
        <v>0</v>
      </c>
      <c r="U1022">
        <v>1</v>
      </c>
      <c r="V1022">
        <v>5</v>
      </c>
      <c r="W1022">
        <v>97.87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12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</row>
    <row r="1023" spans="1:37" x14ac:dyDescent="0.3">
      <c r="A1023">
        <v>7979</v>
      </c>
      <c r="B1023" t="s">
        <v>219</v>
      </c>
      <c r="D1023" t="s">
        <v>327</v>
      </c>
      <c r="E1023">
        <v>99999999</v>
      </c>
      <c r="F1023">
        <v>11111111</v>
      </c>
      <c r="G1023">
        <v>1111111111</v>
      </c>
      <c r="H1023" t="s">
        <v>4592</v>
      </c>
      <c r="I1023">
        <v>99999999</v>
      </c>
      <c r="J1023" s="188">
        <v>45236</v>
      </c>
      <c r="K1023" t="s">
        <v>4592</v>
      </c>
      <c r="L1023" t="s">
        <v>4592</v>
      </c>
      <c r="M1023" t="s">
        <v>672</v>
      </c>
      <c r="N1023" t="s">
        <v>91</v>
      </c>
      <c r="O1023" t="s">
        <v>1560</v>
      </c>
      <c r="P1023" t="s">
        <v>221</v>
      </c>
      <c r="Q1023" t="s">
        <v>82</v>
      </c>
      <c r="R1023">
        <v>3</v>
      </c>
      <c r="S1023">
        <v>9.6999999999999993</v>
      </c>
      <c r="T1023">
        <v>0</v>
      </c>
      <c r="U1023">
        <v>1</v>
      </c>
      <c r="V1023">
        <v>2</v>
      </c>
      <c r="W1023">
        <v>30.77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3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</row>
    <row r="1024" spans="1:37" x14ac:dyDescent="0.3">
      <c r="A1024">
        <v>7979</v>
      </c>
      <c r="B1024" t="s">
        <v>219</v>
      </c>
      <c r="D1024" t="s">
        <v>327</v>
      </c>
      <c r="E1024">
        <v>99999999</v>
      </c>
      <c r="F1024">
        <v>11111111</v>
      </c>
      <c r="G1024">
        <v>1111111111</v>
      </c>
      <c r="H1024" t="s">
        <v>4593</v>
      </c>
      <c r="I1024">
        <v>99999999</v>
      </c>
      <c r="J1024" s="188">
        <v>45236</v>
      </c>
      <c r="K1024" t="s">
        <v>4593</v>
      </c>
      <c r="L1024" t="s">
        <v>4593</v>
      </c>
      <c r="M1024" t="s">
        <v>1561</v>
      </c>
      <c r="N1024" t="s">
        <v>130</v>
      </c>
      <c r="O1024" t="s">
        <v>1562</v>
      </c>
      <c r="P1024" t="s">
        <v>221</v>
      </c>
      <c r="Q1024" t="s">
        <v>82</v>
      </c>
      <c r="R1024">
        <v>6</v>
      </c>
      <c r="S1024">
        <v>11.58</v>
      </c>
      <c r="T1024">
        <v>0</v>
      </c>
      <c r="U1024">
        <v>1</v>
      </c>
      <c r="V1024">
        <v>4</v>
      </c>
      <c r="W1024">
        <v>35.159999999999997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6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</row>
    <row r="1025" spans="1:37" x14ac:dyDescent="0.3">
      <c r="A1025">
        <v>7979</v>
      </c>
      <c r="B1025" t="s">
        <v>219</v>
      </c>
      <c r="D1025" t="s">
        <v>327</v>
      </c>
      <c r="E1025">
        <v>99999999</v>
      </c>
      <c r="F1025">
        <v>11111111</v>
      </c>
      <c r="G1025">
        <v>1111111111</v>
      </c>
      <c r="H1025" t="s">
        <v>4594</v>
      </c>
      <c r="I1025">
        <v>99999999</v>
      </c>
      <c r="J1025" s="188">
        <v>45236</v>
      </c>
      <c r="K1025" t="s">
        <v>4594</v>
      </c>
      <c r="L1025" t="s">
        <v>4594</v>
      </c>
      <c r="M1025" t="s">
        <v>396</v>
      </c>
      <c r="N1025" t="s">
        <v>99</v>
      </c>
      <c r="O1025" t="s">
        <v>1563</v>
      </c>
      <c r="P1025" t="s">
        <v>221</v>
      </c>
      <c r="Q1025" t="s">
        <v>82</v>
      </c>
      <c r="R1025">
        <v>3</v>
      </c>
      <c r="S1025">
        <v>3.52</v>
      </c>
      <c r="T1025">
        <v>0</v>
      </c>
      <c r="U1025">
        <v>1</v>
      </c>
      <c r="V1025">
        <v>3</v>
      </c>
      <c r="W1025">
        <v>21.44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3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</row>
    <row r="1026" spans="1:37" x14ac:dyDescent="0.3">
      <c r="A1026">
        <v>7979</v>
      </c>
      <c r="B1026" t="s">
        <v>219</v>
      </c>
      <c r="D1026" t="s">
        <v>327</v>
      </c>
      <c r="E1026">
        <v>99999999</v>
      </c>
      <c r="F1026">
        <v>11111111</v>
      </c>
      <c r="G1026">
        <v>1111111111</v>
      </c>
      <c r="H1026" t="s">
        <v>4595</v>
      </c>
      <c r="I1026">
        <v>99999999</v>
      </c>
      <c r="J1026" s="188">
        <v>45236</v>
      </c>
      <c r="K1026" t="s">
        <v>4595</v>
      </c>
      <c r="L1026" t="s">
        <v>4595</v>
      </c>
      <c r="M1026" t="s">
        <v>458</v>
      </c>
      <c r="N1026" t="s">
        <v>99</v>
      </c>
      <c r="O1026" t="s">
        <v>1564</v>
      </c>
      <c r="P1026" t="s">
        <v>221</v>
      </c>
      <c r="Q1026" t="s">
        <v>82</v>
      </c>
      <c r="R1026">
        <v>3</v>
      </c>
      <c r="S1026">
        <v>6.15</v>
      </c>
      <c r="T1026">
        <v>0</v>
      </c>
      <c r="U1026">
        <v>1</v>
      </c>
      <c r="V1026">
        <v>3</v>
      </c>
      <c r="W1026">
        <v>23.54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3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</row>
    <row r="1027" spans="1:37" x14ac:dyDescent="0.3">
      <c r="A1027">
        <v>7979</v>
      </c>
      <c r="B1027" t="s">
        <v>219</v>
      </c>
      <c r="D1027" t="s">
        <v>327</v>
      </c>
      <c r="E1027">
        <v>99999999</v>
      </c>
      <c r="F1027">
        <v>11111111</v>
      </c>
      <c r="G1027">
        <v>1111111111</v>
      </c>
      <c r="H1027" t="s">
        <v>4596</v>
      </c>
      <c r="I1027">
        <v>99999999</v>
      </c>
      <c r="J1027" s="188">
        <v>45236</v>
      </c>
      <c r="K1027" t="s">
        <v>4596</v>
      </c>
      <c r="L1027" t="s">
        <v>4596</v>
      </c>
      <c r="M1027" t="s">
        <v>540</v>
      </c>
      <c r="N1027" t="s">
        <v>97</v>
      </c>
      <c r="O1027" t="s">
        <v>1565</v>
      </c>
      <c r="P1027" t="s">
        <v>221</v>
      </c>
      <c r="Q1027" t="s">
        <v>82</v>
      </c>
      <c r="R1027">
        <v>3</v>
      </c>
      <c r="S1027">
        <v>5.95</v>
      </c>
      <c r="T1027">
        <v>0</v>
      </c>
      <c r="U1027">
        <v>1</v>
      </c>
      <c r="V1027">
        <v>3</v>
      </c>
      <c r="W1027">
        <v>23.54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3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</row>
    <row r="1028" spans="1:37" x14ac:dyDescent="0.3">
      <c r="A1028">
        <v>7979</v>
      </c>
      <c r="B1028" t="s">
        <v>219</v>
      </c>
      <c r="D1028" t="s">
        <v>327</v>
      </c>
      <c r="E1028">
        <v>99999999</v>
      </c>
      <c r="F1028">
        <v>11111111</v>
      </c>
      <c r="G1028">
        <v>1111111111</v>
      </c>
      <c r="H1028" t="s">
        <v>4597</v>
      </c>
      <c r="I1028">
        <v>99999999</v>
      </c>
      <c r="J1028" s="188">
        <v>45236</v>
      </c>
      <c r="K1028" t="s">
        <v>4597</v>
      </c>
      <c r="L1028" t="s">
        <v>4597</v>
      </c>
      <c r="M1028" t="s">
        <v>1007</v>
      </c>
      <c r="N1028" t="s">
        <v>381</v>
      </c>
      <c r="O1028" t="s">
        <v>1566</v>
      </c>
      <c r="P1028" t="s">
        <v>221</v>
      </c>
      <c r="Q1028" t="s">
        <v>82</v>
      </c>
      <c r="R1028">
        <v>2</v>
      </c>
      <c r="S1028">
        <v>5.6</v>
      </c>
      <c r="T1028">
        <v>0</v>
      </c>
      <c r="U1028">
        <v>1</v>
      </c>
      <c r="V1028">
        <v>2</v>
      </c>
      <c r="W1028">
        <v>23.54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2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</row>
    <row r="1029" spans="1:37" x14ac:dyDescent="0.3">
      <c r="A1029">
        <v>7979</v>
      </c>
      <c r="B1029" t="s">
        <v>219</v>
      </c>
      <c r="D1029" t="s">
        <v>327</v>
      </c>
      <c r="E1029">
        <v>99999999</v>
      </c>
      <c r="F1029">
        <v>11111111</v>
      </c>
      <c r="G1029">
        <v>1111111111</v>
      </c>
      <c r="H1029" t="s">
        <v>4598</v>
      </c>
      <c r="I1029">
        <v>99999999</v>
      </c>
      <c r="J1029" s="188">
        <v>45236</v>
      </c>
      <c r="K1029" t="s">
        <v>4598</v>
      </c>
      <c r="L1029" t="s">
        <v>4598</v>
      </c>
      <c r="M1029" t="s">
        <v>1567</v>
      </c>
      <c r="N1029" t="s">
        <v>99</v>
      </c>
      <c r="O1029" t="s">
        <v>1568</v>
      </c>
      <c r="P1029" t="s">
        <v>221</v>
      </c>
      <c r="Q1029" t="s">
        <v>82</v>
      </c>
      <c r="R1029">
        <v>4</v>
      </c>
      <c r="S1029">
        <v>9.91</v>
      </c>
      <c r="T1029">
        <v>0</v>
      </c>
      <c r="U1029">
        <v>1</v>
      </c>
      <c r="V1029">
        <v>4</v>
      </c>
      <c r="W1029">
        <v>22.35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4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</row>
    <row r="1030" spans="1:37" x14ac:dyDescent="0.3">
      <c r="A1030">
        <v>7979</v>
      </c>
      <c r="B1030" t="s">
        <v>219</v>
      </c>
      <c r="D1030" t="s">
        <v>327</v>
      </c>
      <c r="E1030">
        <v>99999999</v>
      </c>
      <c r="F1030">
        <v>11111111</v>
      </c>
      <c r="G1030">
        <v>1111111111</v>
      </c>
      <c r="H1030" t="s">
        <v>4599</v>
      </c>
      <c r="I1030">
        <v>99999999</v>
      </c>
      <c r="J1030" s="188">
        <v>45236</v>
      </c>
      <c r="K1030" t="s">
        <v>4599</v>
      </c>
      <c r="L1030" t="s">
        <v>4599</v>
      </c>
      <c r="M1030" t="s">
        <v>1569</v>
      </c>
      <c r="N1030" t="s">
        <v>97</v>
      </c>
      <c r="O1030" t="s">
        <v>1570</v>
      </c>
      <c r="P1030" t="s">
        <v>221</v>
      </c>
      <c r="Q1030" t="s">
        <v>82</v>
      </c>
      <c r="R1030">
        <v>2</v>
      </c>
      <c r="S1030">
        <v>3.5</v>
      </c>
      <c r="T1030">
        <v>0</v>
      </c>
      <c r="U1030">
        <v>1</v>
      </c>
      <c r="V1030">
        <v>2</v>
      </c>
      <c r="W1030">
        <v>30.78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2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</row>
    <row r="1031" spans="1:37" x14ac:dyDescent="0.3">
      <c r="A1031">
        <v>7979</v>
      </c>
      <c r="B1031" t="s">
        <v>219</v>
      </c>
      <c r="D1031" t="s">
        <v>327</v>
      </c>
      <c r="E1031">
        <v>99999999</v>
      </c>
      <c r="F1031">
        <v>11111111</v>
      </c>
      <c r="G1031">
        <v>1111111111</v>
      </c>
      <c r="H1031" t="s">
        <v>4600</v>
      </c>
      <c r="I1031">
        <v>99999999</v>
      </c>
      <c r="J1031" s="188">
        <v>45236</v>
      </c>
      <c r="K1031" t="s">
        <v>4600</v>
      </c>
      <c r="L1031" t="s">
        <v>4600</v>
      </c>
      <c r="M1031" t="s">
        <v>774</v>
      </c>
      <c r="N1031" t="s">
        <v>135</v>
      </c>
      <c r="O1031" t="s">
        <v>1571</v>
      </c>
      <c r="P1031" t="s">
        <v>221</v>
      </c>
      <c r="Q1031" t="s">
        <v>82</v>
      </c>
      <c r="R1031">
        <v>3</v>
      </c>
      <c r="S1031">
        <v>7.95</v>
      </c>
      <c r="T1031">
        <v>0</v>
      </c>
      <c r="U1031">
        <v>1</v>
      </c>
      <c r="V1031">
        <v>3</v>
      </c>
      <c r="W1031">
        <v>30.34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3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</row>
    <row r="1032" spans="1:37" x14ac:dyDescent="0.3">
      <c r="A1032">
        <v>7979</v>
      </c>
      <c r="B1032" t="s">
        <v>219</v>
      </c>
      <c r="D1032" t="s">
        <v>327</v>
      </c>
      <c r="E1032">
        <v>99999999</v>
      </c>
      <c r="F1032">
        <v>11111111</v>
      </c>
      <c r="G1032">
        <v>1111111111</v>
      </c>
      <c r="H1032" t="s">
        <v>4601</v>
      </c>
      <c r="I1032">
        <v>99999999</v>
      </c>
      <c r="J1032" s="188">
        <v>45236</v>
      </c>
      <c r="K1032" t="s">
        <v>4601</v>
      </c>
      <c r="L1032" t="s">
        <v>4601</v>
      </c>
      <c r="M1032" t="s">
        <v>1572</v>
      </c>
      <c r="N1032" t="s">
        <v>99</v>
      </c>
      <c r="O1032" t="s">
        <v>1573</v>
      </c>
      <c r="P1032" t="s">
        <v>221</v>
      </c>
      <c r="Q1032" t="s">
        <v>82</v>
      </c>
      <c r="R1032">
        <v>1</v>
      </c>
      <c r="S1032">
        <v>4.5599999999999996</v>
      </c>
      <c r="T1032">
        <v>0</v>
      </c>
      <c r="U1032">
        <v>1</v>
      </c>
      <c r="V1032">
        <v>1</v>
      </c>
      <c r="W1032">
        <v>27.62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1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</row>
    <row r="1033" spans="1:37" x14ac:dyDescent="0.3">
      <c r="A1033">
        <v>7979</v>
      </c>
      <c r="B1033" t="s">
        <v>219</v>
      </c>
      <c r="D1033" t="s">
        <v>327</v>
      </c>
      <c r="E1033">
        <v>99999999</v>
      </c>
      <c r="F1033">
        <v>11111111</v>
      </c>
      <c r="G1033">
        <v>1111111111</v>
      </c>
      <c r="H1033" t="s">
        <v>4602</v>
      </c>
      <c r="I1033">
        <v>99999999</v>
      </c>
      <c r="J1033" s="188">
        <v>45236</v>
      </c>
      <c r="K1033" t="s">
        <v>4602</v>
      </c>
      <c r="L1033" t="s">
        <v>4602</v>
      </c>
      <c r="M1033" t="s">
        <v>1574</v>
      </c>
      <c r="N1033" t="s">
        <v>99</v>
      </c>
      <c r="O1033" t="s">
        <v>1575</v>
      </c>
      <c r="P1033" t="s">
        <v>221</v>
      </c>
      <c r="Q1033" t="s">
        <v>82</v>
      </c>
      <c r="R1033">
        <v>1</v>
      </c>
      <c r="S1033">
        <v>3.5</v>
      </c>
      <c r="T1033">
        <v>0</v>
      </c>
      <c r="U1033">
        <v>1</v>
      </c>
      <c r="V1033">
        <v>1</v>
      </c>
      <c r="W1033">
        <v>20.77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1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</row>
    <row r="1034" spans="1:37" x14ac:dyDescent="0.3">
      <c r="A1034">
        <v>7979</v>
      </c>
      <c r="B1034" t="s">
        <v>219</v>
      </c>
      <c r="D1034" t="s">
        <v>327</v>
      </c>
      <c r="E1034">
        <v>99999999</v>
      </c>
      <c r="F1034">
        <v>11111111</v>
      </c>
      <c r="G1034">
        <v>1111111111</v>
      </c>
      <c r="H1034" t="s">
        <v>4603</v>
      </c>
      <c r="I1034">
        <v>99999999</v>
      </c>
      <c r="J1034" s="188">
        <v>45236</v>
      </c>
      <c r="K1034" t="s">
        <v>4603</v>
      </c>
      <c r="L1034" t="s">
        <v>4603</v>
      </c>
      <c r="M1034" t="s">
        <v>101</v>
      </c>
      <c r="N1034" t="s">
        <v>97</v>
      </c>
      <c r="O1034" t="s">
        <v>1576</v>
      </c>
      <c r="P1034" t="s">
        <v>221</v>
      </c>
      <c r="Q1034" t="s">
        <v>82</v>
      </c>
      <c r="R1034">
        <v>2</v>
      </c>
      <c r="S1034">
        <v>8.3800000000000008</v>
      </c>
      <c r="T1034">
        <v>0</v>
      </c>
      <c r="U1034">
        <v>1</v>
      </c>
      <c r="V1034">
        <v>2</v>
      </c>
      <c r="W1034">
        <v>24.22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2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</row>
    <row r="1035" spans="1:37" x14ac:dyDescent="0.3">
      <c r="A1035">
        <v>7979</v>
      </c>
      <c r="B1035" t="s">
        <v>219</v>
      </c>
      <c r="D1035" t="s">
        <v>327</v>
      </c>
      <c r="E1035">
        <v>99999999</v>
      </c>
      <c r="F1035">
        <v>11111111</v>
      </c>
      <c r="G1035">
        <v>1111111111</v>
      </c>
      <c r="H1035" t="s">
        <v>4604</v>
      </c>
      <c r="I1035">
        <v>99999999</v>
      </c>
      <c r="J1035" s="188">
        <v>45236</v>
      </c>
      <c r="K1035" t="s">
        <v>4604</v>
      </c>
      <c r="L1035" t="s">
        <v>4604</v>
      </c>
      <c r="M1035" t="s">
        <v>1577</v>
      </c>
      <c r="N1035" t="s">
        <v>97</v>
      </c>
      <c r="O1035" t="s">
        <v>1578</v>
      </c>
      <c r="P1035" t="s">
        <v>221</v>
      </c>
      <c r="Q1035" t="s">
        <v>82</v>
      </c>
      <c r="R1035">
        <v>1</v>
      </c>
      <c r="S1035">
        <v>7.52</v>
      </c>
      <c r="T1035">
        <v>0</v>
      </c>
      <c r="U1035">
        <v>1</v>
      </c>
      <c r="V1035">
        <v>1</v>
      </c>
      <c r="W1035">
        <v>30.34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1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</row>
    <row r="1036" spans="1:37" x14ac:dyDescent="0.3">
      <c r="A1036">
        <v>7979</v>
      </c>
      <c r="B1036" t="s">
        <v>219</v>
      </c>
      <c r="D1036" t="s">
        <v>327</v>
      </c>
      <c r="E1036">
        <v>99999999</v>
      </c>
      <c r="F1036">
        <v>11111111</v>
      </c>
      <c r="G1036">
        <v>1111111111</v>
      </c>
      <c r="H1036" t="s">
        <v>4605</v>
      </c>
      <c r="I1036">
        <v>99999999</v>
      </c>
      <c r="J1036" s="188">
        <v>45236</v>
      </c>
      <c r="K1036" t="s">
        <v>4605</v>
      </c>
      <c r="L1036" t="s">
        <v>4605</v>
      </c>
      <c r="M1036" t="s">
        <v>1579</v>
      </c>
      <c r="N1036" t="s">
        <v>99</v>
      </c>
      <c r="O1036" t="s">
        <v>1580</v>
      </c>
      <c r="P1036" t="s">
        <v>221</v>
      </c>
      <c r="Q1036" t="s">
        <v>82</v>
      </c>
      <c r="R1036">
        <v>1</v>
      </c>
      <c r="S1036">
        <v>7.89</v>
      </c>
      <c r="T1036">
        <v>0</v>
      </c>
      <c r="U1036">
        <v>1</v>
      </c>
      <c r="V1036">
        <v>1</v>
      </c>
      <c r="W1036">
        <v>29.72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1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</row>
    <row r="1037" spans="1:37" x14ac:dyDescent="0.3">
      <c r="A1037">
        <v>7979</v>
      </c>
      <c r="B1037" t="s">
        <v>219</v>
      </c>
      <c r="D1037" t="s">
        <v>327</v>
      </c>
      <c r="E1037">
        <v>99999999</v>
      </c>
      <c r="F1037">
        <v>11111111</v>
      </c>
      <c r="G1037">
        <v>1111111111</v>
      </c>
      <c r="H1037" t="s">
        <v>4606</v>
      </c>
      <c r="I1037">
        <v>99999999</v>
      </c>
      <c r="J1037" s="188">
        <v>45236</v>
      </c>
      <c r="K1037" t="s">
        <v>4606</v>
      </c>
      <c r="L1037" t="s">
        <v>4606</v>
      </c>
      <c r="M1037" t="s">
        <v>747</v>
      </c>
      <c r="N1037" t="s">
        <v>99</v>
      </c>
      <c r="O1037" t="s">
        <v>1581</v>
      </c>
      <c r="P1037" t="s">
        <v>221</v>
      </c>
      <c r="Q1037" t="s">
        <v>82</v>
      </c>
      <c r="R1037">
        <v>6</v>
      </c>
      <c r="S1037">
        <v>1.3779999999999999</v>
      </c>
      <c r="T1037">
        <v>0</v>
      </c>
      <c r="U1037">
        <v>1</v>
      </c>
      <c r="V1037">
        <v>4</v>
      </c>
      <c r="W1037">
        <v>26.06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6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</row>
    <row r="1038" spans="1:37" x14ac:dyDescent="0.3">
      <c r="A1038">
        <v>7979</v>
      </c>
      <c r="B1038" t="s">
        <v>219</v>
      </c>
      <c r="D1038" t="s">
        <v>327</v>
      </c>
      <c r="E1038">
        <v>99999999</v>
      </c>
      <c r="F1038">
        <v>11111111</v>
      </c>
      <c r="G1038">
        <v>1111111111</v>
      </c>
      <c r="H1038" t="s">
        <v>4607</v>
      </c>
      <c r="I1038">
        <v>99999999</v>
      </c>
      <c r="J1038" s="188">
        <v>45236</v>
      </c>
      <c r="K1038" t="s">
        <v>4607</v>
      </c>
      <c r="L1038" t="s">
        <v>4607</v>
      </c>
      <c r="M1038" t="s">
        <v>1582</v>
      </c>
      <c r="N1038" t="s">
        <v>85</v>
      </c>
      <c r="O1038" t="s">
        <v>1583</v>
      </c>
      <c r="P1038" t="s">
        <v>221</v>
      </c>
      <c r="Q1038" t="s">
        <v>82</v>
      </c>
      <c r="R1038">
        <v>5</v>
      </c>
      <c r="S1038">
        <v>7.52</v>
      </c>
      <c r="T1038">
        <v>0</v>
      </c>
      <c r="U1038">
        <v>1</v>
      </c>
      <c r="V1038">
        <v>3</v>
      </c>
      <c r="W1038">
        <v>29.72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5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</row>
    <row r="1039" spans="1:37" x14ac:dyDescent="0.3">
      <c r="A1039">
        <v>7979</v>
      </c>
      <c r="B1039" t="s">
        <v>219</v>
      </c>
      <c r="D1039" t="s">
        <v>327</v>
      </c>
      <c r="E1039">
        <v>99999999</v>
      </c>
      <c r="F1039">
        <v>11111111</v>
      </c>
      <c r="G1039">
        <v>1111111111</v>
      </c>
      <c r="H1039" t="s">
        <v>4608</v>
      </c>
      <c r="I1039">
        <v>99999999</v>
      </c>
      <c r="J1039" s="188">
        <v>45236</v>
      </c>
      <c r="K1039" t="s">
        <v>4608</v>
      </c>
      <c r="L1039" t="s">
        <v>4608</v>
      </c>
      <c r="M1039" t="s">
        <v>672</v>
      </c>
      <c r="N1039" t="s">
        <v>91</v>
      </c>
      <c r="O1039" t="s">
        <v>1584</v>
      </c>
      <c r="P1039" t="s">
        <v>221</v>
      </c>
      <c r="Q1039" t="s">
        <v>82</v>
      </c>
      <c r="R1039">
        <v>2</v>
      </c>
      <c r="S1039">
        <v>2.2000000000000002</v>
      </c>
      <c r="T1039">
        <v>0</v>
      </c>
      <c r="U1039">
        <v>1</v>
      </c>
      <c r="V1039">
        <v>2</v>
      </c>
      <c r="W1039">
        <v>28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2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</row>
    <row r="1040" spans="1:37" x14ac:dyDescent="0.3">
      <c r="A1040">
        <v>7979</v>
      </c>
      <c r="B1040" t="s">
        <v>219</v>
      </c>
      <c r="D1040" t="s">
        <v>327</v>
      </c>
      <c r="E1040">
        <v>99999999</v>
      </c>
      <c r="F1040">
        <v>11111111</v>
      </c>
      <c r="G1040">
        <v>1111111111</v>
      </c>
      <c r="H1040" t="s">
        <v>4609</v>
      </c>
      <c r="I1040">
        <v>99999999</v>
      </c>
      <c r="J1040" s="188">
        <v>45236</v>
      </c>
      <c r="K1040" t="s">
        <v>4609</v>
      </c>
      <c r="L1040" t="s">
        <v>4609</v>
      </c>
      <c r="M1040" t="s">
        <v>632</v>
      </c>
      <c r="N1040" t="s">
        <v>97</v>
      </c>
      <c r="O1040" t="s">
        <v>1585</v>
      </c>
      <c r="P1040" t="s">
        <v>221</v>
      </c>
      <c r="Q1040" t="s">
        <v>82</v>
      </c>
      <c r="R1040">
        <v>2</v>
      </c>
      <c r="S1040">
        <v>14.5</v>
      </c>
      <c r="T1040">
        <v>0</v>
      </c>
      <c r="U1040">
        <v>1</v>
      </c>
      <c r="V1040">
        <v>2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2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</row>
    <row r="1041" spans="1:37" x14ac:dyDescent="0.3">
      <c r="A1041">
        <v>7979</v>
      </c>
      <c r="B1041" t="s">
        <v>219</v>
      </c>
      <c r="D1041" t="s">
        <v>327</v>
      </c>
      <c r="E1041">
        <v>99999999</v>
      </c>
      <c r="F1041">
        <v>11111111</v>
      </c>
      <c r="G1041">
        <v>1111111111</v>
      </c>
      <c r="H1041" t="s">
        <v>4610</v>
      </c>
      <c r="I1041">
        <v>99999999</v>
      </c>
      <c r="J1041" s="188">
        <v>45236</v>
      </c>
      <c r="K1041" t="s">
        <v>4610</v>
      </c>
      <c r="L1041" t="s">
        <v>4610</v>
      </c>
      <c r="M1041" t="s">
        <v>1375</v>
      </c>
      <c r="N1041" t="s">
        <v>91</v>
      </c>
      <c r="O1041" t="s">
        <v>1586</v>
      </c>
      <c r="P1041" t="s">
        <v>221</v>
      </c>
      <c r="Q1041" t="s">
        <v>82</v>
      </c>
      <c r="R1041">
        <v>3</v>
      </c>
      <c r="S1041">
        <v>5.1280000000000001</v>
      </c>
      <c r="T1041">
        <v>0</v>
      </c>
      <c r="U1041">
        <v>1</v>
      </c>
      <c r="V1041">
        <v>3</v>
      </c>
      <c r="W1041">
        <v>24.44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3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</row>
    <row r="1042" spans="1:37" x14ac:dyDescent="0.3">
      <c r="A1042">
        <v>7979</v>
      </c>
      <c r="B1042" t="s">
        <v>219</v>
      </c>
      <c r="D1042" t="s">
        <v>327</v>
      </c>
      <c r="E1042">
        <v>99999999</v>
      </c>
      <c r="F1042">
        <v>11111111</v>
      </c>
      <c r="G1042">
        <v>1111111111</v>
      </c>
      <c r="H1042" t="s">
        <v>4611</v>
      </c>
      <c r="I1042">
        <v>99999999</v>
      </c>
      <c r="J1042" s="188">
        <v>45236</v>
      </c>
      <c r="K1042" t="s">
        <v>4611</v>
      </c>
      <c r="L1042" t="s">
        <v>4611</v>
      </c>
      <c r="M1042" t="s">
        <v>155</v>
      </c>
      <c r="N1042" t="s">
        <v>99</v>
      </c>
      <c r="O1042" t="s">
        <v>1587</v>
      </c>
      <c r="P1042" t="s">
        <v>221</v>
      </c>
      <c r="Q1042" t="s">
        <v>82</v>
      </c>
      <c r="R1042">
        <v>2</v>
      </c>
      <c r="S1042">
        <v>1.79</v>
      </c>
      <c r="T1042">
        <v>0</v>
      </c>
      <c r="U1042">
        <v>1</v>
      </c>
      <c r="V1042">
        <v>2</v>
      </c>
      <c r="W1042">
        <v>21.88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2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</row>
    <row r="1043" spans="1:37" x14ac:dyDescent="0.3">
      <c r="A1043">
        <v>7979</v>
      </c>
      <c r="B1043" t="s">
        <v>219</v>
      </c>
      <c r="D1043" t="s">
        <v>327</v>
      </c>
      <c r="E1043">
        <v>99999999</v>
      </c>
      <c r="F1043">
        <v>11111111</v>
      </c>
      <c r="G1043">
        <v>1111111111</v>
      </c>
      <c r="H1043" t="s">
        <v>4612</v>
      </c>
      <c r="I1043">
        <v>99999999</v>
      </c>
      <c r="J1043" s="188">
        <v>45236</v>
      </c>
      <c r="K1043" t="s">
        <v>4612</v>
      </c>
      <c r="L1043" t="s">
        <v>4612</v>
      </c>
      <c r="M1043" t="s">
        <v>1588</v>
      </c>
      <c r="N1043" t="s">
        <v>164</v>
      </c>
      <c r="O1043" t="s">
        <v>1589</v>
      </c>
      <c r="P1043" t="s">
        <v>221</v>
      </c>
      <c r="Q1043" t="s">
        <v>82</v>
      </c>
      <c r="R1043">
        <v>6</v>
      </c>
      <c r="S1043">
        <v>4.92</v>
      </c>
      <c r="T1043">
        <v>0</v>
      </c>
      <c r="U1043">
        <v>1</v>
      </c>
      <c r="V1043">
        <v>6</v>
      </c>
      <c r="W1043">
        <v>29.21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6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</row>
    <row r="1044" spans="1:37" x14ac:dyDescent="0.3">
      <c r="A1044">
        <v>7979</v>
      </c>
      <c r="B1044" t="s">
        <v>219</v>
      </c>
      <c r="D1044" t="s">
        <v>327</v>
      </c>
      <c r="E1044">
        <v>99999999</v>
      </c>
      <c r="F1044">
        <v>11111111</v>
      </c>
      <c r="G1044">
        <v>1111111111</v>
      </c>
      <c r="H1044" t="s">
        <v>4613</v>
      </c>
      <c r="I1044">
        <v>99999999</v>
      </c>
      <c r="J1044" s="188">
        <v>45236</v>
      </c>
      <c r="K1044" t="s">
        <v>4613</v>
      </c>
      <c r="L1044" t="s">
        <v>4613</v>
      </c>
      <c r="M1044" t="s">
        <v>1590</v>
      </c>
      <c r="N1044" t="s">
        <v>197</v>
      </c>
      <c r="O1044" t="s">
        <v>1591</v>
      </c>
      <c r="P1044" t="s">
        <v>221</v>
      </c>
      <c r="Q1044" t="s">
        <v>82</v>
      </c>
      <c r="R1044">
        <v>5</v>
      </c>
      <c r="S1044">
        <v>6.16</v>
      </c>
      <c r="T1044">
        <v>0</v>
      </c>
      <c r="U1044">
        <v>1</v>
      </c>
      <c r="V1044">
        <v>5</v>
      </c>
      <c r="W1044">
        <v>32.81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5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</row>
    <row r="1045" spans="1:37" x14ac:dyDescent="0.3">
      <c r="A1045">
        <v>7979</v>
      </c>
      <c r="B1045" t="s">
        <v>219</v>
      </c>
      <c r="D1045" t="s">
        <v>327</v>
      </c>
      <c r="E1045">
        <v>99999999</v>
      </c>
      <c r="F1045">
        <v>11111111</v>
      </c>
      <c r="G1045">
        <v>1111111111</v>
      </c>
      <c r="H1045" t="s">
        <v>4614</v>
      </c>
      <c r="I1045">
        <v>99999999</v>
      </c>
      <c r="J1045" s="188">
        <v>45236</v>
      </c>
      <c r="K1045" t="s">
        <v>4614</v>
      </c>
      <c r="L1045" t="s">
        <v>4614</v>
      </c>
      <c r="M1045" t="s">
        <v>128</v>
      </c>
      <c r="N1045" t="s">
        <v>85</v>
      </c>
      <c r="O1045">
        <v>89503</v>
      </c>
      <c r="P1045" t="s">
        <v>221</v>
      </c>
      <c r="Q1045" t="s">
        <v>82</v>
      </c>
      <c r="R1045">
        <v>6</v>
      </c>
      <c r="S1045">
        <v>2.6</v>
      </c>
      <c r="T1045">
        <v>0</v>
      </c>
      <c r="U1045">
        <v>1</v>
      </c>
      <c r="V1045">
        <v>2</v>
      </c>
      <c r="W1045">
        <v>19.54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6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</row>
    <row r="1046" spans="1:37" x14ac:dyDescent="0.3">
      <c r="A1046">
        <v>7979</v>
      </c>
      <c r="B1046" t="s">
        <v>219</v>
      </c>
      <c r="D1046" t="s">
        <v>327</v>
      </c>
      <c r="E1046">
        <v>99999999</v>
      </c>
      <c r="F1046">
        <v>11111111</v>
      </c>
      <c r="G1046">
        <v>1111111111</v>
      </c>
      <c r="H1046" t="s">
        <v>4615</v>
      </c>
      <c r="I1046">
        <v>99999999</v>
      </c>
      <c r="J1046" s="188">
        <v>45236</v>
      </c>
      <c r="K1046" t="s">
        <v>4615</v>
      </c>
      <c r="L1046" t="s">
        <v>4615</v>
      </c>
      <c r="M1046" t="s">
        <v>369</v>
      </c>
      <c r="N1046" t="s">
        <v>99</v>
      </c>
      <c r="O1046" t="s">
        <v>1592</v>
      </c>
      <c r="P1046" t="s">
        <v>221</v>
      </c>
      <c r="Q1046" t="s">
        <v>82</v>
      </c>
      <c r="R1046">
        <v>2</v>
      </c>
      <c r="S1046">
        <v>3</v>
      </c>
      <c r="T1046">
        <v>0</v>
      </c>
      <c r="U1046">
        <v>1</v>
      </c>
      <c r="V1046">
        <v>2</v>
      </c>
      <c r="W1046">
        <v>22.52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2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</row>
    <row r="1047" spans="1:37" x14ac:dyDescent="0.3">
      <c r="A1047">
        <v>7979</v>
      </c>
      <c r="B1047" t="s">
        <v>219</v>
      </c>
      <c r="D1047" t="s">
        <v>327</v>
      </c>
      <c r="E1047">
        <v>99999999</v>
      </c>
      <c r="F1047">
        <v>11111111</v>
      </c>
      <c r="G1047">
        <v>1111111111</v>
      </c>
      <c r="H1047" t="s">
        <v>4616</v>
      </c>
      <c r="I1047">
        <v>99999999</v>
      </c>
      <c r="J1047" s="188">
        <v>45236</v>
      </c>
      <c r="K1047" t="s">
        <v>4616</v>
      </c>
      <c r="L1047" t="s">
        <v>4616</v>
      </c>
      <c r="M1047" t="s">
        <v>831</v>
      </c>
      <c r="N1047" t="s">
        <v>130</v>
      </c>
      <c r="O1047" t="s">
        <v>1593</v>
      </c>
      <c r="P1047" t="s">
        <v>221</v>
      </c>
      <c r="Q1047" t="s">
        <v>82</v>
      </c>
      <c r="R1047">
        <v>2</v>
      </c>
      <c r="S1047">
        <v>9</v>
      </c>
      <c r="T1047">
        <v>0</v>
      </c>
      <c r="U1047">
        <v>1</v>
      </c>
      <c r="V1047">
        <v>2</v>
      </c>
      <c r="W1047">
        <v>26.22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2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</row>
    <row r="1048" spans="1:37" x14ac:dyDescent="0.3">
      <c r="A1048">
        <v>7979</v>
      </c>
      <c r="B1048" t="s">
        <v>219</v>
      </c>
      <c r="D1048" t="s">
        <v>327</v>
      </c>
      <c r="E1048">
        <v>99999999</v>
      </c>
      <c r="F1048">
        <v>11111111</v>
      </c>
      <c r="G1048">
        <v>1111111111</v>
      </c>
      <c r="H1048" t="s">
        <v>4617</v>
      </c>
      <c r="I1048">
        <v>99999999</v>
      </c>
      <c r="J1048" s="188">
        <v>45236</v>
      </c>
      <c r="K1048" t="s">
        <v>4617</v>
      </c>
      <c r="L1048" t="s">
        <v>4617</v>
      </c>
      <c r="M1048" t="s">
        <v>1594</v>
      </c>
      <c r="N1048" t="s">
        <v>99</v>
      </c>
      <c r="O1048" t="s">
        <v>1595</v>
      </c>
      <c r="P1048" t="s">
        <v>221</v>
      </c>
      <c r="Q1048" t="s">
        <v>82</v>
      </c>
      <c r="R1048">
        <v>3</v>
      </c>
      <c r="S1048">
        <v>23.04</v>
      </c>
      <c r="T1048">
        <v>0</v>
      </c>
      <c r="U1048">
        <v>1</v>
      </c>
      <c r="V1048">
        <v>3</v>
      </c>
      <c r="W1048">
        <v>37.03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3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</row>
    <row r="1049" spans="1:37" x14ac:dyDescent="0.3">
      <c r="A1049">
        <v>7979</v>
      </c>
      <c r="B1049" t="s">
        <v>219</v>
      </c>
      <c r="D1049" t="s">
        <v>327</v>
      </c>
      <c r="E1049">
        <v>99999999</v>
      </c>
      <c r="F1049">
        <v>11111111</v>
      </c>
      <c r="G1049">
        <v>1111111111</v>
      </c>
      <c r="H1049" t="s">
        <v>4618</v>
      </c>
      <c r="I1049">
        <v>99999999</v>
      </c>
      <c r="J1049" s="188">
        <v>45236</v>
      </c>
      <c r="K1049" t="s">
        <v>4618</v>
      </c>
      <c r="L1049" t="s">
        <v>4618</v>
      </c>
      <c r="M1049" t="s">
        <v>448</v>
      </c>
      <c r="N1049" t="s">
        <v>197</v>
      </c>
      <c r="O1049" t="s">
        <v>1596</v>
      </c>
      <c r="P1049" t="s">
        <v>221</v>
      </c>
      <c r="Q1049" t="s">
        <v>82</v>
      </c>
      <c r="R1049">
        <v>2</v>
      </c>
      <c r="S1049">
        <v>2.57</v>
      </c>
      <c r="T1049">
        <v>0</v>
      </c>
      <c r="U1049">
        <v>1</v>
      </c>
      <c r="V1049">
        <v>2</v>
      </c>
      <c r="W1049">
        <v>25.25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2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</row>
    <row r="1050" spans="1:37" x14ac:dyDescent="0.3">
      <c r="A1050">
        <v>7979</v>
      </c>
      <c r="B1050" t="s">
        <v>219</v>
      </c>
      <c r="D1050" t="s">
        <v>327</v>
      </c>
      <c r="E1050">
        <v>99999999</v>
      </c>
      <c r="F1050">
        <v>11111111</v>
      </c>
      <c r="G1050">
        <v>1111111111</v>
      </c>
      <c r="H1050" t="s">
        <v>4619</v>
      </c>
      <c r="I1050">
        <v>99999999</v>
      </c>
      <c r="J1050" s="188">
        <v>45236</v>
      </c>
      <c r="K1050" t="s">
        <v>4619</v>
      </c>
      <c r="L1050" t="s">
        <v>4619</v>
      </c>
      <c r="M1050" t="s">
        <v>341</v>
      </c>
      <c r="N1050" t="s">
        <v>130</v>
      </c>
      <c r="O1050">
        <v>80504</v>
      </c>
      <c r="P1050" t="s">
        <v>221</v>
      </c>
      <c r="Q1050" t="s">
        <v>82</v>
      </c>
      <c r="R1050">
        <v>11</v>
      </c>
      <c r="S1050">
        <v>11</v>
      </c>
      <c r="T1050">
        <v>0</v>
      </c>
      <c r="U1050">
        <v>1</v>
      </c>
      <c r="V1050">
        <v>3</v>
      </c>
      <c r="W1050">
        <v>26.51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11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</row>
    <row r="1051" spans="1:37" x14ac:dyDescent="0.3">
      <c r="A1051">
        <v>7979</v>
      </c>
      <c r="B1051" t="s">
        <v>219</v>
      </c>
      <c r="D1051" t="s">
        <v>327</v>
      </c>
      <c r="E1051">
        <v>99999999</v>
      </c>
      <c r="F1051">
        <v>11111111</v>
      </c>
      <c r="G1051">
        <v>1111111111</v>
      </c>
      <c r="H1051" t="s">
        <v>4620</v>
      </c>
      <c r="I1051">
        <v>99999999</v>
      </c>
      <c r="J1051" s="188">
        <v>45236</v>
      </c>
      <c r="K1051" t="s">
        <v>4620</v>
      </c>
      <c r="L1051" t="s">
        <v>4620</v>
      </c>
      <c r="M1051" t="s">
        <v>1597</v>
      </c>
      <c r="N1051" t="s">
        <v>197</v>
      </c>
      <c r="O1051" t="s">
        <v>1598</v>
      </c>
      <c r="P1051" t="s">
        <v>221</v>
      </c>
      <c r="Q1051" t="s">
        <v>82</v>
      </c>
      <c r="R1051">
        <v>3</v>
      </c>
      <c r="S1051">
        <v>5.5419999999999998</v>
      </c>
      <c r="T1051">
        <v>0</v>
      </c>
      <c r="U1051">
        <v>1</v>
      </c>
      <c r="V1051">
        <v>3</v>
      </c>
      <c r="W1051">
        <v>32.81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3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</row>
    <row r="1052" spans="1:37" x14ac:dyDescent="0.3">
      <c r="A1052">
        <v>7979</v>
      </c>
      <c r="B1052" t="s">
        <v>219</v>
      </c>
      <c r="D1052" t="s">
        <v>327</v>
      </c>
      <c r="E1052">
        <v>99999999</v>
      </c>
      <c r="F1052">
        <v>11111111</v>
      </c>
      <c r="G1052">
        <v>1111111111</v>
      </c>
      <c r="H1052" t="s">
        <v>4621</v>
      </c>
      <c r="I1052">
        <v>99999999</v>
      </c>
      <c r="J1052" s="188">
        <v>45236</v>
      </c>
      <c r="K1052" t="s">
        <v>4621</v>
      </c>
      <c r="L1052" t="s">
        <v>4621</v>
      </c>
      <c r="M1052" t="s">
        <v>309</v>
      </c>
      <c r="N1052" t="s">
        <v>97</v>
      </c>
      <c r="O1052" t="s">
        <v>1599</v>
      </c>
      <c r="P1052" t="s">
        <v>221</v>
      </c>
      <c r="Q1052" t="s">
        <v>82</v>
      </c>
      <c r="R1052">
        <v>2</v>
      </c>
      <c r="S1052">
        <v>2.3199999999999998</v>
      </c>
      <c r="T1052">
        <v>0</v>
      </c>
      <c r="U1052">
        <v>1</v>
      </c>
      <c r="V1052">
        <v>2</v>
      </c>
      <c r="W1052">
        <v>21.88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2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</row>
    <row r="1053" spans="1:37" x14ac:dyDescent="0.3">
      <c r="A1053">
        <v>7979</v>
      </c>
      <c r="B1053" t="s">
        <v>219</v>
      </c>
      <c r="D1053" t="s">
        <v>327</v>
      </c>
      <c r="E1053">
        <v>99999999</v>
      </c>
      <c r="F1053">
        <v>11111111</v>
      </c>
      <c r="G1053">
        <v>1111111111</v>
      </c>
      <c r="H1053" t="s">
        <v>4622</v>
      </c>
      <c r="I1053">
        <v>99999999</v>
      </c>
      <c r="J1053" s="188">
        <v>45236</v>
      </c>
      <c r="K1053" t="s">
        <v>4622</v>
      </c>
      <c r="L1053" t="s">
        <v>4622</v>
      </c>
      <c r="M1053" t="s">
        <v>632</v>
      </c>
      <c r="N1053" t="s">
        <v>97</v>
      </c>
      <c r="O1053">
        <v>98226</v>
      </c>
      <c r="P1053" t="s">
        <v>221</v>
      </c>
      <c r="Q1053" t="s">
        <v>82</v>
      </c>
      <c r="R1053">
        <v>2</v>
      </c>
      <c r="S1053">
        <v>12.688000000000001</v>
      </c>
      <c r="T1053">
        <v>0</v>
      </c>
      <c r="U1053">
        <v>1</v>
      </c>
      <c r="V1053">
        <v>2</v>
      </c>
      <c r="W1053">
        <v>25.24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2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</row>
    <row r="1054" spans="1:37" x14ac:dyDescent="0.3">
      <c r="A1054">
        <v>7979</v>
      </c>
      <c r="B1054" t="s">
        <v>219</v>
      </c>
      <c r="D1054" t="s">
        <v>327</v>
      </c>
      <c r="E1054">
        <v>99999999</v>
      </c>
      <c r="F1054">
        <v>11111111</v>
      </c>
      <c r="G1054">
        <v>1111111111</v>
      </c>
      <c r="H1054" t="s">
        <v>4623</v>
      </c>
      <c r="I1054">
        <v>99999999</v>
      </c>
      <c r="J1054" s="188">
        <v>45236</v>
      </c>
      <c r="K1054" t="s">
        <v>4623</v>
      </c>
      <c r="L1054" t="s">
        <v>4623</v>
      </c>
      <c r="M1054" t="s">
        <v>1600</v>
      </c>
      <c r="N1054" t="s">
        <v>164</v>
      </c>
      <c r="O1054">
        <v>97023</v>
      </c>
      <c r="P1054" t="s">
        <v>221</v>
      </c>
      <c r="Q1054" t="s">
        <v>82</v>
      </c>
      <c r="R1054">
        <v>3</v>
      </c>
      <c r="S1054">
        <v>24.42</v>
      </c>
      <c r="T1054">
        <v>0</v>
      </c>
      <c r="U1054">
        <v>1</v>
      </c>
      <c r="V1054">
        <v>3</v>
      </c>
      <c r="W1054">
        <v>39.28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3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</row>
    <row r="1055" spans="1:37" x14ac:dyDescent="0.3">
      <c r="A1055">
        <v>7979</v>
      </c>
      <c r="B1055" t="s">
        <v>219</v>
      </c>
      <c r="D1055" t="s">
        <v>327</v>
      </c>
      <c r="E1055">
        <v>99999999</v>
      </c>
      <c r="F1055">
        <v>11111111</v>
      </c>
      <c r="G1055">
        <v>1111111111</v>
      </c>
      <c r="H1055" t="s">
        <v>4624</v>
      </c>
      <c r="I1055">
        <v>99999999</v>
      </c>
      <c r="J1055" s="188">
        <v>45236</v>
      </c>
      <c r="K1055" t="s">
        <v>4624</v>
      </c>
      <c r="L1055" t="s">
        <v>4624</v>
      </c>
      <c r="M1055" t="s">
        <v>358</v>
      </c>
      <c r="N1055" t="s">
        <v>197</v>
      </c>
      <c r="O1055" t="s">
        <v>1601</v>
      </c>
      <c r="P1055" t="s">
        <v>221</v>
      </c>
      <c r="Q1055" t="s">
        <v>82</v>
      </c>
      <c r="R1055">
        <v>4</v>
      </c>
      <c r="S1055">
        <v>40.46</v>
      </c>
      <c r="T1055">
        <v>0</v>
      </c>
      <c r="U1055">
        <v>1</v>
      </c>
      <c r="V1055">
        <v>4</v>
      </c>
      <c r="W1055">
        <v>62.57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4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</row>
    <row r="1056" spans="1:37" x14ac:dyDescent="0.3">
      <c r="A1056">
        <v>7979</v>
      </c>
      <c r="B1056" t="s">
        <v>219</v>
      </c>
      <c r="D1056" t="s">
        <v>327</v>
      </c>
      <c r="E1056">
        <v>99999999</v>
      </c>
      <c r="F1056">
        <v>11111111</v>
      </c>
      <c r="G1056">
        <v>1111111111</v>
      </c>
      <c r="H1056" t="s">
        <v>4625</v>
      </c>
      <c r="I1056">
        <v>99999999</v>
      </c>
      <c r="J1056" s="188">
        <v>45236</v>
      </c>
      <c r="K1056" t="s">
        <v>4625</v>
      </c>
      <c r="L1056" t="s">
        <v>4625</v>
      </c>
      <c r="M1056" t="s">
        <v>1602</v>
      </c>
      <c r="N1056" t="s">
        <v>97</v>
      </c>
      <c r="O1056" t="s">
        <v>1603</v>
      </c>
      <c r="P1056" t="s">
        <v>221</v>
      </c>
      <c r="Q1056" t="s">
        <v>82</v>
      </c>
      <c r="R1056">
        <v>3</v>
      </c>
      <c r="S1056">
        <v>14.3</v>
      </c>
      <c r="T1056">
        <v>0</v>
      </c>
      <c r="U1056">
        <v>1</v>
      </c>
      <c r="V1056">
        <v>3</v>
      </c>
      <c r="W1056">
        <v>31.64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3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</row>
    <row r="1057" spans="1:37" x14ac:dyDescent="0.3">
      <c r="A1057">
        <v>7979</v>
      </c>
      <c r="B1057" t="s">
        <v>219</v>
      </c>
      <c r="D1057" t="s">
        <v>327</v>
      </c>
      <c r="E1057">
        <v>99999999</v>
      </c>
      <c r="F1057">
        <v>11111111</v>
      </c>
      <c r="G1057">
        <v>1111111111</v>
      </c>
      <c r="H1057" t="s">
        <v>4626</v>
      </c>
      <c r="I1057">
        <v>99999999</v>
      </c>
      <c r="J1057" s="188">
        <v>45237</v>
      </c>
      <c r="K1057" t="s">
        <v>4626</v>
      </c>
      <c r="L1057" t="s">
        <v>4626</v>
      </c>
      <c r="M1057" t="s">
        <v>1604</v>
      </c>
      <c r="N1057" t="s">
        <v>135</v>
      </c>
      <c r="O1057">
        <v>84003</v>
      </c>
      <c r="P1057" t="s">
        <v>221</v>
      </c>
      <c r="Q1057" t="s">
        <v>82</v>
      </c>
      <c r="R1057">
        <v>2</v>
      </c>
      <c r="S1057">
        <v>1.4</v>
      </c>
      <c r="T1057">
        <v>0</v>
      </c>
      <c r="U1057">
        <v>1</v>
      </c>
      <c r="V1057">
        <v>2</v>
      </c>
      <c r="W1057">
        <v>21.21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2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</row>
    <row r="1058" spans="1:37" x14ac:dyDescent="0.3">
      <c r="A1058">
        <v>7979</v>
      </c>
      <c r="B1058" t="s">
        <v>219</v>
      </c>
      <c r="D1058" t="s">
        <v>327</v>
      </c>
      <c r="E1058">
        <v>99999999</v>
      </c>
      <c r="F1058">
        <v>11111111</v>
      </c>
      <c r="G1058">
        <v>1111111111</v>
      </c>
      <c r="H1058" t="s">
        <v>4627</v>
      </c>
      <c r="I1058">
        <v>99999999</v>
      </c>
      <c r="J1058" s="188">
        <v>45236</v>
      </c>
      <c r="K1058" t="s">
        <v>4627</v>
      </c>
      <c r="L1058" t="s">
        <v>4627</v>
      </c>
      <c r="M1058" t="s">
        <v>1605</v>
      </c>
      <c r="N1058" t="s">
        <v>99</v>
      </c>
      <c r="O1058" t="s">
        <v>1606</v>
      </c>
      <c r="P1058" t="s">
        <v>221</v>
      </c>
      <c r="Q1058" t="s">
        <v>82</v>
      </c>
      <c r="R1058">
        <v>2</v>
      </c>
      <c r="S1058">
        <v>14.6</v>
      </c>
      <c r="T1058">
        <v>0</v>
      </c>
      <c r="U1058">
        <v>1</v>
      </c>
      <c r="V1058">
        <v>2</v>
      </c>
      <c r="W1058">
        <v>29.88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2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</row>
    <row r="1059" spans="1:37" x14ac:dyDescent="0.3">
      <c r="A1059">
        <v>7979</v>
      </c>
      <c r="B1059" t="s">
        <v>219</v>
      </c>
      <c r="D1059" t="s">
        <v>327</v>
      </c>
      <c r="E1059">
        <v>99999999</v>
      </c>
      <c r="F1059">
        <v>11111111</v>
      </c>
      <c r="G1059">
        <v>1111111111</v>
      </c>
      <c r="H1059" t="s">
        <v>4628</v>
      </c>
      <c r="I1059">
        <v>99999999</v>
      </c>
      <c r="J1059" s="188">
        <v>45236</v>
      </c>
      <c r="K1059" t="s">
        <v>4628</v>
      </c>
      <c r="L1059" t="s">
        <v>4628</v>
      </c>
      <c r="M1059" t="s">
        <v>1607</v>
      </c>
      <c r="N1059" t="s">
        <v>99</v>
      </c>
      <c r="O1059">
        <v>93010</v>
      </c>
      <c r="P1059" t="s">
        <v>221</v>
      </c>
      <c r="Q1059" t="s">
        <v>82</v>
      </c>
      <c r="R1059">
        <v>3</v>
      </c>
      <c r="S1059">
        <v>3.29</v>
      </c>
      <c r="T1059">
        <v>0</v>
      </c>
      <c r="U1059">
        <v>1</v>
      </c>
      <c r="V1059">
        <v>3</v>
      </c>
      <c r="W1059">
        <v>22.52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3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</row>
    <row r="1060" spans="1:37" x14ac:dyDescent="0.3">
      <c r="A1060">
        <v>7979</v>
      </c>
      <c r="B1060" t="s">
        <v>219</v>
      </c>
      <c r="D1060" t="s">
        <v>327</v>
      </c>
      <c r="E1060">
        <v>99999999</v>
      </c>
      <c r="F1060">
        <v>11111111</v>
      </c>
      <c r="G1060">
        <v>1111111111</v>
      </c>
      <c r="H1060" t="s">
        <v>4629</v>
      </c>
      <c r="I1060">
        <v>99999999</v>
      </c>
      <c r="J1060" s="188">
        <v>45236</v>
      </c>
      <c r="K1060" t="s">
        <v>4629</v>
      </c>
      <c r="L1060" t="s">
        <v>4629</v>
      </c>
      <c r="M1060" t="s">
        <v>1608</v>
      </c>
      <c r="N1060" t="s">
        <v>97</v>
      </c>
      <c r="O1060" t="s">
        <v>1609</v>
      </c>
      <c r="P1060" t="s">
        <v>221</v>
      </c>
      <c r="Q1060" t="s">
        <v>82</v>
      </c>
      <c r="R1060">
        <v>3</v>
      </c>
      <c r="S1060">
        <v>20.09</v>
      </c>
      <c r="T1060">
        <v>0</v>
      </c>
      <c r="U1060">
        <v>1</v>
      </c>
      <c r="V1060">
        <v>3</v>
      </c>
      <c r="W1060">
        <v>36.82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3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</row>
    <row r="1061" spans="1:37" x14ac:dyDescent="0.3">
      <c r="A1061">
        <v>7979</v>
      </c>
      <c r="B1061" t="s">
        <v>219</v>
      </c>
      <c r="D1061" t="s">
        <v>327</v>
      </c>
      <c r="E1061">
        <v>99999999</v>
      </c>
      <c r="F1061">
        <v>11111111</v>
      </c>
      <c r="G1061">
        <v>1111111111</v>
      </c>
      <c r="H1061" t="s">
        <v>4630</v>
      </c>
      <c r="I1061">
        <v>99999999</v>
      </c>
      <c r="J1061" s="188">
        <v>45236</v>
      </c>
      <c r="K1061" t="s">
        <v>4630</v>
      </c>
      <c r="L1061" t="s">
        <v>4630</v>
      </c>
      <c r="M1061" t="s">
        <v>1610</v>
      </c>
      <c r="N1061" t="s">
        <v>97</v>
      </c>
      <c r="O1061" t="s">
        <v>1611</v>
      </c>
      <c r="P1061" t="s">
        <v>221</v>
      </c>
      <c r="Q1061" t="s">
        <v>82</v>
      </c>
      <c r="R1061">
        <v>4</v>
      </c>
      <c r="S1061">
        <v>7.6</v>
      </c>
      <c r="T1061">
        <v>0</v>
      </c>
      <c r="U1061">
        <v>1</v>
      </c>
      <c r="V1061">
        <v>4</v>
      </c>
      <c r="W1061">
        <v>30.34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4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</row>
    <row r="1062" spans="1:37" x14ac:dyDescent="0.3">
      <c r="A1062">
        <v>7979</v>
      </c>
      <c r="B1062" t="s">
        <v>219</v>
      </c>
      <c r="D1062" t="s">
        <v>327</v>
      </c>
      <c r="E1062">
        <v>99999999</v>
      </c>
      <c r="F1062">
        <v>11111111</v>
      </c>
      <c r="G1062">
        <v>1111111111</v>
      </c>
      <c r="H1062" t="s">
        <v>4631</v>
      </c>
      <c r="I1062">
        <v>99999999</v>
      </c>
      <c r="J1062" s="188">
        <v>45236</v>
      </c>
      <c r="K1062" t="s">
        <v>4631</v>
      </c>
      <c r="L1062" t="s">
        <v>4631</v>
      </c>
      <c r="M1062" t="s">
        <v>1612</v>
      </c>
      <c r="N1062" t="s">
        <v>197</v>
      </c>
      <c r="O1062" t="s">
        <v>1613</v>
      </c>
      <c r="P1062" t="s">
        <v>221</v>
      </c>
      <c r="Q1062" t="s">
        <v>82</v>
      </c>
      <c r="R1062">
        <v>2</v>
      </c>
      <c r="S1062">
        <v>1.06</v>
      </c>
      <c r="T1062">
        <v>0</v>
      </c>
      <c r="U1062">
        <v>1</v>
      </c>
      <c r="V1062">
        <v>2</v>
      </c>
      <c r="W1062">
        <v>22.21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2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</row>
    <row r="1063" spans="1:37" x14ac:dyDescent="0.3">
      <c r="A1063">
        <v>7979</v>
      </c>
      <c r="B1063" t="s">
        <v>219</v>
      </c>
      <c r="D1063" t="s">
        <v>327</v>
      </c>
      <c r="E1063">
        <v>99999999</v>
      </c>
      <c r="F1063">
        <v>11111111</v>
      </c>
      <c r="G1063">
        <v>1111111111</v>
      </c>
      <c r="H1063" t="s">
        <v>4632</v>
      </c>
      <c r="I1063">
        <v>99999999</v>
      </c>
      <c r="J1063" s="188">
        <v>45236</v>
      </c>
      <c r="K1063" t="s">
        <v>4632</v>
      </c>
      <c r="L1063" t="s">
        <v>4632</v>
      </c>
      <c r="M1063" t="s">
        <v>84</v>
      </c>
      <c r="N1063" t="s">
        <v>85</v>
      </c>
      <c r="O1063">
        <v>89441</v>
      </c>
      <c r="P1063" t="s">
        <v>221</v>
      </c>
      <c r="Q1063" t="s">
        <v>82</v>
      </c>
      <c r="R1063">
        <v>7</v>
      </c>
      <c r="S1063">
        <v>13.25</v>
      </c>
      <c r="T1063">
        <v>0</v>
      </c>
      <c r="U1063">
        <v>1</v>
      </c>
      <c r="V1063">
        <v>5</v>
      </c>
      <c r="W1063">
        <v>29.43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7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</row>
    <row r="1064" spans="1:37" x14ac:dyDescent="0.3">
      <c r="A1064">
        <v>7979</v>
      </c>
      <c r="B1064" t="s">
        <v>219</v>
      </c>
      <c r="D1064" t="s">
        <v>327</v>
      </c>
      <c r="E1064">
        <v>99999999</v>
      </c>
      <c r="F1064">
        <v>11111111</v>
      </c>
      <c r="G1064">
        <v>1111111111</v>
      </c>
      <c r="H1064" t="s">
        <v>4633</v>
      </c>
      <c r="I1064">
        <v>99999999</v>
      </c>
      <c r="J1064" s="188">
        <v>45236</v>
      </c>
      <c r="K1064" t="s">
        <v>4633</v>
      </c>
      <c r="L1064" t="s">
        <v>4633</v>
      </c>
      <c r="M1064" t="s">
        <v>838</v>
      </c>
      <c r="N1064" t="s">
        <v>197</v>
      </c>
      <c r="O1064" t="s">
        <v>1614</v>
      </c>
      <c r="P1064" t="s">
        <v>221</v>
      </c>
      <c r="Q1064" t="s">
        <v>82</v>
      </c>
      <c r="R1064">
        <v>3</v>
      </c>
      <c r="S1064">
        <v>5.3760000000000003</v>
      </c>
      <c r="T1064">
        <v>0</v>
      </c>
      <c r="U1064">
        <v>1</v>
      </c>
      <c r="V1064">
        <v>2</v>
      </c>
      <c r="W1064">
        <v>26.15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3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</row>
    <row r="1065" spans="1:37" x14ac:dyDescent="0.3">
      <c r="A1065">
        <v>7979</v>
      </c>
      <c r="B1065" t="s">
        <v>219</v>
      </c>
      <c r="D1065" t="s">
        <v>327</v>
      </c>
      <c r="E1065">
        <v>99999999</v>
      </c>
      <c r="F1065">
        <v>11111111</v>
      </c>
      <c r="G1065">
        <v>1111111111</v>
      </c>
      <c r="H1065" t="s">
        <v>4634</v>
      </c>
      <c r="I1065">
        <v>99999999</v>
      </c>
      <c r="J1065" s="188">
        <v>45236</v>
      </c>
      <c r="K1065" t="s">
        <v>4634</v>
      </c>
      <c r="L1065" t="s">
        <v>4634</v>
      </c>
      <c r="M1065" t="s">
        <v>1615</v>
      </c>
      <c r="N1065" t="s">
        <v>99</v>
      </c>
      <c r="O1065" t="s">
        <v>1616</v>
      </c>
      <c r="P1065" t="s">
        <v>221</v>
      </c>
      <c r="Q1065" t="s">
        <v>82</v>
      </c>
      <c r="R1065">
        <v>6</v>
      </c>
      <c r="S1065">
        <v>5.8</v>
      </c>
      <c r="T1065">
        <v>0</v>
      </c>
      <c r="U1065">
        <v>1</v>
      </c>
      <c r="V1065">
        <v>6</v>
      </c>
      <c r="W1065">
        <v>21.84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6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</row>
    <row r="1066" spans="1:37" x14ac:dyDescent="0.3">
      <c r="A1066">
        <v>7979</v>
      </c>
      <c r="B1066" t="s">
        <v>219</v>
      </c>
      <c r="D1066" t="s">
        <v>327</v>
      </c>
      <c r="E1066">
        <v>99999999</v>
      </c>
      <c r="F1066">
        <v>11111111</v>
      </c>
      <c r="G1066">
        <v>1111111111</v>
      </c>
      <c r="H1066" t="s">
        <v>4635</v>
      </c>
      <c r="I1066">
        <v>99999999</v>
      </c>
      <c r="J1066" s="188">
        <v>45236</v>
      </c>
      <c r="K1066" t="s">
        <v>4635</v>
      </c>
      <c r="L1066" t="s">
        <v>4635</v>
      </c>
      <c r="M1066" t="s">
        <v>1617</v>
      </c>
      <c r="N1066" t="s">
        <v>99</v>
      </c>
      <c r="O1066">
        <v>93940</v>
      </c>
      <c r="P1066" t="s">
        <v>221</v>
      </c>
      <c r="Q1066" t="s">
        <v>82</v>
      </c>
      <c r="R1066">
        <v>2</v>
      </c>
      <c r="S1066">
        <v>16.88</v>
      </c>
      <c r="T1066">
        <v>0</v>
      </c>
      <c r="U1066">
        <v>1</v>
      </c>
      <c r="V1066">
        <v>2</v>
      </c>
      <c r="W1066">
        <v>25.92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2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</row>
    <row r="1067" spans="1:37" x14ac:dyDescent="0.3">
      <c r="A1067">
        <v>7979</v>
      </c>
      <c r="B1067" t="s">
        <v>219</v>
      </c>
      <c r="D1067" t="s">
        <v>327</v>
      </c>
      <c r="E1067">
        <v>99999999</v>
      </c>
      <c r="F1067">
        <v>11111111</v>
      </c>
      <c r="G1067">
        <v>1111111111</v>
      </c>
      <c r="H1067" t="s">
        <v>4636</v>
      </c>
      <c r="I1067">
        <v>99999999</v>
      </c>
      <c r="J1067" s="188">
        <v>45236</v>
      </c>
      <c r="K1067" t="s">
        <v>4636</v>
      </c>
      <c r="L1067" t="s">
        <v>4636</v>
      </c>
      <c r="M1067" t="s">
        <v>606</v>
      </c>
      <c r="N1067" t="s">
        <v>381</v>
      </c>
      <c r="O1067" t="s">
        <v>1618</v>
      </c>
      <c r="P1067" t="s">
        <v>221</v>
      </c>
      <c r="Q1067" t="s">
        <v>82</v>
      </c>
      <c r="R1067">
        <v>3</v>
      </c>
      <c r="S1067">
        <v>20.52</v>
      </c>
      <c r="T1067">
        <v>0</v>
      </c>
      <c r="U1067">
        <v>1</v>
      </c>
      <c r="V1067">
        <v>3</v>
      </c>
      <c r="W1067">
        <v>39.69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3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</row>
    <row r="1068" spans="1:37" x14ac:dyDescent="0.3">
      <c r="A1068">
        <v>7979</v>
      </c>
      <c r="B1068" t="s">
        <v>219</v>
      </c>
      <c r="D1068" t="s">
        <v>327</v>
      </c>
      <c r="E1068">
        <v>99999999</v>
      </c>
      <c r="F1068">
        <v>11111111</v>
      </c>
      <c r="G1068">
        <v>1111111111</v>
      </c>
      <c r="H1068" t="s">
        <v>4637</v>
      </c>
      <c r="I1068">
        <v>99999999</v>
      </c>
      <c r="J1068" s="188">
        <v>45236</v>
      </c>
      <c r="K1068" t="s">
        <v>4637</v>
      </c>
      <c r="L1068" t="s">
        <v>4637</v>
      </c>
      <c r="M1068" t="s">
        <v>1172</v>
      </c>
      <c r="N1068" t="s">
        <v>99</v>
      </c>
      <c r="O1068" t="s">
        <v>1619</v>
      </c>
      <c r="P1068" t="s">
        <v>221</v>
      </c>
      <c r="Q1068" t="s">
        <v>82</v>
      </c>
      <c r="R1068">
        <v>2</v>
      </c>
      <c r="S1068">
        <v>5.7</v>
      </c>
      <c r="T1068">
        <v>0</v>
      </c>
      <c r="U1068">
        <v>1</v>
      </c>
      <c r="V1068">
        <v>2</v>
      </c>
      <c r="W1068">
        <v>21.84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2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</row>
    <row r="1069" spans="1:37" x14ac:dyDescent="0.3">
      <c r="A1069">
        <v>7979</v>
      </c>
      <c r="B1069" t="s">
        <v>219</v>
      </c>
      <c r="D1069" t="s">
        <v>327</v>
      </c>
      <c r="E1069">
        <v>99999999</v>
      </c>
      <c r="F1069">
        <v>11111111</v>
      </c>
      <c r="G1069">
        <v>1111111111</v>
      </c>
      <c r="H1069" t="s">
        <v>4638</v>
      </c>
      <c r="I1069">
        <v>99999999</v>
      </c>
      <c r="J1069" s="188">
        <v>45236</v>
      </c>
      <c r="K1069" t="s">
        <v>4638</v>
      </c>
      <c r="L1069" t="s">
        <v>4638</v>
      </c>
      <c r="M1069" t="s">
        <v>1400</v>
      </c>
      <c r="N1069" t="s">
        <v>91</v>
      </c>
      <c r="O1069" t="s">
        <v>1620</v>
      </c>
      <c r="P1069" t="s">
        <v>221</v>
      </c>
      <c r="Q1069" t="s">
        <v>82</v>
      </c>
      <c r="R1069">
        <v>6</v>
      </c>
      <c r="S1069">
        <v>3.99</v>
      </c>
      <c r="T1069">
        <v>0</v>
      </c>
      <c r="U1069">
        <v>1</v>
      </c>
      <c r="V1069">
        <v>3</v>
      </c>
      <c r="W1069">
        <v>29.05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6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</row>
    <row r="1070" spans="1:37" x14ac:dyDescent="0.3">
      <c r="A1070">
        <v>7979</v>
      </c>
      <c r="B1070" t="s">
        <v>219</v>
      </c>
      <c r="D1070" t="s">
        <v>327</v>
      </c>
      <c r="E1070">
        <v>99999999</v>
      </c>
      <c r="F1070">
        <v>11111111</v>
      </c>
      <c r="G1070">
        <v>1111111111</v>
      </c>
      <c r="H1070" t="s">
        <v>4639</v>
      </c>
      <c r="I1070">
        <v>99999999</v>
      </c>
      <c r="J1070" s="188">
        <v>45236</v>
      </c>
      <c r="K1070" t="s">
        <v>4639</v>
      </c>
      <c r="L1070" t="s">
        <v>4639</v>
      </c>
      <c r="M1070" t="s">
        <v>1621</v>
      </c>
      <c r="N1070" t="s">
        <v>99</v>
      </c>
      <c r="O1070" t="s">
        <v>1622</v>
      </c>
      <c r="P1070" t="s">
        <v>221</v>
      </c>
      <c r="Q1070" t="s">
        <v>82</v>
      </c>
      <c r="R1070">
        <v>3</v>
      </c>
      <c r="S1070">
        <v>12.045999999999999</v>
      </c>
      <c r="T1070">
        <v>0</v>
      </c>
      <c r="U1070">
        <v>1</v>
      </c>
      <c r="V1070">
        <v>3</v>
      </c>
      <c r="W1070">
        <v>25.05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3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</row>
    <row r="1071" spans="1:37" x14ac:dyDescent="0.3">
      <c r="A1071">
        <v>7979</v>
      </c>
      <c r="B1071" t="s">
        <v>219</v>
      </c>
      <c r="D1071" t="s">
        <v>327</v>
      </c>
      <c r="E1071">
        <v>99999999</v>
      </c>
      <c r="F1071">
        <v>11111111</v>
      </c>
      <c r="G1071">
        <v>1111111111</v>
      </c>
      <c r="H1071" t="s">
        <v>4640</v>
      </c>
      <c r="I1071">
        <v>99999999</v>
      </c>
      <c r="J1071" s="188">
        <v>45236</v>
      </c>
      <c r="K1071" t="s">
        <v>4640</v>
      </c>
      <c r="L1071" t="s">
        <v>4640</v>
      </c>
      <c r="M1071" t="s">
        <v>594</v>
      </c>
      <c r="N1071" t="s">
        <v>307</v>
      </c>
      <c r="O1071">
        <v>73131</v>
      </c>
      <c r="P1071" t="s">
        <v>221</v>
      </c>
      <c r="Q1071" t="s">
        <v>82</v>
      </c>
      <c r="R1071">
        <v>2</v>
      </c>
      <c r="S1071">
        <v>3.8130000000000002</v>
      </c>
      <c r="T1071">
        <v>0</v>
      </c>
      <c r="U1071">
        <v>1</v>
      </c>
      <c r="V1071">
        <v>2</v>
      </c>
      <c r="W1071">
        <v>25.11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2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</row>
    <row r="1072" spans="1:37" x14ac:dyDescent="0.3">
      <c r="A1072">
        <v>7979</v>
      </c>
      <c r="B1072" t="s">
        <v>219</v>
      </c>
      <c r="D1072" t="s">
        <v>327</v>
      </c>
      <c r="E1072">
        <v>99999999</v>
      </c>
      <c r="F1072">
        <v>11111111</v>
      </c>
      <c r="G1072">
        <v>1111111111</v>
      </c>
      <c r="H1072" t="s">
        <v>4641</v>
      </c>
      <c r="I1072">
        <v>99999999</v>
      </c>
      <c r="J1072" s="188">
        <v>45237</v>
      </c>
      <c r="K1072" t="s">
        <v>4641</v>
      </c>
      <c r="L1072" t="s">
        <v>4641</v>
      </c>
      <c r="M1072" t="s">
        <v>1610</v>
      </c>
      <c r="N1072" t="s">
        <v>97</v>
      </c>
      <c r="O1072" t="s">
        <v>1611</v>
      </c>
      <c r="P1072" t="s">
        <v>221</v>
      </c>
      <c r="Q1072" t="s">
        <v>82</v>
      </c>
      <c r="R1072">
        <v>7</v>
      </c>
      <c r="S1072">
        <v>12.648</v>
      </c>
      <c r="T1072">
        <v>0</v>
      </c>
      <c r="U1072">
        <v>1</v>
      </c>
      <c r="V1072">
        <v>6</v>
      </c>
      <c r="W1072">
        <v>31.36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7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</row>
    <row r="1073" spans="1:37" x14ac:dyDescent="0.3">
      <c r="A1073">
        <v>7979</v>
      </c>
      <c r="B1073" t="s">
        <v>219</v>
      </c>
      <c r="D1073" t="s">
        <v>327</v>
      </c>
      <c r="E1073">
        <v>99999999</v>
      </c>
      <c r="F1073">
        <v>11111111</v>
      </c>
      <c r="G1073">
        <v>1111111111</v>
      </c>
      <c r="H1073" t="s">
        <v>4642</v>
      </c>
      <c r="I1073">
        <v>99999999</v>
      </c>
      <c r="J1073" s="188">
        <v>45236</v>
      </c>
      <c r="K1073" t="s">
        <v>4642</v>
      </c>
      <c r="L1073" t="s">
        <v>4642</v>
      </c>
      <c r="M1073" t="s">
        <v>802</v>
      </c>
      <c r="N1073" t="s">
        <v>97</v>
      </c>
      <c r="O1073" t="s">
        <v>1623</v>
      </c>
      <c r="P1073" t="s">
        <v>221</v>
      </c>
      <c r="Q1073" t="s">
        <v>82</v>
      </c>
      <c r="R1073">
        <v>3</v>
      </c>
      <c r="S1073">
        <v>2.75</v>
      </c>
      <c r="T1073">
        <v>0</v>
      </c>
      <c r="U1073">
        <v>1</v>
      </c>
      <c r="V1073">
        <v>3</v>
      </c>
      <c r="W1073">
        <v>22.52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3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</row>
    <row r="1074" spans="1:37" x14ac:dyDescent="0.3">
      <c r="A1074">
        <v>7979</v>
      </c>
      <c r="B1074" t="s">
        <v>219</v>
      </c>
      <c r="D1074" t="s">
        <v>327</v>
      </c>
      <c r="E1074">
        <v>99999999</v>
      </c>
      <c r="F1074">
        <v>11111111</v>
      </c>
      <c r="G1074">
        <v>1111111111</v>
      </c>
      <c r="H1074" t="s">
        <v>4643</v>
      </c>
      <c r="I1074">
        <v>99999999</v>
      </c>
      <c r="J1074" s="188">
        <v>45236</v>
      </c>
      <c r="K1074" t="s">
        <v>4643</v>
      </c>
      <c r="L1074" t="s">
        <v>4643</v>
      </c>
      <c r="M1074" t="s">
        <v>1624</v>
      </c>
      <c r="N1074" t="s">
        <v>122</v>
      </c>
      <c r="O1074" t="s">
        <v>1625</v>
      </c>
      <c r="P1074" t="s">
        <v>221</v>
      </c>
      <c r="Q1074" t="s">
        <v>82</v>
      </c>
      <c r="R1074">
        <v>3</v>
      </c>
      <c r="S1074">
        <v>6.3</v>
      </c>
      <c r="T1074">
        <v>0</v>
      </c>
      <c r="U1074">
        <v>1</v>
      </c>
      <c r="V1074">
        <v>3</v>
      </c>
      <c r="W1074">
        <v>31.15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3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</row>
    <row r="1075" spans="1:37" x14ac:dyDescent="0.3">
      <c r="A1075">
        <v>7979</v>
      </c>
      <c r="B1075" t="s">
        <v>219</v>
      </c>
      <c r="D1075" t="s">
        <v>327</v>
      </c>
      <c r="E1075">
        <v>99999999</v>
      </c>
      <c r="F1075">
        <v>11111111</v>
      </c>
      <c r="G1075">
        <v>1111111111</v>
      </c>
      <c r="H1075" t="s">
        <v>4644</v>
      </c>
      <c r="I1075">
        <v>99999999</v>
      </c>
      <c r="J1075" s="188">
        <v>45236</v>
      </c>
      <c r="K1075" t="s">
        <v>4644</v>
      </c>
      <c r="L1075" t="s">
        <v>4644</v>
      </c>
      <c r="M1075" t="s">
        <v>1626</v>
      </c>
      <c r="N1075" t="s">
        <v>130</v>
      </c>
      <c r="O1075" t="s">
        <v>1627</v>
      </c>
      <c r="P1075" t="s">
        <v>221</v>
      </c>
      <c r="Q1075" t="s">
        <v>82</v>
      </c>
      <c r="R1075">
        <v>2</v>
      </c>
      <c r="S1075">
        <v>3.3</v>
      </c>
      <c r="T1075">
        <v>0</v>
      </c>
      <c r="U1075">
        <v>1</v>
      </c>
      <c r="V1075">
        <v>2</v>
      </c>
      <c r="W1075">
        <v>23.59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2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</row>
    <row r="1076" spans="1:37" x14ac:dyDescent="0.3">
      <c r="A1076">
        <v>7979</v>
      </c>
      <c r="B1076" t="s">
        <v>219</v>
      </c>
      <c r="D1076" t="s">
        <v>327</v>
      </c>
      <c r="E1076">
        <v>99999999</v>
      </c>
      <c r="F1076">
        <v>11111111</v>
      </c>
      <c r="G1076">
        <v>1111111111</v>
      </c>
      <c r="H1076" t="s">
        <v>4645</v>
      </c>
      <c r="I1076">
        <v>99999999</v>
      </c>
      <c r="J1076" s="188">
        <v>45236</v>
      </c>
      <c r="K1076" t="s">
        <v>4645</v>
      </c>
      <c r="L1076" t="s">
        <v>4645</v>
      </c>
      <c r="M1076" t="s">
        <v>1628</v>
      </c>
      <c r="N1076" t="s">
        <v>99</v>
      </c>
      <c r="O1076" t="s">
        <v>1629</v>
      </c>
      <c r="P1076" t="s">
        <v>221</v>
      </c>
      <c r="Q1076" t="s">
        <v>82</v>
      </c>
      <c r="R1076">
        <v>2</v>
      </c>
      <c r="S1076">
        <v>1.542</v>
      </c>
      <c r="T1076">
        <v>0</v>
      </c>
      <c r="U1076">
        <v>1</v>
      </c>
      <c r="V1076">
        <v>2</v>
      </c>
      <c r="W1076">
        <v>28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2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</row>
    <row r="1077" spans="1:37" x14ac:dyDescent="0.3">
      <c r="A1077">
        <v>7979</v>
      </c>
      <c r="B1077" t="s">
        <v>219</v>
      </c>
      <c r="D1077" t="s">
        <v>327</v>
      </c>
      <c r="E1077">
        <v>99999999</v>
      </c>
      <c r="F1077">
        <v>11111111</v>
      </c>
      <c r="G1077">
        <v>1111111111</v>
      </c>
      <c r="H1077" t="s">
        <v>4646</v>
      </c>
      <c r="I1077">
        <v>99999999</v>
      </c>
      <c r="J1077" s="188">
        <v>45236</v>
      </c>
      <c r="K1077" t="s">
        <v>4646</v>
      </c>
      <c r="L1077" t="s">
        <v>4646</v>
      </c>
      <c r="M1077" t="s">
        <v>1605</v>
      </c>
      <c r="N1077" t="s">
        <v>99</v>
      </c>
      <c r="O1077" t="s">
        <v>1630</v>
      </c>
      <c r="P1077" t="s">
        <v>221</v>
      </c>
      <c r="Q1077" t="s">
        <v>82</v>
      </c>
      <c r="R1077">
        <v>2</v>
      </c>
      <c r="S1077">
        <v>6.8</v>
      </c>
      <c r="T1077">
        <v>0</v>
      </c>
      <c r="U1077">
        <v>1</v>
      </c>
      <c r="V1077">
        <v>2</v>
      </c>
      <c r="W1077">
        <v>27.35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2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</row>
    <row r="1078" spans="1:37" x14ac:dyDescent="0.3">
      <c r="A1078">
        <v>7979</v>
      </c>
      <c r="B1078" t="s">
        <v>219</v>
      </c>
      <c r="D1078" t="s">
        <v>327</v>
      </c>
      <c r="E1078">
        <v>99999999</v>
      </c>
      <c r="F1078">
        <v>11111111</v>
      </c>
      <c r="G1078">
        <v>1111111111</v>
      </c>
      <c r="H1078" t="s">
        <v>4647</v>
      </c>
      <c r="I1078">
        <v>99999999</v>
      </c>
      <c r="J1078" s="188">
        <v>45236</v>
      </c>
      <c r="K1078" t="s">
        <v>4647</v>
      </c>
      <c r="L1078" t="s">
        <v>4647</v>
      </c>
      <c r="M1078" t="s">
        <v>1631</v>
      </c>
      <c r="N1078" t="s">
        <v>99</v>
      </c>
      <c r="O1078" t="s">
        <v>1632</v>
      </c>
      <c r="P1078" t="s">
        <v>221</v>
      </c>
      <c r="Q1078" t="s">
        <v>82</v>
      </c>
      <c r="R1078">
        <v>2</v>
      </c>
      <c r="S1078">
        <v>2.83</v>
      </c>
      <c r="T1078">
        <v>0</v>
      </c>
      <c r="U1078">
        <v>1</v>
      </c>
      <c r="V1078">
        <v>2</v>
      </c>
      <c r="W1078">
        <v>22.52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2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</row>
    <row r="1079" spans="1:37" x14ac:dyDescent="0.3">
      <c r="A1079">
        <v>7979</v>
      </c>
      <c r="B1079" t="s">
        <v>219</v>
      </c>
      <c r="D1079" t="s">
        <v>327</v>
      </c>
      <c r="E1079">
        <v>99999999</v>
      </c>
      <c r="F1079">
        <v>11111111</v>
      </c>
      <c r="G1079">
        <v>1111111111</v>
      </c>
      <c r="H1079" t="s">
        <v>4648</v>
      </c>
      <c r="I1079">
        <v>99999999</v>
      </c>
      <c r="J1079" s="188">
        <v>45236</v>
      </c>
      <c r="K1079" t="s">
        <v>4648</v>
      </c>
      <c r="L1079" t="s">
        <v>4648</v>
      </c>
      <c r="M1079" t="s">
        <v>1590</v>
      </c>
      <c r="N1079" t="s">
        <v>197</v>
      </c>
      <c r="O1079" t="s">
        <v>1633</v>
      </c>
      <c r="P1079" t="s">
        <v>221</v>
      </c>
      <c r="Q1079" t="s">
        <v>82</v>
      </c>
      <c r="R1079">
        <v>5</v>
      </c>
      <c r="S1079">
        <v>4.8</v>
      </c>
      <c r="T1079">
        <v>0</v>
      </c>
      <c r="U1079">
        <v>1</v>
      </c>
      <c r="V1079">
        <v>2</v>
      </c>
      <c r="W1079">
        <v>34.409999999999997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5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</row>
    <row r="1080" spans="1:37" x14ac:dyDescent="0.3">
      <c r="A1080">
        <v>7979</v>
      </c>
      <c r="B1080" t="s">
        <v>219</v>
      </c>
      <c r="D1080" t="s">
        <v>327</v>
      </c>
      <c r="E1080">
        <v>99999999</v>
      </c>
      <c r="F1080">
        <v>11111111</v>
      </c>
      <c r="G1080">
        <v>1111111111</v>
      </c>
      <c r="H1080" t="s">
        <v>4649</v>
      </c>
      <c r="I1080">
        <v>99999999</v>
      </c>
      <c r="J1080" s="188">
        <v>45236</v>
      </c>
      <c r="K1080" t="s">
        <v>4649</v>
      </c>
      <c r="L1080" t="s">
        <v>4649</v>
      </c>
      <c r="M1080" t="s">
        <v>1634</v>
      </c>
      <c r="N1080" t="s">
        <v>130</v>
      </c>
      <c r="O1080" t="s">
        <v>1635</v>
      </c>
      <c r="P1080" t="s">
        <v>221</v>
      </c>
      <c r="Q1080" t="s">
        <v>82</v>
      </c>
      <c r="R1080">
        <v>2</v>
      </c>
      <c r="S1080">
        <v>20.2</v>
      </c>
      <c r="T1080">
        <v>0</v>
      </c>
      <c r="U1080">
        <v>1</v>
      </c>
      <c r="V1080">
        <v>2</v>
      </c>
      <c r="W1080">
        <v>32.65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2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</row>
    <row r="1081" spans="1:37" x14ac:dyDescent="0.3">
      <c r="A1081">
        <v>7979</v>
      </c>
      <c r="B1081" t="s">
        <v>219</v>
      </c>
      <c r="D1081" t="s">
        <v>327</v>
      </c>
      <c r="E1081">
        <v>99999999</v>
      </c>
      <c r="F1081">
        <v>11111111</v>
      </c>
      <c r="G1081">
        <v>1111111111</v>
      </c>
      <c r="H1081" t="s">
        <v>4650</v>
      </c>
      <c r="I1081">
        <v>99999999</v>
      </c>
      <c r="J1081" s="188">
        <v>45236</v>
      </c>
      <c r="K1081" t="s">
        <v>4650</v>
      </c>
      <c r="L1081" t="s">
        <v>4650</v>
      </c>
      <c r="M1081" t="s">
        <v>173</v>
      </c>
      <c r="N1081" t="s">
        <v>164</v>
      </c>
      <c r="O1081" t="s">
        <v>311</v>
      </c>
      <c r="P1081" t="s">
        <v>221</v>
      </c>
      <c r="Q1081" t="s">
        <v>82</v>
      </c>
      <c r="R1081">
        <v>2</v>
      </c>
      <c r="S1081">
        <v>9.9</v>
      </c>
      <c r="T1081">
        <v>0</v>
      </c>
      <c r="U1081">
        <v>1</v>
      </c>
      <c r="V1081">
        <v>2</v>
      </c>
      <c r="W1081">
        <v>24.65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2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</row>
    <row r="1082" spans="1:37" x14ac:dyDescent="0.3">
      <c r="A1082">
        <v>7979</v>
      </c>
      <c r="B1082" t="s">
        <v>219</v>
      </c>
      <c r="D1082" t="s">
        <v>327</v>
      </c>
      <c r="E1082">
        <v>99999999</v>
      </c>
      <c r="F1082">
        <v>11111111</v>
      </c>
      <c r="G1082">
        <v>1111111111</v>
      </c>
      <c r="H1082" t="s">
        <v>4651</v>
      </c>
      <c r="I1082">
        <v>99999999</v>
      </c>
      <c r="J1082" s="188">
        <v>45236</v>
      </c>
      <c r="K1082" t="s">
        <v>4651</v>
      </c>
      <c r="L1082" t="s">
        <v>4651</v>
      </c>
      <c r="M1082" t="s">
        <v>1636</v>
      </c>
      <c r="N1082" t="s">
        <v>99</v>
      </c>
      <c r="O1082" t="s">
        <v>1637</v>
      </c>
      <c r="P1082" t="s">
        <v>221</v>
      </c>
      <c r="Q1082" t="s">
        <v>82</v>
      </c>
      <c r="R1082">
        <v>5</v>
      </c>
      <c r="S1082">
        <v>23.55</v>
      </c>
      <c r="T1082">
        <v>0</v>
      </c>
      <c r="U1082">
        <v>1</v>
      </c>
      <c r="V1082">
        <v>5</v>
      </c>
      <c r="W1082">
        <v>37.68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5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</row>
    <row r="1083" spans="1:37" x14ac:dyDescent="0.3">
      <c r="A1083">
        <v>7979</v>
      </c>
      <c r="B1083" t="s">
        <v>219</v>
      </c>
      <c r="D1083" t="s">
        <v>327</v>
      </c>
      <c r="E1083">
        <v>99999999</v>
      </c>
      <c r="F1083">
        <v>11111111</v>
      </c>
      <c r="G1083">
        <v>1111111111</v>
      </c>
      <c r="H1083" t="s">
        <v>4652</v>
      </c>
      <c r="I1083">
        <v>99999999</v>
      </c>
      <c r="J1083" s="188">
        <v>45236</v>
      </c>
      <c r="K1083" t="s">
        <v>4652</v>
      </c>
      <c r="L1083" t="s">
        <v>4652</v>
      </c>
      <c r="M1083" t="s">
        <v>1638</v>
      </c>
      <c r="N1083" t="s">
        <v>99</v>
      </c>
      <c r="O1083">
        <v>93245</v>
      </c>
      <c r="P1083" t="s">
        <v>221</v>
      </c>
      <c r="Q1083" t="s">
        <v>82</v>
      </c>
      <c r="R1083">
        <v>7</v>
      </c>
      <c r="S1083">
        <v>3.62</v>
      </c>
      <c r="T1083">
        <v>0</v>
      </c>
      <c r="U1083">
        <v>1</v>
      </c>
      <c r="V1083">
        <v>6</v>
      </c>
      <c r="W1083">
        <v>29.05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7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</row>
    <row r="1084" spans="1:37" x14ac:dyDescent="0.3">
      <c r="A1084">
        <v>7979</v>
      </c>
      <c r="B1084" t="s">
        <v>219</v>
      </c>
      <c r="D1084" t="s">
        <v>327</v>
      </c>
      <c r="E1084">
        <v>99999999</v>
      </c>
      <c r="F1084">
        <v>11111111</v>
      </c>
      <c r="G1084">
        <v>1111111111</v>
      </c>
      <c r="H1084" t="s">
        <v>4653</v>
      </c>
      <c r="I1084">
        <v>99999999</v>
      </c>
      <c r="J1084" s="188">
        <v>45236</v>
      </c>
      <c r="K1084" t="s">
        <v>4653</v>
      </c>
      <c r="L1084" t="s">
        <v>4653</v>
      </c>
      <c r="M1084" t="s">
        <v>624</v>
      </c>
      <c r="N1084" t="s">
        <v>164</v>
      </c>
      <c r="O1084" t="s">
        <v>1639</v>
      </c>
      <c r="P1084" t="s">
        <v>221</v>
      </c>
      <c r="Q1084" t="s">
        <v>82</v>
      </c>
      <c r="R1084">
        <v>4</v>
      </c>
      <c r="S1084">
        <v>7.5</v>
      </c>
      <c r="T1084">
        <v>0</v>
      </c>
      <c r="U1084">
        <v>1</v>
      </c>
      <c r="V1084">
        <v>4</v>
      </c>
      <c r="W1084">
        <v>24.15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4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</row>
    <row r="1085" spans="1:37" x14ac:dyDescent="0.3">
      <c r="A1085">
        <v>7979</v>
      </c>
      <c r="B1085" t="s">
        <v>219</v>
      </c>
      <c r="D1085" t="s">
        <v>327</v>
      </c>
      <c r="E1085">
        <v>99999999</v>
      </c>
      <c r="F1085">
        <v>11111111</v>
      </c>
      <c r="G1085">
        <v>1111111111</v>
      </c>
      <c r="H1085" t="s">
        <v>4654</v>
      </c>
      <c r="I1085">
        <v>99999999</v>
      </c>
      <c r="J1085" s="188">
        <v>45236</v>
      </c>
      <c r="K1085" t="s">
        <v>4654</v>
      </c>
      <c r="L1085" t="s">
        <v>4654</v>
      </c>
      <c r="M1085" t="s">
        <v>396</v>
      </c>
      <c r="N1085" t="s">
        <v>99</v>
      </c>
      <c r="O1085" t="s">
        <v>1563</v>
      </c>
      <c r="P1085" t="s">
        <v>221</v>
      </c>
      <c r="Q1085" t="s">
        <v>82</v>
      </c>
      <c r="R1085">
        <v>3</v>
      </c>
      <c r="S1085">
        <v>6.0010000000000003</v>
      </c>
      <c r="T1085">
        <v>0</v>
      </c>
      <c r="U1085">
        <v>1</v>
      </c>
      <c r="V1085">
        <v>3</v>
      </c>
      <c r="W1085">
        <v>21.84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3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</row>
    <row r="1086" spans="1:37" x14ac:dyDescent="0.3">
      <c r="A1086">
        <v>7979</v>
      </c>
      <c r="B1086" t="s">
        <v>219</v>
      </c>
      <c r="D1086" t="s">
        <v>327</v>
      </c>
      <c r="E1086">
        <v>99999999</v>
      </c>
      <c r="F1086">
        <v>11111111</v>
      </c>
      <c r="G1086">
        <v>1111111111</v>
      </c>
      <c r="H1086" t="s">
        <v>4655</v>
      </c>
      <c r="I1086">
        <v>99999999</v>
      </c>
      <c r="J1086" s="188">
        <v>45236</v>
      </c>
      <c r="K1086" t="s">
        <v>4655</v>
      </c>
      <c r="L1086" t="s">
        <v>4655</v>
      </c>
      <c r="M1086" t="s">
        <v>771</v>
      </c>
      <c r="N1086" t="s">
        <v>97</v>
      </c>
      <c r="O1086" t="s">
        <v>1640</v>
      </c>
      <c r="P1086" t="s">
        <v>221</v>
      </c>
      <c r="Q1086" t="s">
        <v>82</v>
      </c>
      <c r="R1086">
        <v>3</v>
      </c>
      <c r="S1086">
        <v>7.8</v>
      </c>
      <c r="T1086">
        <v>0</v>
      </c>
      <c r="U1086">
        <v>1</v>
      </c>
      <c r="V1086">
        <v>3</v>
      </c>
      <c r="W1086">
        <v>24.22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3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</row>
    <row r="1087" spans="1:37" x14ac:dyDescent="0.3">
      <c r="A1087">
        <v>7979</v>
      </c>
      <c r="B1087" t="s">
        <v>219</v>
      </c>
      <c r="D1087" t="s">
        <v>327</v>
      </c>
      <c r="E1087">
        <v>99999999</v>
      </c>
      <c r="F1087">
        <v>11111111</v>
      </c>
      <c r="G1087">
        <v>1111111111</v>
      </c>
      <c r="H1087" t="s">
        <v>4656</v>
      </c>
      <c r="I1087">
        <v>99999999</v>
      </c>
      <c r="J1087" s="188">
        <v>45236</v>
      </c>
      <c r="K1087" t="s">
        <v>4656</v>
      </c>
      <c r="L1087" t="s">
        <v>4656</v>
      </c>
      <c r="M1087" t="s">
        <v>1024</v>
      </c>
      <c r="N1087" t="s">
        <v>381</v>
      </c>
      <c r="O1087" t="s">
        <v>1641</v>
      </c>
      <c r="P1087" t="s">
        <v>221</v>
      </c>
      <c r="Q1087" t="s">
        <v>82</v>
      </c>
      <c r="R1087">
        <v>3</v>
      </c>
      <c r="S1087">
        <v>18.48</v>
      </c>
      <c r="T1087">
        <v>0</v>
      </c>
      <c r="U1087">
        <v>1</v>
      </c>
      <c r="V1087">
        <v>3</v>
      </c>
      <c r="W1087">
        <v>39.6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3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</row>
    <row r="1088" spans="1:37" x14ac:dyDescent="0.3">
      <c r="A1088">
        <v>7979</v>
      </c>
      <c r="B1088" t="s">
        <v>219</v>
      </c>
      <c r="D1088" t="s">
        <v>327</v>
      </c>
      <c r="E1088">
        <v>99999999</v>
      </c>
      <c r="F1088">
        <v>11111111</v>
      </c>
      <c r="G1088">
        <v>1111111111</v>
      </c>
      <c r="H1088" t="s">
        <v>4657</v>
      </c>
      <c r="I1088">
        <v>99999999</v>
      </c>
      <c r="J1088" s="188">
        <v>45236</v>
      </c>
      <c r="K1088" t="s">
        <v>4657</v>
      </c>
      <c r="L1088" t="s">
        <v>4657</v>
      </c>
      <c r="M1088" t="s">
        <v>1642</v>
      </c>
      <c r="N1088" t="s">
        <v>130</v>
      </c>
      <c r="O1088" t="s">
        <v>1643</v>
      </c>
      <c r="P1088" t="s">
        <v>221</v>
      </c>
      <c r="Q1088" t="s">
        <v>82</v>
      </c>
      <c r="R1088">
        <v>4</v>
      </c>
      <c r="S1088">
        <v>3.4239999999999999</v>
      </c>
      <c r="T1088">
        <v>0</v>
      </c>
      <c r="U1088">
        <v>1</v>
      </c>
      <c r="V1088">
        <v>4</v>
      </c>
      <c r="W1088">
        <v>22.52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4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</row>
    <row r="1089" spans="1:37" x14ac:dyDescent="0.3">
      <c r="A1089">
        <v>7979</v>
      </c>
      <c r="B1089" t="s">
        <v>219</v>
      </c>
      <c r="D1089" t="s">
        <v>327</v>
      </c>
      <c r="E1089">
        <v>99999999</v>
      </c>
      <c r="F1089">
        <v>11111111</v>
      </c>
      <c r="G1089">
        <v>1111111111</v>
      </c>
      <c r="H1089" t="s">
        <v>4658</v>
      </c>
      <c r="I1089">
        <v>99999999</v>
      </c>
      <c r="J1089" s="188">
        <v>45236</v>
      </c>
      <c r="K1089" t="s">
        <v>4658</v>
      </c>
      <c r="L1089" t="s">
        <v>4658</v>
      </c>
      <c r="M1089" t="s">
        <v>632</v>
      </c>
      <c r="N1089" t="s">
        <v>97</v>
      </c>
      <c r="O1089" t="s">
        <v>1644</v>
      </c>
      <c r="P1089" t="s">
        <v>221</v>
      </c>
      <c r="Q1089" t="s">
        <v>82</v>
      </c>
      <c r="R1089">
        <v>2</v>
      </c>
      <c r="S1089">
        <v>5.52</v>
      </c>
      <c r="T1089">
        <v>0</v>
      </c>
      <c r="U1089">
        <v>1</v>
      </c>
      <c r="V1089">
        <v>2</v>
      </c>
      <c r="W1089">
        <v>23.54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2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</row>
    <row r="1090" spans="1:37" x14ac:dyDescent="0.3">
      <c r="A1090">
        <v>7979</v>
      </c>
      <c r="B1090" t="s">
        <v>219</v>
      </c>
      <c r="D1090" t="s">
        <v>327</v>
      </c>
      <c r="E1090">
        <v>99999999</v>
      </c>
      <c r="F1090">
        <v>11111111</v>
      </c>
      <c r="G1090">
        <v>1111111111</v>
      </c>
      <c r="H1090" t="s">
        <v>4659</v>
      </c>
      <c r="I1090">
        <v>99999999</v>
      </c>
      <c r="J1090" s="188">
        <v>45236</v>
      </c>
      <c r="K1090" t="s">
        <v>4659</v>
      </c>
      <c r="L1090" t="s">
        <v>4659</v>
      </c>
      <c r="M1090" t="s">
        <v>1645</v>
      </c>
      <c r="N1090" t="s">
        <v>99</v>
      </c>
      <c r="O1090" t="s">
        <v>1646</v>
      </c>
      <c r="P1090" t="s">
        <v>221</v>
      </c>
      <c r="Q1090" t="s">
        <v>82</v>
      </c>
      <c r="R1090">
        <v>2</v>
      </c>
      <c r="S1090">
        <v>6.3</v>
      </c>
      <c r="T1090">
        <v>0</v>
      </c>
      <c r="U1090">
        <v>1</v>
      </c>
      <c r="V1090">
        <v>2</v>
      </c>
      <c r="W1090">
        <v>29.66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2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</row>
    <row r="1091" spans="1:37" x14ac:dyDescent="0.3">
      <c r="A1091">
        <v>7979</v>
      </c>
      <c r="B1091" t="s">
        <v>219</v>
      </c>
      <c r="D1091" t="s">
        <v>327</v>
      </c>
      <c r="E1091">
        <v>99999999</v>
      </c>
      <c r="F1091">
        <v>11111111</v>
      </c>
      <c r="G1091">
        <v>1111111111</v>
      </c>
      <c r="H1091" t="s">
        <v>4660</v>
      </c>
      <c r="I1091">
        <v>99999999</v>
      </c>
      <c r="J1091" s="188">
        <v>45236</v>
      </c>
      <c r="K1091" t="s">
        <v>4660</v>
      </c>
      <c r="L1091" t="s">
        <v>4660</v>
      </c>
      <c r="M1091" t="s">
        <v>616</v>
      </c>
      <c r="N1091" t="s">
        <v>99</v>
      </c>
      <c r="O1091" t="s">
        <v>1647</v>
      </c>
      <c r="P1091" t="s">
        <v>221</v>
      </c>
      <c r="Q1091" t="s">
        <v>82</v>
      </c>
      <c r="R1091">
        <v>4</v>
      </c>
      <c r="S1091">
        <v>6.73</v>
      </c>
      <c r="T1091">
        <v>0</v>
      </c>
      <c r="U1091">
        <v>1</v>
      </c>
      <c r="V1091">
        <v>3</v>
      </c>
      <c r="W1091">
        <v>28.54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4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</row>
    <row r="1092" spans="1:37" x14ac:dyDescent="0.3">
      <c r="A1092">
        <v>7979</v>
      </c>
      <c r="B1092" t="s">
        <v>219</v>
      </c>
      <c r="D1092" t="s">
        <v>327</v>
      </c>
      <c r="E1092">
        <v>99999999</v>
      </c>
      <c r="F1092">
        <v>11111111</v>
      </c>
      <c r="G1092">
        <v>1111111111</v>
      </c>
      <c r="H1092" t="s">
        <v>4661</v>
      </c>
      <c r="I1092">
        <v>99999999</v>
      </c>
      <c r="J1092" s="188">
        <v>45236</v>
      </c>
      <c r="K1092" t="s">
        <v>4661</v>
      </c>
      <c r="L1092" t="s">
        <v>4661</v>
      </c>
      <c r="M1092" t="s">
        <v>1648</v>
      </c>
      <c r="N1092" t="s">
        <v>197</v>
      </c>
      <c r="O1092">
        <v>77445</v>
      </c>
      <c r="P1092" t="s">
        <v>221</v>
      </c>
      <c r="Q1092" t="s">
        <v>82</v>
      </c>
      <c r="R1092">
        <v>5</v>
      </c>
      <c r="S1092">
        <v>12.5</v>
      </c>
      <c r="T1092">
        <v>0</v>
      </c>
      <c r="U1092">
        <v>1</v>
      </c>
      <c r="V1092">
        <v>5</v>
      </c>
      <c r="W1092">
        <v>42.19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5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</row>
    <row r="1093" spans="1:37" x14ac:dyDescent="0.3">
      <c r="A1093">
        <v>7979</v>
      </c>
      <c r="B1093" t="s">
        <v>219</v>
      </c>
      <c r="D1093" t="s">
        <v>327</v>
      </c>
      <c r="E1093">
        <v>99999999</v>
      </c>
      <c r="F1093">
        <v>11111111</v>
      </c>
      <c r="G1093">
        <v>1111111111</v>
      </c>
      <c r="H1093" t="s">
        <v>4662</v>
      </c>
      <c r="I1093">
        <v>99999999</v>
      </c>
      <c r="J1093" s="188">
        <v>45236</v>
      </c>
      <c r="K1093" t="s">
        <v>4662</v>
      </c>
      <c r="L1093" t="s">
        <v>4662</v>
      </c>
      <c r="M1093" t="s">
        <v>95</v>
      </c>
      <c r="N1093" t="s">
        <v>91</v>
      </c>
      <c r="O1093" t="s">
        <v>765</v>
      </c>
      <c r="P1093" t="s">
        <v>221</v>
      </c>
      <c r="Q1093" t="s">
        <v>82</v>
      </c>
      <c r="R1093">
        <v>3</v>
      </c>
      <c r="S1093">
        <v>4.05</v>
      </c>
      <c r="T1093">
        <v>0</v>
      </c>
      <c r="U1093">
        <v>1</v>
      </c>
      <c r="V1093">
        <v>3</v>
      </c>
      <c r="W1093">
        <v>24.37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3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</row>
    <row r="1094" spans="1:37" x14ac:dyDescent="0.3">
      <c r="A1094">
        <v>7979</v>
      </c>
      <c r="B1094" t="s">
        <v>219</v>
      </c>
      <c r="D1094" t="s">
        <v>327</v>
      </c>
      <c r="E1094">
        <v>99999999</v>
      </c>
      <c r="F1094">
        <v>11111111</v>
      </c>
      <c r="G1094">
        <v>1111111111</v>
      </c>
      <c r="H1094" t="s">
        <v>4663</v>
      </c>
      <c r="I1094">
        <v>99999999</v>
      </c>
      <c r="J1094" s="188">
        <v>45236</v>
      </c>
      <c r="K1094" t="s">
        <v>4663</v>
      </c>
      <c r="L1094" t="s">
        <v>4663</v>
      </c>
      <c r="M1094" t="s">
        <v>1649</v>
      </c>
      <c r="N1094" t="s">
        <v>197</v>
      </c>
      <c r="O1094" t="s">
        <v>1650</v>
      </c>
      <c r="P1094" t="s">
        <v>221</v>
      </c>
      <c r="Q1094" t="s">
        <v>82</v>
      </c>
      <c r="R1094">
        <v>3</v>
      </c>
      <c r="S1094">
        <v>2.68</v>
      </c>
      <c r="T1094">
        <v>0</v>
      </c>
      <c r="U1094">
        <v>1</v>
      </c>
      <c r="V1094">
        <v>2</v>
      </c>
      <c r="W1094">
        <v>32.33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3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</row>
    <row r="1095" spans="1:37" x14ac:dyDescent="0.3">
      <c r="A1095">
        <v>7979</v>
      </c>
      <c r="B1095" t="s">
        <v>219</v>
      </c>
      <c r="D1095" t="s">
        <v>327</v>
      </c>
      <c r="E1095">
        <v>99999999</v>
      </c>
      <c r="F1095">
        <v>11111111</v>
      </c>
      <c r="G1095">
        <v>1111111111</v>
      </c>
      <c r="H1095" t="s">
        <v>4664</v>
      </c>
      <c r="I1095">
        <v>99999999</v>
      </c>
      <c r="J1095" s="188">
        <v>45236</v>
      </c>
      <c r="K1095" t="s">
        <v>4664</v>
      </c>
      <c r="L1095" t="s">
        <v>4664</v>
      </c>
      <c r="M1095" t="s">
        <v>285</v>
      </c>
      <c r="N1095" t="s">
        <v>99</v>
      </c>
      <c r="O1095" t="s">
        <v>1651</v>
      </c>
      <c r="P1095" t="s">
        <v>221</v>
      </c>
      <c r="Q1095" t="s">
        <v>82</v>
      </c>
      <c r="R1095">
        <v>2</v>
      </c>
      <c r="S1095">
        <v>3.4</v>
      </c>
      <c r="T1095">
        <v>0</v>
      </c>
      <c r="U1095">
        <v>1</v>
      </c>
      <c r="V1095">
        <v>2</v>
      </c>
      <c r="W1095">
        <v>28.64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2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</row>
    <row r="1096" spans="1:37" x14ac:dyDescent="0.3">
      <c r="A1096">
        <v>7979</v>
      </c>
      <c r="B1096" t="s">
        <v>219</v>
      </c>
      <c r="D1096" t="s">
        <v>327</v>
      </c>
      <c r="E1096">
        <v>99999999</v>
      </c>
      <c r="F1096">
        <v>11111111</v>
      </c>
      <c r="G1096">
        <v>1111111111</v>
      </c>
      <c r="H1096" t="s">
        <v>4665</v>
      </c>
      <c r="I1096">
        <v>99999999</v>
      </c>
      <c r="J1096" s="188">
        <v>45236</v>
      </c>
      <c r="K1096" t="s">
        <v>4665</v>
      </c>
      <c r="L1096" t="s">
        <v>4665</v>
      </c>
      <c r="M1096" t="s">
        <v>173</v>
      </c>
      <c r="N1096" t="s">
        <v>164</v>
      </c>
      <c r="O1096">
        <v>97229</v>
      </c>
      <c r="P1096" t="s">
        <v>221</v>
      </c>
      <c r="Q1096" t="s">
        <v>82</v>
      </c>
      <c r="R1096">
        <v>4</v>
      </c>
      <c r="S1096">
        <v>6.7469999999999999</v>
      </c>
      <c r="T1096">
        <v>0</v>
      </c>
      <c r="U1096">
        <v>1</v>
      </c>
      <c r="V1096">
        <v>4</v>
      </c>
      <c r="W1096">
        <v>24.15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4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</row>
    <row r="1097" spans="1:37" x14ac:dyDescent="0.3">
      <c r="A1097">
        <v>7979</v>
      </c>
      <c r="B1097" t="s">
        <v>219</v>
      </c>
      <c r="D1097" t="s">
        <v>327</v>
      </c>
      <c r="E1097">
        <v>99999999</v>
      </c>
      <c r="F1097">
        <v>11111111</v>
      </c>
      <c r="G1097">
        <v>1111111111</v>
      </c>
      <c r="H1097" t="s">
        <v>4666</v>
      </c>
      <c r="I1097">
        <v>99999999</v>
      </c>
      <c r="J1097" s="188">
        <v>45236</v>
      </c>
      <c r="K1097" t="s">
        <v>4666</v>
      </c>
      <c r="L1097" t="s">
        <v>4666</v>
      </c>
      <c r="M1097" t="s">
        <v>275</v>
      </c>
      <c r="N1097" t="s">
        <v>135</v>
      </c>
      <c r="O1097">
        <v>84098</v>
      </c>
      <c r="P1097" t="s">
        <v>221</v>
      </c>
      <c r="Q1097" t="s">
        <v>82</v>
      </c>
      <c r="R1097">
        <v>2</v>
      </c>
      <c r="S1097">
        <v>1.8</v>
      </c>
      <c r="T1097">
        <v>0</v>
      </c>
      <c r="U1097">
        <v>1</v>
      </c>
      <c r="V1097">
        <v>2</v>
      </c>
      <c r="W1097">
        <v>21.88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2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</row>
    <row r="1098" spans="1:37" x14ac:dyDescent="0.3">
      <c r="A1098">
        <v>7979</v>
      </c>
      <c r="B1098" t="s">
        <v>219</v>
      </c>
      <c r="D1098" t="s">
        <v>327</v>
      </c>
      <c r="E1098">
        <v>99999999</v>
      </c>
      <c r="F1098">
        <v>11111111</v>
      </c>
      <c r="G1098">
        <v>1111111111</v>
      </c>
      <c r="H1098" t="s">
        <v>4667</v>
      </c>
      <c r="I1098">
        <v>99999999</v>
      </c>
      <c r="J1098" s="188">
        <v>45236</v>
      </c>
      <c r="K1098" t="s">
        <v>4667</v>
      </c>
      <c r="L1098" t="s">
        <v>4667</v>
      </c>
      <c r="M1098" t="s">
        <v>1638</v>
      </c>
      <c r="N1098" t="s">
        <v>99</v>
      </c>
      <c r="O1098" t="s">
        <v>1652</v>
      </c>
      <c r="P1098" t="s">
        <v>221</v>
      </c>
      <c r="Q1098" t="s">
        <v>82</v>
      </c>
      <c r="R1098">
        <v>5</v>
      </c>
      <c r="S1098">
        <v>4.58</v>
      </c>
      <c r="T1098">
        <v>0</v>
      </c>
      <c r="U1098">
        <v>1</v>
      </c>
      <c r="V1098">
        <v>4</v>
      </c>
      <c r="W1098">
        <v>29.21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5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</row>
    <row r="1099" spans="1:37" x14ac:dyDescent="0.3">
      <c r="A1099">
        <v>7979</v>
      </c>
      <c r="B1099" t="s">
        <v>219</v>
      </c>
      <c r="D1099" t="s">
        <v>327</v>
      </c>
      <c r="E1099">
        <v>99999999</v>
      </c>
      <c r="F1099">
        <v>11111111</v>
      </c>
      <c r="G1099">
        <v>1111111111</v>
      </c>
      <c r="H1099" t="s">
        <v>4668</v>
      </c>
      <c r="I1099">
        <v>99999999</v>
      </c>
      <c r="J1099" s="188">
        <v>45236</v>
      </c>
      <c r="K1099" t="s">
        <v>4668</v>
      </c>
      <c r="L1099" t="s">
        <v>4668</v>
      </c>
      <c r="M1099" t="s">
        <v>1653</v>
      </c>
      <c r="N1099" t="s">
        <v>97</v>
      </c>
      <c r="O1099" t="s">
        <v>1654</v>
      </c>
      <c r="P1099" t="s">
        <v>221</v>
      </c>
      <c r="Q1099" t="s">
        <v>82</v>
      </c>
      <c r="R1099">
        <v>2</v>
      </c>
      <c r="S1099">
        <v>3.26</v>
      </c>
      <c r="T1099">
        <v>0</v>
      </c>
      <c r="U1099">
        <v>1</v>
      </c>
      <c r="V1099">
        <v>2</v>
      </c>
      <c r="W1099">
        <v>22.52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2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</row>
    <row r="1100" spans="1:37" x14ac:dyDescent="0.3">
      <c r="A1100">
        <v>7979</v>
      </c>
      <c r="B1100" t="s">
        <v>219</v>
      </c>
      <c r="D1100" t="s">
        <v>327</v>
      </c>
      <c r="E1100">
        <v>99999999</v>
      </c>
      <c r="F1100">
        <v>11111111</v>
      </c>
      <c r="G1100">
        <v>1111111111</v>
      </c>
      <c r="H1100" t="s">
        <v>4669</v>
      </c>
      <c r="I1100">
        <v>99999999</v>
      </c>
      <c r="J1100" s="188">
        <v>45236</v>
      </c>
      <c r="K1100" t="s">
        <v>4669</v>
      </c>
      <c r="L1100" t="s">
        <v>4669</v>
      </c>
      <c r="M1100" t="s">
        <v>1655</v>
      </c>
      <c r="N1100" t="s">
        <v>99</v>
      </c>
      <c r="O1100" t="s">
        <v>1656</v>
      </c>
      <c r="P1100" t="s">
        <v>221</v>
      </c>
      <c r="Q1100" t="s">
        <v>82</v>
      </c>
      <c r="R1100">
        <v>3</v>
      </c>
      <c r="S1100">
        <v>16</v>
      </c>
      <c r="T1100">
        <v>0</v>
      </c>
      <c r="U1100">
        <v>1</v>
      </c>
      <c r="V1100">
        <v>3</v>
      </c>
      <c r="W1100">
        <v>26.08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3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</row>
    <row r="1101" spans="1:37" x14ac:dyDescent="0.3">
      <c r="A1101">
        <v>7979</v>
      </c>
      <c r="B1101" t="s">
        <v>219</v>
      </c>
      <c r="D1101" t="s">
        <v>327</v>
      </c>
      <c r="E1101">
        <v>99999999</v>
      </c>
      <c r="F1101">
        <v>11111111</v>
      </c>
      <c r="G1101">
        <v>1111111111</v>
      </c>
      <c r="H1101" t="s">
        <v>4670</v>
      </c>
      <c r="I1101">
        <v>99999999</v>
      </c>
      <c r="J1101" s="188">
        <v>45236</v>
      </c>
      <c r="K1101" t="s">
        <v>4670</v>
      </c>
      <c r="L1101" t="s">
        <v>4670</v>
      </c>
      <c r="M1101" t="s">
        <v>1657</v>
      </c>
      <c r="N1101" t="s">
        <v>99</v>
      </c>
      <c r="O1101" t="s">
        <v>1658</v>
      </c>
      <c r="P1101" t="s">
        <v>221</v>
      </c>
      <c r="Q1101" t="s">
        <v>82</v>
      </c>
      <c r="R1101">
        <v>3</v>
      </c>
      <c r="S1101">
        <v>2.78</v>
      </c>
      <c r="T1101">
        <v>0</v>
      </c>
      <c r="U1101">
        <v>1</v>
      </c>
      <c r="V1101">
        <v>2</v>
      </c>
      <c r="W1101">
        <v>20.77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3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</row>
    <row r="1102" spans="1:37" x14ac:dyDescent="0.3">
      <c r="A1102">
        <v>7979</v>
      </c>
      <c r="B1102" t="s">
        <v>219</v>
      </c>
      <c r="D1102" t="s">
        <v>327</v>
      </c>
      <c r="E1102">
        <v>99999999</v>
      </c>
      <c r="F1102">
        <v>11111111</v>
      </c>
      <c r="G1102">
        <v>1111111111</v>
      </c>
      <c r="H1102" t="s">
        <v>4671</v>
      </c>
      <c r="I1102">
        <v>99999999</v>
      </c>
      <c r="J1102" s="188">
        <v>45236</v>
      </c>
      <c r="K1102" t="s">
        <v>4671</v>
      </c>
      <c r="L1102" t="s">
        <v>4671</v>
      </c>
      <c r="M1102" t="s">
        <v>1550</v>
      </c>
      <c r="N1102" t="s">
        <v>99</v>
      </c>
      <c r="O1102" t="s">
        <v>1659</v>
      </c>
      <c r="P1102" t="s">
        <v>221</v>
      </c>
      <c r="Q1102" t="s">
        <v>82</v>
      </c>
      <c r="R1102">
        <v>2</v>
      </c>
      <c r="S1102">
        <v>4.33</v>
      </c>
      <c r="T1102">
        <v>0</v>
      </c>
      <c r="U1102">
        <v>1</v>
      </c>
      <c r="V1102">
        <v>2</v>
      </c>
      <c r="W1102">
        <v>22.93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2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</row>
    <row r="1103" spans="1:37" x14ac:dyDescent="0.3">
      <c r="A1103">
        <v>7979</v>
      </c>
      <c r="B1103" t="s">
        <v>219</v>
      </c>
      <c r="D1103" t="s">
        <v>327</v>
      </c>
      <c r="E1103">
        <v>99999999</v>
      </c>
      <c r="F1103">
        <v>11111111</v>
      </c>
      <c r="G1103">
        <v>1111111111</v>
      </c>
      <c r="H1103" t="s">
        <v>4672</v>
      </c>
      <c r="I1103">
        <v>99999999</v>
      </c>
      <c r="J1103" s="188">
        <v>45236</v>
      </c>
      <c r="K1103" t="s">
        <v>4672</v>
      </c>
      <c r="L1103" t="s">
        <v>4672</v>
      </c>
      <c r="M1103" t="s">
        <v>1660</v>
      </c>
      <c r="N1103" t="s">
        <v>381</v>
      </c>
      <c r="O1103">
        <v>59937</v>
      </c>
      <c r="P1103" t="s">
        <v>221</v>
      </c>
      <c r="Q1103" t="s">
        <v>82</v>
      </c>
      <c r="R1103">
        <v>5</v>
      </c>
      <c r="S1103">
        <v>6.17</v>
      </c>
      <c r="T1103">
        <v>0</v>
      </c>
      <c r="U1103">
        <v>1</v>
      </c>
      <c r="V1103">
        <v>3</v>
      </c>
      <c r="W1103">
        <v>31.15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5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</row>
    <row r="1104" spans="1:37" x14ac:dyDescent="0.3">
      <c r="A1104">
        <v>7979</v>
      </c>
      <c r="B1104" t="s">
        <v>219</v>
      </c>
      <c r="D1104" t="s">
        <v>327</v>
      </c>
      <c r="E1104">
        <v>99999999</v>
      </c>
      <c r="F1104">
        <v>11111111</v>
      </c>
      <c r="G1104">
        <v>1111111111</v>
      </c>
      <c r="H1104" t="s">
        <v>4673</v>
      </c>
      <c r="I1104">
        <v>99999999</v>
      </c>
      <c r="J1104" s="188">
        <v>45236</v>
      </c>
      <c r="K1104" t="s">
        <v>4673</v>
      </c>
      <c r="L1104" t="s">
        <v>4673</v>
      </c>
      <c r="M1104" t="s">
        <v>101</v>
      </c>
      <c r="N1104" t="s">
        <v>97</v>
      </c>
      <c r="O1104">
        <v>98107</v>
      </c>
      <c r="P1104" t="s">
        <v>221</v>
      </c>
      <c r="Q1104" t="s">
        <v>82</v>
      </c>
      <c r="R1104">
        <v>3</v>
      </c>
      <c r="S1104">
        <v>6.3040000000000003</v>
      </c>
      <c r="T1104">
        <v>0</v>
      </c>
      <c r="U1104">
        <v>1</v>
      </c>
      <c r="V1104">
        <v>3</v>
      </c>
      <c r="W1104">
        <v>23.54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3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</row>
    <row r="1105" spans="1:37" x14ac:dyDescent="0.3">
      <c r="A1105">
        <v>7979</v>
      </c>
      <c r="B1105" t="s">
        <v>219</v>
      </c>
      <c r="D1105" t="s">
        <v>327</v>
      </c>
      <c r="E1105">
        <v>99999999</v>
      </c>
      <c r="F1105">
        <v>11111111</v>
      </c>
      <c r="G1105">
        <v>1111111111</v>
      </c>
      <c r="H1105" t="s">
        <v>4674</v>
      </c>
      <c r="I1105">
        <v>99999999</v>
      </c>
      <c r="J1105" s="188">
        <v>45236</v>
      </c>
      <c r="K1105" t="s">
        <v>4674</v>
      </c>
      <c r="L1105" t="s">
        <v>4674</v>
      </c>
      <c r="M1105" t="s">
        <v>448</v>
      </c>
      <c r="N1105" t="s">
        <v>197</v>
      </c>
      <c r="O1105" t="s">
        <v>1661</v>
      </c>
      <c r="P1105" t="s">
        <v>221</v>
      </c>
      <c r="Q1105" t="s">
        <v>82</v>
      </c>
      <c r="R1105">
        <v>3</v>
      </c>
      <c r="S1105">
        <v>8.8000000000000007</v>
      </c>
      <c r="T1105">
        <v>0</v>
      </c>
      <c r="U1105">
        <v>1</v>
      </c>
      <c r="V1105">
        <v>3</v>
      </c>
      <c r="W1105">
        <v>29.48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3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</row>
    <row r="1106" spans="1:37" x14ac:dyDescent="0.3">
      <c r="A1106">
        <v>7979</v>
      </c>
      <c r="B1106" t="s">
        <v>219</v>
      </c>
      <c r="D1106" t="s">
        <v>327</v>
      </c>
      <c r="E1106">
        <v>99999999</v>
      </c>
      <c r="F1106">
        <v>11111111</v>
      </c>
      <c r="G1106">
        <v>1111111111</v>
      </c>
      <c r="H1106" t="s">
        <v>4675</v>
      </c>
      <c r="I1106">
        <v>99999999</v>
      </c>
      <c r="J1106" s="188">
        <v>45236</v>
      </c>
      <c r="K1106" t="s">
        <v>4675</v>
      </c>
      <c r="L1106" t="s">
        <v>4675</v>
      </c>
      <c r="M1106" t="s">
        <v>605</v>
      </c>
      <c r="N1106" t="s">
        <v>130</v>
      </c>
      <c r="O1106">
        <v>80439</v>
      </c>
      <c r="P1106" t="s">
        <v>221</v>
      </c>
      <c r="Q1106" t="s">
        <v>82</v>
      </c>
      <c r="R1106">
        <v>2</v>
      </c>
      <c r="S1106">
        <v>0.2</v>
      </c>
      <c r="T1106">
        <v>0</v>
      </c>
      <c r="U1106">
        <v>1</v>
      </c>
      <c r="V1106">
        <v>2</v>
      </c>
      <c r="W1106">
        <v>26.02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2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</row>
    <row r="1107" spans="1:37" x14ac:dyDescent="0.3">
      <c r="A1107">
        <v>7979</v>
      </c>
      <c r="B1107" t="s">
        <v>219</v>
      </c>
      <c r="D1107" t="s">
        <v>327</v>
      </c>
      <c r="E1107">
        <v>99999999</v>
      </c>
      <c r="F1107">
        <v>11111111</v>
      </c>
      <c r="G1107">
        <v>1111111111</v>
      </c>
      <c r="H1107" t="s">
        <v>4676</v>
      </c>
      <c r="I1107">
        <v>99999999</v>
      </c>
      <c r="J1107" s="188">
        <v>45236</v>
      </c>
      <c r="K1107" t="s">
        <v>4676</v>
      </c>
      <c r="L1107" t="s">
        <v>4676</v>
      </c>
      <c r="M1107" t="s">
        <v>1662</v>
      </c>
      <c r="N1107" t="s">
        <v>104</v>
      </c>
      <c r="O1107" t="s">
        <v>1663</v>
      </c>
      <c r="P1107" t="s">
        <v>221</v>
      </c>
      <c r="Q1107" t="s">
        <v>82</v>
      </c>
      <c r="R1107">
        <v>3</v>
      </c>
      <c r="S1107">
        <v>1.6379999999999999</v>
      </c>
      <c r="T1107">
        <v>0</v>
      </c>
      <c r="U1107">
        <v>1</v>
      </c>
      <c r="V1107">
        <v>3</v>
      </c>
      <c r="W1107">
        <v>30.93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3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</row>
    <row r="1108" spans="1:37" x14ac:dyDescent="0.3">
      <c r="A1108">
        <v>7979</v>
      </c>
      <c r="B1108" t="s">
        <v>219</v>
      </c>
      <c r="D1108" t="s">
        <v>327</v>
      </c>
      <c r="E1108">
        <v>99999999</v>
      </c>
      <c r="F1108">
        <v>11111111</v>
      </c>
      <c r="G1108">
        <v>1111111111</v>
      </c>
      <c r="H1108" t="s">
        <v>4677</v>
      </c>
      <c r="I1108">
        <v>99999999</v>
      </c>
      <c r="J1108" s="188">
        <v>45236</v>
      </c>
      <c r="K1108" t="s">
        <v>4677</v>
      </c>
      <c r="L1108" t="s">
        <v>4677</v>
      </c>
      <c r="M1108" t="s">
        <v>915</v>
      </c>
      <c r="N1108" t="s">
        <v>164</v>
      </c>
      <c r="O1108" t="s">
        <v>1534</v>
      </c>
      <c r="P1108" t="s">
        <v>221</v>
      </c>
      <c r="Q1108" t="s">
        <v>82</v>
      </c>
      <c r="R1108">
        <v>8</v>
      </c>
      <c r="S1108">
        <v>11.82</v>
      </c>
      <c r="T1108">
        <v>0</v>
      </c>
      <c r="U1108">
        <v>1</v>
      </c>
      <c r="V1108">
        <v>8</v>
      </c>
      <c r="W1108">
        <v>25.05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8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</row>
    <row r="1109" spans="1:37" x14ac:dyDescent="0.3">
      <c r="A1109">
        <v>7979</v>
      </c>
      <c r="B1109" t="s">
        <v>219</v>
      </c>
      <c r="D1109" t="s">
        <v>327</v>
      </c>
      <c r="E1109">
        <v>99999999</v>
      </c>
      <c r="F1109">
        <v>11111111</v>
      </c>
      <c r="G1109">
        <v>1111111111</v>
      </c>
      <c r="H1109" t="s">
        <v>4678</v>
      </c>
      <c r="I1109">
        <v>99999999</v>
      </c>
      <c r="J1109" s="188">
        <v>45236</v>
      </c>
      <c r="K1109" t="s">
        <v>4678</v>
      </c>
      <c r="L1109" t="s">
        <v>4678</v>
      </c>
      <c r="M1109" t="s">
        <v>1253</v>
      </c>
      <c r="N1109" t="s">
        <v>197</v>
      </c>
      <c r="O1109" t="s">
        <v>1254</v>
      </c>
      <c r="P1109" t="s">
        <v>221</v>
      </c>
      <c r="Q1109" t="s">
        <v>82</v>
      </c>
      <c r="R1109">
        <v>3</v>
      </c>
      <c r="S1109">
        <v>11.78</v>
      </c>
      <c r="T1109">
        <v>0</v>
      </c>
      <c r="U1109">
        <v>1</v>
      </c>
      <c r="V1109">
        <v>3</v>
      </c>
      <c r="W1109">
        <v>28.89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3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</row>
    <row r="1110" spans="1:37" x14ac:dyDescent="0.3">
      <c r="A1110">
        <v>7979</v>
      </c>
      <c r="B1110" t="s">
        <v>219</v>
      </c>
      <c r="D1110" t="s">
        <v>327</v>
      </c>
      <c r="E1110">
        <v>99999999</v>
      </c>
      <c r="F1110">
        <v>11111111</v>
      </c>
      <c r="G1110">
        <v>1111111111</v>
      </c>
      <c r="H1110" t="s">
        <v>4679</v>
      </c>
      <c r="I1110">
        <v>99999999</v>
      </c>
      <c r="J1110" s="188">
        <v>45236</v>
      </c>
      <c r="K1110" t="s">
        <v>4679</v>
      </c>
      <c r="L1110" t="s">
        <v>4679</v>
      </c>
      <c r="M1110" t="s">
        <v>1007</v>
      </c>
      <c r="N1110" t="s">
        <v>381</v>
      </c>
      <c r="O1110" t="s">
        <v>1664</v>
      </c>
      <c r="P1110" t="s">
        <v>221</v>
      </c>
      <c r="Q1110" t="s">
        <v>82</v>
      </c>
      <c r="R1110">
        <v>2</v>
      </c>
      <c r="S1110">
        <v>1.3</v>
      </c>
      <c r="T1110">
        <v>0</v>
      </c>
      <c r="U1110">
        <v>1</v>
      </c>
      <c r="V1110">
        <v>2</v>
      </c>
      <c r="W1110">
        <v>27.33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2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</row>
    <row r="1111" spans="1:37" x14ac:dyDescent="0.3">
      <c r="A1111">
        <v>7979</v>
      </c>
      <c r="B1111" t="s">
        <v>219</v>
      </c>
      <c r="D1111" t="s">
        <v>327</v>
      </c>
      <c r="E1111">
        <v>99999999</v>
      </c>
      <c r="F1111">
        <v>11111111</v>
      </c>
      <c r="G1111">
        <v>1111111111</v>
      </c>
      <c r="H1111" t="s">
        <v>4680</v>
      </c>
      <c r="I1111">
        <v>99999999</v>
      </c>
      <c r="J1111" s="188">
        <v>45236</v>
      </c>
      <c r="K1111" t="s">
        <v>4680</v>
      </c>
      <c r="L1111" t="s">
        <v>4680</v>
      </c>
      <c r="M1111" t="s">
        <v>562</v>
      </c>
      <c r="N1111" t="s">
        <v>197</v>
      </c>
      <c r="O1111" t="s">
        <v>1665</v>
      </c>
      <c r="P1111" t="s">
        <v>221</v>
      </c>
      <c r="Q1111" t="s">
        <v>82</v>
      </c>
      <c r="R1111">
        <v>3</v>
      </c>
      <c r="S1111">
        <v>16.57</v>
      </c>
      <c r="T1111">
        <v>0</v>
      </c>
      <c r="U1111">
        <v>1</v>
      </c>
      <c r="V1111">
        <v>3</v>
      </c>
      <c r="W1111">
        <v>34.93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3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</row>
    <row r="1112" spans="1:37" x14ac:dyDescent="0.3">
      <c r="A1112">
        <v>7979</v>
      </c>
      <c r="B1112" t="s">
        <v>219</v>
      </c>
      <c r="D1112" t="s">
        <v>327</v>
      </c>
      <c r="E1112">
        <v>99999999</v>
      </c>
      <c r="F1112">
        <v>11111111</v>
      </c>
      <c r="G1112">
        <v>1111111111</v>
      </c>
      <c r="H1112" t="s">
        <v>4681</v>
      </c>
      <c r="I1112">
        <v>99999999</v>
      </c>
      <c r="J1112" s="188">
        <v>45236</v>
      </c>
      <c r="K1112" t="s">
        <v>4681</v>
      </c>
      <c r="L1112" t="s">
        <v>4681</v>
      </c>
      <c r="M1112" t="s">
        <v>173</v>
      </c>
      <c r="N1112" t="s">
        <v>164</v>
      </c>
      <c r="O1112" t="s">
        <v>1087</v>
      </c>
      <c r="P1112" t="s">
        <v>221</v>
      </c>
      <c r="Q1112" t="s">
        <v>82</v>
      </c>
      <c r="R1112">
        <v>4</v>
      </c>
      <c r="S1112">
        <v>5.93</v>
      </c>
      <c r="T1112">
        <v>0</v>
      </c>
      <c r="U1112">
        <v>1</v>
      </c>
      <c r="V1112">
        <v>4</v>
      </c>
      <c r="W1112">
        <v>23.54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4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</row>
    <row r="1113" spans="1:37" x14ac:dyDescent="0.3">
      <c r="A1113">
        <v>7979</v>
      </c>
      <c r="B1113" t="s">
        <v>219</v>
      </c>
      <c r="D1113" t="s">
        <v>327</v>
      </c>
      <c r="E1113">
        <v>99999999</v>
      </c>
      <c r="F1113">
        <v>11111111</v>
      </c>
      <c r="G1113">
        <v>1111111111</v>
      </c>
      <c r="H1113" t="s">
        <v>4682</v>
      </c>
      <c r="I1113">
        <v>99999999</v>
      </c>
      <c r="J1113" s="188">
        <v>45236</v>
      </c>
      <c r="K1113" t="s">
        <v>4682</v>
      </c>
      <c r="L1113" t="s">
        <v>4682</v>
      </c>
      <c r="M1113" t="s">
        <v>1666</v>
      </c>
      <c r="N1113" t="s">
        <v>381</v>
      </c>
      <c r="O1113" t="s">
        <v>1667</v>
      </c>
      <c r="P1113" t="s">
        <v>221</v>
      </c>
      <c r="Q1113" t="s">
        <v>82</v>
      </c>
      <c r="R1113">
        <v>2</v>
      </c>
      <c r="S1113">
        <v>3</v>
      </c>
      <c r="T1113">
        <v>0</v>
      </c>
      <c r="U1113">
        <v>1</v>
      </c>
      <c r="V1113">
        <v>2</v>
      </c>
      <c r="W1113">
        <v>28.64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2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</row>
    <row r="1114" spans="1:37" x14ac:dyDescent="0.3">
      <c r="A1114">
        <v>7979</v>
      </c>
      <c r="B1114" t="s">
        <v>219</v>
      </c>
      <c r="D1114" t="s">
        <v>327</v>
      </c>
      <c r="E1114">
        <v>99999999</v>
      </c>
      <c r="F1114">
        <v>11111111</v>
      </c>
      <c r="G1114">
        <v>1111111111</v>
      </c>
      <c r="H1114" t="s">
        <v>4683</v>
      </c>
      <c r="I1114">
        <v>99999999</v>
      </c>
      <c r="J1114" s="188">
        <v>45236</v>
      </c>
      <c r="K1114" t="s">
        <v>4683</v>
      </c>
      <c r="L1114" t="s">
        <v>4683</v>
      </c>
      <c r="M1114" t="s">
        <v>1668</v>
      </c>
      <c r="N1114" t="s">
        <v>130</v>
      </c>
      <c r="O1114" t="s">
        <v>1669</v>
      </c>
      <c r="P1114" t="s">
        <v>221</v>
      </c>
      <c r="Q1114" t="s">
        <v>82</v>
      </c>
      <c r="R1114">
        <v>3</v>
      </c>
      <c r="S1114">
        <v>4.0759999999999996</v>
      </c>
      <c r="T1114">
        <v>0</v>
      </c>
      <c r="U1114">
        <v>1</v>
      </c>
      <c r="V1114">
        <v>2</v>
      </c>
      <c r="W1114">
        <v>30.49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3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</row>
    <row r="1115" spans="1:37" x14ac:dyDescent="0.3">
      <c r="A1115">
        <v>7979</v>
      </c>
      <c r="B1115" t="s">
        <v>219</v>
      </c>
      <c r="D1115" t="s">
        <v>327</v>
      </c>
      <c r="E1115">
        <v>99999999</v>
      </c>
      <c r="F1115">
        <v>11111111</v>
      </c>
      <c r="G1115">
        <v>1111111111</v>
      </c>
      <c r="H1115" t="s">
        <v>4684</v>
      </c>
      <c r="I1115">
        <v>99999999</v>
      </c>
      <c r="J1115" s="188">
        <v>45236</v>
      </c>
      <c r="K1115" t="s">
        <v>4684</v>
      </c>
      <c r="L1115" t="s">
        <v>4684</v>
      </c>
      <c r="M1115" t="s">
        <v>126</v>
      </c>
      <c r="N1115" t="s">
        <v>104</v>
      </c>
      <c r="O1115" t="s">
        <v>1670</v>
      </c>
      <c r="P1115" t="s">
        <v>221</v>
      </c>
      <c r="Q1115" t="s">
        <v>82</v>
      </c>
      <c r="R1115">
        <v>5</v>
      </c>
      <c r="S1115">
        <v>7.97</v>
      </c>
      <c r="T1115">
        <v>0</v>
      </c>
      <c r="U1115">
        <v>1</v>
      </c>
      <c r="V1115">
        <v>5</v>
      </c>
      <c r="W1115">
        <v>24.22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5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</row>
    <row r="1116" spans="1:37" x14ac:dyDescent="0.3">
      <c r="A1116">
        <v>7979</v>
      </c>
      <c r="B1116" t="s">
        <v>219</v>
      </c>
      <c r="D1116" t="s">
        <v>327</v>
      </c>
      <c r="E1116">
        <v>99999999</v>
      </c>
      <c r="F1116">
        <v>11111111</v>
      </c>
      <c r="G1116">
        <v>1111111111</v>
      </c>
      <c r="H1116" t="s">
        <v>4685</v>
      </c>
      <c r="I1116">
        <v>99999999</v>
      </c>
      <c r="J1116" s="188">
        <v>45236</v>
      </c>
      <c r="K1116" t="s">
        <v>4685</v>
      </c>
      <c r="L1116" t="s">
        <v>4685</v>
      </c>
      <c r="M1116" t="s">
        <v>1172</v>
      </c>
      <c r="N1116" t="s">
        <v>99</v>
      </c>
      <c r="O1116">
        <v>95126</v>
      </c>
      <c r="P1116" t="s">
        <v>221</v>
      </c>
      <c r="Q1116" t="s">
        <v>82</v>
      </c>
      <c r="R1116">
        <v>2</v>
      </c>
      <c r="S1116">
        <v>5.3</v>
      </c>
      <c r="T1116">
        <v>0</v>
      </c>
      <c r="U1116">
        <v>1</v>
      </c>
      <c r="V1116">
        <v>2</v>
      </c>
      <c r="W1116">
        <v>21.49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2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</row>
    <row r="1117" spans="1:37" x14ac:dyDescent="0.3">
      <c r="A1117">
        <v>7979</v>
      </c>
      <c r="B1117" t="s">
        <v>219</v>
      </c>
      <c r="D1117" t="s">
        <v>327</v>
      </c>
      <c r="E1117">
        <v>99999999</v>
      </c>
      <c r="F1117">
        <v>11111111</v>
      </c>
      <c r="G1117">
        <v>1111111111</v>
      </c>
      <c r="H1117" t="s">
        <v>4686</v>
      </c>
      <c r="I1117">
        <v>99999999</v>
      </c>
      <c r="J1117" s="188">
        <v>45236</v>
      </c>
      <c r="K1117" t="s">
        <v>4686</v>
      </c>
      <c r="L1117" t="s">
        <v>4686</v>
      </c>
      <c r="M1117" t="s">
        <v>1671</v>
      </c>
      <c r="N1117" t="s">
        <v>122</v>
      </c>
      <c r="O1117" t="s">
        <v>1672</v>
      </c>
      <c r="P1117" t="s">
        <v>221</v>
      </c>
      <c r="Q1117" t="s">
        <v>82</v>
      </c>
      <c r="R1117">
        <v>9</v>
      </c>
      <c r="S1117">
        <v>8.6560000000000006</v>
      </c>
      <c r="T1117">
        <v>0</v>
      </c>
      <c r="U1117">
        <v>1</v>
      </c>
      <c r="V1117">
        <v>7</v>
      </c>
      <c r="W1117">
        <v>26.22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9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</row>
    <row r="1118" spans="1:37" x14ac:dyDescent="0.3">
      <c r="A1118">
        <v>7979</v>
      </c>
      <c r="B1118" t="s">
        <v>219</v>
      </c>
      <c r="D1118" t="s">
        <v>327</v>
      </c>
      <c r="E1118">
        <v>99999999</v>
      </c>
      <c r="F1118">
        <v>11111111</v>
      </c>
      <c r="G1118">
        <v>1111111111</v>
      </c>
      <c r="H1118" t="s">
        <v>4687</v>
      </c>
      <c r="I1118">
        <v>99999999</v>
      </c>
      <c r="J1118" s="188">
        <v>45236</v>
      </c>
      <c r="K1118" t="s">
        <v>4687</v>
      </c>
      <c r="L1118" t="s">
        <v>4687</v>
      </c>
      <c r="M1118" t="s">
        <v>1673</v>
      </c>
      <c r="N1118" t="s">
        <v>130</v>
      </c>
      <c r="O1118">
        <v>80136</v>
      </c>
      <c r="P1118" t="s">
        <v>221</v>
      </c>
      <c r="Q1118" t="s">
        <v>82</v>
      </c>
      <c r="R1118">
        <v>5</v>
      </c>
      <c r="S1118">
        <v>4</v>
      </c>
      <c r="T1118">
        <v>0</v>
      </c>
      <c r="U1118">
        <v>1</v>
      </c>
      <c r="V1118">
        <v>5</v>
      </c>
      <c r="W1118">
        <v>32.630000000000003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5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</row>
    <row r="1119" spans="1:37" x14ac:dyDescent="0.3">
      <c r="A1119">
        <v>7979</v>
      </c>
      <c r="B1119" t="s">
        <v>219</v>
      </c>
      <c r="D1119" t="s">
        <v>327</v>
      </c>
      <c r="E1119">
        <v>99999999</v>
      </c>
      <c r="F1119">
        <v>11111111</v>
      </c>
      <c r="G1119">
        <v>1111111111</v>
      </c>
      <c r="H1119" t="s">
        <v>4688</v>
      </c>
      <c r="I1119">
        <v>99999999</v>
      </c>
      <c r="J1119" s="188">
        <v>45236</v>
      </c>
      <c r="K1119" t="s">
        <v>4688</v>
      </c>
      <c r="L1119" t="s">
        <v>4688</v>
      </c>
      <c r="M1119" t="s">
        <v>1674</v>
      </c>
      <c r="N1119" t="s">
        <v>99</v>
      </c>
      <c r="O1119" t="s">
        <v>1675</v>
      </c>
      <c r="P1119" t="s">
        <v>221</v>
      </c>
      <c r="Q1119" t="s">
        <v>82</v>
      </c>
      <c r="R1119">
        <v>3</v>
      </c>
      <c r="S1119">
        <v>5.8040000000000003</v>
      </c>
      <c r="T1119">
        <v>0</v>
      </c>
      <c r="U1119">
        <v>1</v>
      </c>
      <c r="V1119">
        <v>3</v>
      </c>
      <c r="W1119">
        <v>23.54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3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</row>
    <row r="1120" spans="1:37" x14ac:dyDescent="0.3">
      <c r="A1120">
        <v>7979</v>
      </c>
      <c r="B1120" t="s">
        <v>219</v>
      </c>
      <c r="D1120" t="s">
        <v>327</v>
      </c>
      <c r="E1120">
        <v>99999999</v>
      </c>
      <c r="F1120">
        <v>11111111</v>
      </c>
      <c r="G1120">
        <v>1111111111</v>
      </c>
      <c r="H1120" t="s">
        <v>4689</v>
      </c>
      <c r="I1120">
        <v>99999999</v>
      </c>
      <c r="J1120" s="188">
        <v>45236</v>
      </c>
      <c r="K1120" t="s">
        <v>4689</v>
      </c>
      <c r="L1120" t="s">
        <v>4689</v>
      </c>
      <c r="M1120" t="s">
        <v>1676</v>
      </c>
      <c r="N1120" t="s">
        <v>99</v>
      </c>
      <c r="O1120">
        <v>92067</v>
      </c>
      <c r="P1120" t="s">
        <v>221</v>
      </c>
      <c r="Q1120" t="s">
        <v>82</v>
      </c>
      <c r="R1120">
        <v>2</v>
      </c>
      <c r="S1120">
        <v>1.65</v>
      </c>
      <c r="T1120">
        <v>0</v>
      </c>
      <c r="U1120">
        <v>1</v>
      </c>
      <c r="V1120">
        <v>2</v>
      </c>
      <c r="W1120">
        <v>28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2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</row>
    <row r="1121" spans="1:37" x14ac:dyDescent="0.3">
      <c r="A1121">
        <v>7979</v>
      </c>
      <c r="B1121" t="s">
        <v>219</v>
      </c>
      <c r="D1121" t="s">
        <v>327</v>
      </c>
      <c r="E1121">
        <v>99999999</v>
      </c>
      <c r="F1121">
        <v>11111111</v>
      </c>
      <c r="G1121">
        <v>1111111111</v>
      </c>
      <c r="H1121" t="s">
        <v>4690</v>
      </c>
      <c r="I1121">
        <v>99999999</v>
      </c>
      <c r="J1121" s="188">
        <v>45236</v>
      </c>
      <c r="K1121" t="s">
        <v>4690</v>
      </c>
      <c r="L1121" t="s">
        <v>4690</v>
      </c>
      <c r="M1121" t="s">
        <v>1677</v>
      </c>
      <c r="N1121" t="s">
        <v>164</v>
      </c>
      <c r="O1121">
        <v>97824</v>
      </c>
      <c r="P1121" t="s">
        <v>221</v>
      </c>
      <c r="Q1121" t="s">
        <v>82</v>
      </c>
      <c r="R1121">
        <v>2</v>
      </c>
      <c r="S1121">
        <v>5.42</v>
      </c>
      <c r="T1121">
        <v>0</v>
      </c>
      <c r="U1121">
        <v>1</v>
      </c>
      <c r="V1121">
        <v>2</v>
      </c>
      <c r="W1121">
        <v>31.35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2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</row>
    <row r="1122" spans="1:37" x14ac:dyDescent="0.3">
      <c r="A1122">
        <v>7979</v>
      </c>
      <c r="B1122" t="s">
        <v>219</v>
      </c>
      <c r="D1122" t="s">
        <v>327</v>
      </c>
      <c r="E1122">
        <v>99999999</v>
      </c>
      <c r="F1122">
        <v>11111111</v>
      </c>
      <c r="G1122">
        <v>1111111111</v>
      </c>
      <c r="H1122" t="s">
        <v>4691</v>
      </c>
      <c r="I1122">
        <v>99999999</v>
      </c>
      <c r="J1122" s="188">
        <v>45236</v>
      </c>
      <c r="K1122" t="s">
        <v>4691</v>
      </c>
      <c r="L1122" t="s">
        <v>4691</v>
      </c>
      <c r="M1122" t="s">
        <v>1309</v>
      </c>
      <c r="N1122" t="s">
        <v>197</v>
      </c>
      <c r="O1122" t="s">
        <v>1678</v>
      </c>
      <c r="P1122" t="s">
        <v>221</v>
      </c>
      <c r="Q1122" t="s">
        <v>82</v>
      </c>
      <c r="R1122">
        <v>5</v>
      </c>
      <c r="S1122">
        <v>17</v>
      </c>
      <c r="T1122">
        <v>0</v>
      </c>
      <c r="U1122">
        <v>1</v>
      </c>
      <c r="V1122">
        <v>3</v>
      </c>
      <c r="W1122">
        <v>41.05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5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</row>
    <row r="1123" spans="1:37" x14ac:dyDescent="0.3">
      <c r="A1123">
        <v>7979</v>
      </c>
      <c r="B1123" t="s">
        <v>219</v>
      </c>
      <c r="D1123" t="s">
        <v>327</v>
      </c>
      <c r="E1123">
        <v>99999999</v>
      </c>
      <c r="F1123">
        <v>11111111</v>
      </c>
      <c r="G1123">
        <v>1111111111</v>
      </c>
      <c r="H1123" t="s">
        <v>4692</v>
      </c>
      <c r="I1123">
        <v>99999999</v>
      </c>
      <c r="J1123" s="188">
        <v>45236</v>
      </c>
      <c r="K1123" t="s">
        <v>4692</v>
      </c>
      <c r="L1123" t="s">
        <v>4692</v>
      </c>
      <c r="M1123" t="s">
        <v>1679</v>
      </c>
      <c r="N1123" t="s">
        <v>99</v>
      </c>
      <c r="O1123" t="s">
        <v>1680</v>
      </c>
      <c r="P1123" t="s">
        <v>221</v>
      </c>
      <c r="Q1123" t="s">
        <v>82</v>
      </c>
      <c r="R1123">
        <v>3</v>
      </c>
      <c r="S1123">
        <v>3.85</v>
      </c>
      <c r="T1123">
        <v>0</v>
      </c>
      <c r="U1123">
        <v>1</v>
      </c>
      <c r="V1123">
        <v>3</v>
      </c>
      <c r="W1123">
        <v>21.44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3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</row>
    <row r="1124" spans="1:37" x14ac:dyDescent="0.3">
      <c r="A1124">
        <v>7979</v>
      </c>
      <c r="B1124" t="s">
        <v>219</v>
      </c>
      <c r="D1124" t="s">
        <v>327</v>
      </c>
      <c r="E1124">
        <v>99999999</v>
      </c>
      <c r="F1124">
        <v>11111111</v>
      </c>
      <c r="G1124">
        <v>1111111111</v>
      </c>
      <c r="H1124" t="s">
        <v>4693</v>
      </c>
      <c r="I1124">
        <v>99999999</v>
      </c>
      <c r="J1124" s="188">
        <v>45236</v>
      </c>
      <c r="K1124" t="s">
        <v>4693</v>
      </c>
      <c r="L1124" t="s">
        <v>4693</v>
      </c>
      <c r="M1124" t="s">
        <v>358</v>
      </c>
      <c r="N1124" t="s">
        <v>197</v>
      </c>
      <c r="O1124" t="s">
        <v>1681</v>
      </c>
      <c r="P1124" t="s">
        <v>221</v>
      </c>
      <c r="Q1124" t="s">
        <v>82</v>
      </c>
      <c r="R1124">
        <v>2</v>
      </c>
      <c r="S1124">
        <v>3.32</v>
      </c>
      <c r="T1124">
        <v>0</v>
      </c>
      <c r="U1124">
        <v>1</v>
      </c>
      <c r="V1124">
        <v>2</v>
      </c>
      <c r="W1124">
        <v>24.07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2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</row>
    <row r="1125" spans="1:37" x14ac:dyDescent="0.3">
      <c r="A1125">
        <v>7979</v>
      </c>
      <c r="B1125" t="s">
        <v>219</v>
      </c>
      <c r="D1125" t="s">
        <v>327</v>
      </c>
      <c r="E1125">
        <v>99999999</v>
      </c>
      <c r="F1125">
        <v>11111111</v>
      </c>
      <c r="G1125">
        <v>1111111111</v>
      </c>
      <c r="H1125" t="s">
        <v>4694</v>
      </c>
      <c r="I1125">
        <v>99999999</v>
      </c>
      <c r="J1125" s="188">
        <v>45236</v>
      </c>
      <c r="K1125" t="s">
        <v>4694</v>
      </c>
      <c r="L1125" t="s">
        <v>4694</v>
      </c>
      <c r="M1125" t="s">
        <v>1682</v>
      </c>
      <c r="N1125" t="s">
        <v>265</v>
      </c>
      <c r="O1125" t="s">
        <v>1683</v>
      </c>
      <c r="P1125" t="s">
        <v>221</v>
      </c>
      <c r="Q1125" t="s">
        <v>82</v>
      </c>
      <c r="R1125">
        <v>2</v>
      </c>
      <c r="S1125">
        <v>0.59</v>
      </c>
      <c r="T1125">
        <v>0</v>
      </c>
      <c r="U1125">
        <v>1</v>
      </c>
      <c r="V1125">
        <v>2</v>
      </c>
      <c r="W1125">
        <v>31.36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2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</row>
    <row r="1126" spans="1:37" x14ac:dyDescent="0.3">
      <c r="A1126">
        <v>7979</v>
      </c>
      <c r="B1126" t="s">
        <v>219</v>
      </c>
      <c r="D1126" t="s">
        <v>327</v>
      </c>
      <c r="E1126">
        <v>99999999</v>
      </c>
      <c r="F1126">
        <v>11111111</v>
      </c>
      <c r="G1126">
        <v>1111111111</v>
      </c>
      <c r="H1126" t="s">
        <v>4695</v>
      </c>
      <c r="I1126">
        <v>99999999</v>
      </c>
      <c r="J1126" s="188">
        <v>45236</v>
      </c>
      <c r="K1126" t="s">
        <v>4695</v>
      </c>
      <c r="L1126" t="s">
        <v>4695</v>
      </c>
      <c r="M1126" t="s">
        <v>899</v>
      </c>
      <c r="N1126" t="s">
        <v>85</v>
      </c>
      <c r="O1126" t="s">
        <v>1684</v>
      </c>
      <c r="P1126" t="s">
        <v>221</v>
      </c>
      <c r="Q1126" t="s">
        <v>82</v>
      </c>
      <c r="R1126">
        <v>3</v>
      </c>
      <c r="S1126">
        <v>22.436</v>
      </c>
      <c r="T1126">
        <v>0</v>
      </c>
      <c r="U1126">
        <v>1</v>
      </c>
      <c r="V1126">
        <v>3</v>
      </c>
      <c r="W1126">
        <v>31.59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3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</row>
    <row r="1127" spans="1:37" x14ac:dyDescent="0.3">
      <c r="A1127">
        <v>7979</v>
      </c>
      <c r="B1127" t="s">
        <v>219</v>
      </c>
      <c r="D1127" t="s">
        <v>327</v>
      </c>
      <c r="E1127">
        <v>99999999</v>
      </c>
      <c r="F1127">
        <v>11111111</v>
      </c>
      <c r="G1127">
        <v>1111111111</v>
      </c>
      <c r="H1127" t="s">
        <v>4696</v>
      </c>
      <c r="I1127">
        <v>99999999</v>
      </c>
      <c r="J1127" s="188">
        <v>45236</v>
      </c>
      <c r="K1127" t="s">
        <v>4696</v>
      </c>
      <c r="L1127" t="s">
        <v>4696</v>
      </c>
      <c r="M1127" t="s">
        <v>1685</v>
      </c>
      <c r="N1127" t="s">
        <v>99</v>
      </c>
      <c r="O1127">
        <v>91320</v>
      </c>
      <c r="P1127" t="s">
        <v>221</v>
      </c>
      <c r="Q1127" t="s">
        <v>82</v>
      </c>
      <c r="R1127">
        <v>5</v>
      </c>
      <c r="S1127">
        <v>4.75</v>
      </c>
      <c r="T1127">
        <v>0</v>
      </c>
      <c r="U1127">
        <v>1</v>
      </c>
      <c r="V1127">
        <v>5</v>
      </c>
      <c r="W1127">
        <v>23.09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5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</row>
    <row r="1128" spans="1:37" x14ac:dyDescent="0.3">
      <c r="A1128">
        <v>7979</v>
      </c>
      <c r="B1128" t="s">
        <v>219</v>
      </c>
      <c r="D1128" t="s">
        <v>327</v>
      </c>
      <c r="E1128">
        <v>99999999</v>
      </c>
      <c r="F1128">
        <v>11111111</v>
      </c>
      <c r="G1128">
        <v>1111111111</v>
      </c>
      <c r="H1128" t="s">
        <v>4697</v>
      </c>
      <c r="I1128">
        <v>99999999</v>
      </c>
      <c r="J1128" s="188">
        <v>45236</v>
      </c>
      <c r="K1128" t="s">
        <v>4697</v>
      </c>
      <c r="L1128" t="s">
        <v>4697</v>
      </c>
      <c r="M1128" t="s">
        <v>1172</v>
      </c>
      <c r="N1128" t="s">
        <v>99</v>
      </c>
      <c r="O1128" t="s">
        <v>1686</v>
      </c>
      <c r="P1128" t="s">
        <v>221</v>
      </c>
      <c r="Q1128" t="s">
        <v>82</v>
      </c>
      <c r="R1128">
        <v>2</v>
      </c>
      <c r="S1128">
        <v>14</v>
      </c>
      <c r="T1128">
        <v>0</v>
      </c>
      <c r="U1128">
        <v>1</v>
      </c>
      <c r="V1128">
        <v>2</v>
      </c>
      <c r="W1128">
        <v>24.69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2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</row>
    <row r="1129" spans="1:37" x14ac:dyDescent="0.3">
      <c r="A1129">
        <v>7979</v>
      </c>
      <c r="B1129" t="s">
        <v>219</v>
      </c>
      <c r="D1129" t="s">
        <v>327</v>
      </c>
      <c r="E1129">
        <v>99999999</v>
      </c>
      <c r="F1129">
        <v>11111111</v>
      </c>
      <c r="G1129">
        <v>1111111111</v>
      </c>
      <c r="H1129" t="s">
        <v>4698</v>
      </c>
      <c r="I1129">
        <v>99999999</v>
      </c>
      <c r="J1129" s="188">
        <v>45236</v>
      </c>
      <c r="K1129" t="s">
        <v>4698</v>
      </c>
      <c r="L1129" t="s">
        <v>4698</v>
      </c>
      <c r="M1129" t="s">
        <v>1492</v>
      </c>
      <c r="N1129" t="s">
        <v>164</v>
      </c>
      <c r="O1129" t="s">
        <v>1687</v>
      </c>
      <c r="P1129" t="s">
        <v>221</v>
      </c>
      <c r="Q1129" t="s">
        <v>82</v>
      </c>
      <c r="R1129">
        <v>3</v>
      </c>
      <c r="S1129">
        <v>19.91</v>
      </c>
      <c r="T1129">
        <v>0</v>
      </c>
      <c r="U1129">
        <v>1</v>
      </c>
      <c r="V1129">
        <v>2</v>
      </c>
      <c r="W1129">
        <v>28.56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3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</row>
    <row r="1130" spans="1:37" x14ac:dyDescent="0.3">
      <c r="A1130">
        <v>7979</v>
      </c>
      <c r="B1130" t="s">
        <v>219</v>
      </c>
      <c r="D1130" t="s">
        <v>327</v>
      </c>
      <c r="E1130">
        <v>99999999</v>
      </c>
      <c r="F1130">
        <v>11111111</v>
      </c>
      <c r="G1130">
        <v>1111111111</v>
      </c>
      <c r="H1130" t="s">
        <v>4699</v>
      </c>
      <c r="I1130">
        <v>99999999</v>
      </c>
      <c r="J1130" s="188">
        <v>45236</v>
      </c>
      <c r="K1130" t="s">
        <v>4699</v>
      </c>
      <c r="L1130" t="s">
        <v>4699</v>
      </c>
      <c r="M1130" t="s">
        <v>187</v>
      </c>
      <c r="N1130" t="s">
        <v>91</v>
      </c>
      <c r="O1130">
        <v>85225</v>
      </c>
      <c r="P1130" t="s">
        <v>221</v>
      </c>
      <c r="Q1130" t="s">
        <v>82</v>
      </c>
      <c r="R1130">
        <v>2</v>
      </c>
      <c r="S1130">
        <v>2.04</v>
      </c>
      <c r="T1130">
        <v>0</v>
      </c>
      <c r="U1130">
        <v>1</v>
      </c>
      <c r="V1130">
        <v>2</v>
      </c>
      <c r="W1130">
        <v>22.67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2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</row>
    <row r="1131" spans="1:37" x14ac:dyDescent="0.3">
      <c r="A1131">
        <v>7979</v>
      </c>
      <c r="B1131" t="s">
        <v>219</v>
      </c>
      <c r="D1131" t="s">
        <v>327</v>
      </c>
      <c r="E1131">
        <v>99999999</v>
      </c>
      <c r="F1131">
        <v>11111111</v>
      </c>
      <c r="G1131">
        <v>1111111111</v>
      </c>
      <c r="H1131" t="s">
        <v>4700</v>
      </c>
      <c r="I1131">
        <v>99999999</v>
      </c>
      <c r="J1131" s="188">
        <v>45236</v>
      </c>
      <c r="K1131" t="s">
        <v>4700</v>
      </c>
      <c r="L1131" t="s">
        <v>4700</v>
      </c>
      <c r="M1131" t="s">
        <v>1465</v>
      </c>
      <c r="N1131" t="s">
        <v>97</v>
      </c>
      <c r="O1131" t="s">
        <v>1688</v>
      </c>
      <c r="P1131" t="s">
        <v>221</v>
      </c>
      <c r="Q1131" t="s">
        <v>82</v>
      </c>
      <c r="R1131">
        <v>3</v>
      </c>
      <c r="S1131">
        <v>7.28</v>
      </c>
      <c r="T1131">
        <v>0</v>
      </c>
      <c r="U1131">
        <v>1</v>
      </c>
      <c r="V1131">
        <v>3</v>
      </c>
      <c r="W1131">
        <v>24.15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3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</row>
    <row r="1132" spans="1:37" x14ac:dyDescent="0.3">
      <c r="A1132">
        <v>7979</v>
      </c>
      <c r="B1132" t="s">
        <v>219</v>
      </c>
      <c r="D1132" t="s">
        <v>327</v>
      </c>
      <c r="E1132">
        <v>99999999</v>
      </c>
      <c r="F1132">
        <v>11111111</v>
      </c>
      <c r="G1132">
        <v>1111111111</v>
      </c>
      <c r="H1132" t="s">
        <v>4701</v>
      </c>
      <c r="I1132">
        <v>99999999</v>
      </c>
      <c r="J1132" s="188">
        <v>45236</v>
      </c>
      <c r="K1132" t="s">
        <v>4701</v>
      </c>
      <c r="L1132" t="s">
        <v>4701</v>
      </c>
      <c r="M1132" t="s">
        <v>1016</v>
      </c>
      <c r="N1132" t="s">
        <v>130</v>
      </c>
      <c r="O1132">
        <v>81632</v>
      </c>
      <c r="P1132" t="s">
        <v>221</v>
      </c>
      <c r="Q1132" t="s">
        <v>82</v>
      </c>
      <c r="R1132">
        <v>2</v>
      </c>
      <c r="S1132">
        <v>4.18</v>
      </c>
      <c r="T1132">
        <v>0</v>
      </c>
      <c r="U1132">
        <v>1</v>
      </c>
      <c r="V1132">
        <v>2</v>
      </c>
      <c r="W1132">
        <v>30.49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2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</row>
    <row r="1133" spans="1:37" x14ac:dyDescent="0.3">
      <c r="A1133">
        <v>7979</v>
      </c>
      <c r="B1133" t="s">
        <v>219</v>
      </c>
      <c r="D1133" t="s">
        <v>327</v>
      </c>
      <c r="E1133">
        <v>99999999</v>
      </c>
      <c r="F1133">
        <v>11111111</v>
      </c>
      <c r="G1133">
        <v>1111111111</v>
      </c>
      <c r="H1133" t="s">
        <v>4702</v>
      </c>
      <c r="I1133">
        <v>99999999</v>
      </c>
      <c r="J1133" s="188">
        <v>45236</v>
      </c>
      <c r="K1133" t="s">
        <v>4702</v>
      </c>
      <c r="L1133" t="s">
        <v>4702</v>
      </c>
      <c r="M1133" t="s">
        <v>1499</v>
      </c>
      <c r="N1133" t="s">
        <v>99</v>
      </c>
      <c r="O1133" t="s">
        <v>1689</v>
      </c>
      <c r="P1133" t="s">
        <v>221</v>
      </c>
      <c r="Q1133" t="s">
        <v>82</v>
      </c>
      <c r="R1133">
        <v>2</v>
      </c>
      <c r="S1133">
        <v>5</v>
      </c>
      <c r="T1133">
        <v>0</v>
      </c>
      <c r="U1133">
        <v>1</v>
      </c>
      <c r="V1133">
        <v>2</v>
      </c>
      <c r="W1133">
        <v>21.49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2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</row>
    <row r="1134" spans="1:37" x14ac:dyDescent="0.3">
      <c r="A1134">
        <v>7979</v>
      </c>
      <c r="B1134" t="s">
        <v>219</v>
      </c>
      <c r="D1134" t="s">
        <v>327</v>
      </c>
      <c r="E1134">
        <v>99999999</v>
      </c>
      <c r="F1134">
        <v>11111111</v>
      </c>
      <c r="G1134">
        <v>1111111111</v>
      </c>
      <c r="H1134" t="s">
        <v>4703</v>
      </c>
      <c r="I1134">
        <v>99999999</v>
      </c>
      <c r="J1134" s="188">
        <v>45236</v>
      </c>
      <c r="K1134" t="s">
        <v>4703</v>
      </c>
      <c r="L1134" t="s">
        <v>4703</v>
      </c>
      <c r="M1134" t="s">
        <v>1690</v>
      </c>
      <c r="N1134" t="s">
        <v>99</v>
      </c>
      <c r="O1134">
        <v>93012</v>
      </c>
      <c r="P1134" t="s">
        <v>221</v>
      </c>
      <c r="Q1134" t="s">
        <v>82</v>
      </c>
      <c r="R1134">
        <v>2</v>
      </c>
      <c r="S1134">
        <v>8.3000000000000007</v>
      </c>
      <c r="T1134">
        <v>0</v>
      </c>
      <c r="U1134">
        <v>1</v>
      </c>
      <c r="V1134">
        <v>2</v>
      </c>
      <c r="W1134">
        <v>24.22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2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</row>
    <row r="1135" spans="1:37" x14ac:dyDescent="0.3">
      <c r="A1135">
        <v>7979</v>
      </c>
      <c r="B1135" t="s">
        <v>219</v>
      </c>
      <c r="D1135" t="s">
        <v>327</v>
      </c>
      <c r="E1135">
        <v>99999999</v>
      </c>
      <c r="F1135">
        <v>11111111</v>
      </c>
      <c r="G1135">
        <v>1111111111</v>
      </c>
      <c r="H1135" t="s">
        <v>4704</v>
      </c>
      <c r="I1135">
        <v>99999999</v>
      </c>
      <c r="J1135" s="188">
        <v>45236</v>
      </c>
      <c r="K1135" t="s">
        <v>4704</v>
      </c>
      <c r="L1135" t="s">
        <v>4704</v>
      </c>
      <c r="M1135" t="s">
        <v>527</v>
      </c>
      <c r="N1135" t="s">
        <v>130</v>
      </c>
      <c r="O1135" t="s">
        <v>1691</v>
      </c>
      <c r="P1135" t="s">
        <v>221</v>
      </c>
      <c r="Q1135" t="s">
        <v>82</v>
      </c>
      <c r="R1135">
        <v>4</v>
      </c>
      <c r="S1135">
        <v>33.89</v>
      </c>
      <c r="T1135">
        <v>0</v>
      </c>
      <c r="U1135">
        <v>1</v>
      </c>
      <c r="V1135">
        <v>4</v>
      </c>
      <c r="W1135">
        <v>53.51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4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</row>
    <row r="1136" spans="1:37" x14ac:dyDescent="0.3">
      <c r="A1136">
        <v>7979</v>
      </c>
      <c r="B1136" t="s">
        <v>219</v>
      </c>
      <c r="D1136" t="s">
        <v>327</v>
      </c>
      <c r="E1136">
        <v>99999999</v>
      </c>
      <c r="F1136">
        <v>11111111</v>
      </c>
      <c r="G1136">
        <v>1111111111</v>
      </c>
      <c r="H1136" t="s">
        <v>4705</v>
      </c>
      <c r="I1136">
        <v>99999999</v>
      </c>
      <c r="J1136" s="188">
        <v>45236</v>
      </c>
      <c r="K1136" t="s">
        <v>4705</v>
      </c>
      <c r="L1136" t="s">
        <v>4705</v>
      </c>
      <c r="M1136" t="s">
        <v>938</v>
      </c>
      <c r="N1136" t="s">
        <v>99</v>
      </c>
      <c r="O1136" t="s">
        <v>939</v>
      </c>
      <c r="P1136" t="s">
        <v>221</v>
      </c>
      <c r="Q1136" t="s">
        <v>82</v>
      </c>
      <c r="R1136">
        <v>5</v>
      </c>
      <c r="S1136">
        <v>12.23</v>
      </c>
      <c r="T1136">
        <v>0</v>
      </c>
      <c r="U1136">
        <v>1</v>
      </c>
      <c r="V1136">
        <v>5</v>
      </c>
      <c r="W1136">
        <v>23.82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5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</row>
    <row r="1137" spans="1:37" x14ac:dyDescent="0.3">
      <c r="A1137">
        <v>7979</v>
      </c>
      <c r="B1137" t="s">
        <v>219</v>
      </c>
      <c r="D1137" t="s">
        <v>327</v>
      </c>
      <c r="E1137">
        <v>99999999</v>
      </c>
      <c r="F1137">
        <v>11111111</v>
      </c>
      <c r="G1137">
        <v>1111111111</v>
      </c>
      <c r="H1137" t="s">
        <v>4706</v>
      </c>
      <c r="I1137">
        <v>99999999</v>
      </c>
      <c r="J1137" s="188">
        <v>45236</v>
      </c>
      <c r="K1137" t="s">
        <v>4706</v>
      </c>
      <c r="L1137" t="s">
        <v>4706</v>
      </c>
      <c r="M1137" t="s">
        <v>1692</v>
      </c>
      <c r="N1137" t="s">
        <v>99</v>
      </c>
      <c r="O1137" t="s">
        <v>1693</v>
      </c>
      <c r="P1137" t="s">
        <v>221</v>
      </c>
      <c r="Q1137" t="s">
        <v>82</v>
      </c>
      <c r="R1137">
        <v>3</v>
      </c>
      <c r="S1137">
        <v>9.4499999999999993</v>
      </c>
      <c r="T1137">
        <v>0</v>
      </c>
      <c r="U1137">
        <v>1</v>
      </c>
      <c r="V1137">
        <v>3</v>
      </c>
      <c r="W1137">
        <v>24.41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3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</row>
    <row r="1138" spans="1:37" x14ac:dyDescent="0.3">
      <c r="A1138">
        <v>7979</v>
      </c>
      <c r="B1138" t="s">
        <v>219</v>
      </c>
      <c r="D1138" t="s">
        <v>327</v>
      </c>
      <c r="E1138">
        <v>99999999</v>
      </c>
      <c r="F1138">
        <v>11111111</v>
      </c>
      <c r="G1138">
        <v>1111111111</v>
      </c>
      <c r="H1138" t="s">
        <v>4707</v>
      </c>
      <c r="I1138">
        <v>99999999</v>
      </c>
      <c r="J1138" s="188">
        <v>45236</v>
      </c>
      <c r="K1138" t="s">
        <v>4707</v>
      </c>
      <c r="L1138" t="s">
        <v>4707</v>
      </c>
      <c r="M1138" t="s">
        <v>1694</v>
      </c>
      <c r="N1138" t="s">
        <v>197</v>
      </c>
      <c r="O1138" t="s">
        <v>1695</v>
      </c>
      <c r="P1138" t="s">
        <v>221</v>
      </c>
      <c r="Q1138" t="s">
        <v>82</v>
      </c>
      <c r="R1138">
        <v>3</v>
      </c>
      <c r="S1138">
        <v>3.8</v>
      </c>
      <c r="T1138">
        <v>0</v>
      </c>
      <c r="U1138">
        <v>1</v>
      </c>
      <c r="V1138">
        <v>3</v>
      </c>
      <c r="W1138">
        <v>33.369999999999997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3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</row>
    <row r="1139" spans="1:37" x14ac:dyDescent="0.3">
      <c r="A1139">
        <v>7979</v>
      </c>
      <c r="B1139" t="s">
        <v>219</v>
      </c>
      <c r="D1139" t="s">
        <v>327</v>
      </c>
      <c r="E1139">
        <v>99999999</v>
      </c>
      <c r="F1139">
        <v>11111111</v>
      </c>
      <c r="G1139">
        <v>1111111111</v>
      </c>
      <c r="H1139" t="s">
        <v>4708</v>
      </c>
      <c r="I1139">
        <v>99999999</v>
      </c>
      <c r="J1139" s="188">
        <v>45236</v>
      </c>
      <c r="K1139" t="s">
        <v>4708</v>
      </c>
      <c r="L1139" t="s">
        <v>4708</v>
      </c>
      <c r="M1139" t="s">
        <v>187</v>
      </c>
      <c r="N1139" t="s">
        <v>91</v>
      </c>
      <c r="O1139" t="s">
        <v>1696</v>
      </c>
      <c r="P1139" t="s">
        <v>221</v>
      </c>
      <c r="Q1139" t="s">
        <v>82</v>
      </c>
      <c r="R1139">
        <v>4</v>
      </c>
      <c r="S1139">
        <v>2.5299999999999998</v>
      </c>
      <c r="T1139">
        <v>0</v>
      </c>
      <c r="U1139">
        <v>1</v>
      </c>
      <c r="V1139">
        <v>4</v>
      </c>
      <c r="W1139">
        <v>23.59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4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</row>
    <row r="1140" spans="1:37" x14ac:dyDescent="0.3">
      <c r="A1140">
        <v>7979</v>
      </c>
      <c r="B1140" t="s">
        <v>219</v>
      </c>
      <c r="D1140" t="s">
        <v>327</v>
      </c>
      <c r="E1140">
        <v>99999999</v>
      </c>
      <c r="F1140">
        <v>11111111</v>
      </c>
      <c r="G1140">
        <v>1111111111</v>
      </c>
      <c r="H1140" t="s">
        <v>4709</v>
      </c>
      <c r="I1140">
        <v>99999999</v>
      </c>
      <c r="J1140" s="188">
        <v>45236</v>
      </c>
      <c r="K1140" t="s">
        <v>4709</v>
      </c>
      <c r="L1140" t="s">
        <v>4709</v>
      </c>
      <c r="M1140" t="s">
        <v>1574</v>
      </c>
      <c r="N1140" t="s">
        <v>99</v>
      </c>
      <c r="O1140" t="s">
        <v>1697</v>
      </c>
      <c r="P1140" t="s">
        <v>221</v>
      </c>
      <c r="Q1140" t="s">
        <v>82</v>
      </c>
      <c r="R1140">
        <v>3</v>
      </c>
      <c r="S1140">
        <v>9.35</v>
      </c>
      <c r="T1140">
        <v>0</v>
      </c>
      <c r="U1140">
        <v>1</v>
      </c>
      <c r="V1140">
        <v>3</v>
      </c>
      <c r="W1140">
        <v>22.82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3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</row>
    <row r="1141" spans="1:37" x14ac:dyDescent="0.3">
      <c r="A1141">
        <v>7979</v>
      </c>
      <c r="B1141" t="s">
        <v>219</v>
      </c>
      <c r="D1141" t="s">
        <v>327</v>
      </c>
      <c r="E1141">
        <v>99999999</v>
      </c>
      <c r="F1141">
        <v>11111111</v>
      </c>
      <c r="G1141">
        <v>1111111111</v>
      </c>
      <c r="H1141" t="s">
        <v>4710</v>
      </c>
      <c r="I1141">
        <v>99999999</v>
      </c>
      <c r="J1141" s="188">
        <v>45236</v>
      </c>
      <c r="K1141" t="s">
        <v>4710</v>
      </c>
      <c r="L1141" t="s">
        <v>4710</v>
      </c>
      <c r="M1141" t="s">
        <v>1698</v>
      </c>
      <c r="N1141" t="s">
        <v>135</v>
      </c>
      <c r="O1141" t="s">
        <v>1699</v>
      </c>
      <c r="P1141" t="s">
        <v>221</v>
      </c>
      <c r="Q1141" t="s">
        <v>82</v>
      </c>
      <c r="R1141">
        <v>4</v>
      </c>
      <c r="S1141">
        <v>10.35</v>
      </c>
      <c r="T1141">
        <v>0</v>
      </c>
      <c r="U1141">
        <v>1</v>
      </c>
      <c r="V1141">
        <v>4</v>
      </c>
      <c r="W1141">
        <v>30.77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4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</row>
    <row r="1142" spans="1:37" x14ac:dyDescent="0.3">
      <c r="A1142">
        <v>7979</v>
      </c>
      <c r="B1142" t="s">
        <v>219</v>
      </c>
      <c r="D1142" t="s">
        <v>327</v>
      </c>
      <c r="E1142">
        <v>99999999</v>
      </c>
      <c r="F1142">
        <v>11111111</v>
      </c>
      <c r="G1142">
        <v>1111111111</v>
      </c>
      <c r="H1142" t="s">
        <v>4711</v>
      </c>
      <c r="I1142">
        <v>99999999</v>
      </c>
      <c r="J1142" s="188">
        <v>45236</v>
      </c>
      <c r="K1142" t="s">
        <v>4711</v>
      </c>
      <c r="L1142" t="s">
        <v>4711</v>
      </c>
      <c r="M1142" t="s">
        <v>1366</v>
      </c>
      <c r="N1142" t="s">
        <v>97</v>
      </c>
      <c r="O1142" t="s">
        <v>1700</v>
      </c>
      <c r="P1142" t="s">
        <v>221</v>
      </c>
      <c r="Q1142" t="s">
        <v>82</v>
      </c>
      <c r="R1142">
        <v>4</v>
      </c>
      <c r="S1142">
        <v>21.9</v>
      </c>
      <c r="T1142">
        <v>0</v>
      </c>
      <c r="U1142">
        <v>1</v>
      </c>
      <c r="V1142">
        <v>4</v>
      </c>
      <c r="W1142">
        <v>29.85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4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</row>
    <row r="1143" spans="1:37" x14ac:dyDescent="0.3">
      <c r="A1143">
        <v>7979</v>
      </c>
      <c r="B1143" t="s">
        <v>219</v>
      </c>
      <c r="D1143" t="s">
        <v>327</v>
      </c>
      <c r="E1143">
        <v>99999999</v>
      </c>
      <c r="F1143">
        <v>11111111</v>
      </c>
      <c r="G1143">
        <v>1111111111</v>
      </c>
      <c r="H1143" t="s">
        <v>4712</v>
      </c>
      <c r="I1143">
        <v>99999999</v>
      </c>
      <c r="J1143" s="188">
        <v>45236</v>
      </c>
      <c r="K1143" t="s">
        <v>4712</v>
      </c>
      <c r="L1143" t="s">
        <v>4712</v>
      </c>
      <c r="M1143" t="s">
        <v>1602</v>
      </c>
      <c r="N1143" t="s">
        <v>97</v>
      </c>
      <c r="O1143" t="s">
        <v>1701</v>
      </c>
      <c r="P1143" t="s">
        <v>221</v>
      </c>
      <c r="Q1143" t="s">
        <v>82</v>
      </c>
      <c r="R1143">
        <v>9</v>
      </c>
      <c r="S1143">
        <v>7.43</v>
      </c>
      <c r="T1143">
        <v>0</v>
      </c>
      <c r="U1143">
        <v>1</v>
      </c>
      <c r="V1143">
        <v>6</v>
      </c>
      <c r="W1143">
        <v>30.27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9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</row>
    <row r="1144" spans="1:37" x14ac:dyDescent="0.3">
      <c r="A1144">
        <v>7979</v>
      </c>
      <c r="B1144" t="s">
        <v>219</v>
      </c>
      <c r="D1144" t="s">
        <v>327</v>
      </c>
      <c r="E1144">
        <v>99999999</v>
      </c>
      <c r="F1144">
        <v>11111111</v>
      </c>
      <c r="G1144">
        <v>1111111111</v>
      </c>
      <c r="H1144" t="s">
        <v>4713</v>
      </c>
      <c r="I1144">
        <v>99999999</v>
      </c>
      <c r="J1144" s="188">
        <v>45236</v>
      </c>
      <c r="K1144" t="s">
        <v>4713</v>
      </c>
      <c r="L1144" t="s">
        <v>4713</v>
      </c>
      <c r="M1144" t="s">
        <v>121</v>
      </c>
      <c r="N1144" t="s">
        <v>122</v>
      </c>
      <c r="O1144" t="s">
        <v>1702</v>
      </c>
      <c r="P1144" t="s">
        <v>221</v>
      </c>
      <c r="Q1144" t="s">
        <v>82</v>
      </c>
      <c r="R1144">
        <v>8</v>
      </c>
      <c r="S1144">
        <v>11.3</v>
      </c>
      <c r="T1144">
        <v>0</v>
      </c>
      <c r="U1144">
        <v>1</v>
      </c>
      <c r="V1144">
        <v>8</v>
      </c>
      <c r="W1144">
        <v>26.51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8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</row>
    <row r="1145" spans="1:37" x14ac:dyDescent="0.3">
      <c r="A1145">
        <v>7979</v>
      </c>
      <c r="B1145" t="s">
        <v>219</v>
      </c>
      <c r="D1145" t="s">
        <v>327</v>
      </c>
      <c r="E1145">
        <v>99999999</v>
      </c>
      <c r="F1145">
        <v>11111111</v>
      </c>
      <c r="G1145">
        <v>1111111111</v>
      </c>
      <c r="H1145" t="s">
        <v>4714</v>
      </c>
      <c r="I1145">
        <v>99999999</v>
      </c>
      <c r="J1145" s="188">
        <v>45236</v>
      </c>
      <c r="K1145" t="s">
        <v>4714</v>
      </c>
      <c r="L1145" t="s">
        <v>4714</v>
      </c>
      <c r="M1145" t="s">
        <v>129</v>
      </c>
      <c r="N1145" t="s">
        <v>130</v>
      </c>
      <c r="O1145" t="s">
        <v>1703</v>
      </c>
      <c r="P1145" t="s">
        <v>221</v>
      </c>
      <c r="Q1145" t="s">
        <v>82</v>
      </c>
      <c r="R1145">
        <v>4</v>
      </c>
      <c r="S1145">
        <v>1.99</v>
      </c>
      <c r="T1145">
        <v>0</v>
      </c>
      <c r="U1145">
        <v>1</v>
      </c>
      <c r="V1145">
        <v>4</v>
      </c>
      <c r="W1145">
        <v>22.67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4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</row>
    <row r="1146" spans="1:37" x14ac:dyDescent="0.3">
      <c r="A1146">
        <v>7979</v>
      </c>
      <c r="B1146" t="s">
        <v>219</v>
      </c>
      <c r="D1146" t="s">
        <v>327</v>
      </c>
      <c r="E1146">
        <v>99999999</v>
      </c>
      <c r="F1146">
        <v>11111111</v>
      </c>
      <c r="G1146">
        <v>1111111111</v>
      </c>
      <c r="H1146" t="s">
        <v>4715</v>
      </c>
      <c r="I1146">
        <v>99999999</v>
      </c>
      <c r="J1146" s="188">
        <v>45236</v>
      </c>
      <c r="K1146" t="s">
        <v>4715</v>
      </c>
      <c r="L1146" t="s">
        <v>4715</v>
      </c>
      <c r="M1146" t="s">
        <v>1642</v>
      </c>
      <c r="N1146" t="s">
        <v>130</v>
      </c>
      <c r="O1146">
        <v>81507</v>
      </c>
      <c r="P1146" t="s">
        <v>221</v>
      </c>
      <c r="Q1146" t="s">
        <v>82</v>
      </c>
      <c r="R1146">
        <v>4</v>
      </c>
      <c r="S1146">
        <v>10.38</v>
      </c>
      <c r="T1146">
        <v>0</v>
      </c>
      <c r="U1146">
        <v>1</v>
      </c>
      <c r="V1146">
        <v>4</v>
      </c>
      <c r="W1146">
        <v>24.65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4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</row>
    <row r="1147" spans="1:37" x14ac:dyDescent="0.3">
      <c r="A1147">
        <v>7979</v>
      </c>
      <c r="B1147" t="s">
        <v>219</v>
      </c>
      <c r="D1147" t="s">
        <v>327</v>
      </c>
      <c r="E1147">
        <v>99999999</v>
      </c>
      <c r="F1147">
        <v>11111111</v>
      </c>
      <c r="G1147">
        <v>1111111111</v>
      </c>
      <c r="H1147" t="s">
        <v>4716</v>
      </c>
      <c r="I1147">
        <v>99999999</v>
      </c>
      <c r="J1147" s="188">
        <v>45236</v>
      </c>
      <c r="K1147" t="s">
        <v>4716</v>
      </c>
      <c r="L1147" t="s">
        <v>4716</v>
      </c>
      <c r="M1147" t="s">
        <v>1692</v>
      </c>
      <c r="N1147" t="s">
        <v>99</v>
      </c>
      <c r="O1147" t="s">
        <v>1704</v>
      </c>
      <c r="P1147" t="s">
        <v>221</v>
      </c>
      <c r="Q1147" t="s">
        <v>82</v>
      </c>
      <c r="R1147">
        <v>9</v>
      </c>
      <c r="S1147">
        <v>34.4</v>
      </c>
      <c r="T1147">
        <v>0</v>
      </c>
      <c r="U1147">
        <v>1</v>
      </c>
      <c r="V1147">
        <v>7</v>
      </c>
      <c r="W1147">
        <v>39.14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9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</row>
    <row r="1148" spans="1:37" x14ac:dyDescent="0.3">
      <c r="A1148">
        <v>7979</v>
      </c>
      <c r="B1148" t="s">
        <v>219</v>
      </c>
      <c r="D1148" t="s">
        <v>327</v>
      </c>
      <c r="E1148">
        <v>99999999</v>
      </c>
      <c r="F1148">
        <v>11111111</v>
      </c>
      <c r="G1148">
        <v>1111111111</v>
      </c>
      <c r="H1148" t="s">
        <v>4717</v>
      </c>
      <c r="I1148">
        <v>99999999</v>
      </c>
      <c r="J1148" s="188">
        <v>45236</v>
      </c>
      <c r="K1148" t="s">
        <v>4717</v>
      </c>
      <c r="L1148" t="s">
        <v>4717</v>
      </c>
      <c r="M1148" t="s">
        <v>463</v>
      </c>
      <c r="N1148" t="s">
        <v>104</v>
      </c>
      <c r="O1148">
        <v>83709</v>
      </c>
      <c r="P1148" t="s">
        <v>221</v>
      </c>
      <c r="Q1148" t="s">
        <v>82</v>
      </c>
      <c r="R1148">
        <v>4</v>
      </c>
      <c r="S1148">
        <v>2.86</v>
      </c>
      <c r="T1148">
        <v>0</v>
      </c>
      <c r="U1148">
        <v>1</v>
      </c>
      <c r="V1148">
        <v>4</v>
      </c>
      <c r="W1148">
        <v>22.52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4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</row>
    <row r="1149" spans="1:37" x14ac:dyDescent="0.3">
      <c r="A1149">
        <v>7979</v>
      </c>
      <c r="B1149" t="s">
        <v>219</v>
      </c>
      <c r="D1149" t="s">
        <v>327</v>
      </c>
      <c r="E1149">
        <v>99999999</v>
      </c>
      <c r="F1149">
        <v>11111111</v>
      </c>
      <c r="G1149">
        <v>1111111111</v>
      </c>
      <c r="H1149" t="s">
        <v>4718</v>
      </c>
      <c r="I1149">
        <v>99999999</v>
      </c>
      <c r="J1149" s="188">
        <v>45236</v>
      </c>
      <c r="K1149" t="s">
        <v>4718</v>
      </c>
      <c r="L1149" t="s">
        <v>4718</v>
      </c>
      <c r="M1149" t="s">
        <v>1091</v>
      </c>
      <c r="N1149" t="s">
        <v>197</v>
      </c>
      <c r="O1149" t="s">
        <v>1705</v>
      </c>
      <c r="P1149" t="s">
        <v>221</v>
      </c>
      <c r="Q1149" t="s">
        <v>82</v>
      </c>
      <c r="R1149">
        <v>6</v>
      </c>
      <c r="S1149">
        <v>8.98</v>
      </c>
      <c r="T1149">
        <v>0</v>
      </c>
      <c r="U1149">
        <v>1</v>
      </c>
      <c r="V1149">
        <v>6</v>
      </c>
      <c r="W1149">
        <v>35.18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6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</row>
    <row r="1150" spans="1:37" x14ac:dyDescent="0.3">
      <c r="A1150">
        <v>7979</v>
      </c>
      <c r="B1150" t="s">
        <v>219</v>
      </c>
      <c r="D1150" t="s">
        <v>327</v>
      </c>
      <c r="E1150">
        <v>99999999</v>
      </c>
      <c r="F1150">
        <v>11111111</v>
      </c>
      <c r="G1150">
        <v>1111111111</v>
      </c>
      <c r="H1150" t="s">
        <v>4719</v>
      </c>
      <c r="I1150">
        <v>99999999</v>
      </c>
      <c r="J1150" s="188">
        <v>45236</v>
      </c>
      <c r="K1150" t="s">
        <v>4719</v>
      </c>
      <c r="L1150" t="s">
        <v>4719</v>
      </c>
      <c r="M1150" t="s">
        <v>456</v>
      </c>
      <c r="N1150" t="s">
        <v>122</v>
      </c>
      <c r="O1150" t="s">
        <v>1706</v>
      </c>
      <c r="P1150" t="s">
        <v>221</v>
      </c>
      <c r="Q1150" t="s">
        <v>82</v>
      </c>
      <c r="R1150">
        <v>2</v>
      </c>
      <c r="S1150">
        <v>25.265999999999998</v>
      </c>
      <c r="T1150">
        <v>0</v>
      </c>
      <c r="U1150">
        <v>1</v>
      </c>
      <c r="V1150">
        <v>2</v>
      </c>
      <c r="W1150">
        <v>37.159999999999997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2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</row>
    <row r="1151" spans="1:37" x14ac:dyDescent="0.3">
      <c r="A1151">
        <v>7979</v>
      </c>
      <c r="B1151" t="s">
        <v>219</v>
      </c>
      <c r="D1151" t="s">
        <v>327</v>
      </c>
      <c r="E1151">
        <v>99999999</v>
      </c>
      <c r="F1151">
        <v>11111111</v>
      </c>
      <c r="G1151">
        <v>1111111111</v>
      </c>
      <c r="H1151" t="s">
        <v>4720</v>
      </c>
      <c r="I1151">
        <v>99999999</v>
      </c>
      <c r="J1151" s="188">
        <v>45236</v>
      </c>
      <c r="K1151" t="s">
        <v>4720</v>
      </c>
      <c r="L1151" t="s">
        <v>4720</v>
      </c>
      <c r="M1151" t="s">
        <v>128</v>
      </c>
      <c r="N1151" t="s">
        <v>85</v>
      </c>
      <c r="O1151" t="s">
        <v>1707</v>
      </c>
      <c r="P1151" t="s">
        <v>221</v>
      </c>
      <c r="Q1151" t="s">
        <v>82</v>
      </c>
      <c r="R1151">
        <v>2</v>
      </c>
      <c r="S1151">
        <v>16</v>
      </c>
      <c r="T1151">
        <v>0</v>
      </c>
      <c r="U1151">
        <v>1</v>
      </c>
      <c r="V1151">
        <v>2</v>
      </c>
      <c r="W1151">
        <v>23.89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2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</row>
    <row r="1152" spans="1:37" x14ac:dyDescent="0.3">
      <c r="A1152">
        <v>7979</v>
      </c>
      <c r="B1152" t="s">
        <v>219</v>
      </c>
      <c r="D1152" t="s">
        <v>327</v>
      </c>
      <c r="E1152">
        <v>99999999</v>
      </c>
      <c r="F1152">
        <v>11111111</v>
      </c>
      <c r="G1152">
        <v>1111111111</v>
      </c>
      <c r="H1152" t="s">
        <v>4721</v>
      </c>
      <c r="I1152">
        <v>99999999</v>
      </c>
      <c r="J1152" s="188">
        <v>45236</v>
      </c>
      <c r="K1152" t="s">
        <v>4721</v>
      </c>
      <c r="L1152" t="s">
        <v>4721</v>
      </c>
      <c r="M1152" t="s">
        <v>915</v>
      </c>
      <c r="N1152" t="s">
        <v>164</v>
      </c>
      <c r="O1152" t="s">
        <v>1708</v>
      </c>
      <c r="P1152" t="s">
        <v>221</v>
      </c>
      <c r="Q1152" t="s">
        <v>82</v>
      </c>
      <c r="R1152">
        <v>6</v>
      </c>
      <c r="S1152">
        <v>9.57</v>
      </c>
      <c r="T1152">
        <v>0</v>
      </c>
      <c r="U1152">
        <v>1</v>
      </c>
      <c r="V1152">
        <v>6</v>
      </c>
      <c r="W1152">
        <v>24.65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6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</row>
    <row r="1153" spans="1:37" x14ac:dyDescent="0.3">
      <c r="A1153">
        <v>7979</v>
      </c>
      <c r="B1153" t="s">
        <v>219</v>
      </c>
      <c r="D1153" t="s">
        <v>327</v>
      </c>
      <c r="E1153">
        <v>99999999</v>
      </c>
      <c r="F1153">
        <v>11111111</v>
      </c>
      <c r="G1153">
        <v>1111111111</v>
      </c>
      <c r="H1153" t="s">
        <v>4722</v>
      </c>
      <c r="I1153">
        <v>99999999</v>
      </c>
      <c r="J1153" s="188">
        <v>45236</v>
      </c>
      <c r="K1153" t="s">
        <v>4722</v>
      </c>
      <c r="L1153" t="s">
        <v>4722</v>
      </c>
      <c r="M1153" t="s">
        <v>612</v>
      </c>
      <c r="N1153" t="s">
        <v>164</v>
      </c>
      <c r="O1153" t="s">
        <v>1709</v>
      </c>
      <c r="P1153" t="s">
        <v>221</v>
      </c>
      <c r="Q1153" t="s">
        <v>82</v>
      </c>
      <c r="R1153">
        <v>3</v>
      </c>
      <c r="S1153">
        <v>9</v>
      </c>
      <c r="T1153">
        <v>0</v>
      </c>
      <c r="U1153">
        <v>1</v>
      </c>
      <c r="V1153">
        <v>3</v>
      </c>
      <c r="W1153">
        <v>24.41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3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</row>
    <row r="1154" spans="1:37" x14ac:dyDescent="0.3">
      <c r="A1154">
        <v>7979</v>
      </c>
      <c r="B1154" t="s">
        <v>219</v>
      </c>
      <c r="D1154" t="s">
        <v>327</v>
      </c>
      <c r="E1154">
        <v>99999999</v>
      </c>
      <c r="F1154">
        <v>11111111</v>
      </c>
      <c r="G1154">
        <v>1111111111</v>
      </c>
      <c r="H1154" t="s">
        <v>4723</v>
      </c>
      <c r="I1154">
        <v>99999999</v>
      </c>
      <c r="J1154" s="188">
        <v>45237</v>
      </c>
      <c r="K1154" t="s">
        <v>4723</v>
      </c>
      <c r="L1154" t="s">
        <v>4723</v>
      </c>
      <c r="M1154" t="s">
        <v>1467</v>
      </c>
      <c r="N1154" t="s">
        <v>99</v>
      </c>
      <c r="O1154" t="s">
        <v>1710</v>
      </c>
      <c r="P1154" t="s">
        <v>221</v>
      </c>
      <c r="Q1154" t="s">
        <v>82</v>
      </c>
      <c r="R1154">
        <v>6</v>
      </c>
      <c r="S1154">
        <v>6.35</v>
      </c>
      <c r="T1154">
        <v>0</v>
      </c>
      <c r="U1154">
        <v>1</v>
      </c>
      <c r="V1154">
        <v>5</v>
      </c>
      <c r="W1154">
        <v>21.84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6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</row>
    <row r="1155" spans="1:37" x14ac:dyDescent="0.3">
      <c r="A1155">
        <v>7979</v>
      </c>
      <c r="B1155" t="s">
        <v>219</v>
      </c>
      <c r="D1155" t="s">
        <v>327</v>
      </c>
      <c r="E1155">
        <v>99999999</v>
      </c>
      <c r="F1155">
        <v>11111111</v>
      </c>
      <c r="G1155">
        <v>1111111111</v>
      </c>
      <c r="H1155" t="s">
        <v>4724</v>
      </c>
      <c r="I1155">
        <v>99999999</v>
      </c>
      <c r="J1155" s="188">
        <v>45236</v>
      </c>
      <c r="K1155" t="s">
        <v>4724</v>
      </c>
      <c r="L1155" t="s">
        <v>4724</v>
      </c>
      <c r="M1155" t="s">
        <v>1711</v>
      </c>
      <c r="N1155" t="s">
        <v>197</v>
      </c>
      <c r="O1155" t="s">
        <v>1712</v>
      </c>
      <c r="P1155" t="s">
        <v>221</v>
      </c>
      <c r="Q1155" t="s">
        <v>82</v>
      </c>
      <c r="R1155">
        <v>2</v>
      </c>
      <c r="S1155">
        <v>34.4</v>
      </c>
      <c r="T1155">
        <v>0</v>
      </c>
      <c r="U1155">
        <v>1</v>
      </c>
      <c r="V1155">
        <v>2</v>
      </c>
      <c r="W1155">
        <v>60.87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2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</row>
    <row r="1156" spans="1:37" x14ac:dyDescent="0.3">
      <c r="A1156">
        <v>7979</v>
      </c>
      <c r="B1156" t="s">
        <v>219</v>
      </c>
      <c r="D1156" t="s">
        <v>327</v>
      </c>
      <c r="E1156">
        <v>99999999</v>
      </c>
      <c r="F1156">
        <v>11111111</v>
      </c>
      <c r="G1156">
        <v>1111111111</v>
      </c>
      <c r="H1156" t="s">
        <v>4725</v>
      </c>
      <c r="I1156">
        <v>99999999</v>
      </c>
      <c r="J1156" s="188">
        <v>45236</v>
      </c>
      <c r="K1156" t="s">
        <v>4725</v>
      </c>
      <c r="L1156" t="s">
        <v>4725</v>
      </c>
      <c r="M1156" t="s">
        <v>594</v>
      </c>
      <c r="N1156" t="s">
        <v>307</v>
      </c>
      <c r="O1156" t="s">
        <v>1713</v>
      </c>
      <c r="P1156" t="s">
        <v>221</v>
      </c>
      <c r="Q1156" t="s">
        <v>82</v>
      </c>
      <c r="R1156">
        <v>6</v>
      </c>
      <c r="S1156">
        <v>8.0630000000000006</v>
      </c>
      <c r="T1156">
        <v>0</v>
      </c>
      <c r="U1156">
        <v>1</v>
      </c>
      <c r="V1156">
        <v>6</v>
      </c>
      <c r="W1156">
        <v>26.68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6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</row>
    <row r="1157" spans="1:37" x14ac:dyDescent="0.3">
      <c r="A1157">
        <v>7979</v>
      </c>
      <c r="B1157" t="s">
        <v>219</v>
      </c>
      <c r="D1157" t="s">
        <v>327</v>
      </c>
      <c r="E1157">
        <v>99999999</v>
      </c>
      <c r="F1157">
        <v>11111111</v>
      </c>
      <c r="G1157">
        <v>1111111111</v>
      </c>
      <c r="H1157" t="s">
        <v>4726</v>
      </c>
      <c r="I1157">
        <v>99999999</v>
      </c>
      <c r="J1157" s="188">
        <v>45236</v>
      </c>
      <c r="K1157" t="s">
        <v>4726</v>
      </c>
      <c r="L1157" t="s">
        <v>4726</v>
      </c>
      <c r="M1157" t="s">
        <v>258</v>
      </c>
      <c r="N1157" t="s">
        <v>91</v>
      </c>
      <c r="O1157" t="s">
        <v>1714</v>
      </c>
      <c r="P1157" t="s">
        <v>221</v>
      </c>
      <c r="Q1157" t="s">
        <v>82</v>
      </c>
      <c r="R1157">
        <v>2</v>
      </c>
      <c r="S1157">
        <v>23</v>
      </c>
      <c r="T1157">
        <v>0</v>
      </c>
      <c r="U1157">
        <v>1</v>
      </c>
      <c r="V1157">
        <v>2</v>
      </c>
      <c r="W1157">
        <v>35.57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2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</row>
    <row r="1158" spans="1:37" x14ac:dyDescent="0.3">
      <c r="A1158">
        <v>7979</v>
      </c>
      <c r="B1158" t="s">
        <v>219</v>
      </c>
      <c r="D1158" t="s">
        <v>327</v>
      </c>
      <c r="E1158">
        <v>99999999</v>
      </c>
      <c r="F1158">
        <v>11111111</v>
      </c>
      <c r="G1158">
        <v>1111111111</v>
      </c>
      <c r="H1158" t="s">
        <v>4727</v>
      </c>
      <c r="I1158">
        <v>99999999</v>
      </c>
      <c r="J1158" s="188">
        <v>45236</v>
      </c>
      <c r="K1158" t="s">
        <v>4727</v>
      </c>
      <c r="L1158" t="s">
        <v>4727</v>
      </c>
      <c r="M1158" t="s">
        <v>879</v>
      </c>
      <c r="N1158" t="s">
        <v>164</v>
      </c>
      <c r="O1158" t="s">
        <v>1715</v>
      </c>
      <c r="P1158" t="s">
        <v>221</v>
      </c>
      <c r="Q1158" t="s">
        <v>82</v>
      </c>
      <c r="R1158">
        <v>5</v>
      </c>
      <c r="S1158">
        <v>14.93</v>
      </c>
      <c r="T1158">
        <v>0</v>
      </c>
      <c r="U1158">
        <v>1</v>
      </c>
      <c r="V1158">
        <v>4</v>
      </c>
      <c r="W1158">
        <v>31.98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5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</row>
    <row r="1159" spans="1:37" x14ac:dyDescent="0.3">
      <c r="A1159">
        <v>7979</v>
      </c>
      <c r="B1159" t="s">
        <v>219</v>
      </c>
      <c r="D1159" t="s">
        <v>327</v>
      </c>
      <c r="E1159">
        <v>99999999</v>
      </c>
      <c r="F1159">
        <v>11111111</v>
      </c>
      <c r="G1159">
        <v>1111111111</v>
      </c>
      <c r="H1159" t="s">
        <v>4728</v>
      </c>
      <c r="I1159">
        <v>99999999</v>
      </c>
      <c r="J1159" s="188">
        <v>45236</v>
      </c>
      <c r="K1159" t="s">
        <v>4728</v>
      </c>
      <c r="L1159" t="s">
        <v>4728</v>
      </c>
      <c r="M1159" t="s">
        <v>1716</v>
      </c>
      <c r="N1159" t="s">
        <v>99</v>
      </c>
      <c r="O1159" t="s">
        <v>1717</v>
      </c>
      <c r="P1159" t="s">
        <v>221</v>
      </c>
      <c r="Q1159" t="s">
        <v>82</v>
      </c>
      <c r="R1159">
        <v>3</v>
      </c>
      <c r="S1159">
        <v>61.265999999999998</v>
      </c>
      <c r="T1159">
        <v>0</v>
      </c>
      <c r="U1159">
        <v>1</v>
      </c>
      <c r="V1159">
        <v>3</v>
      </c>
      <c r="W1159">
        <v>92.87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3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</row>
    <row r="1160" spans="1:37" x14ac:dyDescent="0.3">
      <c r="A1160">
        <v>7979</v>
      </c>
      <c r="B1160" t="s">
        <v>219</v>
      </c>
      <c r="D1160" t="s">
        <v>327</v>
      </c>
      <c r="E1160">
        <v>99999999</v>
      </c>
      <c r="F1160">
        <v>11111111</v>
      </c>
      <c r="G1160">
        <v>1111111111</v>
      </c>
      <c r="H1160" t="s">
        <v>4729</v>
      </c>
      <c r="I1160">
        <v>99999999</v>
      </c>
      <c r="J1160" s="188">
        <v>45236</v>
      </c>
      <c r="K1160" t="s">
        <v>4729</v>
      </c>
      <c r="L1160" t="s">
        <v>4729</v>
      </c>
      <c r="M1160" t="s">
        <v>1718</v>
      </c>
      <c r="N1160" t="s">
        <v>97</v>
      </c>
      <c r="O1160">
        <v>98648</v>
      </c>
      <c r="P1160" t="s">
        <v>221</v>
      </c>
      <c r="Q1160" t="s">
        <v>82</v>
      </c>
      <c r="R1160">
        <v>4</v>
      </c>
      <c r="S1160">
        <v>5.4530000000000003</v>
      </c>
      <c r="T1160">
        <v>0</v>
      </c>
      <c r="U1160">
        <v>1</v>
      </c>
      <c r="V1160">
        <v>4</v>
      </c>
      <c r="W1160">
        <v>31.35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4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</row>
    <row r="1161" spans="1:37" x14ac:dyDescent="0.3">
      <c r="A1161">
        <v>7979</v>
      </c>
      <c r="B1161" t="s">
        <v>219</v>
      </c>
      <c r="D1161" t="s">
        <v>327</v>
      </c>
      <c r="E1161">
        <v>99999999</v>
      </c>
      <c r="F1161">
        <v>11111111</v>
      </c>
      <c r="G1161">
        <v>1111111111</v>
      </c>
      <c r="H1161" t="s">
        <v>4730</v>
      </c>
      <c r="I1161">
        <v>99999999</v>
      </c>
      <c r="J1161" s="188">
        <v>45236</v>
      </c>
      <c r="K1161" t="s">
        <v>4730</v>
      </c>
      <c r="L1161" t="s">
        <v>4730</v>
      </c>
      <c r="M1161" t="s">
        <v>1719</v>
      </c>
      <c r="N1161" t="s">
        <v>99</v>
      </c>
      <c r="O1161">
        <v>95678</v>
      </c>
      <c r="P1161" t="s">
        <v>221</v>
      </c>
      <c r="Q1161" t="s">
        <v>82</v>
      </c>
      <c r="R1161">
        <v>2</v>
      </c>
      <c r="S1161">
        <v>8.65</v>
      </c>
      <c r="T1161">
        <v>0</v>
      </c>
      <c r="U1161">
        <v>1</v>
      </c>
      <c r="V1161">
        <v>2</v>
      </c>
      <c r="W1161">
        <v>21.67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2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</row>
    <row r="1162" spans="1:37" x14ac:dyDescent="0.3">
      <c r="A1162">
        <v>7979</v>
      </c>
      <c r="B1162" t="s">
        <v>219</v>
      </c>
      <c r="D1162" t="s">
        <v>327</v>
      </c>
      <c r="E1162">
        <v>99999999</v>
      </c>
      <c r="F1162">
        <v>11111111</v>
      </c>
      <c r="G1162">
        <v>1111111111</v>
      </c>
      <c r="H1162" t="s">
        <v>4731</v>
      </c>
      <c r="I1162">
        <v>99999999</v>
      </c>
      <c r="J1162" s="188">
        <v>45236</v>
      </c>
      <c r="K1162" t="s">
        <v>4731</v>
      </c>
      <c r="L1162" t="s">
        <v>4731</v>
      </c>
      <c r="M1162" t="s">
        <v>791</v>
      </c>
      <c r="N1162" t="s">
        <v>99</v>
      </c>
      <c r="O1162" t="s">
        <v>1720</v>
      </c>
      <c r="P1162" t="s">
        <v>221</v>
      </c>
      <c r="Q1162" t="s">
        <v>82</v>
      </c>
      <c r="R1162">
        <v>5</v>
      </c>
      <c r="S1162">
        <v>3.7</v>
      </c>
      <c r="T1162">
        <v>0</v>
      </c>
      <c r="U1162">
        <v>1</v>
      </c>
      <c r="V1162">
        <v>3</v>
      </c>
      <c r="W1162">
        <v>27.56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5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</row>
    <row r="1163" spans="1:37" x14ac:dyDescent="0.3">
      <c r="A1163">
        <v>7979</v>
      </c>
      <c r="B1163" t="s">
        <v>219</v>
      </c>
      <c r="D1163" t="s">
        <v>327</v>
      </c>
      <c r="E1163">
        <v>99999999</v>
      </c>
      <c r="F1163">
        <v>11111111</v>
      </c>
      <c r="G1163">
        <v>1111111111</v>
      </c>
      <c r="H1163" t="s">
        <v>4732</v>
      </c>
      <c r="I1163">
        <v>99999999</v>
      </c>
      <c r="J1163" s="188">
        <v>45236</v>
      </c>
      <c r="K1163" t="s">
        <v>4732</v>
      </c>
      <c r="L1163" t="s">
        <v>4732</v>
      </c>
      <c r="M1163" t="s">
        <v>176</v>
      </c>
      <c r="N1163" t="s">
        <v>130</v>
      </c>
      <c r="O1163">
        <v>80231</v>
      </c>
      <c r="P1163" t="s">
        <v>221</v>
      </c>
      <c r="Q1163" t="s">
        <v>82</v>
      </c>
      <c r="R1163">
        <v>3</v>
      </c>
      <c r="S1163">
        <v>15.78</v>
      </c>
      <c r="T1163">
        <v>0</v>
      </c>
      <c r="U1163">
        <v>1</v>
      </c>
      <c r="V1163">
        <v>3</v>
      </c>
      <c r="W1163">
        <v>29.18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3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</row>
    <row r="1164" spans="1:37" x14ac:dyDescent="0.3">
      <c r="A1164">
        <v>7979</v>
      </c>
      <c r="B1164" t="s">
        <v>219</v>
      </c>
      <c r="D1164" t="s">
        <v>327</v>
      </c>
      <c r="E1164">
        <v>99999999</v>
      </c>
      <c r="F1164">
        <v>11111111</v>
      </c>
      <c r="G1164">
        <v>1111111111</v>
      </c>
      <c r="H1164" t="s">
        <v>4733</v>
      </c>
      <c r="I1164">
        <v>99999999</v>
      </c>
      <c r="J1164" s="188">
        <v>45236</v>
      </c>
      <c r="K1164" t="s">
        <v>4733</v>
      </c>
      <c r="L1164" t="s">
        <v>4733</v>
      </c>
      <c r="M1164" t="s">
        <v>448</v>
      </c>
      <c r="N1164" t="s">
        <v>197</v>
      </c>
      <c r="O1164" t="s">
        <v>1721</v>
      </c>
      <c r="P1164" t="s">
        <v>221</v>
      </c>
      <c r="Q1164" t="s">
        <v>82</v>
      </c>
      <c r="R1164">
        <v>9</v>
      </c>
      <c r="S1164">
        <v>6.37</v>
      </c>
      <c r="T1164">
        <v>0</v>
      </c>
      <c r="U1164">
        <v>1</v>
      </c>
      <c r="V1164">
        <v>9</v>
      </c>
      <c r="W1164">
        <v>26.69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9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</row>
    <row r="1165" spans="1:37" x14ac:dyDescent="0.3">
      <c r="A1165">
        <v>7979</v>
      </c>
      <c r="B1165" t="s">
        <v>219</v>
      </c>
      <c r="D1165" t="s">
        <v>327</v>
      </c>
      <c r="E1165">
        <v>99999999</v>
      </c>
      <c r="F1165">
        <v>11111111</v>
      </c>
      <c r="G1165">
        <v>1111111111</v>
      </c>
      <c r="H1165" t="s">
        <v>4734</v>
      </c>
      <c r="I1165">
        <v>99999999</v>
      </c>
      <c r="J1165" s="188">
        <v>45236</v>
      </c>
      <c r="K1165" t="s">
        <v>4734</v>
      </c>
      <c r="L1165" t="s">
        <v>4734</v>
      </c>
      <c r="M1165" t="s">
        <v>1722</v>
      </c>
      <c r="N1165" t="s">
        <v>164</v>
      </c>
      <c r="O1165" t="s">
        <v>1723</v>
      </c>
      <c r="P1165" t="s">
        <v>221</v>
      </c>
      <c r="Q1165" t="s">
        <v>82</v>
      </c>
      <c r="R1165">
        <v>2</v>
      </c>
      <c r="S1165">
        <v>15</v>
      </c>
      <c r="T1165">
        <v>0</v>
      </c>
      <c r="U1165">
        <v>1</v>
      </c>
      <c r="V1165">
        <v>2</v>
      </c>
      <c r="W1165">
        <v>34.119999999999997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2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</row>
    <row r="1166" spans="1:37" x14ac:dyDescent="0.3">
      <c r="A1166">
        <v>7979</v>
      </c>
      <c r="B1166" t="s">
        <v>219</v>
      </c>
      <c r="D1166" t="s">
        <v>327</v>
      </c>
      <c r="E1166">
        <v>99999999</v>
      </c>
      <c r="F1166">
        <v>11111111</v>
      </c>
      <c r="G1166">
        <v>1111111111</v>
      </c>
      <c r="H1166" t="s">
        <v>4735</v>
      </c>
      <c r="I1166">
        <v>99999999</v>
      </c>
      <c r="J1166" s="188">
        <v>45236</v>
      </c>
      <c r="K1166" t="s">
        <v>4735</v>
      </c>
      <c r="L1166" t="s">
        <v>4735</v>
      </c>
      <c r="M1166" t="s">
        <v>1653</v>
      </c>
      <c r="N1166" t="s">
        <v>97</v>
      </c>
      <c r="O1166">
        <v>98371</v>
      </c>
      <c r="P1166" t="s">
        <v>221</v>
      </c>
      <c r="Q1166" t="s">
        <v>82</v>
      </c>
      <c r="R1166">
        <v>3</v>
      </c>
      <c r="S1166">
        <v>3.0720000000000001</v>
      </c>
      <c r="T1166">
        <v>0</v>
      </c>
      <c r="U1166">
        <v>1</v>
      </c>
      <c r="V1166">
        <v>3</v>
      </c>
      <c r="W1166">
        <v>22.52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3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</row>
    <row r="1167" spans="1:37" x14ac:dyDescent="0.3">
      <c r="A1167">
        <v>7979</v>
      </c>
      <c r="B1167" t="s">
        <v>219</v>
      </c>
      <c r="D1167" t="s">
        <v>327</v>
      </c>
      <c r="E1167">
        <v>99999999</v>
      </c>
      <c r="F1167">
        <v>11111111</v>
      </c>
      <c r="G1167">
        <v>1111111111</v>
      </c>
      <c r="H1167" t="s">
        <v>4736</v>
      </c>
      <c r="I1167">
        <v>99999999</v>
      </c>
      <c r="J1167" s="188">
        <v>45236</v>
      </c>
      <c r="K1167" t="s">
        <v>4736</v>
      </c>
      <c r="L1167" t="s">
        <v>4736</v>
      </c>
      <c r="M1167" t="s">
        <v>178</v>
      </c>
      <c r="N1167" t="s">
        <v>97</v>
      </c>
      <c r="O1167" t="s">
        <v>1724</v>
      </c>
      <c r="P1167" t="s">
        <v>221</v>
      </c>
      <c r="Q1167" t="s">
        <v>82</v>
      </c>
      <c r="R1167">
        <v>5</v>
      </c>
      <c r="S1167">
        <v>3.4540000000000002</v>
      </c>
      <c r="T1167">
        <v>0</v>
      </c>
      <c r="U1167">
        <v>1</v>
      </c>
      <c r="V1167">
        <v>5</v>
      </c>
      <c r="W1167">
        <v>22.52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5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</row>
    <row r="1168" spans="1:37" x14ac:dyDescent="0.3">
      <c r="A1168">
        <v>7979</v>
      </c>
      <c r="B1168" t="s">
        <v>219</v>
      </c>
      <c r="D1168" t="s">
        <v>327</v>
      </c>
      <c r="E1168">
        <v>99999999</v>
      </c>
      <c r="F1168">
        <v>11111111</v>
      </c>
      <c r="G1168">
        <v>1111111111</v>
      </c>
      <c r="H1168" t="s">
        <v>4737</v>
      </c>
      <c r="I1168">
        <v>99999999</v>
      </c>
      <c r="J1168" s="188">
        <v>45236</v>
      </c>
      <c r="K1168" t="s">
        <v>4737</v>
      </c>
      <c r="L1168" t="s">
        <v>4737</v>
      </c>
      <c r="M1168" t="s">
        <v>745</v>
      </c>
      <c r="N1168" t="s">
        <v>197</v>
      </c>
      <c r="O1168" t="s">
        <v>1725</v>
      </c>
      <c r="P1168" t="s">
        <v>221</v>
      </c>
      <c r="Q1168" t="s">
        <v>82</v>
      </c>
      <c r="R1168">
        <v>3</v>
      </c>
      <c r="S1168">
        <v>3.29</v>
      </c>
      <c r="T1168">
        <v>0</v>
      </c>
      <c r="U1168">
        <v>1</v>
      </c>
      <c r="V1168">
        <v>2</v>
      </c>
      <c r="W1168">
        <v>30.19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3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</row>
    <row r="1169" spans="1:37" x14ac:dyDescent="0.3">
      <c r="A1169">
        <v>7979</v>
      </c>
      <c r="B1169" t="s">
        <v>219</v>
      </c>
      <c r="D1169" t="s">
        <v>327</v>
      </c>
      <c r="E1169">
        <v>99999999</v>
      </c>
      <c r="F1169">
        <v>11111111</v>
      </c>
      <c r="G1169">
        <v>1111111111</v>
      </c>
      <c r="H1169" t="s">
        <v>4738</v>
      </c>
      <c r="I1169">
        <v>99999999</v>
      </c>
      <c r="J1169" s="188">
        <v>45236</v>
      </c>
      <c r="K1169" t="s">
        <v>4738</v>
      </c>
      <c r="L1169" t="s">
        <v>4738</v>
      </c>
      <c r="M1169" t="s">
        <v>1610</v>
      </c>
      <c r="N1169" t="s">
        <v>97</v>
      </c>
      <c r="O1169" t="s">
        <v>1611</v>
      </c>
      <c r="P1169" t="s">
        <v>221</v>
      </c>
      <c r="Q1169" t="s">
        <v>82</v>
      </c>
      <c r="R1169">
        <v>3</v>
      </c>
      <c r="S1169">
        <v>11.47</v>
      </c>
      <c r="T1169">
        <v>0</v>
      </c>
      <c r="U1169">
        <v>1</v>
      </c>
      <c r="V1169">
        <v>3</v>
      </c>
      <c r="W1169">
        <v>30.95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3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</row>
    <row r="1170" spans="1:37" x14ac:dyDescent="0.3">
      <c r="A1170">
        <v>7979</v>
      </c>
      <c r="B1170" t="s">
        <v>219</v>
      </c>
      <c r="D1170" t="s">
        <v>327</v>
      </c>
      <c r="E1170">
        <v>99999999</v>
      </c>
      <c r="F1170">
        <v>11111111</v>
      </c>
      <c r="G1170">
        <v>1111111111</v>
      </c>
      <c r="H1170" t="s">
        <v>4739</v>
      </c>
      <c r="I1170">
        <v>99999999</v>
      </c>
      <c r="J1170" s="188">
        <v>45236</v>
      </c>
      <c r="K1170" t="s">
        <v>4739</v>
      </c>
      <c r="L1170" t="s">
        <v>4739</v>
      </c>
      <c r="M1170" t="s">
        <v>358</v>
      </c>
      <c r="N1170" t="s">
        <v>197</v>
      </c>
      <c r="O1170" t="s">
        <v>1726</v>
      </c>
      <c r="P1170" t="s">
        <v>221</v>
      </c>
      <c r="Q1170" t="s">
        <v>82</v>
      </c>
      <c r="R1170">
        <v>3</v>
      </c>
      <c r="S1170">
        <v>8.86</v>
      </c>
      <c r="T1170">
        <v>0</v>
      </c>
      <c r="U1170">
        <v>1</v>
      </c>
      <c r="V1170">
        <v>3</v>
      </c>
      <c r="W1170">
        <v>26.92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3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</row>
    <row r="1171" spans="1:37" x14ac:dyDescent="0.3">
      <c r="A1171">
        <v>7979</v>
      </c>
      <c r="B1171" t="s">
        <v>219</v>
      </c>
      <c r="D1171" t="s">
        <v>327</v>
      </c>
      <c r="E1171">
        <v>99999999</v>
      </c>
      <c r="F1171">
        <v>11111111</v>
      </c>
      <c r="G1171">
        <v>1111111111</v>
      </c>
      <c r="H1171" t="s">
        <v>4740</v>
      </c>
      <c r="I1171">
        <v>99999999</v>
      </c>
      <c r="J1171" s="188">
        <v>45236</v>
      </c>
      <c r="K1171" t="s">
        <v>4740</v>
      </c>
      <c r="L1171" t="s">
        <v>4740</v>
      </c>
      <c r="M1171" t="s">
        <v>1727</v>
      </c>
      <c r="N1171" t="s">
        <v>197</v>
      </c>
      <c r="O1171" t="s">
        <v>1728</v>
      </c>
      <c r="P1171" t="s">
        <v>221</v>
      </c>
      <c r="Q1171" t="s">
        <v>82</v>
      </c>
      <c r="R1171">
        <v>3</v>
      </c>
      <c r="S1171">
        <v>21.606000000000002</v>
      </c>
      <c r="T1171">
        <v>0</v>
      </c>
      <c r="U1171">
        <v>1</v>
      </c>
      <c r="V1171">
        <v>3</v>
      </c>
      <c r="W1171">
        <v>47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3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</row>
    <row r="1172" spans="1:37" x14ac:dyDescent="0.3">
      <c r="A1172">
        <v>7979</v>
      </c>
      <c r="B1172" t="s">
        <v>219</v>
      </c>
      <c r="D1172" t="s">
        <v>327</v>
      </c>
      <c r="E1172">
        <v>99999999</v>
      </c>
      <c r="F1172">
        <v>11111111</v>
      </c>
      <c r="G1172">
        <v>1111111111</v>
      </c>
      <c r="H1172" t="s">
        <v>4741</v>
      </c>
      <c r="I1172">
        <v>99999999</v>
      </c>
      <c r="J1172" s="188">
        <v>45236</v>
      </c>
      <c r="K1172" t="s">
        <v>4741</v>
      </c>
      <c r="L1172" t="s">
        <v>4741</v>
      </c>
      <c r="M1172" t="s">
        <v>630</v>
      </c>
      <c r="N1172" t="s">
        <v>104</v>
      </c>
      <c r="O1172" t="s">
        <v>1729</v>
      </c>
      <c r="P1172" t="s">
        <v>221</v>
      </c>
      <c r="Q1172" t="s">
        <v>82</v>
      </c>
      <c r="R1172">
        <v>4</v>
      </c>
      <c r="S1172">
        <v>1.8</v>
      </c>
      <c r="T1172">
        <v>0</v>
      </c>
      <c r="U1172">
        <v>1</v>
      </c>
      <c r="V1172">
        <v>3</v>
      </c>
      <c r="W1172">
        <v>21.88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4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</row>
    <row r="1173" spans="1:37" x14ac:dyDescent="0.3">
      <c r="A1173">
        <v>7979</v>
      </c>
      <c r="B1173" t="s">
        <v>219</v>
      </c>
      <c r="D1173" t="s">
        <v>327</v>
      </c>
      <c r="E1173">
        <v>99999999</v>
      </c>
      <c r="F1173">
        <v>11111111</v>
      </c>
      <c r="G1173">
        <v>1111111111</v>
      </c>
      <c r="H1173" t="s">
        <v>4742</v>
      </c>
      <c r="I1173">
        <v>99999999</v>
      </c>
      <c r="J1173" s="188">
        <v>45236</v>
      </c>
      <c r="K1173" t="s">
        <v>4742</v>
      </c>
      <c r="L1173" t="s">
        <v>4742</v>
      </c>
      <c r="M1173" t="s">
        <v>1117</v>
      </c>
      <c r="N1173" t="s">
        <v>97</v>
      </c>
      <c r="O1173" t="s">
        <v>1730</v>
      </c>
      <c r="P1173" t="s">
        <v>221</v>
      </c>
      <c r="Q1173" t="s">
        <v>82</v>
      </c>
      <c r="R1173">
        <v>5</v>
      </c>
      <c r="S1173">
        <v>6.4</v>
      </c>
      <c r="T1173">
        <v>0</v>
      </c>
      <c r="U1173">
        <v>1</v>
      </c>
      <c r="V1173">
        <v>4</v>
      </c>
      <c r="W1173">
        <v>31.8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5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</row>
    <row r="1174" spans="1:37" x14ac:dyDescent="0.3">
      <c r="A1174">
        <v>7979</v>
      </c>
      <c r="B1174" t="s">
        <v>219</v>
      </c>
      <c r="D1174" t="s">
        <v>327</v>
      </c>
      <c r="E1174">
        <v>99999999</v>
      </c>
      <c r="F1174">
        <v>11111111</v>
      </c>
      <c r="G1174">
        <v>1111111111</v>
      </c>
      <c r="H1174" t="s">
        <v>4743</v>
      </c>
      <c r="I1174">
        <v>99999999</v>
      </c>
      <c r="J1174" s="188">
        <v>45236</v>
      </c>
      <c r="K1174" t="s">
        <v>4743</v>
      </c>
      <c r="L1174" t="s">
        <v>4743</v>
      </c>
      <c r="M1174" t="s">
        <v>1400</v>
      </c>
      <c r="N1174" t="s">
        <v>91</v>
      </c>
      <c r="O1174" t="s">
        <v>1731</v>
      </c>
      <c r="P1174" t="s">
        <v>221</v>
      </c>
      <c r="Q1174" t="s">
        <v>82</v>
      </c>
      <c r="R1174">
        <v>2</v>
      </c>
      <c r="S1174">
        <v>30</v>
      </c>
      <c r="T1174">
        <v>0</v>
      </c>
      <c r="U1174">
        <v>1</v>
      </c>
      <c r="V1174">
        <v>2</v>
      </c>
      <c r="W1174">
        <v>41.88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2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</row>
    <row r="1175" spans="1:37" x14ac:dyDescent="0.3">
      <c r="A1175">
        <v>7979</v>
      </c>
      <c r="B1175" t="s">
        <v>219</v>
      </c>
      <c r="D1175" t="s">
        <v>327</v>
      </c>
      <c r="E1175">
        <v>99999999</v>
      </c>
      <c r="F1175">
        <v>11111111</v>
      </c>
      <c r="G1175">
        <v>1111111111</v>
      </c>
      <c r="H1175" t="s">
        <v>4744</v>
      </c>
      <c r="I1175">
        <v>99999999</v>
      </c>
      <c r="J1175" s="188">
        <v>45236</v>
      </c>
      <c r="K1175" t="s">
        <v>4744</v>
      </c>
      <c r="L1175" t="s">
        <v>4744</v>
      </c>
      <c r="M1175" t="s">
        <v>1732</v>
      </c>
      <c r="N1175" t="s">
        <v>99</v>
      </c>
      <c r="O1175" t="s">
        <v>1733</v>
      </c>
      <c r="P1175" t="s">
        <v>221</v>
      </c>
      <c r="Q1175" t="s">
        <v>82</v>
      </c>
      <c r="R1175">
        <v>2</v>
      </c>
      <c r="S1175">
        <v>5</v>
      </c>
      <c r="T1175">
        <v>0</v>
      </c>
      <c r="U1175">
        <v>1</v>
      </c>
      <c r="V1175">
        <v>2</v>
      </c>
      <c r="W1175">
        <v>23.09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2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</row>
    <row r="1176" spans="1:37" x14ac:dyDescent="0.3">
      <c r="A1176">
        <v>7979</v>
      </c>
      <c r="B1176" t="s">
        <v>219</v>
      </c>
      <c r="D1176" t="s">
        <v>327</v>
      </c>
      <c r="E1176">
        <v>99999999</v>
      </c>
      <c r="F1176">
        <v>11111111</v>
      </c>
      <c r="G1176">
        <v>1111111111</v>
      </c>
      <c r="H1176" t="s">
        <v>4745</v>
      </c>
      <c r="I1176">
        <v>99999999</v>
      </c>
      <c r="J1176" s="188">
        <v>45236</v>
      </c>
      <c r="K1176" t="s">
        <v>4745</v>
      </c>
      <c r="L1176" t="s">
        <v>4745</v>
      </c>
      <c r="M1176" t="s">
        <v>309</v>
      </c>
      <c r="N1176" t="s">
        <v>97</v>
      </c>
      <c r="O1176" t="s">
        <v>1734</v>
      </c>
      <c r="P1176" t="s">
        <v>221</v>
      </c>
      <c r="Q1176" t="s">
        <v>82</v>
      </c>
      <c r="R1176">
        <v>5</v>
      </c>
      <c r="S1176">
        <v>8.67</v>
      </c>
      <c r="T1176">
        <v>0</v>
      </c>
      <c r="U1176">
        <v>1</v>
      </c>
      <c r="V1176">
        <v>4</v>
      </c>
      <c r="W1176">
        <v>24.41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5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</row>
    <row r="1177" spans="1:37" x14ac:dyDescent="0.3">
      <c r="A1177">
        <v>7979</v>
      </c>
      <c r="B1177" t="s">
        <v>219</v>
      </c>
      <c r="D1177" t="s">
        <v>327</v>
      </c>
      <c r="E1177">
        <v>99999999</v>
      </c>
      <c r="F1177">
        <v>11111111</v>
      </c>
      <c r="G1177">
        <v>1111111111</v>
      </c>
      <c r="H1177" t="s">
        <v>4746</v>
      </c>
      <c r="I1177">
        <v>99999999</v>
      </c>
      <c r="J1177" s="188">
        <v>45236</v>
      </c>
      <c r="K1177" t="s">
        <v>4746</v>
      </c>
      <c r="L1177" t="s">
        <v>4746</v>
      </c>
      <c r="M1177" t="s">
        <v>121</v>
      </c>
      <c r="N1177" t="s">
        <v>122</v>
      </c>
      <c r="O1177" t="s">
        <v>1735</v>
      </c>
      <c r="P1177" t="s">
        <v>221</v>
      </c>
      <c r="Q1177" t="s">
        <v>82</v>
      </c>
      <c r="R1177">
        <v>3</v>
      </c>
      <c r="S1177">
        <v>7.2</v>
      </c>
      <c r="T1177">
        <v>0</v>
      </c>
      <c r="U1177">
        <v>1</v>
      </c>
      <c r="V1177">
        <v>3</v>
      </c>
      <c r="W1177">
        <v>25.57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3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</row>
    <row r="1178" spans="1:37" x14ac:dyDescent="0.3">
      <c r="A1178">
        <v>7979</v>
      </c>
      <c r="B1178" t="s">
        <v>219</v>
      </c>
      <c r="D1178" t="s">
        <v>327</v>
      </c>
      <c r="E1178">
        <v>99999999</v>
      </c>
      <c r="F1178">
        <v>11111111</v>
      </c>
      <c r="G1178">
        <v>1111111111</v>
      </c>
      <c r="H1178" t="s">
        <v>4747</v>
      </c>
      <c r="I1178">
        <v>99999999</v>
      </c>
      <c r="J1178" s="188">
        <v>45236</v>
      </c>
      <c r="K1178" t="s">
        <v>4747</v>
      </c>
      <c r="L1178" t="s">
        <v>4747</v>
      </c>
      <c r="M1178" t="s">
        <v>1736</v>
      </c>
      <c r="N1178" t="s">
        <v>99</v>
      </c>
      <c r="O1178" t="s">
        <v>1737</v>
      </c>
      <c r="P1178" t="s">
        <v>221</v>
      </c>
      <c r="Q1178" t="s">
        <v>82</v>
      </c>
      <c r="R1178">
        <v>5</v>
      </c>
      <c r="S1178">
        <v>19.3</v>
      </c>
      <c r="T1178">
        <v>0</v>
      </c>
      <c r="U1178">
        <v>1</v>
      </c>
      <c r="V1178">
        <v>4</v>
      </c>
      <c r="W1178">
        <v>26.98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5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</row>
    <row r="1179" spans="1:37" x14ac:dyDescent="0.3">
      <c r="A1179">
        <v>7979</v>
      </c>
      <c r="B1179" t="s">
        <v>219</v>
      </c>
      <c r="D1179" t="s">
        <v>327</v>
      </c>
      <c r="E1179">
        <v>99999999</v>
      </c>
      <c r="F1179">
        <v>11111111</v>
      </c>
      <c r="G1179">
        <v>1111111111</v>
      </c>
      <c r="H1179" t="s">
        <v>4748</v>
      </c>
      <c r="I1179">
        <v>99999999</v>
      </c>
      <c r="J1179" s="188">
        <v>45236</v>
      </c>
      <c r="K1179" t="s">
        <v>4748</v>
      </c>
      <c r="L1179" t="s">
        <v>4748</v>
      </c>
      <c r="M1179" t="s">
        <v>1738</v>
      </c>
      <c r="N1179" t="s">
        <v>99</v>
      </c>
      <c r="O1179" t="s">
        <v>1739</v>
      </c>
      <c r="P1179" t="s">
        <v>221</v>
      </c>
      <c r="Q1179" t="s">
        <v>82</v>
      </c>
      <c r="R1179">
        <v>7</v>
      </c>
      <c r="S1179">
        <v>14.85</v>
      </c>
      <c r="T1179">
        <v>0</v>
      </c>
      <c r="U1179">
        <v>1</v>
      </c>
      <c r="V1179">
        <v>6</v>
      </c>
      <c r="W1179">
        <v>25.86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7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</row>
    <row r="1180" spans="1:37" x14ac:dyDescent="0.3">
      <c r="A1180">
        <v>7979</v>
      </c>
      <c r="B1180" t="s">
        <v>219</v>
      </c>
      <c r="D1180" t="s">
        <v>327</v>
      </c>
      <c r="E1180">
        <v>99999999</v>
      </c>
      <c r="F1180">
        <v>11111111</v>
      </c>
      <c r="G1180">
        <v>1111111111</v>
      </c>
      <c r="H1180" t="s">
        <v>4749</v>
      </c>
      <c r="I1180">
        <v>99999999</v>
      </c>
      <c r="J1180" s="188">
        <v>45236</v>
      </c>
      <c r="K1180" t="s">
        <v>4749</v>
      </c>
      <c r="L1180" t="s">
        <v>4749</v>
      </c>
      <c r="M1180" t="s">
        <v>1740</v>
      </c>
      <c r="N1180" t="s">
        <v>122</v>
      </c>
      <c r="O1180">
        <v>87043</v>
      </c>
      <c r="P1180" t="s">
        <v>221</v>
      </c>
      <c r="Q1180" t="s">
        <v>82</v>
      </c>
      <c r="R1180">
        <v>3</v>
      </c>
      <c r="S1180">
        <v>15.093</v>
      </c>
      <c r="T1180">
        <v>0</v>
      </c>
      <c r="U1180">
        <v>1</v>
      </c>
      <c r="V1180">
        <v>3</v>
      </c>
      <c r="W1180">
        <v>34.67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3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</row>
    <row r="1181" spans="1:37" x14ac:dyDescent="0.3">
      <c r="A1181">
        <v>7979</v>
      </c>
      <c r="B1181" t="s">
        <v>219</v>
      </c>
      <c r="D1181" t="s">
        <v>327</v>
      </c>
      <c r="E1181">
        <v>99999999</v>
      </c>
      <c r="F1181">
        <v>11111111</v>
      </c>
      <c r="G1181">
        <v>1111111111</v>
      </c>
      <c r="H1181" t="s">
        <v>4750</v>
      </c>
      <c r="I1181">
        <v>99999999</v>
      </c>
      <c r="J1181" s="188">
        <v>45236</v>
      </c>
      <c r="K1181" t="s">
        <v>4750</v>
      </c>
      <c r="L1181" t="s">
        <v>4750</v>
      </c>
      <c r="M1181" t="s">
        <v>1741</v>
      </c>
      <c r="N1181" t="s">
        <v>164</v>
      </c>
      <c r="O1181" t="s">
        <v>1742</v>
      </c>
      <c r="P1181" t="s">
        <v>221</v>
      </c>
      <c r="Q1181" t="s">
        <v>82</v>
      </c>
      <c r="R1181">
        <v>3</v>
      </c>
      <c r="S1181">
        <v>4.8499999999999996</v>
      </c>
      <c r="T1181">
        <v>0</v>
      </c>
      <c r="U1181">
        <v>1</v>
      </c>
      <c r="V1181">
        <v>3</v>
      </c>
      <c r="W1181">
        <v>29.21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3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</row>
    <row r="1182" spans="1:37" x14ac:dyDescent="0.3">
      <c r="A1182">
        <v>7979</v>
      </c>
      <c r="B1182" t="s">
        <v>219</v>
      </c>
      <c r="D1182" t="s">
        <v>327</v>
      </c>
      <c r="E1182">
        <v>99999999</v>
      </c>
      <c r="F1182">
        <v>11111111</v>
      </c>
      <c r="G1182">
        <v>1111111111</v>
      </c>
      <c r="H1182" t="s">
        <v>4751</v>
      </c>
      <c r="I1182">
        <v>99999999</v>
      </c>
      <c r="J1182" s="188">
        <v>45236</v>
      </c>
      <c r="K1182" t="s">
        <v>4751</v>
      </c>
      <c r="L1182" t="s">
        <v>4751</v>
      </c>
      <c r="M1182" t="s">
        <v>128</v>
      </c>
      <c r="N1182" t="s">
        <v>85</v>
      </c>
      <c r="O1182" t="s">
        <v>1743</v>
      </c>
      <c r="P1182" t="s">
        <v>221</v>
      </c>
      <c r="Q1182" t="s">
        <v>82</v>
      </c>
      <c r="R1182">
        <v>2</v>
      </c>
      <c r="S1182">
        <v>5.62</v>
      </c>
      <c r="T1182">
        <v>0</v>
      </c>
      <c r="U1182">
        <v>1</v>
      </c>
      <c r="V1182">
        <v>2</v>
      </c>
      <c r="W1182">
        <v>20.8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2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</row>
    <row r="1183" spans="1:37" x14ac:dyDescent="0.3">
      <c r="A1183">
        <v>7979</v>
      </c>
      <c r="B1183" t="s">
        <v>219</v>
      </c>
      <c r="D1183" t="s">
        <v>327</v>
      </c>
      <c r="E1183">
        <v>99999999</v>
      </c>
      <c r="F1183">
        <v>11111111</v>
      </c>
      <c r="G1183">
        <v>1111111111</v>
      </c>
      <c r="H1183" t="s">
        <v>4752</v>
      </c>
      <c r="I1183">
        <v>99999999</v>
      </c>
      <c r="J1183" s="188">
        <v>45236</v>
      </c>
      <c r="K1183" t="s">
        <v>4752</v>
      </c>
      <c r="L1183" t="s">
        <v>4752</v>
      </c>
      <c r="M1183" t="s">
        <v>1197</v>
      </c>
      <c r="N1183" t="s">
        <v>99</v>
      </c>
      <c r="O1183" t="s">
        <v>1744</v>
      </c>
      <c r="P1183" t="s">
        <v>221</v>
      </c>
      <c r="Q1183" t="s">
        <v>82</v>
      </c>
      <c r="R1183">
        <v>3</v>
      </c>
      <c r="S1183">
        <v>6.5</v>
      </c>
      <c r="T1183">
        <v>0</v>
      </c>
      <c r="U1183">
        <v>1</v>
      </c>
      <c r="V1183">
        <v>3</v>
      </c>
      <c r="W1183">
        <v>21.84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3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</row>
    <row r="1184" spans="1:37" x14ac:dyDescent="0.3">
      <c r="A1184">
        <v>7979</v>
      </c>
      <c r="B1184" t="s">
        <v>219</v>
      </c>
      <c r="D1184" t="s">
        <v>327</v>
      </c>
      <c r="E1184">
        <v>99999999</v>
      </c>
      <c r="F1184">
        <v>11111111</v>
      </c>
      <c r="G1184">
        <v>1111111111</v>
      </c>
      <c r="H1184" t="s">
        <v>4753</v>
      </c>
      <c r="I1184">
        <v>99999999</v>
      </c>
      <c r="J1184" s="188">
        <v>45236</v>
      </c>
      <c r="K1184" t="s">
        <v>4753</v>
      </c>
      <c r="L1184" t="s">
        <v>4753</v>
      </c>
      <c r="M1184" t="s">
        <v>761</v>
      </c>
      <c r="N1184" t="s">
        <v>381</v>
      </c>
      <c r="O1184" t="s">
        <v>762</v>
      </c>
      <c r="P1184" t="s">
        <v>221</v>
      </c>
      <c r="Q1184" t="s">
        <v>82</v>
      </c>
      <c r="R1184">
        <v>2</v>
      </c>
      <c r="S1184">
        <v>1.04</v>
      </c>
      <c r="T1184">
        <v>0</v>
      </c>
      <c r="U1184">
        <v>1</v>
      </c>
      <c r="V1184">
        <v>2</v>
      </c>
      <c r="W1184">
        <v>29.8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2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</row>
    <row r="1185" spans="1:37" x14ac:dyDescent="0.3">
      <c r="A1185">
        <v>7979</v>
      </c>
      <c r="B1185" t="s">
        <v>219</v>
      </c>
      <c r="D1185" t="s">
        <v>327</v>
      </c>
      <c r="E1185">
        <v>99999999</v>
      </c>
      <c r="F1185">
        <v>11111111</v>
      </c>
      <c r="G1185">
        <v>1111111111</v>
      </c>
      <c r="H1185" t="s">
        <v>4754</v>
      </c>
      <c r="I1185">
        <v>99999999</v>
      </c>
      <c r="J1185" s="188">
        <v>45236</v>
      </c>
      <c r="K1185" t="s">
        <v>4754</v>
      </c>
      <c r="L1185" t="s">
        <v>4754</v>
      </c>
      <c r="M1185" t="s">
        <v>1745</v>
      </c>
      <c r="N1185" t="s">
        <v>164</v>
      </c>
      <c r="O1185" t="s">
        <v>1746</v>
      </c>
      <c r="P1185" t="s">
        <v>221</v>
      </c>
      <c r="Q1185" t="s">
        <v>82</v>
      </c>
      <c r="R1185">
        <v>9</v>
      </c>
      <c r="S1185">
        <v>10.375999999999999</v>
      </c>
      <c r="T1185">
        <v>0</v>
      </c>
      <c r="U1185">
        <v>1</v>
      </c>
      <c r="V1185">
        <v>9</v>
      </c>
      <c r="W1185">
        <v>31.28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9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</row>
    <row r="1186" spans="1:37" x14ac:dyDescent="0.3">
      <c r="A1186">
        <v>7979</v>
      </c>
      <c r="B1186" t="s">
        <v>219</v>
      </c>
      <c r="D1186" t="s">
        <v>327</v>
      </c>
      <c r="E1186">
        <v>99999999</v>
      </c>
      <c r="F1186">
        <v>11111111</v>
      </c>
      <c r="G1186">
        <v>1111111111</v>
      </c>
      <c r="H1186" t="s">
        <v>4755</v>
      </c>
      <c r="I1186">
        <v>99999999</v>
      </c>
      <c r="J1186" s="188">
        <v>45236</v>
      </c>
      <c r="K1186" t="s">
        <v>4755</v>
      </c>
      <c r="L1186" t="s">
        <v>4755</v>
      </c>
      <c r="M1186" t="s">
        <v>1747</v>
      </c>
      <c r="N1186" t="s">
        <v>99</v>
      </c>
      <c r="O1186" t="s">
        <v>1748</v>
      </c>
      <c r="P1186" t="s">
        <v>221</v>
      </c>
      <c r="Q1186" t="s">
        <v>82</v>
      </c>
      <c r="R1186">
        <v>2</v>
      </c>
      <c r="S1186">
        <v>2.95</v>
      </c>
      <c r="T1186">
        <v>0</v>
      </c>
      <c r="U1186">
        <v>1</v>
      </c>
      <c r="V1186">
        <v>2</v>
      </c>
      <c r="W1186">
        <v>20.77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2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</row>
    <row r="1187" spans="1:37" x14ac:dyDescent="0.3">
      <c r="A1187">
        <v>7979</v>
      </c>
      <c r="B1187" t="s">
        <v>219</v>
      </c>
      <c r="D1187" t="s">
        <v>327</v>
      </c>
      <c r="E1187">
        <v>99999999</v>
      </c>
      <c r="F1187">
        <v>11111111</v>
      </c>
      <c r="G1187">
        <v>1111111111</v>
      </c>
      <c r="H1187" t="s">
        <v>4756</v>
      </c>
      <c r="I1187">
        <v>99999999</v>
      </c>
      <c r="J1187" s="188">
        <v>45236</v>
      </c>
      <c r="K1187" t="s">
        <v>4756</v>
      </c>
      <c r="L1187" t="s">
        <v>4756</v>
      </c>
      <c r="M1187" t="s">
        <v>1749</v>
      </c>
      <c r="N1187" t="s">
        <v>99</v>
      </c>
      <c r="O1187" t="s">
        <v>1750</v>
      </c>
      <c r="P1187" t="s">
        <v>221</v>
      </c>
      <c r="Q1187" t="s">
        <v>82</v>
      </c>
      <c r="R1187">
        <v>2</v>
      </c>
      <c r="S1187">
        <v>1.75</v>
      </c>
      <c r="T1187">
        <v>0</v>
      </c>
      <c r="U1187">
        <v>1</v>
      </c>
      <c r="V1187">
        <v>2</v>
      </c>
      <c r="W1187">
        <v>25.28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2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</row>
    <row r="1188" spans="1:37" x14ac:dyDescent="0.3">
      <c r="A1188">
        <v>7979</v>
      </c>
      <c r="B1188" t="s">
        <v>219</v>
      </c>
      <c r="D1188" t="s">
        <v>327</v>
      </c>
      <c r="E1188">
        <v>99999999</v>
      </c>
      <c r="F1188">
        <v>11111111</v>
      </c>
      <c r="G1188">
        <v>1111111111</v>
      </c>
      <c r="H1188" t="s">
        <v>4757</v>
      </c>
      <c r="I1188">
        <v>99999999</v>
      </c>
      <c r="J1188" s="188">
        <v>45236</v>
      </c>
      <c r="K1188" t="s">
        <v>4757</v>
      </c>
      <c r="L1188" t="s">
        <v>4757</v>
      </c>
      <c r="M1188" t="s">
        <v>1751</v>
      </c>
      <c r="N1188" t="s">
        <v>97</v>
      </c>
      <c r="O1188" t="s">
        <v>1752</v>
      </c>
      <c r="P1188" t="s">
        <v>221</v>
      </c>
      <c r="Q1188" t="s">
        <v>82</v>
      </c>
      <c r="R1188">
        <v>4</v>
      </c>
      <c r="S1188">
        <v>5.27</v>
      </c>
      <c r="T1188">
        <v>0</v>
      </c>
      <c r="U1188">
        <v>1</v>
      </c>
      <c r="V1188">
        <v>3</v>
      </c>
      <c r="W1188">
        <v>29.21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4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</row>
    <row r="1189" spans="1:37" x14ac:dyDescent="0.3">
      <c r="A1189">
        <v>7979</v>
      </c>
      <c r="B1189" t="s">
        <v>219</v>
      </c>
      <c r="D1189" t="s">
        <v>327</v>
      </c>
      <c r="E1189">
        <v>99999999</v>
      </c>
      <c r="F1189">
        <v>11111111</v>
      </c>
      <c r="G1189">
        <v>1111111111</v>
      </c>
      <c r="H1189" t="s">
        <v>4758</v>
      </c>
      <c r="I1189">
        <v>99999999</v>
      </c>
      <c r="J1189" s="188">
        <v>45236</v>
      </c>
      <c r="K1189" t="s">
        <v>4758</v>
      </c>
      <c r="L1189" t="s">
        <v>4758</v>
      </c>
      <c r="M1189" t="s">
        <v>1753</v>
      </c>
      <c r="N1189" t="s">
        <v>99</v>
      </c>
      <c r="O1189" t="s">
        <v>1754</v>
      </c>
      <c r="P1189" t="s">
        <v>221</v>
      </c>
      <c r="Q1189" t="s">
        <v>82</v>
      </c>
      <c r="R1189">
        <v>3</v>
      </c>
      <c r="S1189">
        <v>9.3130000000000006</v>
      </c>
      <c r="T1189">
        <v>0</v>
      </c>
      <c r="U1189">
        <v>1</v>
      </c>
      <c r="V1189">
        <v>2</v>
      </c>
      <c r="W1189">
        <v>30.53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3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</row>
    <row r="1190" spans="1:37" x14ac:dyDescent="0.3">
      <c r="A1190">
        <v>7979</v>
      </c>
      <c r="B1190" t="s">
        <v>219</v>
      </c>
      <c r="D1190" t="s">
        <v>327</v>
      </c>
      <c r="E1190">
        <v>99999999</v>
      </c>
      <c r="F1190">
        <v>11111111</v>
      </c>
      <c r="G1190">
        <v>1111111111</v>
      </c>
      <c r="H1190" t="s">
        <v>4759</v>
      </c>
      <c r="I1190">
        <v>99999999</v>
      </c>
      <c r="J1190" s="188">
        <v>45236</v>
      </c>
      <c r="K1190" t="s">
        <v>4759</v>
      </c>
      <c r="L1190" t="s">
        <v>4759</v>
      </c>
      <c r="M1190" t="s">
        <v>1755</v>
      </c>
      <c r="N1190" t="s">
        <v>104</v>
      </c>
      <c r="O1190" t="s">
        <v>1756</v>
      </c>
      <c r="P1190" t="s">
        <v>221</v>
      </c>
      <c r="Q1190" t="s">
        <v>82</v>
      </c>
      <c r="R1190">
        <v>2</v>
      </c>
      <c r="S1190">
        <v>2.25</v>
      </c>
      <c r="T1190">
        <v>0</v>
      </c>
      <c r="U1190">
        <v>1</v>
      </c>
      <c r="V1190">
        <v>2</v>
      </c>
      <c r="W1190">
        <v>28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2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</row>
    <row r="1191" spans="1:37" x14ac:dyDescent="0.3">
      <c r="A1191">
        <v>7979</v>
      </c>
      <c r="B1191" t="s">
        <v>219</v>
      </c>
      <c r="D1191" t="s">
        <v>327</v>
      </c>
      <c r="E1191">
        <v>99999999</v>
      </c>
      <c r="F1191">
        <v>11111111</v>
      </c>
      <c r="G1191">
        <v>1111111111</v>
      </c>
      <c r="H1191" t="s">
        <v>4760</v>
      </c>
      <c r="I1191">
        <v>99999999</v>
      </c>
      <c r="J1191" s="188">
        <v>45236</v>
      </c>
      <c r="K1191" t="s">
        <v>4760</v>
      </c>
      <c r="L1191" t="s">
        <v>4760</v>
      </c>
      <c r="M1191" t="s">
        <v>1757</v>
      </c>
      <c r="N1191" t="s">
        <v>97</v>
      </c>
      <c r="O1191" t="s">
        <v>1758</v>
      </c>
      <c r="P1191" t="s">
        <v>221</v>
      </c>
      <c r="Q1191" t="s">
        <v>82</v>
      </c>
      <c r="R1191">
        <v>2</v>
      </c>
      <c r="S1191">
        <v>0.71</v>
      </c>
      <c r="T1191">
        <v>0</v>
      </c>
      <c r="U1191">
        <v>1</v>
      </c>
      <c r="V1191">
        <v>2</v>
      </c>
      <c r="W1191">
        <v>21.21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2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</row>
    <row r="1192" spans="1:37" x14ac:dyDescent="0.3">
      <c r="A1192">
        <v>7979</v>
      </c>
      <c r="B1192" t="s">
        <v>219</v>
      </c>
      <c r="D1192" t="s">
        <v>327</v>
      </c>
      <c r="E1192">
        <v>99999999</v>
      </c>
      <c r="F1192">
        <v>11111111</v>
      </c>
      <c r="G1192">
        <v>1111111111</v>
      </c>
      <c r="H1192" t="s">
        <v>4761</v>
      </c>
      <c r="I1192">
        <v>99999999</v>
      </c>
      <c r="J1192" s="188">
        <v>45236</v>
      </c>
      <c r="K1192" t="s">
        <v>4761</v>
      </c>
      <c r="L1192" t="s">
        <v>4761</v>
      </c>
      <c r="M1192" t="s">
        <v>505</v>
      </c>
      <c r="N1192" t="s">
        <v>99</v>
      </c>
      <c r="O1192" t="s">
        <v>1759</v>
      </c>
      <c r="P1192" t="s">
        <v>221</v>
      </c>
      <c r="Q1192" t="s">
        <v>82</v>
      </c>
      <c r="R1192">
        <v>5</v>
      </c>
      <c r="S1192">
        <v>17.2</v>
      </c>
      <c r="T1192">
        <v>0</v>
      </c>
      <c r="U1192">
        <v>1</v>
      </c>
      <c r="V1192">
        <v>5</v>
      </c>
      <c r="W1192">
        <v>30.28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5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</row>
    <row r="1193" spans="1:37" x14ac:dyDescent="0.3">
      <c r="A1193">
        <v>7979</v>
      </c>
      <c r="B1193" t="s">
        <v>219</v>
      </c>
      <c r="D1193" t="s">
        <v>327</v>
      </c>
      <c r="E1193">
        <v>99999999</v>
      </c>
      <c r="F1193">
        <v>11111111</v>
      </c>
      <c r="G1193">
        <v>1111111111</v>
      </c>
      <c r="H1193" t="s">
        <v>4762</v>
      </c>
      <c r="I1193">
        <v>99999999</v>
      </c>
      <c r="J1193" s="188">
        <v>45236</v>
      </c>
      <c r="K1193" t="s">
        <v>4762</v>
      </c>
      <c r="L1193" t="s">
        <v>4762</v>
      </c>
      <c r="M1193" t="s">
        <v>1760</v>
      </c>
      <c r="N1193" t="s">
        <v>99</v>
      </c>
      <c r="O1193">
        <v>94518</v>
      </c>
      <c r="P1193" t="s">
        <v>221</v>
      </c>
      <c r="Q1193" t="s">
        <v>82</v>
      </c>
      <c r="R1193">
        <v>2</v>
      </c>
      <c r="S1193">
        <v>3.09</v>
      </c>
      <c r="T1193">
        <v>0</v>
      </c>
      <c r="U1193">
        <v>1</v>
      </c>
      <c r="V1193">
        <v>2</v>
      </c>
      <c r="W1193">
        <v>20.77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2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</row>
    <row r="1194" spans="1:37" x14ac:dyDescent="0.3">
      <c r="A1194">
        <v>7979</v>
      </c>
      <c r="B1194" t="s">
        <v>219</v>
      </c>
      <c r="D1194" t="s">
        <v>327</v>
      </c>
      <c r="E1194">
        <v>99999999</v>
      </c>
      <c r="F1194">
        <v>11111111</v>
      </c>
      <c r="G1194">
        <v>1111111111</v>
      </c>
      <c r="H1194" t="s">
        <v>4763</v>
      </c>
      <c r="I1194">
        <v>99999999</v>
      </c>
      <c r="J1194" s="188">
        <v>45236</v>
      </c>
      <c r="K1194" t="s">
        <v>4763</v>
      </c>
      <c r="L1194" t="s">
        <v>4763</v>
      </c>
      <c r="M1194" t="s">
        <v>1137</v>
      </c>
      <c r="N1194" t="s">
        <v>99</v>
      </c>
      <c r="O1194" t="s">
        <v>1761</v>
      </c>
      <c r="P1194" t="s">
        <v>221</v>
      </c>
      <c r="Q1194" t="s">
        <v>82</v>
      </c>
      <c r="R1194">
        <v>2</v>
      </c>
      <c r="S1194">
        <v>0.34</v>
      </c>
      <c r="T1194">
        <v>0</v>
      </c>
      <c r="U1194">
        <v>1</v>
      </c>
      <c r="V1194">
        <v>2</v>
      </c>
      <c r="W1194">
        <v>19.3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2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</row>
    <row r="1195" spans="1:37" x14ac:dyDescent="0.3">
      <c r="A1195">
        <v>7979</v>
      </c>
      <c r="B1195" t="s">
        <v>219</v>
      </c>
      <c r="D1195" t="s">
        <v>327</v>
      </c>
      <c r="E1195">
        <v>99999999</v>
      </c>
      <c r="F1195">
        <v>11111111</v>
      </c>
      <c r="G1195">
        <v>1111111111</v>
      </c>
      <c r="H1195" t="s">
        <v>4764</v>
      </c>
      <c r="I1195">
        <v>99999999</v>
      </c>
      <c r="J1195" s="188">
        <v>45236</v>
      </c>
      <c r="K1195" t="s">
        <v>4764</v>
      </c>
      <c r="L1195" t="s">
        <v>4764</v>
      </c>
      <c r="M1195" t="s">
        <v>684</v>
      </c>
      <c r="N1195" t="s">
        <v>99</v>
      </c>
      <c r="O1195" t="s">
        <v>1762</v>
      </c>
      <c r="P1195" t="s">
        <v>221</v>
      </c>
      <c r="Q1195" t="s">
        <v>82</v>
      </c>
      <c r="R1195">
        <v>3</v>
      </c>
      <c r="S1195">
        <v>8.6</v>
      </c>
      <c r="T1195">
        <v>0</v>
      </c>
      <c r="U1195">
        <v>1</v>
      </c>
      <c r="V1195">
        <v>3</v>
      </c>
      <c r="W1195">
        <v>24.41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3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</row>
    <row r="1196" spans="1:37" x14ac:dyDescent="0.3">
      <c r="A1196">
        <v>7979</v>
      </c>
      <c r="B1196" t="s">
        <v>219</v>
      </c>
      <c r="D1196" t="s">
        <v>327</v>
      </c>
      <c r="E1196">
        <v>99999999</v>
      </c>
      <c r="F1196">
        <v>11111111</v>
      </c>
      <c r="G1196">
        <v>1111111111</v>
      </c>
      <c r="H1196" t="s">
        <v>4765</v>
      </c>
      <c r="I1196">
        <v>99999999</v>
      </c>
      <c r="J1196" s="188">
        <v>45236</v>
      </c>
      <c r="K1196" t="s">
        <v>4765</v>
      </c>
      <c r="L1196" t="s">
        <v>4765</v>
      </c>
      <c r="M1196" t="s">
        <v>600</v>
      </c>
      <c r="N1196" t="s">
        <v>91</v>
      </c>
      <c r="O1196" t="s">
        <v>1763</v>
      </c>
      <c r="P1196" t="s">
        <v>221</v>
      </c>
      <c r="Q1196" t="s">
        <v>82</v>
      </c>
      <c r="R1196">
        <v>3</v>
      </c>
      <c r="S1196">
        <v>3.65</v>
      </c>
      <c r="T1196">
        <v>0</v>
      </c>
      <c r="U1196">
        <v>1</v>
      </c>
      <c r="V1196">
        <v>3</v>
      </c>
      <c r="W1196">
        <v>31.19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3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</row>
    <row r="1197" spans="1:37" x14ac:dyDescent="0.3">
      <c r="A1197">
        <v>7979</v>
      </c>
      <c r="B1197" t="s">
        <v>219</v>
      </c>
      <c r="D1197" t="s">
        <v>327</v>
      </c>
      <c r="E1197">
        <v>99999999</v>
      </c>
      <c r="F1197">
        <v>11111111</v>
      </c>
      <c r="G1197">
        <v>1111111111</v>
      </c>
      <c r="H1197" t="s">
        <v>4766</v>
      </c>
      <c r="I1197">
        <v>99999999</v>
      </c>
      <c r="J1197" s="188">
        <v>45236</v>
      </c>
      <c r="K1197" t="s">
        <v>4766</v>
      </c>
      <c r="L1197" t="s">
        <v>4766</v>
      </c>
      <c r="M1197" t="s">
        <v>406</v>
      </c>
      <c r="N1197" t="s">
        <v>99</v>
      </c>
      <c r="O1197" t="s">
        <v>1764</v>
      </c>
      <c r="P1197" t="s">
        <v>221</v>
      </c>
      <c r="Q1197" t="s">
        <v>82</v>
      </c>
      <c r="R1197">
        <v>2</v>
      </c>
      <c r="S1197">
        <v>1.1200000000000001</v>
      </c>
      <c r="T1197">
        <v>0</v>
      </c>
      <c r="U1197">
        <v>1</v>
      </c>
      <c r="V1197">
        <v>2</v>
      </c>
      <c r="W1197">
        <v>21.21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2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</row>
    <row r="1198" spans="1:37" x14ac:dyDescent="0.3">
      <c r="A1198">
        <v>7979</v>
      </c>
      <c r="B1198" t="s">
        <v>219</v>
      </c>
      <c r="D1198" t="s">
        <v>327</v>
      </c>
      <c r="E1198">
        <v>99999999</v>
      </c>
      <c r="F1198">
        <v>11111111</v>
      </c>
      <c r="G1198">
        <v>1111111111</v>
      </c>
      <c r="H1198" t="s">
        <v>4767</v>
      </c>
      <c r="I1198">
        <v>99999999</v>
      </c>
      <c r="J1198" s="188">
        <v>45236</v>
      </c>
      <c r="K1198" t="s">
        <v>4767</v>
      </c>
      <c r="L1198" t="s">
        <v>4767</v>
      </c>
      <c r="M1198" t="s">
        <v>207</v>
      </c>
      <c r="N1198" t="s">
        <v>99</v>
      </c>
      <c r="O1198" t="s">
        <v>1765</v>
      </c>
      <c r="P1198" t="s">
        <v>221</v>
      </c>
      <c r="Q1198" t="s">
        <v>82</v>
      </c>
      <c r="R1198">
        <v>10</v>
      </c>
      <c r="S1198">
        <v>8.9329999999999998</v>
      </c>
      <c r="T1198">
        <v>0</v>
      </c>
      <c r="U1198">
        <v>1</v>
      </c>
      <c r="V1198">
        <v>10</v>
      </c>
      <c r="W1198">
        <v>24.41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10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</row>
    <row r="1199" spans="1:37" x14ac:dyDescent="0.3">
      <c r="A1199">
        <v>7979</v>
      </c>
      <c r="B1199" t="s">
        <v>219</v>
      </c>
      <c r="D1199" t="s">
        <v>327</v>
      </c>
      <c r="E1199">
        <v>99999999</v>
      </c>
      <c r="F1199">
        <v>11111111</v>
      </c>
      <c r="G1199">
        <v>1111111111</v>
      </c>
      <c r="H1199" t="s">
        <v>4768</v>
      </c>
      <c r="I1199">
        <v>99999999</v>
      </c>
      <c r="J1199" s="188">
        <v>45236</v>
      </c>
      <c r="K1199" t="s">
        <v>4768</v>
      </c>
      <c r="L1199" t="s">
        <v>4768</v>
      </c>
      <c r="M1199" t="s">
        <v>101</v>
      </c>
      <c r="N1199" t="s">
        <v>97</v>
      </c>
      <c r="O1199" t="s">
        <v>1766</v>
      </c>
      <c r="P1199" t="s">
        <v>221</v>
      </c>
      <c r="Q1199" t="s">
        <v>82</v>
      </c>
      <c r="R1199">
        <v>2</v>
      </c>
      <c r="S1199">
        <v>1.66</v>
      </c>
      <c r="T1199">
        <v>0</v>
      </c>
      <c r="U1199">
        <v>1</v>
      </c>
      <c r="V1199">
        <v>2</v>
      </c>
      <c r="W1199">
        <v>21.88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2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</row>
    <row r="1200" spans="1:37" x14ac:dyDescent="0.3">
      <c r="A1200">
        <v>7979</v>
      </c>
      <c r="B1200" t="s">
        <v>219</v>
      </c>
      <c r="D1200" t="s">
        <v>327</v>
      </c>
      <c r="E1200">
        <v>99999999</v>
      </c>
      <c r="F1200">
        <v>11111111</v>
      </c>
      <c r="G1200">
        <v>1111111111</v>
      </c>
      <c r="H1200" t="s">
        <v>4769</v>
      </c>
      <c r="I1200">
        <v>99999999</v>
      </c>
      <c r="J1200" s="188">
        <v>45236</v>
      </c>
      <c r="K1200" t="s">
        <v>4769</v>
      </c>
      <c r="L1200" t="s">
        <v>4769</v>
      </c>
      <c r="M1200" t="s">
        <v>1638</v>
      </c>
      <c r="N1200" t="s">
        <v>99</v>
      </c>
      <c r="O1200" t="s">
        <v>1767</v>
      </c>
      <c r="P1200" t="s">
        <v>221</v>
      </c>
      <c r="Q1200" t="s">
        <v>82</v>
      </c>
      <c r="R1200">
        <v>9</v>
      </c>
      <c r="S1200">
        <v>11.83</v>
      </c>
      <c r="T1200">
        <v>0</v>
      </c>
      <c r="U1200">
        <v>1</v>
      </c>
      <c r="V1200">
        <v>7</v>
      </c>
      <c r="W1200">
        <v>31.17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9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</row>
    <row r="1201" spans="1:37" x14ac:dyDescent="0.3">
      <c r="A1201">
        <v>7979</v>
      </c>
      <c r="B1201" t="s">
        <v>219</v>
      </c>
      <c r="D1201" t="s">
        <v>327</v>
      </c>
      <c r="E1201">
        <v>99999999</v>
      </c>
      <c r="F1201">
        <v>11111111</v>
      </c>
      <c r="G1201">
        <v>1111111111</v>
      </c>
      <c r="H1201" t="s">
        <v>4770</v>
      </c>
      <c r="I1201">
        <v>99999999</v>
      </c>
      <c r="J1201" s="188">
        <v>45236</v>
      </c>
      <c r="K1201" t="s">
        <v>4770</v>
      </c>
      <c r="L1201" t="s">
        <v>4770</v>
      </c>
      <c r="M1201" t="s">
        <v>1768</v>
      </c>
      <c r="N1201" t="s">
        <v>164</v>
      </c>
      <c r="O1201" t="s">
        <v>1769</v>
      </c>
      <c r="P1201" t="s">
        <v>221</v>
      </c>
      <c r="Q1201" t="s">
        <v>82</v>
      </c>
      <c r="R1201">
        <v>3</v>
      </c>
      <c r="S1201">
        <v>4.49</v>
      </c>
      <c r="T1201">
        <v>0</v>
      </c>
      <c r="U1201">
        <v>1</v>
      </c>
      <c r="V1201">
        <v>3</v>
      </c>
      <c r="W1201">
        <v>29.05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3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</row>
    <row r="1202" spans="1:37" x14ac:dyDescent="0.3">
      <c r="A1202">
        <v>7979</v>
      </c>
      <c r="B1202" t="s">
        <v>219</v>
      </c>
      <c r="D1202" t="s">
        <v>327</v>
      </c>
      <c r="E1202">
        <v>99999999</v>
      </c>
      <c r="F1202">
        <v>11111111</v>
      </c>
      <c r="G1202">
        <v>1111111111</v>
      </c>
      <c r="H1202" t="s">
        <v>4771</v>
      </c>
      <c r="I1202">
        <v>99999999</v>
      </c>
      <c r="J1202" s="188">
        <v>45236</v>
      </c>
      <c r="K1202" t="s">
        <v>4771</v>
      </c>
      <c r="L1202" t="s">
        <v>4771</v>
      </c>
      <c r="M1202" t="s">
        <v>173</v>
      </c>
      <c r="N1202" t="s">
        <v>164</v>
      </c>
      <c r="O1202">
        <v>97206</v>
      </c>
      <c r="P1202" t="s">
        <v>221</v>
      </c>
      <c r="Q1202" t="s">
        <v>82</v>
      </c>
      <c r="R1202">
        <v>3</v>
      </c>
      <c r="S1202">
        <v>10</v>
      </c>
      <c r="T1202">
        <v>0</v>
      </c>
      <c r="U1202">
        <v>1</v>
      </c>
      <c r="V1202">
        <v>3</v>
      </c>
      <c r="W1202">
        <v>24.65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3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</row>
    <row r="1203" spans="1:37" x14ac:dyDescent="0.3">
      <c r="A1203">
        <v>7979</v>
      </c>
      <c r="B1203" t="s">
        <v>219</v>
      </c>
      <c r="D1203" t="s">
        <v>327</v>
      </c>
      <c r="E1203">
        <v>99999999</v>
      </c>
      <c r="F1203">
        <v>11111111</v>
      </c>
      <c r="G1203">
        <v>1111111111</v>
      </c>
      <c r="H1203" t="s">
        <v>4772</v>
      </c>
      <c r="I1203">
        <v>99999999</v>
      </c>
      <c r="J1203" s="188">
        <v>45236</v>
      </c>
      <c r="K1203" t="s">
        <v>4772</v>
      </c>
      <c r="L1203" t="s">
        <v>4772</v>
      </c>
      <c r="M1203" t="s">
        <v>1770</v>
      </c>
      <c r="N1203" t="s">
        <v>99</v>
      </c>
      <c r="O1203" t="s">
        <v>1771</v>
      </c>
      <c r="P1203" t="s">
        <v>221</v>
      </c>
      <c r="Q1203" t="s">
        <v>82</v>
      </c>
      <c r="R1203">
        <v>3</v>
      </c>
      <c r="S1203">
        <v>4.92</v>
      </c>
      <c r="T1203">
        <v>0</v>
      </c>
      <c r="U1203">
        <v>1</v>
      </c>
      <c r="V1203">
        <v>3</v>
      </c>
      <c r="W1203">
        <v>23.09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3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</row>
    <row r="1204" spans="1:37" x14ac:dyDescent="0.3">
      <c r="A1204">
        <v>7979</v>
      </c>
      <c r="B1204" t="s">
        <v>219</v>
      </c>
      <c r="D1204" t="s">
        <v>327</v>
      </c>
      <c r="E1204">
        <v>99999999</v>
      </c>
      <c r="F1204">
        <v>11111111</v>
      </c>
      <c r="G1204">
        <v>1111111111</v>
      </c>
      <c r="H1204" t="s">
        <v>4773</v>
      </c>
      <c r="I1204">
        <v>99999999</v>
      </c>
      <c r="J1204" s="188">
        <v>45236</v>
      </c>
      <c r="K1204" t="s">
        <v>4773</v>
      </c>
      <c r="L1204" t="s">
        <v>4773</v>
      </c>
      <c r="M1204" t="s">
        <v>337</v>
      </c>
      <c r="N1204" t="s">
        <v>99</v>
      </c>
      <c r="O1204" t="s">
        <v>1772</v>
      </c>
      <c r="P1204" t="s">
        <v>221</v>
      </c>
      <c r="Q1204" t="s">
        <v>82</v>
      </c>
      <c r="R1204">
        <v>3</v>
      </c>
      <c r="S1204">
        <v>3.25</v>
      </c>
      <c r="T1204">
        <v>0</v>
      </c>
      <c r="U1204">
        <v>1</v>
      </c>
      <c r="V1204">
        <v>3</v>
      </c>
      <c r="W1204">
        <v>19.54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3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</row>
    <row r="1205" spans="1:37" x14ac:dyDescent="0.3">
      <c r="A1205">
        <v>7979</v>
      </c>
      <c r="B1205" t="s">
        <v>219</v>
      </c>
      <c r="D1205" t="s">
        <v>327</v>
      </c>
      <c r="E1205">
        <v>99999999</v>
      </c>
      <c r="F1205">
        <v>11111111</v>
      </c>
      <c r="G1205">
        <v>1111111111</v>
      </c>
      <c r="H1205" t="s">
        <v>4774</v>
      </c>
      <c r="I1205">
        <v>99999999</v>
      </c>
      <c r="J1205" s="188">
        <v>45236</v>
      </c>
      <c r="K1205" t="s">
        <v>4774</v>
      </c>
      <c r="L1205" t="s">
        <v>4774</v>
      </c>
      <c r="M1205" t="s">
        <v>1773</v>
      </c>
      <c r="N1205" t="s">
        <v>99</v>
      </c>
      <c r="O1205" t="s">
        <v>1774</v>
      </c>
      <c r="P1205" t="s">
        <v>221</v>
      </c>
      <c r="Q1205" t="s">
        <v>82</v>
      </c>
      <c r="R1205">
        <v>4</v>
      </c>
      <c r="S1205">
        <v>20.100000000000001</v>
      </c>
      <c r="T1205">
        <v>0</v>
      </c>
      <c r="U1205">
        <v>1</v>
      </c>
      <c r="V1205">
        <v>4</v>
      </c>
      <c r="W1205">
        <v>28.56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4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</row>
    <row r="1206" spans="1:37" x14ac:dyDescent="0.3">
      <c r="A1206">
        <v>7979</v>
      </c>
      <c r="B1206" t="s">
        <v>219</v>
      </c>
      <c r="D1206" t="s">
        <v>327</v>
      </c>
      <c r="E1206">
        <v>99999999</v>
      </c>
      <c r="F1206">
        <v>11111111</v>
      </c>
      <c r="G1206">
        <v>1111111111</v>
      </c>
      <c r="H1206" t="s">
        <v>4775</v>
      </c>
      <c r="I1206">
        <v>99999999</v>
      </c>
      <c r="J1206" s="188">
        <v>45236</v>
      </c>
      <c r="K1206" t="s">
        <v>4775</v>
      </c>
      <c r="L1206" t="s">
        <v>4775</v>
      </c>
      <c r="M1206" t="s">
        <v>677</v>
      </c>
      <c r="N1206" t="s">
        <v>85</v>
      </c>
      <c r="O1206">
        <v>89131</v>
      </c>
      <c r="P1206" t="s">
        <v>221</v>
      </c>
      <c r="Q1206" t="s">
        <v>82</v>
      </c>
      <c r="R1206">
        <v>12</v>
      </c>
      <c r="S1206">
        <v>15.04</v>
      </c>
      <c r="T1206">
        <v>0</v>
      </c>
      <c r="U1206">
        <v>1</v>
      </c>
      <c r="V1206">
        <v>11</v>
      </c>
      <c r="W1206">
        <v>25.86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12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</row>
    <row r="1207" spans="1:37" x14ac:dyDescent="0.3">
      <c r="A1207">
        <v>7979</v>
      </c>
      <c r="B1207" t="s">
        <v>219</v>
      </c>
      <c r="D1207" t="s">
        <v>327</v>
      </c>
      <c r="E1207">
        <v>99999999</v>
      </c>
      <c r="F1207">
        <v>11111111</v>
      </c>
      <c r="G1207">
        <v>1111111111</v>
      </c>
      <c r="H1207" t="s">
        <v>4776</v>
      </c>
      <c r="I1207">
        <v>99999999</v>
      </c>
      <c r="J1207" s="188">
        <v>45236</v>
      </c>
      <c r="K1207" t="s">
        <v>4776</v>
      </c>
      <c r="L1207" t="s">
        <v>4776</v>
      </c>
      <c r="M1207" t="s">
        <v>103</v>
      </c>
      <c r="N1207" t="s">
        <v>104</v>
      </c>
      <c r="O1207">
        <v>83607</v>
      </c>
      <c r="P1207" t="s">
        <v>221</v>
      </c>
      <c r="Q1207" t="s">
        <v>82</v>
      </c>
      <c r="R1207">
        <v>3</v>
      </c>
      <c r="S1207">
        <v>5.1150000000000002</v>
      </c>
      <c r="T1207">
        <v>0</v>
      </c>
      <c r="U1207">
        <v>1</v>
      </c>
      <c r="V1207">
        <v>3</v>
      </c>
      <c r="W1207">
        <v>29.21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3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</row>
    <row r="1208" spans="1:37" x14ac:dyDescent="0.3">
      <c r="A1208">
        <v>7979</v>
      </c>
      <c r="B1208" t="s">
        <v>219</v>
      </c>
      <c r="D1208" t="s">
        <v>327</v>
      </c>
      <c r="E1208">
        <v>99999999</v>
      </c>
      <c r="F1208">
        <v>11111111</v>
      </c>
      <c r="G1208">
        <v>1111111111</v>
      </c>
      <c r="H1208" t="s">
        <v>4777</v>
      </c>
      <c r="I1208">
        <v>99999999</v>
      </c>
      <c r="J1208" s="188">
        <v>45236</v>
      </c>
      <c r="K1208" t="s">
        <v>4777</v>
      </c>
      <c r="L1208" t="s">
        <v>4777</v>
      </c>
      <c r="M1208" t="s">
        <v>1301</v>
      </c>
      <c r="N1208" t="s">
        <v>99</v>
      </c>
      <c r="O1208" t="s">
        <v>1549</v>
      </c>
      <c r="P1208" t="s">
        <v>221</v>
      </c>
      <c r="Q1208" t="s">
        <v>82</v>
      </c>
      <c r="R1208">
        <v>3</v>
      </c>
      <c r="S1208">
        <v>8.94</v>
      </c>
      <c r="T1208">
        <v>0</v>
      </c>
      <c r="U1208">
        <v>1</v>
      </c>
      <c r="V1208">
        <v>2</v>
      </c>
      <c r="W1208">
        <v>27.79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3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</row>
    <row r="1209" spans="1:37" x14ac:dyDescent="0.3">
      <c r="A1209">
        <v>7979</v>
      </c>
      <c r="B1209" t="s">
        <v>219</v>
      </c>
      <c r="D1209" t="s">
        <v>327</v>
      </c>
      <c r="E1209">
        <v>99999999</v>
      </c>
      <c r="F1209">
        <v>11111111</v>
      </c>
      <c r="G1209">
        <v>1111111111</v>
      </c>
      <c r="H1209" t="s">
        <v>4778</v>
      </c>
      <c r="I1209">
        <v>99999999</v>
      </c>
      <c r="J1209" s="188">
        <v>45236</v>
      </c>
      <c r="K1209" t="s">
        <v>4778</v>
      </c>
      <c r="L1209" t="s">
        <v>4778</v>
      </c>
      <c r="M1209" t="s">
        <v>176</v>
      </c>
      <c r="N1209" t="s">
        <v>130</v>
      </c>
      <c r="O1209" t="s">
        <v>1775</v>
      </c>
      <c r="P1209" t="s">
        <v>221</v>
      </c>
      <c r="Q1209" t="s">
        <v>82</v>
      </c>
      <c r="R1209">
        <v>4</v>
      </c>
      <c r="S1209">
        <v>2.1280000000000001</v>
      </c>
      <c r="T1209">
        <v>0</v>
      </c>
      <c r="U1209">
        <v>1</v>
      </c>
      <c r="V1209">
        <v>4</v>
      </c>
      <c r="W1209">
        <v>22.67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4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</row>
    <row r="1210" spans="1:37" x14ac:dyDescent="0.3">
      <c r="A1210">
        <v>7979</v>
      </c>
      <c r="B1210" t="s">
        <v>219</v>
      </c>
      <c r="D1210" t="s">
        <v>327</v>
      </c>
      <c r="E1210">
        <v>99999999</v>
      </c>
      <c r="F1210">
        <v>11111111</v>
      </c>
      <c r="G1210">
        <v>1111111111</v>
      </c>
      <c r="H1210" t="s">
        <v>4779</v>
      </c>
      <c r="I1210">
        <v>99999999</v>
      </c>
      <c r="J1210" s="188">
        <v>45236</v>
      </c>
      <c r="K1210" t="s">
        <v>4779</v>
      </c>
      <c r="L1210" t="s">
        <v>4779</v>
      </c>
      <c r="M1210" t="s">
        <v>1590</v>
      </c>
      <c r="N1210" t="s">
        <v>135</v>
      </c>
      <c r="O1210" t="s">
        <v>1776</v>
      </c>
      <c r="P1210" t="s">
        <v>221</v>
      </c>
      <c r="Q1210" t="s">
        <v>82</v>
      </c>
      <c r="R1210">
        <v>6</v>
      </c>
      <c r="S1210">
        <v>4.04</v>
      </c>
      <c r="T1210">
        <v>0</v>
      </c>
      <c r="U1210">
        <v>1</v>
      </c>
      <c r="V1210">
        <v>5</v>
      </c>
      <c r="W1210">
        <v>31.19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6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</row>
    <row r="1211" spans="1:37" x14ac:dyDescent="0.3">
      <c r="A1211">
        <v>7979</v>
      </c>
      <c r="B1211" t="s">
        <v>219</v>
      </c>
      <c r="D1211" t="s">
        <v>327</v>
      </c>
      <c r="E1211">
        <v>99999999</v>
      </c>
      <c r="F1211">
        <v>11111111</v>
      </c>
      <c r="G1211">
        <v>1111111111</v>
      </c>
      <c r="H1211" t="s">
        <v>4780</v>
      </c>
      <c r="I1211">
        <v>99999999</v>
      </c>
      <c r="J1211" s="188">
        <v>45236</v>
      </c>
      <c r="K1211" t="s">
        <v>4780</v>
      </c>
      <c r="L1211" t="s">
        <v>4780</v>
      </c>
      <c r="M1211" t="s">
        <v>865</v>
      </c>
      <c r="N1211" t="s">
        <v>91</v>
      </c>
      <c r="O1211" t="s">
        <v>1777</v>
      </c>
      <c r="P1211" t="s">
        <v>221</v>
      </c>
      <c r="Q1211" t="s">
        <v>82</v>
      </c>
      <c r="R1211">
        <v>3</v>
      </c>
      <c r="S1211">
        <v>7.27</v>
      </c>
      <c r="T1211">
        <v>0</v>
      </c>
      <c r="U1211">
        <v>1</v>
      </c>
      <c r="V1211">
        <v>3</v>
      </c>
      <c r="W1211">
        <v>25.57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3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</row>
    <row r="1212" spans="1:37" x14ac:dyDescent="0.3">
      <c r="A1212">
        <v>7979</v>
      </c>
      <c r="B1212" t="s">
        <v>219</v>
      </c>
      <c r="D1212" t="s">
        <v>327</v>
      </c>
      <c r="E1212">
        <v>99999999</v>
      </c>
      <c r="F1212">
        <v>11111111</v>
      </c>
      <c r="G1212">
        <v>1111111111</v>
      </c>
      <c r="H1212" t="s">
        <v>4781</v>
      </c>
      <c r="I1212">
        <v>99999999</v>
      </c>
      <c r="J1212" s="188">
        <v>45236</v>
      </c>
      <c r="K1212" t="s">
        <v>4781</v>
      </c>
      <c r="L1212" t="s">
        <v>4781</v>
      </c>
      <c r="M1212" t="s">
        <v>618</v>
      </c>
      <c r="N1212" t="s">
        <v>99</v>
      </c>
      <c r="O1212" t="s">
        <v>1778</v>
      </c>
      <c r="P1212" t="s">
        <v>221</v>
      </c>
      <c r="Q1212" t="s">
        <v>82</v>
      </c>
      <c r="R1212">
        <v>3</v>
      </c>
      <c r="S1212">
        <v>9.8000000000000007</v>
      </c>
      <c r="T1212">
        <v>0</v>
      </c>
      <c r="U1212">
        <v>1</v>
      </c>
      <c r="V1212">
        <v>3</v>
      </c>
      <c r="W1212">
        <v>23.02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3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</row>
    <row r="1213" spans="1:37" x14ac:dyDescent="0.3">
      <c r="A1213">
        <v>7979</v>
      </c>
      <c r="B1213" t="s">
        <v>219</v>
      </c>
      <c r="D1213" t="s">
        <v>327</v>
      </c>
      <c r="E1213">
        <v>99999999</v>
      </c>
      <c r="F1213">
        <v>11111111</v>
      </c>
      <c r="G1213">
        <v>1111111111</v>
      </c>
      <c r="H1213" t="s">
        <v>4782</v>
      </c>
      <c r="I1213">
        <v>99999999</v>
      </c>
      <c r="J1213" s="188">
        <v>45236</v>
      </c>
      <c r="K1213" t="s">
        <v>4782</v>
      </c>
      <c r="L1213" t="s">
        <v>4782</v>
      </c>
      <c r="M1213" t="s">
        <v>416</v>
      </c>
      <c r="N1213" t="s">
        <v>197</v>
      </c>
      <c r="O1213" t="s">
        <v>1779</v>
      </c>
      <c r="P1213" t="s">
        <v>221</v>
      </c>
      <c r="Q1213" t="s">
        <v>82</v>
      </c>
      <c r="R1213">
        <v>10</v>
      </c>
      <c r="S1213">
        <v>12.52</v>
      </c>
      <c r="T1213">
        <v>0</v>
      </c>
      <c r="U1213">
        <v>1</v>
      </c>
      <c r="V1213">
        <v>8</v>
      </c>
      <c r="W1213">
        <v>35.82</v>
      </c>
      <c r="X1213">
        <v>0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10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</row>
    <row r="1214" spans="1:37" x14ac:dyDescent="0.3">
      <c r="A1214">
        <v>7979</v>
      </c>
      <c r="B1214" t="s">
        <v>219</v>
      </c>
      <c r="D1214" t="s">
        <v>327</v>
      </c>
      <c r="E1214">
        <v>99999999</v>
      </c>
      <c r="F1214">
        <v>11111111</v>
      </c>
      <c r="G1214">
        <v>1111111111</v>
      </c>
      <c r="H1214" t="s">
        <v>4783</v>
      </c>
      <c r="I1214">
        <v>99999999</v>
      </c>
      <c r="J1214" s="188">
        <v>45236</v>
      </c>
      <c r="K1214" t="s">
        <v>4783</v>
      </c>
      <c r="L1214" t="s">
        <v>4783</v>
      </c>
      <c r="M1214" t="s">
        <v>1255</v>
      </c>
      <c r="N1214" t="s">
        <v>99</v>
      </c>
      <c r="O1214" t="s">
        <v>1780</v>
      </c>
      <c r="P1214" t="s">
        <v>221</v>
      </c>
      <c r="Q1214" t="s">
        <v>82</v>
      </c>
      <c r="R1214">
        <v>2</v>
      </c>
      <c r="S1214">
        <v>12.88</v>
      </c>
      <c r="T1214">
        <v>0</v>
      </c>
      <c r="U1214">
        <v>1</v>
      </c>
      <c r="V1214">
        <v>2</v>
      </c>
      <c r="W1214">
        <v>27.41</v>
      </c>
      <c r="X1214">
        <v>0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2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</row>
    <row r="1215" spans="1:37" x14ac:dyDescent="0.3">
      <c r="A1215">
        <v>7979</v>
      </c>
      <c r="B1215" t="s">
        <v>219</v>
      </c>
      <c r="D1215" t="s">
        <v>327</v>
      </c>
      <c r="E1215">
        <v>99999999</v>
      </c>
      <c r="F1215">
        <v>11111111</v>
      </c>
      <c r="G1215">
        <v>1111111111</v>
      </c>
      <c r="H1215" t="s">
        <v>4784</v>
      </c>
      <c r="I1215">
        <v>99999999</v>
      </c>
      <c r="J1215" s="188">
        <v>45236</v>
      </c>
      <c r="K1215" t="s">
        <v>4784</v>
      </c>
      <c r="L1215" t="s">
        <v>4784</v>
      </c>
      <c r="M1215" t="s">
        <v>101</v>
      </c>
      <c r="N1215" t="s">
        <v>97</v>
      </c>
      <c r="O1215">
        <v>98125</v>
      </c>
      <c r="P1215" t="s">
        <v>221</v>
      </c>
      <c r="Q1215" t="s">
        <v>82</v>
      </c>
      <c r="R1215">
        <v>3</v>
      </c>
      <c r="S1215">
        <v>3.58</v>
      </c>
      <c r="T1215">
        <v>0</v>
      </c>
      <c r="U1215">
        <v>1</v>
      </c>
      <c r="V1215">
        <v>3</v>
      </c>
      <c r="W1215">
        <v>22.93</v>
      </c>
      <c r="X1215">
        <v>0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3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</row>
    <row r="1216" spans="1:37" x14ac:dyDescent="0.3">
      <c r="A1216">
        <v>7979</v>
      </c>
      <c r="B1216" t="s">
        <v>219</v>
      </c>
      <c r="D1216" t="s">
        <v>327</v>
      </c>
      <c r="E1216">
        <v>99999999</v>
      </c>
      <c r="F1216">
        <v>11111111</v>
      </c>
      <c r="G1216">
        <v>1111111111</v>
      </c>
      <c r="H1216" t="s">
        <v>4785</v>
      </c>
      <c r="I1216">
        <v>99999999</v>
      </c>
      <c r="J1216" s="188">
        <v>45236</v>
      </c>
      <c r="K1216" t="s">
        <v>4785</v>
      </c>
      <c r="L1216" t="s">
        <v>4785</v>
      </c>
      <c r="M1216" t="s">
        <v>1508</v>
      </c>
      <c r="N1216" t="s">
        <v>99</v>
      </c>
      <c r="O1216" t="s">
        <v>1781</v>
      </c>
      <c r="P1216" t="s">
        <v>221</v>
      </c>
      <c r="Q1216" t="s">
        <v>82</v>
      </c>
      <c r="R1216">
        <v>2</v>
      </c>
      <c r="S1216">
        <v>0.21</v>
      </c>
      <c r="T1216">
        <v>0</v>
      </c>
      <c r="U1216">
        <v>1</v>
      </c>
      <c r="V1216">
        <v>2</v>
      </c>
      <c r="W1216">
        <v>18.2</v>
      </c>
      <c r="X1216">
        <v>0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2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</row>
    <row r="1217" spans="1:37" x14ac:dyDescent="0.3">
      <c r="A1217">
        <v>7979</v>
      </c>
      <c r="B1217" t="s">
        <v>219</v>
      </c>
      <c r="D1217" t="s">
        <v>327</v>
      </c>
      <c r="E1217">
        <v>99999999</v>
      </c>
      <c r="F1217">
        <v>11111111</v>
      </c>
      <c r="G1217">
        <v>1111111111</v>
      </c>
      <c r="H1217" t="s">
        <v>4786</v>
      </c>
      <c r="I1217">
        <v>99999999</v>
      </c>
      <c r="J1217" s="188">
        <v>45236</v>
      </c>
      <c r="K1217" t="s">
        <v>4786</v>
      </c>
      <c r="L1217" t="s">
        <v>4786</v>
      </c>
      <c r="M1217" t="s">
        <v>824</v>
      </c>
      <c r="N1217" t="s">
        <v>164</v>
      </c>
      <c r="O1217">
        <v>97876</v>
      </c>
      <c r="P1217" t="s">
        <v>221</v>
      </c>
      <c r="Q1217" t="s">
        <v>82</v>
      </c>
      <c r="R1217">
        <v>3</v>
      </c>
      <c r="S1217">
        <v>14.8</v>
      </c>
      <c r="T1217">
        <v>0</v>
      </c>
      <c r="U1217">
        <v>1</v>
      </c>
      <c r="V1217">
        <v>3</v>
      </c>
      <c r="W1217">
        <v>34.119999999999997</v>
      </c>
      <c r="X1217">
        <v>0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3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</row>
    <row r="1218" spans="1:37" x14ac:dyDescent="0.3">
      <c r="A1218">
        <v>7979</v>
      </c>
      <c r="B1218" t="s">
        <v>219</v>
      </c>
      <c r="D1218" t="s">
        <v>327</v>
      </c>
      <c r="E1218">
        <v>99999999</v>
      </c>
      <c r="F1218">
        <v>11111111</v>
      </c>
      <c r="G1218">
        <v>1111111111</v>
      </c>
      <c r="H1218" t="s">
        <v>4787</v>
      </c>
      <c r="I1218">
        <v>99999999</v>
      </c>
      <c r="J1218" s="188">
        <v>45236</v>
      </c>
      <c r="K1218" t="s">
        <v>4787</v>
      </c>
      <c r="L1218" t="s">
        <v>4787</v>
      </c>
      <c r="M1218" t="s">
        <v>523</v>
      </c>
      <c r="N1218" t="s">
        <v>97</v>
      </c>
      <c r="O1218" t="s">
        <v>1782</v>
      </c>
      <c r="P1218" t="s">
        <v>221</v>
      </c>
      <c r="Q1218" t="s">
        <v>82</v>
      </c>
      <c r="R1218">
        <v>2</v>
      </c>
      <c r="S1218">
        <v>16.3</v>
      </c>
      <c r="T1218">
        <v>0</v>
      </c>
      <c r="U1218">
        <v>1</v>
      </c>
      <c r="V1218">
        <v>2</v>
      </c>
      <c r="W1218">
        <v>26.08</v>
      </c>
      <c r="X1218">
        <v>0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2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</row>
    <row r="1219" spans="1:37" x14ac:dyDescent="0.3">
      <c r="A1219">
        <v>7979</v>
      </c>
      <c r="B1219" t="s">
        <v>219</v>
      </c>
      <c r="D1219" t="s">
        <v>327</v>
      </c>
      <c r="E1219">
        <v>99999999</v>
      </c>
      <c r="F1219">
        <v>11111111</v>
      </c>
      <c r="G1219">
        <v>1111111111</v>
      </c>
      <c r="H1219" t="s">
        <v>4788</v>
      </c>
      <c r="I1219">
        <v>99999999</v>
      </c>
      <c r="J1219" s="188">
        <v>45236</v>
      </c>
      <c r="K1219" t="s">
        <v>4788</v>
      </c>
      <c r="L1219" t="s">
        <v>4788</v>
      </c>
      <c r="M1219" t="s">
        <v>807</v>
      </c>
      <c r="N1219" t="s">
        <v>99</v>
      </c>
      <c r="O1219" t="s">
        <v>1783</v>
      </c>
      <c r="P1219" t="s">
        <v>221</v>
      </c>
      <c r="Q1219" t="s">
        <v>82</v>
      </c>
      <c r="R1219">
        <v>2</v>
      </c>
      <c r="S1219">
        <v>3.4</v>
      </c>
      <c r="T1219">
        <v>0</v>
      </c>
      <c r="U1219">
        <v>1</v>
      </c>
      <c r="V1219">
        <v>2</v>
      </c>
      <c r="W1219">
        <v>20.77</v>
      </c>
      <c r="X1219">
        <v>0</v>
      </c>
      <c r="Y1219">
        <v>0</v>
      </c>
      <c r="Z1219">
        <v>0</v>
      </c>
      <c r="AA1219">
        <v>0</v>
      </c>
      <c r="AB1219">
        <v>0</v>
      </c>
      <c r="AC1219">
        <v>0</v>
      </c>
      <c r="AD1219">
        <v>2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</row>
    <row r="1220" spans="1:37" x14ac:dyDescent="0.3">
      <c r="A1220">
        <v>7979</v>
      </c>
      <c r="B1220" t="s">
        <v>219</v>
      </c>
      <c r="D1220" t="s">
        <v>327</v>
      </c>
      <c r="E1220">
        <v>99999999</v>
      </c>
      <c r="F1220">
        <v>11111111</v>
      </c>
      <c r="G1220">
        <v>1111111111</v>
      </c>
      <c r="H1220" t="s">
        <v>4789</v>
      </c>
      <c r="I1220">
        <v>99999999</v>
      </c>
      <c r="J1220" s="188">
        <v>45236</v>
      </c>
      <c r="K1220" t="s">
        <v>4789</v>
      </c>
      <c r="L1220" t="s">
        <v>4789</v>
      </c>
      <c r="M1220" t="s">
        <v>420</v>
      </c>
      <c r="N1220" t="s">
        <v>164</v>
      </c>
      <c r="O1220" t="s">
        <v>1784</v>
      </c>
      <c r="P1220" t="s">
        <v>221</v>
      </c>
      <c r="Q1220" t="s">
        <v>82</v>
      </c>
      <c r="R1220">
        <v>3</v>
      </c>
      <c r="S1220">
        <v>2.0499999999999998</v>
      </c>
      <c r="T1220">
        <v>0</v>
      </c>
      <c r="U1220">
        <v>1</v>
      </c>
      <c r="V1220">
        <v>3</v>
      </c>
      <c r="W1220">
        <v>28</v>
      </c>
      <c r="X1220">
        <v>0</v>
      </c>
      <c r="Y1220">
        <v>0</v>
      </c>
      <c r="Z1220">
        <v>0</v>
      </c>
      <c r="AA1220">
        <v>0</v>
      </c>
      <c r="AB1220">
        <v>0</v>
      </c>
      <c r="AC1220">
        <v>0</v>
      </c>
      <c r="AD1220">
        <v>3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</row>
    <row r="1221" spans="1:37" x14ac:dyDescent="0.3">
      <c r="A1221">
        <v>7979</v>
      </c>
      <c r="B1221" t="s">
        <v>219</v>
      </c>
      <c r="D1221" t="s">
        <v>327</v>
      </c>
      <c r="E1221">
        <v>99999999</v>
      </c>
      <c r="F1221">
        <v>11111111</v>
      </c>
      <c r="G1221">
        <v>1111111111</v>
      </c>
      <c r="H1221" t="s">
        <v>4790</v>
      </c>
      <c r="I1221">
        <v>99999999</v>
      </c>
      <c r="J1221" s="188">
        <v>45236</v>
      </c>
      <c r="K1221" t="s">
        <v>4790</v>
      </c>
      <c r="L1221" t="s">
        <v>4790</v>
      </c>
      <c r="M1221" t="s">
        <v>173</v>
      </c>
      <c r="N1221" t="s">
        <v>164</v>
      </c>
      <c r="O1221" t="s">
        <v>1785</v>
      </c>
      <c r="P1221" t="s">
        <v>221</v>
      </c>
      <c r="Q1221" t="s">
        <v>82</v>
      </c>
      <c r="R1221">
        <v>2</v>
      </c>
      <c r="S1221">
        <v>7.15</v>
      </c>
      <c r="T1221">
        <v>0</v>
      </c>
      <c r="U1221">
        <v>1</v>
      </c>
      <c r="V1221">
        <v>2</v>
      </c>
      <c r="W1221">
        <v>24.15</v>
      </c>
      <c r="X1221">
        <v>0</v>
      </c>
      <c r="Y1221">
        <v>0</v>
      </c>
      <c r="Z1221">
        <v>0</v>
      </c>
      <c r="AA1221">
        <v>0</v>
      </c>
      <c r="AB1221">
        <v>0</v>
      </c>
      <c r="AC1221">
        <v>0</v>
      </c>
      <c r="AD1221">
        <v>2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</row>
    <row r="1222" spans="1:37" x14ac:dyDescent="0.3">
      <c r="A1222">
        <v>7979</v>
      </c>
      <c r="B1222" t="s">
        <v>219</v>
      </c>
      <c r="D1222" t="s">
        <v>327</v>
      </c>
      <c r="E1222">
        <v>99999999</v>
      </c>
      <c r="F1222">
        <v>11111111</v>
      </c>
      <c r="G1222">
        <v>1111111111</v>
      </c>
      <c r="H1222" t="s">
        <v>4791</v>
      </c>
      <c r="I1222">
        <v>99999999</v>
      </c>
      <c r="J1222" s="188">
        <v>45236</v>
      </c>
      <c r="K1222" t="s">
        <v>4791</v>
      </c>
      <c r="L1222" t="s">
        <v>4791</v>
      </c>
      <c r="M1222" t="s">
        <v>1454</v>
      </c>
      <c r="N1222" t="s">
        <v>197</v>
      </c>
      <c r="O1222" t="s">
        <v>1786</v>
      </c>
      <c r="P1222" t="s">
        <v>221</v>
      </c>
      <c r="Q1222" t="s">
        <v>82</v>
      </c>
      <c r="R1222">
        <v>4</v>
      </c>
      <c r="S1222">
        <v>7.5</v>
      </c>
      <c r="T1222">
        <v>0</v>
      </c>
      <c r="U1222">
        <v>1</v>
      </c>
      <c r="V1222">
        <v>4</v>
      </c>
      <c r="W1222">
        <v>26.25</v>
      </c>
      <c r="X1222">
        <v>0</v>
      </c>
      <c r="Y1222">
        <v>0</v>
      </c>
      <c r="Z1222">
        <v>0</v>
      </c>
      <c r="AA1222">
        <v>0</v>
      </c>
      <c r="AB1222">
        <v>0</v>
      </c>
      <c r="AC1222">
        <v>0</v>
      </c>
      <c r="AD1222">
        <v>4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</row>
    <row r="1223" spans="1:37" x14ac:dyDescent="0.3">
      <c r="A1223">
        <v>7979</v>
      </c>
      <c r="B1223" t="s">
        <v>219</v>
      </c>
      <c r="D1223" t="s">
        <v>327</v>
      </c>
      <c r="E1223">
        <v>99999999</v>
      </c>
      <c r="F1223">
        <v>11111111</v>
      </c>
      <c r="G1223">
        <v>1111111111</v>
      </c>
      <c r="H1223" t="s">
        <v>4792</v>
      </c>
      <c r="I1223">
        <v>99999999</v>
      </c>
      <c r="J1223" s="188">
        <v>45236</v>
      </c>
      <c r="K1223" t="s">
        <v>4792</v>
      </c>
      <c r="L1223" t="s">
        <v>4792</v>
      </c>
      <c r="M1223" t="s">
        <v>297</v>
      </c>
      <c r="N1223" t="s">
        <v>197</v>
      </c>
      <c r="O1223" t="s">
        <v>1787</v>
      </c>
      <c r="P1223" t="s">
        <v>221</v>
      </c>
      <c r="Q1223" t="s">
        <v>82</v>
      </c>
      <c r="R1223">
        <v>4</v>
      </c>
      <c r="S1223">
        <v>8.16</v>
      </c>
      <c r="T1223">
        <v>0</v>
      </c>
      <c r="U1223">
        <v>1</v>
      </c>
      <c r="V1223">
        <v>4</v>
      </c>
      <c r="W1223">
        <v>26.68</v>
      </c>
      <c r="X1223">
        <v>0</v>
      </c>
      <c r="Y1223">
        <v>0</v>
      </c>
      <c r="Z1223">
        <v>0</v>
      </c>
      <c r="AA1223">
        <v>0</v>
      </c>
      <c r="AB1223">
        <v>0</v>
      </c>
      <c r="AC1223">
        <v>0</v>
      </c>
      <c r="AD1223">
        <v>4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</row>
    <row r="1224" spans="1:37" x14ac:dyDescent="0.3">
      <c r="A1224">
        <v>7979</v>
      </c>
      <c r="B1224" t="s">
        <v>219</v>
      </c>
      <c r="D1224" t="s">
        <v>327</v>
      </c>
      <c r="E1224">
        <v>99999999</v>
      </c>
      <c r="F1224">
        <v>11111111</v>
      </c>
      <c r="G1224">
        <v>1111111111</v>
      </c>
      <c r="H1224" t="s">
        <v>4793</v>
      </c>
      <c r="I1224">
        <v>99999999</v>
      </c>
      <c r="J1224" s="188">
        <v>45236</v>
      </c>
      <c r="K1224" t="s">
        <v>4793</v>
      </c>
      <c r="L1224" t="s">
        <v>4793</v>
      </c>
      <c r="M1224" t="s">
        <v>101</v>
      </c>
      <c r="N1224" t="s">
        <v>97</v>
      </c>
      <c r="O1224" t="s">
        <v>1788</v>
      </c>
      <c r="P1224" t="s">
        <v>221</v>
      </c>
      <c r="Q1224" t="s">
        <v>82</v>
      </c>
      <c r="R1224">
        <v>4</v>
      </c>
      <c r="S1224">
        <v>5.73</v>
      </c>
      <c r="T1224">
        <v>0</v>
      </c>
      <c r="U1224">
        <v>1</v>
      </c>
      <c r="V1224">
        <v>3</v>
      </c>
      <c r="W1224">
        <v>23.54</v>
      </c>
      <c r="X1224">
        <v>0</v>
      </c>
      <c r="Y1224">
        <v>0</v>
      </c>
      <c r="Z1224">
        <v>0</v>
      </c>
      <c r="AA1224">
        <v>0</v>
      </c>
      <c r="AB1224">
        <v>0</v>
      </c>
      <c r="AC1224">
        <v>0</v>
      </c>
      <c r="AD1224">
        <v>4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</row>
    <row r="1225" spans="1:37" x14ac:dyDescent="0.3">
      <c r="A1225">
        <v>7979</v>
      </c>
      <c r="B1225" t="s">
        <v>219</v>
      </c>
      <c r="D1225" t="s">
        <v>327</v>
      </c>
      <c r="E1225">
        <v>99999999</v>
      </c>
      <c r="F1225">
        <v>11111111</v>
      </c>
      <c r="G1225">
        <v>1111111111</v>
      </c>
      <c r="H1225" t="s">
        <v>4794</v>
      </c>
      <c r="I1225">
        <v>99999999</v>
      </c>
      <c r="J1225" s="188">
        <v>45236</v>
      </c>
      <c r="K1225" t="s">
        <v>4794</v>
      </c>
      <c r="L1225" t="s">
        <v>4794</v>
      </c>
      <c r="M1225" t="s">
        <v>1768</v>
      </c>
      <c r="N1225" t="s">
        <v>164</v>
      </c>
      <c r="O1225" t="s">
        <v>1789</v>
      </c>
      <c r="P1225" t="s">
        <v>221</v>
      </c>
      <c r="Q1225" t="s">
        <v>82</v>
      </c>
      <c r="R1225">
        <v>2</v>
      </c>
      <c r="S1225">
        <v>1.72</v>
      </c>
      <c r="T1225">
        <v>0</v>
      </c>
      <c r="U1225">
        <v>1</v>
      </c>
      <c r="V1225">
        <v>2</v>
      </c>
      <c r="W1225">
        <v>28</v>
      </c>
      <c r="X1225">
        <v>0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2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</row>
    <row r="1226" spans="1:37" x14ac:dyDescent="0.3">
      <c r="A1226">
        <v>7979</v>
      </c>
      <c r="B1226" t="s">
        <v>219</v>
      </c>
      <c r="D1226" t="s">
        <v>327</v>
      </c>
      <c r="E1226">
        <v>99999999</v>
      </c>
      <c r="F1226">
        <v>11111111</v>
      </c>
      <c r="G1226">
        <v>1111111111</v>
      </c>
      <c r="H1226" t="s">
        <v>4795</v>
      </c>
      <c r="I1226">
        <v>99999999</v>
      </c>
      <c r="J1226" s="188">
        <v>45236</v>
      </c>
      <c r="K1226" t="s">
        <v>4795</v>
      </c>
      <c r="L1226" t="s">
        <v>4795</v>
      </c>
      <c r="M1226" t="s">
        <v>1790</v>
      </c>
      <c r="N1226" t="s">
        <v>164</v>
      </c>
      <c r="O1226" t="s">
        <v>1791</v>
      </c>
      <c r="P1226" t="s">
        <v>221</v>
      </c>
      <c r="Q1226" t="s">
        <v>82</v>
      </c>
      <c r="R1226">
        <v>2</v>
      </c>
      <c r="S1226">
        <v>6.1</v>
      </c>
      <c r="T1226">
        <v>0</v>
      </c>
      <c r="U1226">
        <v>1</v>
      </c>
      <c r="V1226">
        <v>2</v>
      </c>
      <c r="W1226">
        <v>23.54</v>
      </c>
      <c r="X1226">
        <v>0</v>
      </c>
      <c r="Y1226">
        <v>0</v>
      </c>
      <c r="Z1226">
        <v>0</v>
      </c>
      <c r="AA1226">
        <v>0</v>
      </c>
      <c r="AB1226">
        <v>0</v>
      </c>
      <c r="AC1226">
        <v>0</v>
      </c>
      <c r="AD1226">
        <v>2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</row>
    <row r="1227" spans="1:37" x14ac:dyDescent="0.3">
      <c r="A1227">
        <v>7979</v>
      </c>
      <c r="B1227" t="s">
        <v>219</v>
      </c>
      <c r="D1227" t="s">
        <v>327</v>
      </c>
      <c r="E1227">
        <v>99999999</v>
      </c>
      <c r="F1227">
        <v>11111111</v>
      </c>
      <c r="G1227">
        <v>1111111111</v>
      </c>
      <c r="H1227" t="s">
        <v>4796</v>
      </c>
      <c r="I1227">
        <v>99999999</v>
      </c>
      <c r="J1227" s="188">
        <v>45236</v>
      </c>
      <c r="K1227" t="s">
        <v>4796</v>
      </c>
      <c r="L1227" t="s">
        <v>4796</v>
      </c>
      <c r="M1227" t="s">
        <v>1792</v>
      </c>
      <c r="N1227" t="s">
        <v>99</v>
      </c>
      <c r="O1227" t="s">
        <v>1793</v>
      </c>
      <c r="P1227" t="s">
        <v>221</v>
      </c>
      <c r="Q1227" t="s">
        <v>82</v>
      </c>
      <c r="R1227">
        <v>2</v>
      </c>
      <c r="S1227">
        <v>1.89</v>
      </c>
      <c r="T1227">
        <v>0</v>
      </c>
      <c r="U1227">
        <v>1</v>
      </c>
      <c r="V1227">
        <v>2</v>
      </c>
      <c r="W1227">
        <v>20.67</v>
      </c>
      <c r="X1227">
        <v>0</v>
      </c>
      <c r="Y1227">
        <v>0</v>
      </c>
      <c r="Z1227">
        <v>0</v>
      </c>
      <c r="AA1227">
        <v>0</v>
      </c>
      <c r="AB1227">
        <v>0</v>
      </c>
      <c r="AC1227">
        <v>0</v>
      </c>
      <c r="AD1227">
        <v>2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</row>
    <row r="1228" spans="1:37" x14ac:dyDescent="0.3">
      <c r="A1228">
        <v>7979</v>
      </c>
      <c r="B1228" t="s">
        <v>219</v>
      </c>
      <c r="D1228" t="s">
        <v>327</v>
      </c>
      <c r="E1228">
        <v>99999999</v>
      </c>
      <c r="F1228">
        <v>11111111</v>
      </c>
      <c r="G1228">
        <v>1111111111</v>
      </c>
      <c r="H1228" t="s">
        <v>4797</v>
      </c>
      <c r="I1228">
        <v>99999999</v>
      </c>
      <c r="J1228" s="188">
        <v>45236</v>
      </c>
      <c r="K1228" t="s">
        <v>4797</v>
      </c>
      <c r="L1228" t="s">
        <v>4797</v>
      </c>
      <c r="M1228" t="s">
        <v>1794</v>
      </c>
      <c r="N1228" t="s">
        <v>99</v>
      </c>
      <c r="O1228">
        <v>96126</v>
      </c>
      <c r="P1228" t="s">
        <v>221</v>
      </c>
      <c r="Q1228" t="s">
        <v>82</v>
      </c>
      <c r="R1228">
        <v>4</v>
      </c>
      <c r="S1228">
        <v>28.231999999999999</v>
      </c>
      <c r="T1228">
        <v>0</v>
      </c>
      <c r="U1228">
        <v>1</v>
      </c>
      <c r="V1228">
        <v>3</v>
      </c>
      <c r="W1228">
        <v>36.43</v>
      </c>
      <c r="X1228">
        <v>0</v>
      </c>
      <c r="Y1228">
        <v>0</v>
      </c>
      <c r="Z1228">
        <v>0</v>
      </c>
      <c r="AA1228">
        <v>0</v>
      </c>
      <c r="AB1228">
        <v>0</v>
      </c>
      <c r="AC1228">
        <v>0</v>
      </c>
      <c r="AD1228">
        <v>4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</row>
    <row r="1229" spans="1:37" x14ac:dyDescent="0.3">
      <c r="A1229">
        <v>7979</v>
      </c>
      <c r="B1229" t="s">
        <v>219</v>
      </c>
      <c r="D1229" t="s">
        <v>327</v>
      </c>
      <c r="E1229">
        <v>99999999</v>
      </c>
      <c r="F1229">
        <v>11111111</v>
      </c>
      <c r="G1229">
        <v>1111111111</v>
      </c>
      <c r="H1229" t="s">
        <v>4798</v>
      </c>
      <c r="I1229">
        <v>99999999</v>
      </c>
      <c r="J1229" s="188">
        <v>45236</v>
      </c>
      <c r="K1229" t="s">
        <v>4798</v>
      </c>
      <c r="L1229" t="s">
        <v>4798</v>
      </c>
      <c r="M1229" t="s">
        <v>747</v>
      </c>
      <c r="N1229" t="s">
        <v>99</v>
      </c>
      <c r="O1229" t="s">
        <v>1795</v>
      </c>
      <c r="P1229" t="s">
        <v>221</v>
      </c>
      <c r="Q1229" t="s">
        <v>82</v>
      </c>
      <c r="R1229">
        <v>4</v>
      </c>
      <c r="S1229">
        <v>1.1579999999999999</v>
      </c>
      <c r="T1229">
        <v>0</v>
      </c>
      <c r="U1229">
        <v>1</v>
      </c>
      <c r="V1229">
        <v>4</v>
      </c>
      <c r="W1229">
        <v>19.940000000000001</v>
      </c>
      <c r="X1229">
        <v>0</v>
      </c>
      <c r="Y1229">
        <v>0</v>
      </c>
      <c r="Z1229">
        <v>0</v>
      </c>
      <c r="AA1229">
        <v>0</v>
      </c>
      <c r="AB1229">
        <v>0</v>
      </c>
      <c r="AC1229">
        <v>0</v>
      </c>
      <c r="AD1229">
        <v>4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</row>
    <row r="1230" spans="1:37" x14ac:dyDescent="0.3">
      <c r="A1230">
        <v>7979</v>
      </c>
      <c r="B1230" t="s">
        <v>219</v>
      </c>
      <c r="D1230" t="s">
        <v>327</v>
      </c>
      <c r="E1230">
        <v>99999999</v>
      </c>
      <c r="F1230">
        <v>11111111</v>
      </c>
      <c r="G1230">
        <v>1111111111</v>
      </c>
      <c r="H1230" t="s">
        <v>4799</v>
      </c>
      <c r="I1230">
        <v>99999999</v>
      </c>
      <c r="J1230" s="188">
        <v>45236</v>
      </c>
      <c r="K1230" t="s">
        <v>4799</v>
      </c>
      <c r="L1230" t="s">
        <v>4799</v>
      </c>
      <c r="M1230" t="s">
        <v>699</v>
      </c>
      <c r="N1230" t="s">
        <v>99</v>
      </c>
      <c r="O1230">
        <v>95401</v>
      </c>
      <c r="P1230" t="s">
        <v>221</v>
      </c>
      <c r="Q1230" t="s">
        <v>82</v>
      </c>
      <c r="R1230">
        <v>2</v>
      </c>
      <c r="S1230">
        <v>4.05</v>
      </c>
      <c r="T1230">
        <v>0</v>
      </c>
      <c r="U1230">
        <v>1</v>
      </c>
      <c r="V1230">
        <v>2</v>
      </c>
      <c r="W1230">
        <v>21.44</v>
      </c>
      <c r="X1230">
        <v>0</v>
      </c>
      <c r="Y1230">
        <v>0</v>
      </c>
      <c r="Z1230">
        <v>0</v>
      </c>
      <c r="AA1230">
        <v>0</v>
      </c>
      <c r="AB1230">
        <v>0</v>
      </c>
      <c r="AC1230">
        <v>0</v>
      </c>
      <c r="AD1230">
        <v>2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</row>
    <row r="1231" spans="1:37" x14ac:dyDescent="0.3">
      <c r="A1231">
        <v>7979</v>
      </c>
      <c r="B1231" t="s">
        <v>219</v>
      </c>
      <c r="D1231" t="s">
        <v>327</v>
      </c>
      <c r="E1231">
        <v>99999999</v>
      </c>
      <c r="F1231">
        <v>11111111</v>
      </c>
      <c r="G1231">
        <v>1111111111</v>
      </c>
      <c r="H1231" t="s">
        <v>4800</v>
      </c>
      <c r="I1231">
        <v>99999999</v>
      </c>
      <c r="J1231" s="188">
        <v>45236</v>
      </c>
      <c r="K1231" t="s">
        <v>4800</v>
      </c>
      <c r="L1231" t="s">
        <v>4800</v>
      </c>
      <c r="M1231" t="s">
        <v>1796</v>
      </c>
      <c r="N1231" t="s">
        <v>99</v>
      </c>
      <c r="O1231" t="s">
        <v>1797</v>
      </c>
      <c r="P1231" t="s">
        <v>221</v>
      </c>
      <c r="Q1231" t="s">
        <v>82</v>
      </c>
      <c r="R1231">
        <v>2</v>
      </c>
      <c r="S1231">
        <v>12.166</v>
      </c>
      <c r="T1231">
        <v>0</v>
      </c>
      <c r="U1231">
        <v>1</v>
      </c>
      <c r="V1231">
        <v>2</v>
      </c>
      <c r="W1231">
        <v>22.7</v>
      </c>
      <c r="X1231">
        <v>0</v>
      </c>
      <c r="Y1231">
        <v>0</v>
      </c>
      <c r="Z1231">
        <v>0</v>
      </c>
      <c r="AA1231">
        <v>0</v>
      </c>
      <c r="AB1231">
        <v>0</v>
      </c>
      <c r="AC1231">
        <v>0</v>
      </c>
      <c r="AD1231">
        <v>2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</row>
    <row r="1232" spans="1:37" x14ac:dyDescent="0.3">
      <c r="A1232">
        <v>7979</v>
      </c>
      <c r="B1232" t="s">
        <v>219</v>
      </c>
      <c r="D1232" t="s">
        <v>327</v>
      </c>
      <c r="E1232">
        <v>99999999</v>
      </c>
      <c r="F1232">
        <v>11111111</v>
      </c>
      <c r="G1232">
        <v>1111111111</v>
      </c>
      <c r="H1232" t="s">
        <v>4801</v>
      </c>
      <c r="I1232">
        <v>99999999</v>
      </c>
      <c r="J1232" s="188">
        <v>45236</v>
      </c>
      <c r="K1232" t="s">
        <v>4801</v>
      </c>
      <c r="L1232" t="s">
        <v>4801</v>
      </c>
      <c r="M1232" t="s">
        <v>1798</v>
      </c>
      <c r="N1232" t="s">
        <v>99</v>
      </c>
      <c r="O1232" t="s">
        <v>1799</v>
      </c>
      <c r="P1232" t="s">
        <v>221</v>
      </c>
      <c r="Q1232" t="s">
        <v>82</v>
      </c>
      <c r="R1232">
        <v>4</v>
      </c>
      <c r="S1232">
        <v>7.48</v>
      </c>
      <c r="T1232">
        <v>0</v>
      </c>
      <c r="U1232">
        <v>1</v>
      </c>
      <c r="V1232">
        <v>4</v>
      </c>
      <c r="W1232">
        <v>24.15</v>
      </c>
      <c r="X1232">
        <v>0</v>
      </c>
      <c r="Y1232">
        <v>0</v>
      </c>
      <c r="Z1232">
        <v>0</v>
      </c>
      <c r="AA1232">
        <v>0</v>
      </c>
      <c r="AB1232">
        <v>0</v>
      </c>
      <c r="AC1232">
        <v>0</v>
      </c>
      <c r="AD1232">
        <v>4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</row>
    <row r="1233" spans="1:37" x14ac:dyDescent="0.3">
      <c r="A1233">
        <v>7979</v>
      </c>
      <c r="B1233" t="s">
        <v>219</v>
      </c>
      <c r="D1233" t="s">
        <v>327</v>
      </c>
      <c r="E1233">
        <v>99999999</v>
      </c>
      <c r="F1233">
        <v>11111111</v>
      </c>
      <c r="G1233">
        <v>1111111111</v>
      </c>
      <c r="H1233" t="s">
        <v>4802</v>
      </c>
      <c r="I1233">
        <v>99999999</v>
      </c>
      <c r="J1233" s="188">
        <v>45236</v>
      </c>
      <c r="K1233" t="s">
        <v>4802</v>
      </c>
      <c r="L1233" t="s">
        <v>4802</v>
      </c>
      <c r="M1233" t="s">
        <v>155</v>
      </c>
      <c r="N1233" t="s">
        <v>99</v>
      </c>
      <c r="O1233" t="s">
        <v>1800</v>
      </c>
      <c r="P1233" t="s">
        <v>221</v>
      </c>
      <c r="Q1233" t="s">
        <v>82</v>
      </c>
      <c r="R1233">
        <v>3</v>
      </c>
      <c r="S1233">
        <v>5.1630000000000003</v>
      </c>
      <c r="T1233">
        <v>0</v>
      </c>
      <c r="U1233">
        <v>1</v>
      </c>
      <c r="V1233">
        <v>3</v>
      </c>
      <c r="W1233">
        <v>23.09</v>
      </c>
      <c r="X1233">
        <v>0</v>
      </c>
      <c r="Y1233">
        <v>0</v>
      </c>
      <c r="Z1233">
        <v>0</v>
      </c>
      <c r="AA1233">
        <v>0</v>
      </c>
      <c r="AB1233">
        <v>0</v>
      </c>
      <c r="AC1233">
        <v>0</v>
      </c>
      <c r="AD1233">
        <v>3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</row>
    <row r="1234" spans="1:37" x14ac:dyDescent="0.3">
      <c r="A1234">
        <v>7979</v>
      </c>
      <c r="B1234" t="s">
        <v>219</v>
      </c>
      <c r="D1234" t="s">
        <v>327</v>
      </c>
      <c r="E1234">
        <v>99999999</v>
      </c>
      <c r="F1234">
        <v>11111111</v>
      </c>
      <c r="G1234">
        <v>1111111111</v>
      </c>
      <c r="H1234" t="s">
        <v>4803</v>
      </c>
      <c r="I1234">
        <v>99999999</v>
      </c>
      <c r="J1234" s="188">
        <v>45236</v>
      </c>
      <c r="K1234" t="s">
        <v>4803</v>
      </c>
      <c r="L1234" t="s">
        <v>4803</v>
      </c>
      <c r="M1234" t="s">
        <v>1801</v>
      </c>
      <c r="N1234" t="s">
        <v>130</v>
      </c>
      <c r="O1234">
        <v>81423</v>
      </c>
      <c r="P1234" t="s">
        <v>221</v>
      </c>
      <c r="Q1234" t="s">
        <v>82</v>
      </c>
      <c r="R1234">
        <v>7</v>
      </c>
      <c r="S1234">
        <v>7.47</v>
      </c>
      <c r="T1234">
        <v>0</v>
      </c>
      <c r="U1234">
        <v>1</v>
      </c>
      <c r="V1234">
        <v>5</v>
      </c>
      <c r="W1234">
        <v>33.83</v>
      </c>
      <c r="X1234">
        <v>0</v>
      </c>
      <c r="Y1234">
        <v>0</v>
      </c>
      <c r="Z1234">
        <v>0</v>
      </c>
      <c r="AA1234">
        <v>0</v>
      </c>
      <c r="AB1234">
        <v>0</v>
      </c>
      <c r="AC1234">
        <v>0</v>
      </c>
      <c r="AD1234">
        <v>7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</row>
    <row r="1235" spans="1:37" x14ac:dyDescent="0.3">
      <c r="A1235">
        <v>7979</v>
      </c>
      <c r="B1235" t="s">
        <v>219</v>
      </c>
      <c r="D1235" t="s">
        <v>327</v>
      </c>
      <c r="E1235">
        <v>99999999</v>
      </c>
      <c r="F1235">
        <v>11111111</v>
      </c>
      <c r="G1235">
        <v>1111111111</v>
      </c>
      <c r="H1235" t="s">
        <v>4804</v>
      </c>
      <c r="I1235">
        <v>99999999</v>
      </c>
      <c r="J1235" s="188">
        <v>45236</v>
      </c>
      <c r="K1235" t="s">
        <v>4804</v>
      </c>
      <c r="L1235" t="s">
        <v>4804</v>
      </c>
      <c r="M1235" t="s">
        <v>618</v>
      </c>
      <c r="N1235" t="s">
        <v>99</v>
      </c>
      <c r="O1235" t="s">
        <v>1802</v>
      </c>
      <c r="P1235" t="s">
        <v>221</v>
      </c>
      <c r="Q1235" t="s">
        <v>82</v>
      </c>
      <c r="R1235">
        <v>5</v>
      </c>
      <c r="S1235">
        <v>4.45</v>
      </c>
      <c r="T1235">
        <v>0</v>
      </c>
      <c r="U1235">
        <v>1</v>
      </c>
      <c r="V1235">
        <v>4</v>
      </c>
      <c r="W1235">
        <v>21.44</v>
      </c>
      <c r="X1235">
        <v>0</v>
      </c>
      <c r="Y1235">
        <v>0</v>
      </c>
      <c r="Z1235">
        <v>0</v>
      </c>
      <c r="AA1235">
        <v>0</v>
      </c>
      <c r="AB1235">
        <v>0</v>
      </c>
      <c r="AC1235">
        <v>0</v>
      </c>
      <c r="AD1235">
        <v>5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</row>
    <row r="1236" spans="1:37" x14ac:dyDescent="0.3">
      <c r="A1236">
        <v>7979</v>
      </c>
      <c r="B1236" t="s">
        <v>219</v>
      </c>
      <c r="D1236" t="s">
        <v>327</v>
      </c>
      <c r="E1236">
        <v>99999999</v>
      </c>
      <c r="F1236">
        <v>11111111</v>
      </c>
      <c r="G1236">
        <v>1111111111</v>
      </c>
      <c r="H1236" t="s">
        <v>4805</v>
      </c>
      <c r="I1236">
        <v>99999999</v>
      </c>
      <c r="J1236" s="188">
        <v>45236</v>
      </c>
      <c r="K1236" t="s">
        <v>4805</v>
      </c>
      <c r="L1236" t="s">
        <v>4805</v>
      </c>
      <c r="M1236" t="s">
        <v>450</v>
      </c>
      <c r="N1236" t="s">
        <v>97</v>
      </c>
      <c r="O1236" t="s">
        <v>1803</v>
      </c>
      <c r="P1236" t="s">
        <v>221</v>
      </c>
      <c r="Q1236" t="s">
        <v>82</v>
      </c>
      <c r="R1236">
        <v>2</v>
      </c>
      <c r="S1236">
        <v>16.2</v>
      </c>
      <c r="T1236">
        <v>0</v>
      </c>
      <c r="U1236">
        <v>1</v>
      </c>
      <c r="V1236">
        <v>2</v>
      </c>
      <c r="W1236">
        <v>26.08</v>
      </c>
      <c r="X1236">
        <v>0</v>
      </c>
      <c r="Y1236">
        <v>0</v>
      </c>
      <c r="Z1236">
        <v>0</v>
      </c>
      <c r="AA1236">
        <v>0</v>
      </c>
      <c r="AB1236">
        <v>0</v>
      </c>
      <c r="AC1236">
        <v>0</v>
      </c>
      <c r="AD1236">
        <v>2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</row>
    <row r="1237" spans="1:37" x14ac:dyDescent="0.3">
      <c r="A1237">
        <v>7979</v>
      </c>
      <c r="B1237" t="s">
        <v>219</v>
      </c>
      <c r="D1237" t="s">
        <v>327</v>
      </c>
      <c r="E1237">
        <v>99999999</v>
      </c>
      <c r="F1237">
        <v>11111111</v>
      </c>
      <c r="G1237">
        <v>1111111111</v>
      </c>
      <c r="H1237" t="s">
        <v>4806</v>
      </c>
      <c r="I1237">
        <v>99999999</v>
      </c>
      <c r="J1237" s="188">
        <v>45236</v>
      </c>
      <c r="K1237" t="s">
        <v>4806</v>
      </c>
      <c r="L1237" t="s">
        <v>4806</v>
      </c>
      <c r="M1237" t="s">
        <v>1804</v>
      </c>
      <c r="N1237" t="s">
        <v>164</v>
      </c>
      <c r="O1237" t="s">
        <v>1805</v>
      </c>
      <c r="P1237" t="s">
        <v>221</v>
      </c>
      <c r="Q1237" t="s">
        <v>82</v>
      </c>
      <c r="R1237">
        <v>3</v>
      </c>
      <c r="S1237">
        <v>7.9</v>
      </c>
      <c r="T1237">
        <v>0</v>
      </c>
      <c r="U1237">
        <v>1</v>
      </c>
      <c r="V1237">
        <v>3</v>
      </c>
      <c r="W1237">
        <v>24.22</v>
      </c>
      <c r="X1237">
        <v>0</v>
      </c>
      <c r="Y1237">
        <v>0</v>
      </c>
      <c r="Z1237">
        <v>0</v>
      </c>
      <c r="AA1237">
        <v>0</v>
      </c>
      <c r="AB1237">
        <v>0</v>
      </c>
      <c r="AC1237">
        <v>0</v>
      </c>
      <c r="AD1237">
        <v>3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</row>
    <row r="1238" spans="1:37" x14ac:dyDescent="0.3">
      <c r="A1238">
        <v>7979</v>
      </c>
      <c r="B1238" t="s">
        <v>219</v>
      </c>
      <c r="D1238" t="s">
        <v>327</v>
      </c>
      <c r="E1238">
        <v>99999999</v>
      </c>
      <c r="F1238">
        <v>11111111</v>
      </c>
      <c r="G1238">
        <v>1111111111</v>
      </c>
      <c r="H1238" t="s">
        <v>4807</v>
      </c>
      <c r="I1238">
        <v>99999999</v>
      </c>
      <c r="J1238" s="188">
        <v>45236</v>
      </c>
      <c r="K1238" t="s">
        <v>4807</v>
      </c>
      <c r="L1238" t="s">
        <v>4807</v>
      </c>
      <c r="M1238" t="s">
        <v>173</v>
      </c>
      <c r="N1238" t="s">
        <v>164</v>
      </c>
      <c r="O1238">
        <v>97211</v>
      </c>
      <c r="P1238" t="s">
        <v>221</v>
      </c>
      <c r="Q1238" t="s">
        <v>82</v>
      </c>
      <c r="R1238">
        <v>2</v>
      </c>
      <c r="S1238">
        <v>3.12</v>
      </c>
      <c r="T1238">
        <v>0</v>
      </c>
      <c r="U1238">
        <v>1</v>
      </c>
      <c r="V1238">
        <v>2</v>
      </c>
      <c r="W1238">
        <v>22.52</v>
      </c>
      <c r="X1238">
        <v>0</v>
      </c>
      <c r="Y1238">
        <v>0</v>
      </c>
      <c r="Z1238">
        <v>0</v>
      </c>
      <c r="AA1238">
        <v>0</v>
      </c>
      <c r="AB1238">
        <v>0</v>
      </c>
      <c r="AC1238">
        <v>0</v>
      </c>
      <c r="AD1238">
        <v>2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</row>
    <row r="1239" spans="1:37" x14ac:dyDescent="0.3">
      <c r="A1239">
        <v>7979</v>
      </c>
      <c r="B1239" t="s">
        <v>219</v>
      </c>
      <c r="D1239" t="s">
        <v>327</v>
      </c>
      <c r="E1239">
        <v>99999999</v>
      </c>
      <c r="F1239">
        <v>11111111</v>
      </c>
      <c r="G1239">
        <v>1111111111</v>
      </c>
      <c r="H1239" t="s">
        <v>4808</v>
      </c>
      <c r="I1239">
        <v>99999999</v>
      </c>
      <c r="J1239" s="188">
        <v>45236</v>
      </c>
      <c r="K1239" t="s">
        <v>4808</v>
      </c>
      <c r="L1239" t="s">
        <v>4808</v>
      </c>
      <c r="M1239" t="s">
        <v>1110</v>
      </c>
      <c r="N1239" t="s">
        <v>97</v>
      </c>
      <c r="O1239">
        <v>98077</v>
      </c>
      <c r="P1239" t="s">
        <v>221</v>
      </c>
      <c r="Q1239" t="s">
        <v>82</v>
      </c>
      <c r="R1239">
        <v>3</v>
      </c>
      <c r="S1239">
        <v>11.438000000000001</v>
      </c>
      <c r="T1239">
        <v>0</v>
      </c>
      <c r="U1239">
        <v>1</v>
      </c>
      <c r="V1239">
        <v>3</v>
      </c>
      <c r="W1239">
        <v>24.83</v>
      </c>
      <c r="X1239">
        <v>0</v>
      </c>
      <c r="Y1239">
        <v>0</v>
      </c>
      <c r="Z1239">
        <v>0</v>
      </c>
      <c r="AA1239">
        <v>0</v>
      </c>
      <c r="AB1239">
        <v>0</v>
      </c>
      <c r="AC1239">
        <v>0</v>
      </c>
      <c r="AD1239">
        <v>3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</row>
    <row r="1240" spans="1:37" x14ac:dyDescent="0.3">
      <c r="A1240">
        <v>7979</v>
      </c>
      <c r="B1240" t="s">
        <v>219</v>
      </c>
      <c r="D1240" t="s">
        <v>327</v>
      </c>
      <c r="E1240">
        <v>99999999</v>
      </c>
      <c r="F1240">
        <v>11111111</v>
      </c>
      <c r="G1240">
        <v>1111111111</v>
      </c>
      <c r="H1240" t="s">
        <v>4809</v>
      </c>
      <c r="I1240">
        <v>99999999</v>
      </c>
      <c r="J1240" s="188">
        <v>45236</v>
      </c>
      <c r="K1240" t="s">
        <v>4809</v>
      </c>
      <c r="L1240" t="s">
        <v>4809</v>
      </c>
      <c r="M1240" t="s">
        <v>448</v>
      </c>
      <c r="N1240" t="s">
        <v>197</v>
      </c>
      <c r="O1240" t="s">
        <v>1806</v>
      </c>
      <c r="P1240" t="s">
        <v>221</v>
      </c>
      <c r="Q1240" t="s">
        <v>82</v>
      </c>
      <c r="R1240">
        <v>2</v>
      </c>
      <c r="S1240">
        <v>6.18</v>
      </c>
      <c r="T1240">
        <v>0</v>
      </c>
      <c r="U1240">
        <v>1</v>
      </c>
      <c r="V1240">
        <v>2</v>
      </c>
      <c r="W1240">
        <v>26.69</v>
      </c>
      <c r="X1240">
        <v>0</v>
      </c>
      <c r="Y1240">
        <v>0</v>
      </c>
      <c r="Z1240">
        <v>0</v>
      </c>
      <c r="AA1240">
        <v>0</v>
      </c>
      <c r="AB1240">
        <v>0</v>
      </c>
      <c r="AC1240">
        <v>0</v>
      </c>
      <c r="AD1240">
        <v>2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</row>
    <row r="1241" spans="1:37" x14ac:dyDescent="0.3">
      <c r="A1241">
        <v>7979</v>
      </c>
      <c r="B1241" t="s">
        <v>219</v>
      </c>
      <c r="D1241" t="s">
        <v>327</v>
      </c>
      <c r="E1241">
        <v>99999999</v>
      </c>
      <c r="F1241">
        <v>11111111</v>
      </c>
      <c r="G1241">
        <v>1111111111</v>
      </c>
      <c r="H1241" t="s">
        <v>4810</v>
      </c>
      <c r="I1241">
        <v>99999999</v>
      </c>
      <c r="J1241" s="188">
        <v>45236</v>
      </c>
      <c r="K1241" t="s">
        <v>4810</v>
      </c>
      <c r="L1241" t="s">
        <v>4810</v>
      </c>
      <c r="M1241" t="s">
        <v>196</v>
      </c>
      <c r="N1241" t="s">
        <v>99</v>
      </c>
      <c r="O1241">
        <v>92869</v>
      </c>
      <c r="P1241" t="s">
        <v>221</v>
      </c>
      <c r="Q1241" t="s">
        <v>82</v>
      </c>
      <c r="R1241">
        <v>2</v>
      </c>
      <c r="S1241">
        <v>3.12</v>
      </c>
      <c r="T1241">
        <v>0</v>
      </c>
      <c r="U1241">
        <v>1</v>
      </c>
      <c r="V1241">
        <v>2</v>
      </c>
      <c r="W1241">
        <v>22.52</v>
      </c>
      <c r="X1241">
        <v>0</v>
      </c>
      <c r="Y1241">
        <v>0</v>
      </c>
      <c r="Z1241">
        <v>0</v>
      </c>
      <c r="AA1241">
        <v>0</v>
      </c>
      <c r="AB1241">
        <v>0</v>
      </c>
      <c r="AC1241">
        <v>0</v>
      </c>
      <c r="AD1241">
        <v>2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</row>
    <row r="1242" spans="1:37" x14ac:dyDescent="0.3">
      <c r="A1242">
        <v>7979</v>
      </c>
      <c r="B1242" t="s">
        <v>219</v>
      </c>
      <c r="D1242" t="s">
        <v>327</v>
      </c>
      <c r="E1242">
        <v>99999999</v>
      </c>
      <c r="F1242">
        <v>11111111</v>
      </c>
      <c r="G1242">
        <v>1111111111</v>
      </c>
      <c r="H1242" t="s">
        <v>4811</v>
      </c>
      <c r="I1242">
        <v>99999999</v>
      </c>
      <c r="J1242" s="188">
        <v>45236</v>
      </c>
      <c r="K1242" t="s">
        <v>4811</v>
      </c>
      <c r="L1242" t="s">
        <v>4811</v>
      </c>
      <c r="M1242" t="s">
        <v>1807</v>
      </c>
      <c r="N1242" t="s">
        <v>243</v>
      </c>
      <c r="O1242" t="s">
        <v>1808</v>
      </c>
      <c r="P1242" t="s">
        <v>221</v>
      </c>
      <c r="Q1242" t="s">
        <v>82</v>
      </c>
      <c r="R1242">
        <v>2</v>
      </c>
      <c r="S1242">
        <v>0.82</v>
      </c>
      <c r="T1242">
        <v>0</v>
      </c>
      <c r="U1242">
        <v>1</v>
      </c>
      <c r="V1242">
        <v>2</v>
      </c>
      <c r="W1242">
        <v>31.36</v>
      </c>
      <c r="X1242">
        <v>0</v>
      </c>
      <c r="Y1242">
        <v>0</v>
      </c>
      <c r="Z1242">
        <v>0</v>
      </c>
      <c r="AA1242">
        <v>0</v>
      </c>
      <c r="AB1242">
        <v>0</v>
      </c>
      <c r="AC1242">
        <v>0</v>
      </c>
      <c r="AD1242">
        <v>2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</row>
    <row r="1243" spans="1:37" x14ac:dyDescent="0.3">
      <c r="A1243">
        <v>7979</v>
      </c>
      <c r="B1243" t="s">
        <v>219</v>
      </c>
      <c r="D1243" t="s">
        <v>327</v>
      </c>
      <c r="E1243">
        <v>99999999</v>
      </c>
      <c r="F1243">
        <v>11111111</v>
      </c>
      <c r="G1243">
        <v>1111111111</v>
      </c>
      <c r="H1243" t="s">
        <v>4812</v>
      </c>
      <c r="I1243">
        <v>99999999</v>
      </c>
      <c r="J1243" s="188">
        <v>45236</v>
      </c>
      <c r="K1243" t="s">
        <v>4812</v>
      </c>
      <c r="L1243" t="s">
        <v>4812</v>
      </c>
      <c r="M1243" t="s">
        <v>655</v>
      </c>
      <c r="N1243" t="s">
        <v>104</v>
      </c>
      <c r="O1243" t="s">
        <v>656</v>
      </c>
      <c r="P1243" t="s">
        <v>221</v>
      </c>
      <c r="Q1243" t="s">
        <v>82</v>
      </c>
      <c r="R1243">
        <v>4</v>
      </c>
      <c r="S1243">
        <v>8.1199999999999992</v>
      </c>
      <c r="T1243">
        <v>0</v>
      </c>
      <c r="U1243">
        <v>1</v>
      </c>
      <c r="V1243">
        <v>3</v>
      </c>
      <c r="W1243">
        <v>32.479999999999997</v>
      </c>
      <c r="X1243">
        <v>0</v>
      </c>
      <c r="Y1243">
        <v>0</v>
      </c>
      <c r="Z1243">
        <v>0</v>
      </c>
      <c r="AA1243">
        <v>0</v>
      </c>
      <c r="AB1243">
        <v>0</v>
      </c>
      <c r="AC1243">
        <v>0</v>
      </c>
      <c r="AD1243">
        <v>4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</row>
    <row r="1244" spans="1:37" x14ac:dyDescent="0.3">
      <c r="A1244">
        <v>7979</v>
      </c>
      <c r="B1244" t="s">
        <v>219</v>
      </c>
      <c r="D1244" t="s">
        <v>327</v>
      </c>
      <c r="E1244">
        <v>99999999</v>
      </c>
      <c r="F1244">
        <v>11111111</v>
      </c>
      <c r="G1244">
        <v>1111111111</v>
      </c>
      <c r="H1244" t="s">
        <v>4813</v>
      </c>
      <c r="I1244">
        <v>99999999</v>
      </c>
      <c r="J1244" s="188">
        <v>45236</v>
      </c>
      <c r="K1244" t="s">
        <v>4813</v>
      </c>
      <c r="L1244" t="s">
        <v>4813</v>
      </c>
      <c r="M1244" t="s">
        <v>1195</v>
      </c>
      <c r="N1244" t="s">
        <v>164</v>
      </c>
      <c r="O1244" t="s">
        <v>1809</v>
      </c>
      <c r="P1244" t="s">
        <v>221</v>
      </c>
      <c r="Q1244" t="s">
        <v>82</v>
      </c>
      <c r="R1244">
        <v>2</v>
      </c>
      <c r="S1244">
        <v>3.47</v>
      </c>
      <c r="T1244">
        <v>0</v>
      </c>
      <c r="U1244">
        <v>1</v>
      </c>
      <c r="V1244">
        <v>2</v>
      </c>
      <c r="W1244">
        <v>22.52</v>
      </c>
      <c r="X1244">
        <v>0</v>
      </c>
      <c r="Y1244">
        <v>0</v>
      </c>
      <c r="Z1244">
        <v>0</v>
      </c>
      <c r="AA1244">
        <v>0</v>
      </c>
      <c r="AB1244">
        <v>0</v>
      </c>
      <c r="AC1244">
        <v>0</v>
      </c>
      <c r="AD1244">
        <v>2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</row>
    <row r="1245" spans="1:37" x14ac:dyDescent="0.3">
      <c r="A1245">
        <v>7979</v>
      </c>
      <c r="B1245" t="s">
        <v>219</v>
      </c>
      <c r="D1245" t="s">
        <v>327</v>
      </c>
      <c r="E1245">
        <v>99999999</v>
      </c>
      <c r="F1245">
        <v>11111111</v>
      </c>
      <c r="G1245">
        <v>1111111111</v>
      </c>
      <c r="H1245" t="s">
        <v>4814</v>
      </c>
      <c r="I1245">
        <v>99999999</v>
      </c>
      <c r="J1245" s="188">
        <v>45236</v>
      </c>
      <c r="K1245" t="s">
        <v>4814</v>
      </c>
      <c r="L1245" t="s">
        <v>4814</v>
      </c>
      <c r="M1245" t="s">
        <v>1810</v>
      </c>
      <c r="N1245" t="s">
        <v>99</v>
      </c>
      <c r="O1245" t="s">
        <v>1811</v>
      </c>
      <c r="P1245" t="s">
        <v>221</v>
      </c>
      <c r="Q1245" t="s">
        <v>82</v>
      </c>
      <c r="R1245">
        <v>2</v>
      </c>
      <c r="S1245">
        <v>0.64</v>
      </c>
      <c r="T1245">
        <v>0</v>
      </c>
      <c r="U1245">
        <v>1</v>
      </c>
      <c r="V1245">
        <v>2</v>
      </c>
      <c r="W1245">
        <v>21.21</v>
      </c>
      <c r="X1245">
        <v>0</v>
      </c>
      <c r="Y1245">
        <v>0</v>
      </c>
      <c r="Z1245">
        <v>0</v>
      </c>
      <c r="AA1245">
        <v>0</v>
      </c>
      <c r="AB1245">
        <v>0</v>
      </c>
      <c r="AC1245">
        <v>0</v>
      </c>
      <c r="AD1245">
        <v>2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</row>
    <row r="1246" spans="1:37" x14ac:dyDescent="0.3">
      <c r="A1246">
        <v>7979</v>
      </c>
      <c r="B1246" t="s">
        <v>219</v>
      </c>
      <c r="D1246" t="s">
        <v>327</v>
      </c>
      <c r="E1246">
        <v>99999999</v>
      </c>
      <c r="F1246">
        <v>11111111</v>
      </c>
      <c r="G1246">
        <v>1111111111</v>
      </c>
      <c r="H1246" t="s">
        <v>4815</v>
      </c>
      <c r="I1246">
        <v>99999999</v>
      </c>
      <c r="J1246" s="188">
        <v>45236</v>
      </c>
      <c r="K1246" t="s">
        <v>4815</v>
      </c>
      <c r="L1246" t="s">
        <v>4815</v>
      </c>
      <c r="M1246" t="s">
        <v>734</v>
      </c>
      <c r="N1246" t="s">
        <v>99</v>
      </c>
      <c r="O1246" t="s">
        <v>1812</v>
      </c>
      <c r="P1246" t="s">
        <v>221</v>
      </c>
      <c r="Q1246" t="s">
        <v>82</v>
      </c>
      <c r="R1246">
        <v>2</v>
      </c>
      <c r="S1246">
        <v>8.74</v>
      </c>
      <c r="T1246">
        <v>0</v>
      </c>
      <c r="U1246">
        <v>1</v>
      </c>
      <c r="V1246">
        <v>2</v>
      </c>
      <c r="W1246">
        <v>32.659999999999997</v>
      </c>
      <c r="X1246">
        <v>0</v>
      </c>
      <c r="Y1246">
        <v>0</v>
      </c>
      <c r="Z1246">
        <v>0</v>
      </c>
      <c r="AA1246">
        <v>0</v>
      </c>
      <c r="AB1246">
        <v>0</v>
      </c>
      <c r="AC1246">
        <v>0</v>
      </c>
      <c r="AD1246">
        <v>2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</row>
    <row r="1247" spans="1:37" x14ac:dyDescent="0.3">
      <c r="A1247">
        <v>7979</v>
      </c>
      <c r="B1247" t="s">
        <v>219</v>
      </c>
      <c r="D1247" t="s">
        <v>327</v>
      </c>
      <c r="E1247">
        <v>99999999</v>
      </c>
      <c r="F1247">
        <v>11111111</v>
      </c>
      <c r="G1247">
        <v>1111111111</v>
      </c>
      <c r="H1247" t="s">
        <v>4816</v>
      </c>
      <c r="I1247">
        <v>99999999</v>
      </c>
      <c r="J1247" s="188">
        <v>45236</v>
      </c>
      <c r="K1247" t="s">
        <v>4816</v>
      </c>
      <c r="L1247" t="s">
        <v>4816</v>
      </c>
      <c r="M1247" t="s">
        <v>1110</v>
      </c>
      <c r="N1247" t="s">
        <v>97</v>
      </c>
      <c r="O1247" t="s">
        <v>1813</v>
      </c>
      <c r="P1247" t="s">
        <v>221</v>
      </c>
      <c r="Q1247" t="s">
        <v>82</v>
      </c>
      <c r="R1247">
        <v>3</v>
      </c>
      <c r="S1247">
        <v>20.399999999999999</v>
      </c>
      <c r="T1247">
        <v>0</v>
      </c>
      <c r="U1247">
        <v>1</v>
      </c>
      <c r="V1247">
        <v>2</v>
      </c>
      <c r="W1247">
        <v>28.56</v>
      </c>
      <c r="X1247">
        <v>0</v>
      </c>
      <c r="Y1247">
        <v>0</v>
      </c>
      <c r="Z1247">
        <v>0</v>
      </c>
      <c r="AA1247">
        <v>0</v>
      </c>
      <c r="AB1247">
        <v>0</v>
      </c>
      <c r="AC1247">
        <v>0</v>
      </c>
      <c r="AD1247">
        <v>3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</row>
    <row r="1248" spans="1:37" x14ac:dyDescent="0.3">
      <c r="A1248">
        <v>7979</v>
      </c>
      <c r="B1248" t="s">
        <v>219</v>
      </c>
      <c r="D1248" t="s">
        <v>327</v>
      </c>
      <c r="E1248">
        <v>99999999</v>
      </c>
      <c r="F1248">
        <v>11111111</v>
      </c>
      <c r="G1248">
        <v>1111111111</v>
      </c>
      <c r="H1248" t="s">
        <v>4817</v>
      </c>
      <c r="I1248">
        <v>99999999</v>
      </c>
      <c r="J1248" s="188">
        <v>45236</v>
      </c>
      <c r="K1248" t="s">
        <v>4817</v>
      </c>
      <c r="L1248" t="s">
        <v>4817</v>
      </c>
      <c r="M1248" t="s">
        <v>1814</v>
      </c>
      <c r="N1248" t="s">
        <v>164</v>
      </c>
      <c r="O1248">
        <v>97703</v>
      </c>
      <c r="P1248" t="s">
        <v>221</v>
      </c>
      <c r="Q1248" t="s">
        <v>82</v>
      </c>
      <c r="R1248">
        <v>4</v>
      </c>
      <c r="S1248">
        <v>6.8</v>
      </c>
      <c r="T1248">
        <v>0</v>
      </c>
      <c r="U1248">
        <v>1</v>
      </c>
      <c r="V1248">
        <v>2</v>
      </c>
      <c r="W1248">
        <v>24.15</v>
      </c>
      <c r="X1248">
        <v>0</v>
      </c>
      <c r="Y1248">
        <v>0</v>
      </c>
      <c r="Z1248">
        <v>0</v>
      </c>
      <c r="AA1248">
        <v>0</v>
      </c>
      <c r="AB1248">
        <v>0</v>
      </c>
      <c r="AC1248">
        <v>0</v>
      </c>
      <c r="AD1248">
        <v>4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</row>
    <row r="1249" spans="1:37" x14ac:dyDescent="0.3">
      <c r="A1249">
        <v>7979</v>
      </c>
      <c r="B1249" t="s">
        <v>219</v>
      </c>
      <c r="D1249" t="s">
        <v>327</v>
      </c>
      <c r="E1249">
        <v>99999999</v>
      </c>
      <c r="F1249">
        <v>11111111</v>
      </c>
      <c r="G1249">
        <v>1111111111</v>
      </c>
      <c r="H1249" t="s">
        <v>4818</v>
      </c>
      <c r="I1249">
        <v>99999999</v>
      </c>
      <c r="J1249" s="188">
        <v>45236</v>
      </c>
      <c r="K1249" t="s">
        <v>4818</v>
      </c>
      <c r="L1249" t="s">
        <v>4818</v>
      </c>
      <c r="M1249" t="s">
        <v>1815</v>
      </c>
      <c r="N1249" t="s">
        <v>551</v>
      </c>
      <c r="O1249" t="s">
        <v>1816</v>
      </c>
      <c r="P1249" t="s">
        <v>221</v>
      </c>
      <c r="Q1249" t="s">
        <v>82</v>
      </c>
      <c r="R1249">
        <v>4</v>
      </c>
      <c r="S1249">
        <v>5.6</v>
      </c>
      <c r="T1249">
        <v>0</v>
      </c>
      <c r="U1249">
        <v>1</v>
      </c>
      <c r="V1249">
        <v>4</v>
      </c>
      <c r="W1249">
        <v>33.29</v>
      </c>
      <c r="X1249">
        <v>0</v>
      </c>
      <c r="Y1249">
        <v>0</v>
      </c>
      <c r="Z1249">
        <v>0</v>
      </c>
      <c r="AA1249">
        <v>0</v>
      </c>
      <c r="AB1249">
        <v>0</v>
      </c>
      <c r="AC1249">
        <v>0</v>
      </c>
      <c r="AD1249">
        <v>4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</row>
    <row r="1250" spans="1:37" x14ac:dyDescent="0.3">
      <c r="A1250">
        <v>7979</v>
      </c>
      <c r="B1250" t="s">
        <v>219</v>
      </c>
      <c r="D1250" t="s">
        <v>327</v>
      </c>
      <c r="E1250">
        <v>99999999</v>
      </c>
      <c r="F1250">
        <v>11111111</v>
      </c>
      <c r="G1250">
        <v>1111111111</v>
      </c>
      <c r="H1250" t="s">
        <v>4819</v>
      </c>
      <c r="I1250">
        <v>99999999</v>
      </c>
      <c r="J1250" s="188">
        <v>45236</v>
      </c>
      <c r="K1250" t="s">
        <v>4819</v>
      </c>
      <c r="L1250" t="s">
        <v>4819</v>
      </c>
      <c r="M1250" t="s">
        <v>1817</v>
      </c>
      <c r="N1250" t="s">
        <v>118</v>
      </c>
      <c r="O1250">
        <v>15722</v>
      </c>
      <c r="P1250" t="s">
        <v>221</v>
      </c>
      <c r="Q1250" t="s">
        <v>82</v>
      </c>
      <c r="R1250">
        <v>2</v>
      </c>
      <c r="S1250">
        <v>0.59</v>
      </c>
      <c r="T1250">
        <v>0</v>
      </c>
      <c r="U1250">
        <v>1</v>
      </c>
      <c r="V1250">
        <v>2</v>
      </c>
      <c r="W1250">
        <v>29.22</v>
      </c>
      <c r="X1250">
        <v>0</v>
      </c>
      <c r="Y1250">
        <v>0</v>
      </c>
      <c r="Z1250">
        <v>0</v>
      </c>
      <c r="AA1250">
        <v>0</v>
      </c>
      <c r="AB1250">
        <v>0</v>
      </c>
      <c r="AC1250">
        <v>0</v>
      </c>
      <c r="AD1250">
        <v>2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</row>
    <row r="1251" spans="1:37" x14ac:dyDescent="0.3">
      <c r="A1251">
        <v>7979</v>
      </c>
      <c r="B1251" t="s">
        <v>219</v>
      </c>
      <c r="D1251" t="s">
        <v>327</v>
      </c>
      <c r="E1251">
        <v>99999999</v>
      </c>
      <c r="F1251">
        <v>11111111</v>
      </c>
      <c r="G1251">
        <v>1111111111</v>
      </c>
      <c r="H1251" t="s">
        <v>4820</v>
      </c>
      <c r="I1251">
        <v>99999999</v>
      </c>
      <c r="J1251" s="188">
        <v>45236</v>
      </c>
      <c r="K1251" t="s">
        <v>4820</v>
      </c>
      <c r="L1251" t="s">
        <v>4820</v>
      </c>
      <c r="M1251" t="s">
        <v>863</v>
      </c>
      <c r="N1251" t="s">
        <v>381</v>
      </c>
      <c r="O1251" t="s">
        <v>1818</v>
      </c>
      <c r="P1251" t="s">
        <v>221</v>
      </c>
      <c r="Q1251" t="s">
        <v>82</v>
      </c>
      <c r="R1251">
        <v>3</v>
      </c>
      <c r="S1251">
        <v>23.731999999999999</v>
      </c>
      <c r="T1251">
        <v>0</v>
      </c>
      <c r="U1251">
        <v>1</v>
      </c>
      <c r="V1251">
        <v>2</v>
      </c>
      <c r="W1251">
        <v>42.07</v>
      </c>
      <c r="X1251">
        <v>0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3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</row>
    <row r="1252" spans="1:37" x14ac:dyDescent="0.3">
      <c r="A1252">
        <v>7979</v>
      </c>
      <c r="B1252" t="s">
        <v>219</v>
      </c>
      <c r="D1252" t="s">
        <v>327</v>
      </c>
      <c r="E1252">
        <v>99999999</v>
      </c>
      <c r="F1252">
        <v>11111111</v>
      </c>
      <c r="G1252">
        <v>1111111111</v>
      </c>
      <c r="H1252" t="s">
        <v>4821</v>
      </c>
      <c r="I1252">
        <v>99999999</v>
      </c>
      <c r="J1252" s="188">
        <v>45236</v>
      </c>
      <c r="K1252" t="s">
        <v>4821</v>
      </c>
      <c r="L1252" t="s">
        <v>4821</v>
      </c>
      <c r="M1252" t="s">
        <v>343</v>
      </c>
      <c r="N1252" t="s">
        <v>164</v>
      </c>
      <c r="O1252" t="s">
        <v>1819</v>
      </c>
      <c r="P1252" t="s">
        <v>221</v>
      </c>
      <c r="Q1252" t="s">
        <v>82</v>
      </c>
      <c r="R1252">
        <v>3</v>
      </c>
      <c r="S1252">
        <v>1.925</v>
      </c>
      <c r="T1252">
        <v>0</v>
      </c>
      <c r="U1252">
        <v>1</v>
      </c>
      <c r="V1252">
        <v>3</v>
      </c>
      <c r="W1252">
        <v>21.88</v>
      </c>
      <c r="X1252">
        <v>0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3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</row>
    <row r="1253" spans="1:37" x14ac:dyDescent="0.3">
      <c r="A1253">
        <v>7979</v>
      </c>
      <c r="B1253" t="s">
        <v>219</v>
      </c>
      <c r="D1253" t="s">
        <v>327</v>
      </c>
      <c r="E1253">
        <v>99999999</v>
      </c>
      <c r="F1253">
        <v>11111111</v>
      </c>
      <c r="G1253">
        <v>1111111111</v>
      </c>
      <c r="H1253" t="s">
        <v>4822</v>
      </c>
      <c r="I1253">
        <v>99999999</v>
      </c>
      <c r="J1253" s="188">
        <v>45236</v>
      </c>
      <c r="K1253" t="s">
        <v>4822</v>
      </c>
      <c r="L1253" t="s">
        <v>4822</v>
      </c>
      <c r="M1253" t="s">
        <v>1530</v>
      </c>
      <c r="N1253" t="s">
        <v>99</v>
      </c>
      <c r="O1253">
        <v>94044</v>
      </c>
      <c r="P1253" t="s">
        <v>221</v>
      </c>
      <c r="Q1253" t="s">
        <v>82</v>
      </c>
      <c r="R1253">
        <v>4</v>
      </c>
      <c r="S1253">
        <v>1.51</v>
      </c>
      <c r="T1253">
        <v>0</v>
      </c>
      <c r="U1253">
        <v>1</v>
      </c>
      <c r="V1253">
        <v>4</v>
      </c>
      <c r="W1253">
        <v>26.8</v>
      </c>
      <c r="X1253">
        <v>0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4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</row>
    <row r="1254" spans="1:37" x14ac:dyDescent="0.3">
      <c r="A1254">
        <v>7979</v>
      </c>
      <c r="B1254" t="s">
        <v>219</v>
      </c>
      <c r="D1254" t="s">
        <v>327</v>
      </c>
      <c r="E1254">
        <v>99999999</v>
      </c>
      <c r="F1254">
        <v>11111111</v>
      </c>
      <c r="G1254">
        <v>1111111111</v>
      </c>
      <c r="H1254" t="s">
        <v>4823</v>
      </c>
      <c r="I1254">
        <v>99999999</v>
      </c>
      <c r="J1254" s="188">
        <v>45236</v>
      </c>
      <c r="K1254" t="s">
        <v>4823</v>
      </c>
      <c r="L1254" t="s">
        <v>4823</v>
      </c>
      <c r="M1254" t="s">
        <v>514</v>
      </c>
      <c r="N1254" t="s">
        <v>99</v>
      </c>
      <c r="O1254" t="s">
        <v>1820</v>
      </c>
      <c r="P1254" t="s">
        <v>221</v>
      </c>
      <c r="Q1254" t="s">
        <v>82</v>
      </c>
      <c r="R1254">
        <v>2</v>
      </c>
      <c r="S1254">
        <v>3.57</v>
      </c>
      <c r="T1254">
        <v>0</v>
      </c>
      <c r="U1254">
        <v>1</v>
      </c>
      <c r="V1254">
        <v>2</v>
      </c>
      <c r="W1254">
        <v>19.899999999999999</v>
      </c>
      <c r="X1254">
        <v>0</v>
      </c>
      <c r="Y1254">
        <v>0</v>
      </c>
      <c r="Z1254">
        <v>0</v>
      </c>
      <c r="AA1254">
        <v>0</v>
      </c>
      <c r="AB1254">
        <v>0</v>
      </c>
      <c r="AC1254">
        <v>0</v>
      </c>
      <c r="AD1254">
        <v>2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</row>
    <row r="1255" spans="1:37" x14ac:dyDescent="0.3">
      <c r="A1255">
        <v>7979</v>
      </c>
      <c r="B1255" t="s">
        <v>219</v>
      </c>
      <c r="D1255" t="s">
        <v>327</v>
      </c>
      <c r="E1255">
        <v>99999999</v>
      </c>
      <c r="F1255">
        <v>11111111</v>
      </c>
      <c r="G1255">
        <v>1111111111</v>
      </c>
      <c r="H1255" t="s">
        <v>4824</v>
      </c>
      <c r="I1255">
        <v>99999999</v>
      </c>
      <c r="J1255" s="188">
        <v>45236</v>
      </c>
      <c r="K1255" t="s">
        <v>4824</v>
      </c>
      <c r="L1255" t="s">
        <v>4824</v>
      </c>
      <c r="M1255" t="s">
        <v>423</v>
      </c>
      <c r="N1255" t="s">
        <v>130</v>
      </c>
      <c r="O1255" t="s">
        <v>1821</v>
      </c>
      <c r="P1255" t="s">
        <v>221</v>
      </c>
      <c r="Q1255" t="s">
        <v>82</v>
      </c>
      <c r="R1255">
        <v>3</v>
      </c>
      <c r="S1255">
        <v>19.666</v>
      </c>
      <c r="T1255">
        <v>0</v>
      </c>
      <c r="U1255">
        <v>1</v>
      </c>
      <c r="V1255">
        <v>3</v>
      </c>
      <c r="W1255">
        <v>32.65</v>
      </c>
      <c r="X1255">
        <v>0</v>
      </c>
      <c r="Y1255">
        <v>0</v>
      </c>
      <c r="Z1255">
        <v>0</v>
      </c>
      <c r="AA1255">
        <v>0</v>
      </c>
      <c r="AB1255">
        <v>0</v>
      </c>
      <c r="AC1255">
        <v>0</v>
      </c>
      <c r="AD1255">
        <v>3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</row>
    <row r="1256" spans="1:37" x14ac:dyDescent="0.3">
      <c r="A1256">
        <v>7979</v>
      </c>
      <c r="B1256" t="s">
        <v>219</v>
      </c>
      <c r="D1256" t="s">
        <v>327</v>
      </c>
      <c r="E1256">
        <v>99999999</v>
      </c>
      <c r="F1256">
        <v>11111111</v>
      </c>
      <c r="G1256">
        <v>1111111111</v>
      </c>
      <c r="H1256" t="s">
        <v>4825</v>
      </c>
      <c r="I1256">
        <v>99999999</v>
      </c>
      <c r="J1256" s="188">
        <v>45236</v>
      </c>
      <c r="K1256" t="s">
        <v>4825</v>
      </c>
      <c r="L1256" t="s">
        <v>4825</v>
      </c>
      <c r="M1256" t="s">
        <v>931</v>
      </c>
      <c r="N1256" t="s">
        <v>97</v>
      </c>
      <c r="O1256" t="s">
        <v>932</v>
      </c>
      <c r="P1256" t="s">
        <v>221</v>
      </c>
      <c r="Q1256" t="s">
        <v>82</v>
      </c>
      <c r="R1256">
        <v>4</v>
      </c>
      <c r="S1256">
        <v>4.54</v>
      </c>
      <c r="T1256">
        <v>0</v>
      </c>
      <c r="U1256">
        <v>1</v>
      </c>
      <c r="V1256">
        <v>4</v>
      </c>
      <c r="W1256">
        <v>23.09</v>
      </c>
      <c r="X1256">
        <v>0</v>
      </c>
      <c r="Y1256">
        <v>0</v>
      </c>
      <c r="Z1256">
        <v>0</v>
      </c>
      <c r="AA1256">
        <v>0</v>
      </c>
      <c r="AB1256">
        <v>0</v>
      </c>
      <c r="AC1256">
        <v>0</v>
      </c>
      <c r="AD1256">
        <v>4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</row>
    <row r="1257" spans="1:37" x14ac:dyDescent="0.3">
      <c r="A1257">
        <v>7979</v>
      </c>
      <c r="B1257" t="s">
        <v>219</v>
      </c>
      <c r="D1257" t="s">
        <v>327</v>
      </c>
      <c r="E1257">
        <v>99999999</v>
      </c>
      <c r="F1257">
        <v>11111111</v>
      </c>
      <c r="G1257">
        <v>1111111111</v>
      </c>
      <c r="H1257" t="s">
        <v>4826</v>
      </c>
      <c r="I1257">
        <v>99999999</v>
      </c>
      <c r="J1257" s="188">
        <v>45236</v>
      </c>
      <c r="K1257" t="s">
        <v>4826</v>
      </c>
      <c r="L1257" t="s">
        <v>4826</v>
      </c>
      <c r="M1257" t="s">
        <v>1822</v>
      </c>
      <c r="N1257" t="s">
        <v>99</v>
      </c>
      <c r="O1257" t="s">
        <v>1823</v>
      </c>
      <c r="P1257" t="s">
        <v>221</v>
      </c>
      <c r="Q1257" t="s">
        <v>82</v>
      </c>
      <c r="R1257">
        <v>3</v>
      </c>
      <c r="S1257">
        <v>3.27</v>
      </c>
      <c r="T1257">
        <v>0</v>
      </c>
      <c r="U1257">
        <v>1</v>
      </c>
      <c r="V1257">
        <v>3</v>
      </c>
      <c r="W1257">
        <v>22.52</v>
      </c>
      <c r="X1257">
        <v>0</v>
      </c>
      <c r="Y1257">
        <v>0</v>
      </c>
      <c r="Z1257">
        <v>0</v>
      </c>
      <c r="AA1257">
        <v>0</v>
      </c>
      <c r="AB1257">
        <v>0</v>
      </c>
      <c r="AC1257">
        <v>0</v>
      </c>
      <c r="AD1257">
        <v>3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</row>
    <row r="1258" spans="1:37" x14ac:dyDescent="0.3">
      <c r="A1258">
        <v>7979</v>
      </c>
      <c r="B1258" t="s">
        <v>219</v>
      </c>
      <c r="D1258" t="s">
        <v>327</v>
      </c>
      <c r="E1258">
        <v>99999999</v>
      </c>
      <c r="F1258">
        <v>11111111</v>
      </c>
      <c r="G1258">
        <v>1111111111</v>
      </c>
      <c r="H1258" t="s">
        <v>4827</v>
      </c>
      <c r="I1258">
        <v>99999999</v>
      </c>
      <c r="J1258" s="188">
        <v>45236</v>
      </c>
      <c r="K1258" t="s">
        <v>4827</v>
      </c>
      <c r="L1258" t="s">
        <v>4827</v>
      </c>
      <c r="M1258" t="s">
        <v>101</v>
      </c>
      <c r="N1258" t="s">
        <v>97</v>
      </c>
      <c r="O1258" t="s">
        <v>1824</v>
      </c>
      <c r="P1258" t="s">
        <v>221</v>
      </c>
      <c r="Q1258" t="s">
        <v>82</v>
      </c>
      <c r="R1258">
        <v>7</v>
      </c>
      <c r="S1258">
        <v>9.1479999999999997</v>
      </c>
      <c r="T1258">
        <v>0</v>
      </c>
      <c r="U1258">
        <v>1</v>
      </c>
      <c r="V1258">
        <v>7</v>
      </c>
      <c r="W1258">
        <v>24.41</v>
      </c>
      <c r="X1258">
        <v>0</v>
      </c>
      <c r="Y1258">
        <v>0</v>
      </c>
      <c r="Z1258">
        <v>0</v>
      </c>
      <c r="AA1258">
        <v>0</v>
      </c>
      <c r="AB1258">
        <v>0</v>
      </c>
      <c r="AC1258">
        <v>0</v>
      </c>
      <c r="AD1258">
        <v>7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</row>
    <row r="1259" spans="1:37" x14ac:dyDescent="0.3">
      <c r="A1259">
        <v>7979</v>
      </c>
      <c r="B1259" t="s">
        <v>219</v>
      </c>
      <c r="D1259" t="s">
        <v>327</v>
      </c>
      <c r="E1259">
        <v>99999999</v>
      </c>
      <c r="F1259">
        <v>11111111</v>
      </c>
      <c r="G1259">
        <v>1111111111</v>
      </c>
      <c r="H1259" t="s">
        <v>4828</v>
      </c>
      <c r="I1259">
        <v>99999999</v>
      </c>
      <c r="J1259" s="188">
        <v>45236</v>
      </c>
      <c r="K1259" t="s">
        <v>4828</v>
      </c>
      <c r="L1259" t="s">
        <v>4828</v>
      </c>
      <c r="M1259" t="s">
        <v>500</v>
      </c>
      <c r="N1259" t="s">
        <v>99</v>
      </c>
      <c r="O1259" t="s">
        <v>1825</v>
      </c>
      <c r="P1259" t="s">
        <v>221</v>
      </c>
      <c r="Q1259" t="s">
        <v>82</v>
      </c>
      <c r="R1259">
        <v>4</v>
      </c>
      <c r="S1259">
        <v>12</v>
      </c>
      <c r="T1259">
        <v>0</v>
      </c>
      <c r="U1259">
        <v>1</v>
      </c>
      <c r="V1259">
        <v>2</v>
      </c>
      <c r="W1259">
        <v>29.94</v>
      </c>
      <c r="X1259">
        <v>0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4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</row>
    <row r="1260" spans="1:37" x14ac:dyDescent="0.3">
      <c r="A1260">
        <v>7979</v>
      </c>
      <c r="B1260" t="s">
        <v>219</v>
      </c>
      <c r="D1260" t="s">
        <v>327</v>
      </c>
      <c r="E1260">
        <v>99999999</v>
      </c>
      <c r="F1260">
        <v>11111111</v>
      </c>
      <c r="G1260">
        <v>1111111111</v>
      </c>
      <c r="H1260" t="s">
        <v>4829</v>
      </c>
      <c r="I1260">
        <v>99999999</v>
      </c>
      <c r="J1260" s="188">
        <v>45236</v>
      </c>
      <c r="K1260" t="s">
        <v>4829</v>
      </c>
      <c r="L1260" t="s">
        <v>4829</v>
      </c>
      <c r="M1260" t="s">
        <v>1826</v>
      </c>
      <c r="N1260" t="s">
        <v>118</v>
      </c>
      <c r="O1260" t="s">
        <v>1827</v>
      </c>
      <c r="P1260" t="s">
        <v>221</v>
      </c>
      <c r="Q1260" t="s">
        <v>82</v>
      </c>
      <c r="R1260">
        <v>1</v>
      </c>
      <c r="S1260">
        <v>8</v>
      </c>
      <c r="T1260">
        <v>0</v>
      </c>
      <c r="U1260">
        <v>1</v>
      </c>
      <c r="V1260">
        <v>1</v>
      </c>
      <c r="W1260">
        <v>36.46</v>
      </c>
      <c r="X1260">
        <v>0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1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</row>
    <row r="1261" spans="1:37" x14ac:dyDescent="0.3">
      <c r="A1261">
        <v>7979</v>
      </c>
      <c r="B1261" t="s">
        <v>219</v>
      </c>
      <c r="D1261" t="s">
        <v>327</v>
      </c>
      <c r="E1261">
        <v>99999999</v>
      </c>
      <c r="F1261">
        <v>11111111</v>
      </c>
      <c r="G1261">
        <v>1111111111</v>
      </c>
      <c r="H1261" t="s">
        <v>4830</v>
      </c>
      <c r="I1261">
        <v>99999999</v>
      </c>
      <c r="J1261" s="188">
        <v>45236</v>
      </c>
      <c r="K1261" t="s">
        <v>4830</v>
      </c>
      <c r="L1261" t="s">
        <v>4830</v>
      </c>
      <c r="M1261" t="s">
        <v>1828</v>
      </c>
      <c r="N1261" t="s">
        <v>99</v>
      </c>
      <c r="O1261" t="s">
        <v>1829</v>
      </c>
      <c r="P1261" t="s">
        <v>221</v>
      </c>
      <c r="Q1261" t="s">
        <v>82</v>
      </c>
      <c r="R1261">
        <v>4</v>
      </c>
      <c r="S1261">
        <v>4.12</v>
      </c>
      <c r="T1261">
        <v>0</v>
      </c>
      <c r="U1261">
        <v>1</v>
      </c>
      <c r="V1261">
        <v>1</v>
      </c>
      <c r="W1261">
        <v>21.44</v>
      </c>
      <c r="X1261">
        <v>0</v>
      </c>
      <c r="Y1261">
        <v>0</v>
      </c>
      <c r="Z1261">
        <v>0</v>
      </c>
      <c r="AA1261">
        <v>0</v>
      </c>
      <c r="AB1261">
        <v>0</v>
      </c>
      <c r="AC1261">
        <v>0</v>
      </c>
      <c r="AD1261">
        <v>4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</row>
    <row r="1262" spans="1:37" x14ac:dyDescent="0.3">
      <c r="A1262">
        <v>7979</v>
      </c>
      <c r="B1262" t="s">
        <v>219</v>
      </c>
      <c r="D1262" t="s">
        <v>327</v>
      </c>
      <c r="E1262">
        <v>99999999</v>
      </c>
      <c r="F1262">
        <v>11111111</v>
      </c>
      <c r="G1262">
        <v>1111111111</v>
      </c>
      <c r="H1262" t="s">
        <v>4831</v>
      </c>
      <c r="I1262">
        <v>99999999</v>
      </c>
      <c r="J1262" s="188">
        <v>45236</v>
      </c>
      <c r="K1262" t="s">
        <v>4831</v>
      </c>
      <c r="L1262" t="s">
        <v>4831</v>
      </c>
      <c r="M1262" t="s">
        <v>430</v>
      </c>
      <c r="N1262" t="s">
        <v>122</v>
      </c>
      <c r="O1262" t="s">
        <v>431</v>
      </c>
      <c r="P1262" t="s">
        <v>221</v>
      </c>
      <c r="Q1262" t="s">
        <v>82</v>
      </c>
      <c r="R1262">
        <v>1</v>
      </c>
      <c r="S1262">
        <v>1.125</v>
      </c>
      <c r="T1262">
        <v>0</v>
      </c>
      <c r="U1262">
        <v>1</v>
      </c>
      <c r="V1262">
        <v>1</v>
      </c>
      <c r="W1262">
        <v>29.8</v>
      </c>
      <c r="X1262">
        <v>0</v>
      </c>
      <c r="Y1262">
        <v>0</v>
      </c>
      <c r="Z1262">
        <v>0</v>
      </c>
      <c r="AA1262">
        <v>0</v>
      </c>
      <c r="AB1262">
        <v>0</v>
      </c>
      <c r="AC1262">
        <v>0</v>
      </c>
      <c r="AD1262">
        <v>1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</row>
    <row r="1263" spans="1:37" x14ac:dyDescent="0.3">
      <c r="A1263">
        <v>7979</v>
      </c>
      <c r="B1263" t="s">
        <v>219</v>
      </c>
      <c r="D1263" t="s">
        <v>327</v>
      </c>
      <c r="E1263">
        <v>99999999</v>
      </c>
      <c r="F1263">
        <v>11111111</v>
      </c>
      <c r="G1263">
        <v>1111111111</v>
      </c>
      <c r="H1263" t="s">
        <v>4832</v>
      </c>
      <c r="I1263">
        <v>99999999</v>
      </c>
      <c r="J1263" s="188">
        <v>45236</v>
      </c>
      <c r="K1263" t="s">
        <v>4832</v>
      </c>
      <c r="L1263" t="s">
        <v>4832</v>
      </c>
      <c r="M1263" t="s">
        <v>1830</v>
      </c>
      <c r="N1263" t="s">
        <v>151</v>
      </c>
      <c r="O1263" t="s">
        <v>1831</v>
      </c>
      <c r="P1263" t="s">
        <v>221</v>
      </c>
      <c r="Q1263" t="s">
        <v>82</v>
      </c>
      <c r="R1263">
        <v>4</v>
      </c>
      <c r="S1263">
        <v>2.31</v>
      </c>
      <c r="T1263">
        <v>0</v>
      </c>
      <c r="U1263">
        <v>1</v>
      </c>
      <c r="V1263">
        <v>4</v>
      </c>
      <c r="W1263">
        <v>30.93</v>
      </c>
      <c r="X1263">
        <v>0</v>
      </c>
      <c r="Y1263">
        <v>0</v>
      </c>
      <c r="Z1263">
        <v>0</v>
      </c>
      <c r="AA1263">
        <v>0</v>
      </c>
      <c r="AB1263">
        <v>0</v>
      </c>
      <c r="AC1263">
        <v>0</v>
      </c>
      <c r="AD1263">
        <v>4</v>
      </c>
      <c r="AE1263">
        <v>0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</row>
    <row r="1264" spans="1:37" x14ac:dyDescent="0.3">
      <c r="A1264">
        <v>7979</v>
      </c>
      <c r="B1264" t="s">
        <v>219</v>
      </c>
      <c r="D1264" t="s">
        <v>327</v>
      </c>
      <c r="E1264">
        <v>99999999</v>
      </c>
      <c r="F1264">
        <v>11111111</v>
      </c>
      <c r="G1264">
        <v>1111111111</v>
      </c>
      <c r="H1264" t="s">
        <v>4833</v>
      </c>
      <c r="I1264">
        <v>99999999</v>
      </c>
      <c r="J1264" s="188">
        <v>45236</v>
      </c>
      <c r="K1264" t="s">
        <v>4833</v>
      </c>
      <c r="L1264" t="s">
        <v>4833</v>
      </c>
      <c r="M1264" t="s">
        <v>816</v>
      </c>
      <c r="N1264" t="s">
        <v>381</v>
      </c>
      <c r="O1264" t="s">
        <v>1832</v>
      </c>
      <c r="P1264" t="s">
        <v>221</v>
      </c>
      <c r="Q1264" t="s">
        <v>82</v>
      </c>
      <c r="R1264">
        <v>1</v>
      </c>
      <c r="S1264">
        <v>7.52</v>
      </c>
      <c r="T1264">
        <v>0</v>
      </c>
      <c r="U1264">
        <v>1</v>
      </c>
      <c r="V1264">
        <v>1</v>
      </c>
      <c r="W1264">
        <v>24.22</v>
      </c>
      <c r="X1264">
        <v>0</v>
      </c>
      <c r="Y1264">
        <v>0</v>
      </c>
      <c r="Z1264">
        <v>0</v>
      </c>
      <c r="AA1264">
        <v>0</v>
      </c>
      <c r="AB1264">
        <v>0</v>
      </c>
      <c r="AC1264">
        <v>0</v>
      </c>
      <c r="AD1264">
        <v>1</v>
      </c>
      <c r="AE1264">
        <v>0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</row>
    <row r="1265" spans="1:37" x14ac:dyDescent="0.3">
      <c r="A1265">
        <v>7979</v>
      </c>
      <c r="B1265" t="s">
        <v>219</v>
      </c>
      <c r="D1265" t="s">
        <v>327</v>
      </c>
      <c r="E1265">
        <v>99999999</v>
      </c>
      <c r="F1265">
        <v>11111111</v>
      </c>
      <c r="G1265">
        <v>1111111111</v>
      </c>
      <c r="H1265" t="s">
        <v>4834</v>
      </c>
      <c r="I1265">
        <v>99999999</v>
      </c>
      <c r="J1265" s="188">
        <v>45236</v>
      </c>
      <c r="K1265" t="s">
        <v>4834</v>
      </c>
      <c r="L1265" t="s">
        <v>4834</v>
      </c>
      <c r="M1265" t="s">
        <v>1191</v>
      </c>
      <c r="N1265" t="s">
        <v>99</v>
      </c>
      <c r="O1265" t="s">
        <v>1833</v>
      </c>
      <c r="P1265" t="s">
        <v>221</v>
      </c>
      <c r="Q1265" t="s">
        <v>82</v>
      </c>
      <c r="R1265">
        <v>1</v>
      </c>
      <c r="S1265">
        <v>2.02</v>
      </c>
      <c r="T1265">
        <v>0</v>
      </c>
      <c r="U1265">
        <v>1</v>
      </c>
      <c r="V1265">
        <v>1</v>
      </c>
      <c r="W1265">
        <v>20.67</v>
      </c>
      <c r="X1265">
        <v>0</v>
      </c>
      <c r="Y1265">
        <v>0</v>
      </c>
      <c r="Z1265">
        <v>0</v>
      </c>
      <c r="AA1265">
        <v>0</v>
      </c>
      <c r="AB1265">
        <v>0</v>
      </c>
      <c r="AC1265">
        <v>0</v>
      </c>
      <c r="AD1265">
        <v>1</v>
      </c>
      <c r="AE1265">
        <v>0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</row>
    <row r="1266" spans="1:37" x14ac:dyDescent="0.3">
      <c r="A1266">
        <v>7979</v>
      </c>
      <c r="B1266" t="s">
        <v>219</v>
      </c>
      <c r="D1266" t="s">
        <v>327</v>
      </c>
      <c r="E1266">
        <v>99999999</v>
      </c>
      <c r="F1266">
        <v>11111111</v>
      </c>
      <c r="G1266">
        <v>1111111111</v>
      </c>
      <c r="H1266" t="s">
        <v>4835</v>
      </c>
      <c r="I1266">
        <v>99999999</v>
      </c>
      <c r="J1266" s="188">
        <v>45236</v>
      </c>
      <c r="K1266" t="s">
        <v>4835</v>
      </c>
      <c r="L1266" t="s">
        <v>4835</v>
      </c>
      <c r="M1266" t="s">
        <v>630</v>
      </c>
      <c r="N1266" t="s">
        <v>104</v>
      </c>
      <c r="O1266" t="s">
        <v>1834</v>
      </c>
      <c r="P1266" t="s">
        <v>221</v>
      </c>
      <c r="Q1266" t="s">
        <v>82</v>
      </c>
      <c r="R1266">
        <v>4</v>
      </c>
      <c r="S1266">
        <v>7.18</v>
      </c>
      <c r="T1266">
        <v>0</v>
      </c>
      <c r="U1266">
        <v>1</v>
      </c>
      <c r="V1266">
        <v>3</v>
      </c>
      <c r="W1266">
        <v>24.15</v>
      </c>
      <c r="X1266">
        <v>0</v>
      </c>
      <c r="Y1266">
        <v>0</v>
      </c>
      <c r="Z1266">
        <v>0</v>
      </c>
      <c r="AA1266">
        <v>0</v>
      </c>
      <c r="AB1266">
        <v>0</v>
      </c>
      <c r="AC1266">
        <v>0</v>
      </c>
      <c r="AD1266">
        <v>4</v>
      </c>
      <c r="AE1266">
        <v>0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</row>
    <row r="1267" spans="1:37" x14ac:dyDescent="0.3">
      <c r="A1267">
        <v>7979</v>
      </c>
      <c r="B1267" t="s">
        <v>219</v>
      </c>
      <c r="D1267" t="s">
        <v>327</v>
      </c>
      <c r="E1267">
        <v>99999999</v>
      </c>
      <c r="F1267">
        <v>11111111</v>
      </c>
      <c r="G1267">
        <v>1111111111</v>
      </c>
      <c r="H1267" t="s">
        <v>4836</v>
      </c>
      <c r="I1267">
        <v>99999999</v>
      </c>
      <c r="J1267" s="188">
        <v>45236</v>
      </c>
      <c r="K1267" t="s">
        <v>4836</v>
      </c>
      <c r="L1267" t="s">
        <v>4836</v>
      </c>
      <c r="M1267" t="s">
        <v>1822</v>
      </c>
      <c r="N1267" t="s">
        <v>99</v>
      </c>
      <c r="O1267" t="s">
        <v>1835</v>
      </c>
      <c r="P1267" t="s">
        <v>221</v>
      </c>
      <c r="Q1267" t="s">
        <v>82</v>
      </c>
      <c r="R1267">
        <v>2</v>
      </c>
      <c r="S1267">
        <v>2.78</v>
      </c>
      <c r="T1267">
        <v>0</v>
      </c>
      <c r="U1267">
        <v>1</v>
      </c>
      <c r="V1267">
        <v>2</v>
      </c>
      <c r="W1267">
        <v>22.52</v>
      </c>
      <c r="X1267">
        <v>0</v>
      </c>
      <c r="Y1267">
        <v>0</v>
      </c>
      <c r="Z1267">
        <v>0</v>
      </c>
      <c r="AA1267">
        <v>0</v>
      </c>
      <c r="AB1267">
        <v>0</v>
      </c>
      <c r="AC1267">
        <v>0</v>
      </c>
      <c r="AD1267">
        <v>2</v>
      </c>
      <c r="AE1267">
        <v>0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</row>
    <row r="1268" spans="1:37" x14ac:dyDescent="0.3">
      <c r="A1268">
        <v>7979</v>
      </c>
      <c r="B1268" t="s">
        <v>219</v>
      </c>
      <c r="D1268" t="s">
        <v>327</v>
      </c>
      <c r="E1268">
        <v>99999999</v>
      </c>
      <c r="F1268">
        <v>11111111</v>
      </c>
      <c r="G1268">
        <v>1111111111</v>
      </c>
      <c r="H1268" t="s">
        <v>4837</v>
      </c>
      <c r="I1268">
        <v>99999999</v>
      </c>
      <c r="J1268" s="188">
        <v>45236</v>
      </c>
      <c r="K1268" t="s">
        <v>4837</v>
      </c>
      <c r="L1268" t="s">
        <v>4837</v>
      </c>
      <c r="M1268" t="s">
        <v>562</v>
      </c>
      <c r="N1268" t="s">
        <v>197</v>
      </c>
      <c r="O1268" t="s">
        <v>1836</v>
      </c>
      <c r="P1268" t="s">
        <v>221</v>
      </c>
      <c r="Q1268" t="s">
        <v>82</v>
      </c>
      <c r="R1268">
        <v>1</v>
      </c>
      <c r="S1268">
        <v>5.0999999999999996</v>
      </c>
      <c r="T1268">
        <v>0</v>
      </c>
      <c r="U1268">
        <v>1</v>
      </c>
      <c r="V1268">
        <v>1</v>
      </c>
      <c r="W1268">
        <v>25.12</v>
      </c>
      <c r="X1268">
        <v>0</v>
      </c>
      <c r="Y1268">
        <v>0</v>
      </c>
      <c r="Z1268">
        <v>0</v>
      </c>
      <c r="AA1268">
        <v>0</v>
      </c>
      <c r="AB1268">
        <v>0</v>
      </c>
      <c r="AC1268">
        <v>0</v>
      </c>
      <c r="AD1268">
        <v>1</v>
      </c>
      <c r="AE1268">
        <v>0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</row>
    <row r="1269" spans="1:37" x14ac:dyDescent="0.3">
      <c r="A1269">
        <v>7979</v>
      </c>
      <c r="B1269" t="s">
        <v>219</v>
      </c>
      <c r="D1269" t="s">
        <v>327</v>
      </c>
      <c r="E1269">
        <v>99999999</v>
      </c>
      <c r="F1269">
        <v>11111111</v>
      </c>
      <c r="G1269">
        <v>1111111111</v>
      </c>
      <c r="H1269" t="s">
        <v>4838</v>
      </c>
      <c r="I1269">
        <v>99999999</v>
      </c>
      <c r="J1269" s="188">
        <v>45236</v>
      </c>
      <c r="K1269" t="s">
        <v>4838</v>
      </c>
      <c r="L1269" t="s">
        <v>4838</v>
      </c>
      <c r="M1269" t="s">
        <v>1837</v>
      </c>
      <c r="N1269" t="s">
        <v>130</v>
      </c>
      <c r="O1269" t="s">
        <v>1838</v>
      </c>
      <c r="P1269" t="s">
        <v>221</v>
      </c>
      <c r="Q1269" t="s">
        <v>82</v>
      </c>
      <c r="R1269">
        <v>1</v>
      </c>
      <c r="S1269">
        <v>6</v>
      </c>
      <c r="T1269">
        <v>0</v>
      </c>
      <c r="U1269">
        <v>1</v>
      </c>
      <c r="V1269">
        <v>1</v>
      </c>
      <c r="W1269">
        <v>31.15</v>
      </c>
      <c r="X1269">
        <v>0</v>
      </c>
      <c r="Y1269">
        <v>0</v>
      </c>
      <c r="Z1269">
        <v>0</v>
      </c>
      <c r="AA1269">
        <v>0</v>
      </c>
      <c r="AB1269">
        <v>0</v>
      </c>
      <c r="AC1269">
        <v>0</v>
      </c>
      <c r="AD1269">
        <v>1</v>
      </c>
      <c r="AE1269">
        <v>0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</row>
    <row r="1270" spans="1:37" x14ac:dyDescent="0.3">
      <c r="A1270">
        <v>7979</v>
      </c>
      <c r="B1270" t="s">
        <v>219</v>
      </c>
      <c r="D1270" t="s">
        <v>327</v>
      </c>
      <c r="E1270">
        <v>99999999</v>
      </c>
      <c r="F1270">
        <v>11111111</v>
      </c>
      <c r="G1270">
        <v>1111111111</v>
      </c>
      <c r="H1270" t="s">
        <v>4839</v>
      </c>
      <c r="I1270">
        <v>99999999</v>
      </c>
      <c r="J1270" s="188">
        <v>45236</v>
      </c>
      <c r="K1270" t="s">
        <v>4839</v>
      </c>
      <c r="L1270" t="s">
        <v>4839</v>
      </c>
      <c r="M1270" t="s">
        <v>142</v>
      </c>
      <c r="N1270" t="s">
        <v>97</v>
      </c>
      <c r="O1270" t="s">
        <v>1839</v>
      </c>
      <c r="P1270" t="s">
        <v>221</v>
      </c>
      <c r="Q1270" t="s">
        <v>82</v>
      </c>
      <c r="R1270">
        <v>1</v>
      </c>
      <c r="S1270">
        <v>2.2000000000000002</v>
      </c>
      <c r="T1270">
        <v>0</v>
      </c>
      <c r="U1270">
        <v>1</v>
      </c>
      <c r="V1270">
        <v>1</v>
      </c>
      <c r="W1270">
        <v>21.88</v>
      </c>
      <c r="X1270">
        <v>0</v>
      </c>
      <c r="Y1270">
        <v>0</v>
      </c>
      <c r="Z1270">
        <v>0</v>
      </c>
      <c r="AA1270">
        <v>0</v>
      </c>
      <c r="AB1270">
        <v>0</v>
      </c>
      <c r="AC1270">
        <v>0</v>
      </c>
      <c r="AD1270">
        <v>1</v>
      </c>
      <c r="AE1270">
        <v>0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</row>
    <row r="1271" spans="1:37" x14ac:dyDescent="0.3">
      <c r="A1271">
        <v>7979</v>
      </c>
      <c r="B1271" t="s">
        <v>219</v>
      </c>
      <c r="D1271" t="s">
        <v>327</v>
      </c>
      <c r="E1271">
        <v>99999999</v>
      </c>
      <c r="F1271">
        <v>11111111</v>
      </c>
      <c r="G1271">
        <v>1111111111</v>
      </c>
      <c r="H1271" t="s">
        <v>4840</v>
      </c>
      <c r="I1271">
        <v>99999999</v>
      </c>
      <c r="J1271" s="188">
        <v>45236</v>
      </c>
      <c r="K1271" t="s">
        <v>4840</v>
      </c>
      <c r="L1271" t="s">
        <v>4840</v>
      </c>
      <c r="M1271" t="s">
        <v>352</v>
      </c>
      <c r="N1271" t="s">
        <v>99</v>
      </c>
      <c r="O1271" t="s">
        <v>353</v>
      </c>
      <c r="P1271" t="s">
        <v>221</v>
      </c>
      <c r="Q1271" t="s">
        <v>82</v>
      </c>
      <c r="R1271">
        <v>1</v>
      </c>
      <c r="S1271">
        <v>6.62</v>
      </c>
      <c r="T1271">
        <v>0</v>
      </c>
      <c r="U1271">
        <v>1</v>
      </c>
      <c r="V1271">
        <v>1</v>
      </c>
      <c r="W1271">
        <v>30.27</v>
      </c>
      <c r="X1271">
        <v>0</v>
      </c>
      <c r="Y1271">
        <v>0</v>
      </c>
      <c r="Z1271">
        <v>0</v>
      </c>
      <c r="AA1271">
        <v>0</v>
      </c>
      <c r="AB1271">
        <v>0</v>
      </c>
      <c r="AC1271">
        <v>0</v>
      </c>
      <c r="AD1271">
        <v>1</v>
      </c>
      <c r="AE1271">
        <v>0</v>
      </c>
      <c r="AF1271">
        <v>0</v>
      </c>
      <c r="AG1271">
        <v>0</v>
      </c>
      <c r="AH1271">
        <v>0</v>
      </c>
      <c r="AI1271">
        <v>0</v>
      </c>
      <c r="AJ1271">
        <v>0</v>
      </c>
      <c r="AK1271">
        <v>0</v>
      </c>
    </row>
    <row r="1272" spans="1:37" x14ac:dyDescent="0.3">
      <c r="A1272">
        <v>7979</v>
      </c>
      <c r="B1272" t="s">
        <v>219</v>
      </c>
      <c r="D1272" t="s">
        <v>327</v>
      </c>
      <c r="E1272">
        <v>99999999</v>
      </c>
      <c r="F1272">
        <v>11111111</v>
      </c>
      <c r="G1272">
        <v>1111111111</v>
      </c>
      <c r="H1272" t="s">
        <v>4841</v>
      </c>
      <c r="I1272">
        <v>99999999</v>
      </c>
      <c r="J1272" s="188">
        <v>45236</v>
      </c>
      <c r="K1272" t="s">
        <v>4841</v>
      </c>
      <c r="L1272" t="s">
        <v>4841</v>
      </c>
      <c r="M1272" t="s">
        <v>1840</v>
      </c>
      <c r="N1272" t="s">
        <v>99</v>
      </c>
      <c r="O1272" t="s">
        <v>1841</v>
      </c>
      <c r="P1272" t="s">
        <v>221</v>
      </c>
      <c r="Q1272" t="s">
        <v>82</v>
      </c>
      <c r="R1272">
        <v>23</v>
      </c>
      <c r="S1272">
        <v>26</v>
      </c>
      <c r="T1272">
        <v>0</v>
      </c>
      <c r="U1272">
        <v>1</v>
      </c>
      <c r="V1272">
        <v>3</v>
      </c>
      <c r="W1272">
        <v>36.93</v>
      </c>
      <c r="X1272">
        <v>0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23</v>
      </c>
      <c r="AE1272">
        <v>0</v>
      </c>
      <c r="AF1272">
        <v>0</v>
      </c>
      <c r="AG1272">
        <v>0</v>
      </c>
      <c r="AH1272">
        <v>0</v>
      </c>
      <c r="AI1272">
        <v>0</v>
      </c>
      <c r="AJ1272">
        <v>0</v>
      </c>
      <c r="AK1272">
        <v>0</v>
      </c>
    </row>
    <row r="1273" spans="1:37" x14ac:dyDescent="0.3">
      <c r="A1273">
        <v>7979</v>
      </c>
      <c r="B1273" t="s">
        <v>219</v>
      </c>
      <c r="D1273" t="s">
        <v>327</v>
      </c>
      <c r="E1273">
        <v>99999999</v>
      </c>
      <c r="F1273">
        <v>11111111</v>
      </c>
      <c r="G1273">
        <v>1111111111</v>
      </c>
      <c r="H1273" t="s">
        <v>4842</v>
      </c>
      <c r="I1273">
        <v>99999999</v>
      </c>
      <c r="J1273" s="188">
        <v>45236</v>
      </c>
      <c r="K1273" t="s">
        <v>4842</v>
      </c>
      <c r="L1273" t="s">
        <v>4842</v>
      </c>
      <c r="M1273" t="s">
        <v>297</v>
      </c>
      <c r="N1273" t="s">
        <v>197</v>
      </c>
      <c r="O1273" t="s">
        <v>1842</v>
      </c>
      <c r="P1273" t="s">
        <v>221</v>
      </c>
      <c r="Q1273" t="s">
        <v>82</v>
      </c>
      <c r="R1273">
        <v>1</v>
      </c>
      <c r="S1273">
        <v>2.02</v>
      </c>
      <c r="T1273">
        <v>0</v>
      </c>
      <c r="U1273">
        <v>1</v>
      </c>
      <c r="V1273">
        <v>1</v>
      </c>
      <c r="W1273">
        <v>23.35</v>
      </c>
      <c r="X1273">
        <v>0</v>
      </c>
      <c r="Y1273">
        <v>0</v>
      </c>
      <c r="Z1273">
        <v>0</v>
      </c>
      <c r="AA1273">
        <v>0</v>
      </c>
      <c r="AB1273">
        <v>0</v>
      </c>
      <c r="AC1273">
        <v>0</v>
      </c>
      <c r="AD1273">
        <v>1</v>
      </c>
      <c r="AE1273">
        <v>0</v>
      </c>
      <c r="AF1273">
        <v>0</v>
      </c>
      <c r="AG1273">
        <v>0</v>
      </c>
      <c r="AH1273">
        <v>0</v>
      </c>
      <c r="AI1273">
        <v>0</v>
      </c>
      <c r="AJ1273">
        <v>0</v>
      </c>
      <c r="AK1273">
        <v>0</v>
      </c>
    </row>
    <row r="1274" spans="1:37" x14ac:dyDescent="0.3">
      <c r="A1274">
        <v>7979</v>
      </c>
      <c r="B1274" t="s">
        <v>219</v>
      </c>
      <c r="D1274" t="s">
        <v>327</v>
      </c>
      <c r="E1274">
        <v>99999999</v>
      </c>
      <c r="F1274">
        <v>11111111</v>
      </c>
      <c r="G1274">
        <v>1111111111</v>
      </c>
      <c r="H1274" t="s">
        <v>4843</v>
      </c>
      <c r="I1274">
        <v>99999999</v>
      </c>
      <c r="J1274" s="188">
        <v>45236</v>
      </c>
      <c r="K1274" t="s">
        <v>4843</v>
      </c>
      <c r="L1274" t="s">
        <v>4843</v>
      </c>
      <c r="M1274" t="s">
        <v>1843</v>
      </c>
      <c r="N1274" t="s">
        <v>91</v>
      </c>
      <c r="O1274" t="s">
        <v>1844</v>
      </c>
      <c r="P1274" t="s">
        <v>221</v>
      </c>
      <c r="Q1274" t="s">
        <v>82</v>
      </c>
      <c r="R1274">
        <v>2</v>
      </c>
      <c r="S1274">
        <v>1.6</v>
      </c>
      <c r="T1274">
        <v>0</v>
      </c>
      <c r="U1274">
        <v>1</v>
      </c>
      <c r="V1274">
        <v>2</v>
      </c>
      <c r="W1274">
        <v>28.79</v>
      </c>
      <c r="X1274">
        <v>0</v>
      </c>
      <c r="Y1274">
        <v>0</v>
      </c>
      <c r="Z1274">
        <v>0</v>
      </c>
      <c r="AA1274">
        <v>0</v>
      </c>
      <c r="AB1274">
        <v>0</v>
      </c>
      <c r="AC1274">
        <v>0</v>
      </c>
      <c r="AD1274">
        <v>2</v>
      </c>
      <c r="AE1274">
        <v>0</v>
      </c>
      <c r="AF1274">
        <v>0</v>
      </c>
      <c r="AG1274">
        <v>0</v>
      </c>
      <c r="AH1274">
        <v>0</v>
      </c>
      <c r="AI1274">
        <v>0</v>
      </c>
      <c r="AJ1274">
        <v>0</v>
      </c>
      <c r="AK1274">
        <v>0</v>
      </c>
    </row>
    <row r="1275" spans="1:37" x14ac:dyDescent="0.3">
      <c r="A1275">
        <v>7979</v>
      </c>
      <c r="B1275" t="s">
        <v>219</v>
      </c>
      <c r="D1275" t="s">
        <v>327</v>
      </c>
      <c r="E1275">
        <v>99999999</v>
      </c>
      <c r="F1275">
        <v>11111111</v>
      </c>
      <c r="G1275">
        <v>1111111111</v>
      </c>
      <c r="H1275" t="s">
        <v>4844</v>
      </c>
      <c r="I1275">
        <v>99999999</v>
      </c>
      <c r="J1275" s="188">
        <v>45236</v>
      </c>
      <c r="K1275" t="s">
        <v>4844</v>
      </c>
      <c r="L1275" t="s">
        <v>4844</v>
      </c>
      <c r="M1275" t="s">
        <v>1845</v>
      </c>
      <c r="N1275" t="s">
        <v>197</v>
      </c>
      <c r="O1275" t="s">
        <v>1846</v>
      </c>
      <c r="P1275" t="s">
        <v>221</v>
      </c>
      <c r="Q1275" t="s">
        <v>82</v>
      </c>
      <c r="R1275">
        <v>2</v>
      </c>
      <c r="S1275">
        <v>8</v>
      </c>
      <c r="T1275">
        <v>0</v>
      </c>
      <c r="U1275">
        <v>1</v>
      </c>
      <c r="V1275">
        <v>1</v>
      </c>
      <c r="W1275">
        <v>26.68</v>
      </c>
      <c r="X1275">
        <v>0</v>
      </c>
      <c r="Y1275">
        <v>0</v>
      </c>
      <c r="Z1275">
        <v>0</v>
      </c>
      <c r="AA1275">
        <v>0</v>
      </c>
      <c r="AB1275">
        <v>0</v>
      </c>
      <c r="AC1275">
        <v>0</v>
      </c>
      <c r="AD1275">
        <v>2</v>
      </c>
      <c r="AE1275">
        <v>0</v>
      </c>
      <c r="AF1275">
        <v>0</v>
      </c>
      <c r="AG1275">
        <v>0</v>
      </c>
      <c r="AH1275">
        <v>0</v>
      </c>
      <c r="AI1275">
        <v>0</v>
      </c>
      <c r="AJ1275">
        <v>0</v>
      </c>
      <c r="AK1275">
        <v>0</v>
      </c>
    </row>
    <row r="1276" spans="1:37" x14ac:dyDescent="0.3">
      <c r="A1276">
        <v>7979</v>
      </c>
      <c r="B1276" t="s">
        <v>219</v>
      </c>
      <c r="D1276" t="s">
        <v>327</v>
      </c>
      <c r="E1276">
        <v>99999999</v>
      </c>
      <c r="F1276">
        <v>11111111</v>
      </c>
      <c r="G1276">
        <v>1111111111</v>
      </c>
      <c r="H1276" t="s">
        <v>4845</v>
      </c>
      <c r="I1276">
        <v>99999999</v>
      </c>
      <c r="J1276" s="188">
        <v>45236</v>
      </c>
      <c r="K1276" t="s">
        <v>4845</v>
      </c>
      <c r="L1276" t="s">
        <v>4845</v>
      </c>
      <c r="M1276" t="s">
        <v>632</v>
      </c>
      <c r="N1276" t="s">
        <v>97</v>
      </c>
      <c r="O1276" t="s">
        <v>1847</v>
      </c>
      <c r="P1276" t="s">
        <v>221</v>
      </c>
      <c r="Q1276" t="s">
        <v>82</v>
      </c>
      <c r="R1276">
        <v>4</v>
      </c>
      <c r="S1276">
        <v>12.416</v>
      </c>
      <c r="T1276">
        <v>0</v>
      </c>
      <c r="U1276">
        <v>1</v>
      </c>
      <c r="V1276">
        <v>3</v>
      </c>
      <c r="W1276">
        <v>25.05</v>
      </c>
      <c r="X1276">
        <v>0</v>
      </c>
      <c r="Y1276">
        <v>0</v>
      </c>
      <c r="Z1276">
        <v>0</v>
      </c>
      <c r="AA1276">
        <v>0</v>
      </c>
      <c r="AB1276">
        <v>0</v>
      </c>
      <c r="AC1276">
        <v>0</v>
      </c>
      <c r="AD1276">
        <v>4</v>
      </c>
      <c r="AE1276">
        <v>0</v>
      </c>
      <c r="AF1276">
        <v>0</v>
      </c>
      <c r="AG1276">
        <v>0</v>
      </c>
      <c r="AH1276">
        <v>0</v>
      </c>
      <c r="AI1276">
        <v>0</v>
      </c>
      <c r="AJ1276">
        <v>0</v>
      </c>
      <c r="AK1276">
        <v>0</v>
      </c>
    </row>
    <row r="1277" spans="1:37" x14ac:dyDescent="0.3">
      <c r="A1277">
        <v>7979</v>
      </c>
      <c r="B1277" t="s">
        <v>219</v>
      </c>
      <c r="D1277" t="s">
        <v>327</v>
      </c>
      <c r="E1277">
        <v>99999999</v>
      </c>
      <c r="F1277">
        <v>11111111</v>
      </c>
      <c r="G1277">
        <v>1111111111</v>
      </c>
      <c r="H1277" t="s">
        <v>4846</v>
      </c>
      <c r="I1277">
        <v>99999999</v>
      </c>
      <c r="J1277" s="188">
        <v>45236</v>
      </c>
      <c r="K1277" t="s">
        <v>4846</v>
      </c>
      <c r="L1277" t="s">
        <v>4846</v>
      </c>
      <c r="M1277" t="s">
        <v>1848</v>
      </c>
      <c r="N1277" t="s">
        <v>99</v>
      </c>
      <c r="O1277" t="s">
        <v>1849</v>
      </c>
      <c r="P1277" t="s">
        <v>221</v>
      </c>
      <c r="Q1277" t="s">
        <v>82</v>
      </c>
      <c r="R1277">
        <v>2</v>
      </c>
      <c r="S1277">
        <v>2.36</v>
      </c>
      <c r="T1277">
        <v>0</v>
      </c>
      <c r="U1277">
        <v>1</v>
      </c>
      <c r="V1277">
        <v>1</v>
      </c>
      <c r="W1277">
        <v>26.8</v>
      </c>
      <c r="X1277">
        <v>0</v>
      </c>
      <c r="Y1277">
        <v>0</v>
      </c>
      <c r="Z1277">
        <v>0</v>
      </c>
      <c r="AA1277">
        <v>0</v>
      </c>
      <c r="AB1277">
        <v>0</v>
      </c>
      <c r="AC1277">
        <v>0</v>
      </c>
      <c r="AD1277">
        <v>2</v>
      </c>
      <c r="AE1277">
        <v>0</v>
      </c>
      <c r="AF1277">
        <v>0</v>
      </c>
      <c r="AG1277">
        <v>0</v>
      </c>
      <c r="AH1277">
        <v>0</v>
      </c>
      <c r="AI1277">
        <v>0</v>
      </c>
      <c r="AJ1277">
        <v>0</v>
      </c>
      <c r="AK1277">
        <v>0</v>
      </c>
    </row>
    <row r="1278" spans="1:37" x14ac:dyDescent="0.3">
      <c r="A1278">
        <v>7979</v>
      </c>
      <c r="B1278" t="s">
        <v>219</v>
      </c>
      <c r="D1278" t="s">
        <v>327</v>
      </c>
      <c r="E1278">
        <v>99999999</v>
      </c>
      <c r="F1278">
        <v>11111111</v>
      </c>
      <c r="G1278">
        <v>1111111111</v>
      </c>
      <c r="H1278" t="s">
        <v>4847</v>
      </c>
      <c r="I1278">
        <v>99999999</v>
      </c>
      <c r="J1278" s="188">
        <v>45236</v>
      </c>
      <c r="K1278" t="s">
        <v>4847</v>
      </c>
      <c r="L1278" t="s">
        <v>4847</v>
      </c>
      <c r="M1278" t="s">
        <v>320</v>
      </c>
      <c r="N1278" t="s">
        <v>233</v>
      </c>
      <c r="O1278" t="s">
        <v>321</v>
      </c>
      <c r="P1278" t="s">
        <v>221</v>
      </c>
      <c r="Q1278" t="s">
        <v>82</v>
      </c>
      <c r="R1278">
        <v>1</v>
      </c>
      <c r="S1278">
        <v>4.1900000000000004</v>
      </c>
      <c r="T1278">
        <v>0</v>
      </c>
      <c r="U1278">
        <v>1</v>
      </c>
      <c r="V1278">
        <v>1</v>
      </c>
      <c r="W1278">
        <v>33.46</v>
      </c>
      <c r="X1278">
        <v>0</v>
      </c>
      <c r="Y1278">
        <v>0</v>
      </c>
      <c r="Z1278">
        <v>0</v>
      </c>
      <c r="AA1278">
        <v>0</v>
      </c>
      <c r="AB1278">
        <v>0</v>
      </c>
      <c r="AC1278">
        <v>0</v>
      </c>
      <c r="AD1278">
        <v>1</v>
      </c>
      <c r="AE1278">
        <v>0</v>
      </c>
      <c r="AF1278">
        <v>0</v>
      </c>
      <c r="AG1278">
        <v>0</v>
      </c>
      <c r="AH1278">
        <v>0</v>
      </c>
      <c r="AI1278">
        <v>0</v>
      </c>
      <c r="AJ1278">
        <v>0</v>
      </c>
      <c r="AK1278">
        <v>0</v>
      </c>
    </row>
    <row r="1279" spans="1:37" x14ac:dyDescent="0.3">
      <c r="A1279">
        <v>7979</v>
      </c>
      <c r="B1279" t="s">
        <v>219</v>
      </c>
      <c r="D1279" t="s">
        <v>327</v>
      </c>
      <c r="E1279">
        <v>99999999</v>
      </c>
      <c r="F1279">
        <v>11111111</v>
      </c>
      <c r="G1279">
        <v>1111111111</v>
      </c>
      <c r="H1279" t="s">
        <v>4848</v>
      </c>
      <c r="I1279">
        <v>99999999</v>
      </c>
      <c r="J1279" s="188">
        <v>45236</v>
      </c>
      <c r="K1279" t="s">
        <v>4848</v>
      </c>
      <c r="L1279" t="s">
        <v>4848</v>
      </c>
      <c r="M1279" t="s">
        <v>1850</v>
      </c>
      <c r="N1279" t="s">
        <v>402</v>
      </c>
      <c r="O1279" t="s">
        <v>1851</v>
      </c>
      <c r="P1279" t="s">
        <v>221</v>
      </c>
      <c r="Q1279" t="s">
        <v>82</v>
      </c>
      <c r="R1279">
        <v>1</v>
      </c>
      <c r="S1279">
        <v>2</v>
      </c>
      <c r="T1279">
        <v>0</v>
      </c>
      <c r="U1279">
        <v>1</v>
      </c>
      <c r="V1279">
        <v>1</v>
      </c>
      <c r="W1279">
        <v>33.07</v>
      </c>
      <c r="X1279">
        <v>0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1</v>
      </c>
      <c r="AE1279">
        <v>0</v>
      </c>
      <c r="AF1279">
        <v>0</v>
      </c>
      <c r="AG1279">
        <v>0</v>
      </c>
      <c r="AH1279">
        <v>0</v>
      </c>
      <c r="AI1279">
        <v>0</v>
      </c>
      <c r="AJ1279">
        <v>0</v>
      </c>
      <c r="AK1279">
        <v>0</v>
      </c>
    </row>
    <row r="1280" spans="1:37" x14ac:dyDescent="0.3">
      <c r="A1280">
        <v>7979</v>
      </c>
      <c r="B1280" t="s">
        <v>219</v>
      </c>
      <c r="D1280" t="s">
        <v>327</v>
      </c>
      <c r="E1280">
        <v>99999999</v>
      </c>
      <c r="F1280">
        <v>11111111</v>
      </c>
      <c r="G1280">
        <v>1111111111</v>
      </c>
      <c r="H1280" t="s">
        <v>4849</v>
      </c>
      <c r="I1280">
        <v>99999999</v>
      </c>
      <c r="J1280" s="188">
        <v>45236</v>
      </c>
      <c r="K1280" t="s">
        <v>4849</v>
      </c>
      <c r="L1280" t="s">
        <v>4849</v>
      </c>
      <c r="M1280" t="s">
        <v>1502</v>
      </c>
      <c r="N1280" t="s">
        <v>99</v>
      </c>
      <c r="O1280" t="s">
        <v>1852</v>
      </c>
      <c r="P1280" t="s">
        <v>221</v>
      </c>
      <c r="Q1280" t="s">
        <v>82</v>
      </c>
      <c r="R1280">
        <v>1</v>
      </c>
      <c r="S1280">
        <v>10</v>
      </c>
      <c r="T1280">
        <v>0</v>
      </c>
      <c r="U1280">
        <v>1</v>
      </c>
      <c r="V1280">
        <v>1</v>
      </c>
      <c r="W1280">
        <v>29.14</v>
      </c>
      <c r="X1280">
        <v>0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1</v>
      </c>
      <c r="AE1280">
        <v>0</v>
      </c>
      <c r="AF1280">
        <v>0</v>
      </c>
      <c r="AG1280">
        <v>0</v>
      </c>
      <c r="AH1280">
        <v>0</v>
      </c>
      <c r="AI1280">
        <v>0</v>
      </c>
      <c r="AJ1280">
        <v>0</v>
      </c>
      <c r="AK1280">
        <v>0</v>
      </c>
    </row>
    <row r="1281" spans="1:37" x14ac:dyDescent="0.3">
      <c r="A1281">
        <v>7979</v>
      </c>
      <c r="B1281" t="s">
        <v>219</v>
      </c>
      <c r="D1281" t="s">
        <v>327</v>
      </c>
      <c r="E1281">
        <v>99999999</v>
      </c>
      <c r="F1281">
        <v>11111111</v>
      </c>
      <c r="G1281">
        <v>1111111111</v>
      </c>
      <c r="H1281" t="s">
        <v>4850</v>
      </c>
      <c r="I1281">
        <v>99999999</v>
      </c>
      <c r="J1281" s="188">
        <v>45236</v>
      </c>
      <c r="K1281" t="s">
        <v>4850</v>
      </c>
      <c r="L1281" t="s">
        <v>4850</v>
      </c>
      <c r="M1281" t="s">
        <v>482</v>
      </c>
      <c r="N1281" t="s">
        <v>104</v>
      </c>
      <c r="O1281" t="s">
        <v>1853</v>
      </c>
      <c r="P1281" t="s">
        <v>221</v>
      </c>
      <c r="Q1281" t="s">
        <v>82</v>
      </c>
      <c r="R1281">
        <v>2</v>
      </c>
      <c r="S1281">
        <v>0.16</v>
      </c>
      <c r="T1281">
        <v>0</v>
      </c>
      <c r="U1281">
        <v>1</v>
      </c>
      <c r="V1281">
        <v>2</v>
      </c>
      <c r="W1281">
        <v>26.02</v>
      </c>
      <c r="X1281">
        <v>0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2</v>
      </c>
      <c r="AE1281">
        <v>0</v>
      </c>
      <c r="AF1281">
        <v>0</v>
      </c>
      <c r="AG1281">
        <v>0</v>
      </c>
      <c r="AH1281">
        <v>0</v>
      </c>
      <c r="AI1281">
        <v>0</v>
      </c>
      <c r="AJ1281">
        <v>0</v>
      </c>
      <c r="AK1281">
        <v>0</v>
      </c>
    </row>
    <row r="1282" spans="1:37" x14ac:dyDescent="0.3">
      <c r="A1282">
        <v>7979</v>
      </c>
      <c r="B1282" t="s">
        <v>219</v>
      </c>
      <c r="D1282" t="s">
        <v>327</v>
      </c>
      <c r="E1282">
        <v>99999999</v>
      </c>
      <c r="F1282">
        <v>11111111</v>
      </c>
      <c r="G1282">
        <v>1111111111</v>
      </c>
      <c r="H1282" t="s">
        <v>4851</v>
      </c>
      <c r="I1282">
        <v>99999999</v>
      </c>
      <c r="J1282" s="188">
        <v>45236</v>
      </c>
      <c r="K1282" t="s">
        <v>4851</v>
      </c>
      <c r="L1282" t="s">
        <v>4851</v>
      </c>
      <c r="M1282" t="s">
        <v>1854</v>
      </c>
      <c r="N1282" t="s">
        <v>122</v>
      </c>
      <c r="O1282" t="s">
        <v>1855</v>
      </c>
      <c r="P1282" t="s">
        <v>221</v>
      </c>
      <c r="Q1282" t="s">
        <v>82</v>
      </c>
      <c r="R1282">
        <v>2</v>
      </c>
      <c r="S1282">
        <v>23.332000000000001</v>
      </c>
      <c r="T1282">
        <v>0</v>
      </c>
      <c r="U1282">
        <v>1</v>
      </c>
      <c r="V1282">
        <v>1</v>
      </c>
      <c r="W1282">
        <v>41.7</v>
      </c>
      <c r="X1282">
        <v>0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2</v>
      </c>
      <c r="AE1282">
        <v>0</v>
      </c>
      <c r="AF1282">
        <v>0</v>
      </c>
      <c r="AG1282">
        <v>0</v>
      </c>
      <c r="AH1282">
        <v>0</v>
      </c>
      <c r="AI1282">
        <v>0</v>
      </c>
      <c r="AJ1282">
        <v>0</v>
      </c>
      <c r="AK1282">
        <v>0</v>
      </c>
    </row>
    <row r="1283" spans="1:37" x14ac:dyDescent="0.3">
      <c r="A1283">
        <v>7979</v>
      </c>
      <c r="B1283" t="s">
        <v>219</v>
      </c>
      <c r="D1283" t="s">
        <v>327</v>
      </c>
      <c r="E1283">
        <v>99999999</v>
      </c>
      <c r="F1283">
        <v>11111111</v>
      </c>
      <c r="G1283">
        <v>1111111111</v>
      </c>
      <c r="H1283" t="s">
        <v>4852</v>
      </c>
      <c r="I1283">
        <v>99999999</v>
      </c>
      <c r="J1283" s="188">
        <v>45236</v>
      </c>
      <c r="K1283" t="s">
        <v>4852</v>
      </c>
      <c r="L1283" t="s">
        <v>4852</v>
      </c>
      <c r="M1283" t="s">
        <v>915</v>
      </c>
      <c r="N1283" t="s">
        <v>164</v>
      </c>
      <c r="O1283" t="s">
        <v>1856</v>
      </c>
      <c r="P1283" t="s">
        <v>221</v>
      </c>
      <c r="Q1283" t="s">
        <v>82</v>
      </c>
      <c r="R1283">
        <v>1</v>
      </c>
      <c r="S1283">
        <v>4.4000000000000004</v>
      </c>
      <c r="T1283">
        <v>0</v>
      </c>
      <c r="U1283">
        <v>1</v>
      </c>
      <c r="V1283">
        <v>1</v>
      </c>
      <c r="W1283">
        <v>22.93</v>
      </c>
      <c r="X1283">
        <v>0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1</v>
      </c>
      <c r="AE1283">
        <v>0</v>
      </c>
      <c r="AF1283">
        <v>0</v>
      </c>
      <c r="AG1283">
        <v>0</v>
      </c>
      <c r="AH1283">
        <v>0</v>
      </c>
      <c r="AI1283">
        <v>0</v>
      </c>
      <c r="AJ1283">
        <v>0</v>
      </c>
      <c r="AK1283">
        <v>0</v>
      </c>
    </row>
    <row r="1284" spans="1:37" x14ac:dyDescent="0.3">
      <c r="A1284">
        <v>7979</v>
      </c>
      <c r="B1284" t="s">
        <v>219</v>
      </c>
      <c r="D1284" t="s">
        <v>327</v>
      </c>
      <c r="E1284">
        <v>99999999</v>
      </c>
      <c r="F1284">
        <v>11111111</v>
      </c>
      <c r="G1284">
        <v>1111111111</v>
      </c>
      <c r="H1284" t="s">
        <v>4853</v>
      </c>
      <c r="I1284">
        <v>99999999</v>
      </c>
      <c r="J1284" s="188">
        <v>45236</v>
      </c>
      <c r="K1284" t="s">
        <v>4853</v>
      </c>
      <c r="L1284" t="s">
        <v>4853</v>
      </c>
      <c r="M1284" t="s">
        <v>1857</v>
      </c>
      <c r="N1284" t="s">
        <v>99</v>
      </c>
      <c r="O1284">
        <v>95442</v>
      </c>
      <c r="P1284" t="s">
        <v>221</v>
      </c>
      <c r="Q1284" t="s">
        <v>82</v>
      </c>
      <c r="R1284">
        <v>7</v>
      </c>
      <c r="S1284">
        <v>6</v>
      </c>
      <c r="T1284">
        <v>0</v>
      </c>
      <c r="U1284">
        <v>1</v>
      </c>
      <c r="V1284">
        <v>2</v>
      </c>
      <c r="W1284">
        <v>30.1</v>
      </c>
      <c r="X1284">
        <v>0</v>
      </c>
      <c r="Y1284">
        <v>0</v>
      </c>
      <c r="Z1284">
        <v>0</v>
      </c>
      <c r="AA1284">
        <v>0</v>
      </c>
      <c r="AB1284">
        <v>0</v>
      </c>
      <c r="AC1284">
        <v>0</v>
      </c>
      <c r="AD1284">
        <v>7</v>
      </c>
      <c r="AE1284">
        <v>0</v>
      </c>
      <c r="AF1284">
        <v>0</v>
      </c>
      <c r="AG1284">
        <v>0</v>
      </c>
      <c r="AH1284">
        <v>0</v>
      </c>
      <c r="AI1284">
        <v>0</v>
      </c>
      <c r="AJ1284">
        <v>0</v>
      </c>
      <c r="AK1284">
        <v>0</v>
      </c>
    </row>
    <row r="1285" spans="1:37" x14ac:dyDescent="0.3">
      <c r="A1285">
        <v>7979</v>
      </c>
      <c r="B1285" t="s">
        <v>219</v>
      </c>
      <c r="D1285" t="s">
        <v>327</v>
      </c>
      <c r="E1285">
        <v>99999999</v>
      </c>
      <c r="F1285">
        <v>11111111</v>
      </c>
      <c r="G1285">
        <v>1111111111</v>
      </c>
      <c r="H1285" t="s">
        <v>4854</v>
      </c>
      <c r="I1285">
        <v>99999999</v>
      </c>
      <c r="J1285" s="188">
        <v>45236</v>
      </c>
      <c r="K1285" t="s">
        <v>4854</v>
      </c>
      <c r="L1285" t="s">
        <v>4854</v>
      </c>
      <c r="M1285" t="s">
        <v>1858</v>
      </c>
      <c r="N1285" t="s">
        <v>151</v>
      </c>
      <c r="O1285" t="s">
        <v>1859</v>
      </c>
      <c r="P1285" t="s">
        <v>221</v>
      </c>
      <c r="Q1285" t="s">
        <v>82</v>
      </c>
      <c r="R1285">
        <v>2</v>
      </c>
      <c r="S1285">
        <v>4.4000000000000004</v>
      </c>
      <c r="T1285">
        <v>0</v>
      </c>
      <c r="U1285">
        <v>1</v>
      </c>
      <c r="V1285">
        <v>1</v>
      </c>
      <c r="W1285">
        <v>27.34</v>
      </c>
      <c r="X1285">
        <v>0</v>
      </c>
      <c r="Y1285">
        <v>0</v>
      </c>
      <c r="Z1285">
        <v>0</v>
      </c>
      <c r="AA1285">
        <v>0</v>
      </c>
      <c r="AB1285">
        <v>0</v>
      </c>
      <c r="AC1285">
        <v>0</v>
      </c>
      <c r="AD1285">
        <v>2</v>
      </c>
      <c r="AE1285">
        <v>0</v>
      </c>
      <c r="AF1285">
        <v>0</v>
      </c>
      <c r="AG1285">
        <v>0</v>
      </c>
      <c r="AH1285">
        <v>0</v>
      </c>
      <c r="AI1285">
        <v>0</v>
      </c>
      <c r="AJ1285">
        <v>0</v>
      </c>
      <c r="AK1285">
        <v>0</v>
      </c>
    </row>
    <row r="1286" spans="1:37" x14ac:dyDescent="0.3">
      <c r="A1286">
        <v>7979</v>
      </c>
      <c r="B1286" t="s">
        <v>219</v>
      </c>
      <c r="D1286" t="s">
        <v>327</v>
      </c>
      <c r="E1286">
        <v>99999999</v>
      </c>
      <c r="F1286">
        <v>11111111</v>
      </c>
      <c r="G1286">
        <v>1111111111</v>
      </c>
      <c r="H1286" t="s">
        <v>4855</v>
      </c>
      <c r="I1286">
        <v>99999999</v>
      </c>
      <c r="J1286" s="188">
        <v>45236</v>
      </c>
      <c r="K1286" t="s">
        <v>4855</v>
      </c>
      <c r="L1286" t="s">
        <v>4855</v>
      </c>
      <c r="M1286" t="s">
        <v>1860</v>
      </c>
      <c r="N1286" t="s">
        <v>231</v>
      </c>
      <c r="O1286" t="s">
        <v>1861</v>
      </c>
      <c r="P1286" t="s">
        <v>221</v>
      </c>
      <c r="Q1286" t="s">
        <v>82</v>
      </c>
      <c r="R1286">
        <v>1</v>
      </c>
      <c r="S1286">
        <v>0.94</v>
      </c>
      <c r="T1286">
        <v>0</v>
      </c>
      <c r="U1286">
        <v>1</v>
      </c>
      <c r="V1286">
        <v>1</v>
      </c>
      <c r="W1286">
        <v>29.22</v>
      </c>
      <c r="X1286">
        <v>0</v>
      </c>
      <c r="Y1286">
        <v>0</v>
      </c>
      <c r="Z1286">
        <v>0</v>
      </c>
      <c r="AA1286">
        <v>0</v>
      </c>
      <c r="AB1286">
        <v>0</v>
      </c>
      <c r="AC1286">
        <v>0</v>
      </c>
      <c r="AD1286">
        <v>1</v>
      </c>
      <c r="AE1286">
        <v>0</v>
      </c>
      <c r="AF1286">
        <v>0</v>
      </c>
      <c r="AG1286">
        <v>0</v>
      </c>
      <c r="AH1286">
        <v>0</v>
      </c>
      <c r="AI1286">
        <v>0</v>
      </c>
      <c r="AJ1286">
        <v>0</v>
      </c>
      <c r="AK1286">
        <v>0</v>
      </c>
    </row>
    <row r="1287" spans="1:37" x14ac:dyDescent="0.3">
      <c r="A1287">
        <v>7979</v>
      </c>
      <c r="B1287" t="s">
        <v>219</v>
      </c>
      <c r="D1287" t="s">
        <v>327</v>
      </c>
      <c r="E1287">
        <v>99999999</v>
      </c>
      <c r="F1287">
        <v>11111111</v>
      </c>
      <c r="G1287">
        <v>1111111111</v>
      </c>
      <c r="H1287" t="s">
        <v>4856</v>
      </c>
      <c r="I1287">
        <v>99999999</v>
      </c>
      <c r="J1287" s="188">
        <v>45236</v>
      </c>
      <c r="K1287" t="s">
        <v>4856</v>
      </c>
      <c r="L1287" t="s">
        <v>4856</v>
      </c>
      <c r="M1287" t="s">
        <v>282</v>
      </c>
      <c r="N1287" t="s">
        <v>197</v>
      </c>
      <c r="O1287" t="s">
        <v>1862</v>
      </c>
      <c r="P1287" t="s">
        <v>221</v>
      </c>
      <c r="Q1287" t="s">
        <v>82</v>
      </c>
      <c r="R1287">
        <v>1</v>
      </c>
      <c r="S1287">
        <v>5</v>
      </c>
      <c r="T1287">
        <v>0</v>
      </c>
      <c r="U1287">
        <v>1</v>
      </c>
      <c r="V1287">
        <v>1</v>
      </c>
      <c r="W1287">
        <v>25.12</v>
      </c>
      <c r="X1287">
        <v>0</v>
      </c>
      <c r="Y1287">
        <v>0</v>
      </c>
      <c r="Z1287">
        <v>0</v>
      </c>
      <c r="AA1287">
        <v>0</v>
      </c>
      <c r="AB1287">
        <v>0</v>
      </c>
      <c r="AC1287">
        <v>0</v>
      </c>
      <c r="AD1287">
        <v>1</v>
      </c>
      <c r="AE1287">
        <v>0</v>
      </c>
      <c r="AF1287">
        <v>0</v>
      </c>
      <c r="AG1287">
        <v>0</v>
      </c>
      <c r="AH1287">
        <v>0</v>
      </c>
      <c r="AI1287">
        <v>0</v>
      </c>
      <c r="AJ1287">
        <v>0</v>
      </c>
      <c r="AK1287">
        <v>0</v>
      </c>
    </row>
    <row r="1288" spans="1:37" x14ac:dyDescent="0.3">
      <c r="A1288">
        <v>7979</v>
      </c>
      <c r="B1288" t="s">
        <v>219</v>
      </c>
      <c r="D1288" t="s">
        <v>327</v>
      </c>
      <c r="E1288">
        <v>99999999</v>
      </c>
      <c r="F1288">
        <v>11111111</v>
      </c>
      <c r="G1288">
        <v>1111111111</v>
      </c>
      <c r="H1288" t="s">
        <v>4857</v>
      </c>
      <c r="I1288">
        <v>99999999</v>
      </c>
      <c r="J1288" s="188">
        <v>45236</v>
      </c>
      <c r="K1288" t="s">
        <v>4857</v>
      </c>
      <c r="L1288" t="s">
        <v>4857</v>
      </c>
      <c r="M1288" t="s">
        <v>767</v>
      </c>
      <c r="N1288" t="s">
        <v>197</v>
      </c>
      <c r="O1288">
        <v>78620</v>
      </c>
      <c r="P1288" t="s">
        <v>221</v>
      </c>
      <c r="Q1288" t="s">
        <v>82</v>
      </c>
      <c r="R1288">
        <v>1</v>
      </c>
      <c r="S1288">
        <v>5.2</v>
      </c>
      <c r="T1288">
        <v>0</v>
      </c>
      <c r="U1288">
        <v>1</v>
      </c>
      <c r="V1288">
        <v>1</v>
      </c>
      <c r="W1288">
        <v>31.24</v>
      </c>
      <c r="X1288">
        <v>0</v>
      </c>
      <c r="Y1288">
        <v>0</v>
      </c>
      <c r="Z1288">
        <v>0</v>
      </c>
      <c r="AA1288">
        <v>0</v>
      </c>
      <c r="AB1288">
        <v>0</v>
      </c>
      <c r="AC1288">
        <v>0</v>
      </c>
      <c r="AD1288">
        <v>1</v>
      </c>
      <c r="AE1288">
        <v>0</v>
      </c>
      <c r="AF1288">
        <v>0</v>
      </c>
      <c r="AG1288">
        <v>0</v>
      </c>
      <c r="AH1288">
        <v>0</v>
      </c>
      <c r="AI1288">
        <v>0</v>
      </c>
      <c r="AJ1288">
        <v>0</v>
      </c>
      <c r="AK1288">
        <v>0</v>
      </c>
    </row>
    <row r="1289" spans="1:37" x14ac:dyDescent="0.3">
      <c r="A1289">
        <v>7979</v>
      </c>
      <c r="B1289" t="s">
        <v>219</v>
      </c>
      <c r="D1289" t="s">
        <v>327</v>
      </c>
      <c r="E1289">
        <v>99999999</v>
      </c>
      <c r="F1289">
        <v>11111111</v>
      </c>
      <c r="G1289">
        <v>1111111111</v>
      </c>
      <c r="H1289" t="s">
        <v>4858</v>
      </c>
      <c r="I1289">
        <v>99999999</v>
      </c>
      <c r="J1289" s="188">
        <v>45236</v>
      </c>
      <c r="K1289" t="s">
        <v>4858</v>
      </c>
      <c r="L1289" t="s">
        <v>4858</v>
      </c>
      <c r="M1289" t="s">
        <v>1863</v>
      </c>
      <c r="N1289" t="s">
        <v>228</v>
      </c>
      <c r="O1289" t="s">
        <v>1864</v>
      </c>
      <c r="P1289" t="s">
        <v>221</v>
      </c>
      <c r="Q1289" t="s">
        <v>82</v>
      </c>
      <c r="R1289">
        <v>1</v>
      </c>
      <c r="S1289">
        <v>0.4</v>
      </c>
      <c r="T1289">
        <v>0</v>
      </c>
      <c r="U1289">
        <v>1</v>
      </c>
      <c r="V1289">
        <v>1</v>
      </c>
      <c r="W1289">
        <v>29.04</v>
      </c>
      <c r="X1289">
        <v>0</v>
      </c>
      <c r="Y1289">
        <v>0</v>
      </c>
      <c r="Z1289">
        <v>0</v>
      </c>
      <c r="AA1289">
        <v>0</v>
      </c>
      <c r="AB1289">
        <v>0</v>
      </c>
      <c r="AC1289">
        <v>0</v>
      </c>
      <c r="AD1289">
        <v>1</v>
      </c>
      <c r="AE1289">
        <v>0</v>
      </c>
      <c r="AF1289">
        <v>0</v>
      </c>
      <c r="AG1289">
        <v>0</v>
      </c>
      <c r="AH1289">
        <v>0</v>
      </c>
      <c r="AI1289">
        <v>0</v>
      </c>
      <c r="AJ1289">
        <v>0</v>
      </c>
      <c r="AK1289">
        <v>0</v>
      </c>
    </row>
    <row r="1290" spans="1:37" x14ac:dyDescent="0.3">
      <c r="A1290">
        <v>7979</v>
      </c>
      <c r="B1290" t="s">
        <v>219</v>
      </c>
      <c r="D1290" t="s">
        <v>327</v>
      </c>
      <c r="E1290">
        <v>99999999</v>
      </c>
      <c r="F1290">
        <v>11111111</v>
      </c>
      <c r="G1290">
        <v>1111111111</v>
      </c>
      <c r="H1290" t="s">
        <v>4859</v>
      </c>
      <c r="I1290">
        <v>99999999</v>
      </c>
      <c r="J1290" s="188">
        <v>45236</v>
      </c>
      <c r="K1290" t="s">
        <v>4859</v>
      </c>
      <c r="L1290" t="s">
        <v>4859</v>
      </c>
      <c r="M1290" t="s">
        <v>1865</v>
      </c>
      <c r="N1290" t="s">
        <v>99</v>
      </c>
      <c r="O1290" t="s">
        <v>1866</v>
      </c>
      <c r="P1290" t="s">
        <v>221</v>
      </c>
      <c r="Q1290" t="s">
        <v>82</v>
      </c>
      <c r="R1290">
        <v>1</v>
      </c>
      <c r="S1290">
        <v>1.21</v>
      </c>
      <c r="T1290">
        <v>0</v>
      </c>
      <c r="U1290">
        <v>1</v>
      </c>
      <c r="V1290">
        <v>1</v>
      </c>
      <c r="W1290">
        <v>18.649999999999999</v>
      </c>
      <c r="X1290">
        <v>0</v>
      </c>
      <c r="Y1290">
        <v>0</v>
      </c>
      <c r="Z1290">
        <v>0</v>
      </c>
      <c r="AA1290">
        <v>0</v>
      </c>
      <c r="AB1290">
        <v>0</v>
      </c>
      <c r="AC1290">
        <v>0</v>
      </c>
      <c r="AD1290">
        <v>1</v>
      </c>
      <c r="AE1290">
        <v>0</v>
      </c>
      <c r="AF1290">
        <v>0</v>
      </c>
      <c r="AG1290">
        <v>0</v>
      </c>
      <c r="AH1290">
        <v>0</v>
      </c>
      <c r="AI1290">
        <v>0</v>
      </c>
      <c r="AJ1290">
        <v>0</v>
      </c>
      <c r="AK1290">
        <v>0</v>
      </c>
    </row>
    <row r="1291" spans="1:37" x14ac:dyDescent="0.3">
      <c r="A1291">
        <v>7979</v>
      </c>
      <c r="B1291" t="s">
        <v>219</v>
      </c>
      <c r="D1291" t="s">
        <v>327</v>
      </c>
      <c r="E1291">
        <v>99999999</v>
      </c>
      <c r="F1291">
        <v>11111111</v>
      </c>
      <c r="G1291">
        <v>1111111111</v>
      </c>
      <c r="H1291" t="s">
        <v>4860</v>
      </c>
      <c r="I1291">
        <v>99999999</v>
      </c>
      <c r="J1291" s="188">
        <v>45236</v>
      </c>
      <c r="K1291" t="s">
        <v>4860</v>
      </c>
      <c r="L1291" t="s">
        <v>4860</v>
      </c>
      <c r="M1291" t="s">
        <v>988</v>
      </c>
      <c r="N1291" t="s">
        <v>99</v>
      </c>
      <c r="O1291" t="s">
        <v>1867</v>
      </c>
      <c r="P1291" t="s">
        <v>221</v>
      </c>
      <c r="Q1291" t="s">
        <v>82</v>
      </c>
      <c r="R1291">
        <v>3</v>
      </c>
      <c r="S1291">
        <v>2.94</v>
      </c>
      <c r="T1291">
        <v>0</v>
      </c>
      <c r="U1291">
        <v>1</v>
      </c>
      <c r="V1291">
        <v>2</v>
      </c>
      <c r="W1291">
        <v>22.52</v>
      </c>
      <c r="X1291">
        <v>0</v>
      </c>
      <c r="Y1291">
        <v>0</v>
      </c>
      <c r="Z1291">
        <v>0</v>
      </c>
      <c r="AA1291">
        <v>0</v>
      </c>
      <c r="AB1291">
        <v>0</v>
      </c>
      <c r="AC1291">
        <v>0</v>
      </c>
      <c r="AD1291">
        <v>3</v>
      </c>
      <c r="AE1291">
        <v>0</v>
      </c>
      <c r="AF1291">
        <v>0</v>
      </c>
      <c r="AG1291">
        <v>0</v>
      </c>
      <c r="AH1291">
        <v>0</v>
      </c>
      <c r="AI1291">
        <v>0</v>
      </c>
      <c r="AJ1291">
        <v>0</v>
      </c>
      <c r="AK1291">
        <v>0</v>
      </c>
    </row>
    <row r="1292" spans="1:37" x14ac:dyDescent="0.3">
      <c r="A1292">
        <v>7979</v>
      </c>
      <c r="B1292" t="s">
        <v>219</v>
      </c>
      <c r="D1292" t="s">
        <v>327</v>
      </c>
      <c r="E1292">
        <v>99999999</v>
      </c>
      <c r="F1292">
        <v>11111111</v>
      </c>
      <c r="G1292">
        <v>1111111111</v>
      </c>
      <c r="H1292" t="s">
        <v>4861</v>
      </c>
      <c r="I1292">
        <v>99999999</v>
      </c>
      <c r="J1292" s="188">
        <v>45236</v>
      </c>
      <c r="K1292" t="s">
        <v>4861</v>
      </c>
      <c r="L1292" t="s">
        <v>4861</v>
      </c>
      <c r="M1292" t="s">
        <v>714</v>
      </c>
      <c r="N1292" t="s">
        <v>91</v>
      </c>
      <c r="O1292" t="s">
        <v>715</v>
      </c>
      <c r="P1292" t="s">
        <v>221</v>
      </c>
      <c r="Q1292" t="s">
        <v>82</v>
      </c>
      <c r="R1292">
        <v>4</v>
      </c>
      <c r="S1292">
        <v>16</v>
      </c>
      <c r="T1292">
        <v>0</v>
      </c>
      <c r="U1292">
        <v>1</v>
      </c>
      <c r="V1292">
        <v>1</v>
      </c>
      <c r="W1292">
        <v>32.200000000000003</v>
      </c>
      <c r="X1292">
        <v>0</v>
      </c>
      <c r="Y1292">
        <v>0</v>
      </c>
      <c r="Z1292">
        <v>0</v>
      </c>
      <c r="AA1292">
        <v>0</v>
      </c>
      <c r="AB1292">
        <v>0</v>
      </c>
      <c r="AC1292">
        <v>0</v>
      </c>
      <c r="AD1292">
        <v>4</v>
      </c>
      <c r="AE1292">
        <v>0</v>
      </c>
      <c r="AF1292">
        <v>0</v>
      </c>
      <c r="AG1292">
        <v>0</v>
      </c>
      <c r="AH1292">
        <v>0</v>
      </c>
      <c r="AI1292">
        <v>0</v>
      </c>
      <c r="AJ1292">
        <v>0</v>
      </c>
      <c r="AK1292">
        <v>0</v>
      </c>
    </row>
    <row r="1293" spans="1:37" x14ac:dyDescent="0.3">
      <c r="A1293">
        <v>7979</v>
      </c>
      <c r="B1293" t="s">
        <v>219</v>
      </c>
      <c r="D1293" t="s">
        <v>327</v>
      </c>
      <c r="E1293">
        <v>99999999</v>
      </c>
      <c r="F1293">
        <v>11111111</v>
      </c>
      <c r="G1293">
        <v>1111111111</v>
      </c>
      <c r="H1293" t="s">
        <v>4862</v>
      </c>
      <c r="I1293">
        <v>99999999</v>
      </c>
      <c r="J1293" s="188">
        <v>45236</v>
      </c>
      <c r="K1293" t="s">
        <v>4862</v>
      </c>
      <c r="L1293" t="s">
        <v>4862</v>
      </c>
      <c r="M1293" t="s">
        <v>1110</v>
      </c>
      <c r="N1293" t="s">
        <v>97</v>
      </c>
      <c r="O1293" t="s">
        <v>1868</v>
      </c>
      <c r="P1293" t="s">
        <v>221</v>
      </c>
      <c r="Q1293" t="s">
        <v>82</v>
      </c>
      <c r="R1293">
        <v>2</v>
      </c>
      <c r="S1293">
        <v>1.4</v>
      </c>
      <c r="T1293">
        <v>0</v>
      </c>
      <c r="U1293">
        <v>1</v>
      </c>
      <c r="V1293">
        <v>2</v>
      </c>
      <c r="W1293">
        <v>21.21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2</v>
      </c>
      <c r="AE1293">
        <v>0</v>
      </c>
      <c r="AF1293">
        <v>0</v>
      </c>
      <c r="AG1293">
        <v>0</v>
      </c>
      <c r="AH1293">
        <v>0</v>
      </c>
      <c r="AI1293">
        <v>0</v>
      </c>
      <c r="AJ1293">
        <v>0</v>
      </c>
      <c r="AK1293">
        <v>0</v>
      </c>
    </row>
    <row r="1294" spans="1:37" x14ac:dyDescent="0.3">
      <c r="A1294">
        <v>7979</v>
      </c>
      <c r="B1294" t="s">
        <v>219</v>
      </c>
      <c r="D1294" t="s">
        <v>327</v>
      </c>
      <c r="E1294">
        <v>99999999</v>
      </c>
      <c r="F1294">
        <v>11111111</v>
      </c>
      <c r="G1294">
        <v>1111111111</v>
      </c>
      <c r="H1294" t="s">
        <v>4863</v>
      </c>
      <c r="I1294">
        <v>99999999</v>
      </c>
      <c r="J1294" s="188">
        <v>45236</v>
      </c>
      <c r="K1294" t="s">
        <v>4863</v>
      </c>
      <c r="L1294" t="s">
        <v>4863</v>
      </c>
      <c r="M1294" t="s">
        <v>714</v>
      </c>
      <c r="N1294" t="s">
        <v>91</v>
      </c>
      <c r="O1294" t="s">
        <v>715</v>
      </c>
      <c r="P1294" t="s">
        <v>221</v>
      </c>
      <c r="Q1294" t="s">
        <v>82</v>
      </c>
      <c r="R1294">
        <v>3</v>
      </c>
      <c r="S1294">
        <v>1.1299999999999999</v>
      </c>
      <c r="T1294">
        <v>0</v>
      </c>
      <c r="U1294">
        <v>1</v>
      </c>
      <c r="V1294">
        <v>2</v>
      </c>
      <c r="W1294">
        <v>27.33</v>
      </c>
      <c r="X1294">
        <v>0</v>
      </c>
      <c r="Y1294">
        <v>0</v>
      </c>
      <c r="Z1294">
        <v>0</v>
      </c>
      <c r="AA1294">
        <v>0</v>
      </c>
      <c r="AB1294">
        <v>0</v>
      </c>
      <c r="AC1294">
        <v>0</v>
      </c>
      <c r="AD1294">
        <v>3</v>
      </c>
      <c r="AE1294">
        <v>0</v>
      </c>
      <c r="AF1294">
        <v>0</v>
      </c>
      <c r="AG1294">
        <v>0</v>
      </c>
      <c r="AH1294">
        <v>0</v>
      </c>
      <c r="AI1294">
        <v>0</v>
      </c>
      <c r="AJ1294">
        <v>0</v>
      </c>
      <c r="AK1294">
        <v>0</v>
      </c>
    </row>
    <row r="1295" spans="1:37" x14ac:dyDescent="0.3">
      <c r="A1295">
        <v>7979</v>
      </c>
      <c r="B1295" t="s">
        <v>219</v>
      </c>
      <c r="D1295" t="s">
        <v>327</v>
      </c>
      <c r="E1295">
        <v>99999999</v>
      </c>
      <c r="F1295">
        <v>11111111</v>
      </c>
      <c r="G1295">
        <v>1111111111</v>
      </c>
      <c r="H1295" t="s">
        <v>4864</v>
      </c>
      <c r="I1295">
        <v>99999999</v>
      </c>
      <c r="J1295" s="188">
        <v>45236</v>
      </c>
      <c r="K1295" t="s">
        <v>4864</v>
      </c>
      <c r="L1295" t="s">
        <v>4864</v>
      </c>
      <c r="M1295" t="s">
        <v>653</v>
      </c>
      <c r="N1295" t="s">
        <v>164</v>
      </c>
      <c r="O1295" t="s">
        <v>1869</v>
      </c>
      <c r="P1295" t="s">
        <v>221</v>
      </c>
      <c r="Q1295" t="s">
        <v>82</v>
      </c>
      <c r="R1295">
        <v>2</v>
      </c>
      <c r="S1295">
        <v>18.75</v>
      </c>
      <c r="T1295">
        <v>0</v>
      </c>
      <c r="U1295">
        <v>1</v>
      </c>
      <c r="V1295">
        <v>2</v>
      </c>
      <c r="W1295">
        <v>27.43</v>
      </c>
      <c r="X1295">
        <v>0</v>
      </c>
      <c r="Y1295">
        <v>0</v>
      </c>
      <c r="Z1295">
        <v>0</v>
      </c>
      <c r="AA1295">
        <v>0</v>
      </c>
      <c r="AB1295">
        <v>0</v>
      </c>
      <c r="AC1295">
        <v>0</v>
      </c>
      <c r="AD1295">
        <v>2</v>
      </c>
      <c r="AE1295">
        <v>0</v>
      </c>
      <c r="AF1295">
        <v>0</v>
      </c>
      <c r="AG1295">
        <v>0</v>
      </c>
      <c r="AH1295">
        <v>0</v>
      </c>
      <c r="AI1295">
        <v>0</v>
      </c>
      <c r="AJ1295">
        <v>0</v>
      </c>
      <c r="AK1295">
        <v>0</v>
      </c>
    </row>
    <row r="1296" spans="1:37" x14ac:dyDescent="0.3">
      <c r="A1296">
        <v>7979</v>
      </c>
      <c r="B1296" t="s">
        <v>219</v>
      </c>
      <c r="D1296" t="s">
        <v>327</v>
      </c>
      <c r="E1296">
        <v>99999999</v>
      </c>
      <c r="F1296">
        <v>11111111</v>
      </c>
      <c r="G1296">
        <v>1111111111</v>
      </c>
      <c r="H1296" t="s">
        <v>4865</v>
      </c>
      <c r="I1296">
        <v>99999999</v>
      </c>
      <c r="J1296" s="188">
        <v>45236</v>
      </c>
      <c r="K1296" t="s">
        <v>4865</v>
      </c>
      <c r="L1296" t="s">
        <v>4865</v>
      </c>
      <c r="M1296" t="s">
        <v>630</v>
      </c>
      <c r="N1296" t="s">
        <v>104</v>
      </c>
      <c r="O1296" t="s">
        <v>1834</v>
      </c>
      <c r="P1296" t="s">
        <v>221</v>
      </c>
      <c r="Q1296" t="s">
        <v>82</v>
      </c>
      <c r="R1296">
        <v>3</v>
      </c>
      <c r="S1296">
        <v>3.3</v>
      </c>
      <c r="T1296">
        <v>0</v>
      </c>
      <c r="U1296">
        <v>1</v>
      </c>
      <c r="V1296">
        <v>3</v>
      </c>
      <c r="W1296">
        <v>22.52</v>
      </c>
      <c r="X1296">
        <v>0</v>
      </c>
      <c r="Y1296">
        <v>0</v>
      </c>
      <c r="Z1296">
        <v>0</v>
      </c>
      <c r="AA1296">
        <v>0</v>
      </c>
      <c r="AB1296">
        <v>0</v>
      </c>
      <c r="AC1296">
        <v>0</v>
      </c>
      <c r="AD1296">
        <v>3</v>
      </c>
      <c r="AE1296">
        <v>0</v>
      </c>
      <c r="AF1296">
        <v>0</v>
      </c>
      <c r="AG1296">
        <v>0</v>
      </c>
      <c r="AH1296">
        <v>0</v>
      </c>
      <c r="AI1296">
        <v>0</v>
      </c>
      <c r="AJ1296">
        <v>0</v>
      </c>
      <c r="AK1296">
        <v>0</v>
      </c>
    </row>
    <row r="1297" spans="1:37" x14ac:dyDescent="0.3">
      <c r="A1297">
        <v>7979</v>
      </c>
      <c r="B1297" t="s">
        <v>219</v>
      </c>
      <c r="D1297" t="s">
        <v>327</v>
      </c>
      <c r="E1297">
        <v>99999999</v>
      </c>
      <c r="F1297">
        <v>11111111</v>
      </c>
      <c r="G1297">
        <v>1111111111</v>
      </c>
      <c r="H1297" t="s">
        <v>4866</v>
      </c>
      <c r="I1297">
        <v>99999999</v>
      </c>
      <c r="J1297" s="188">
        <v>45236</v>
      </c>
      <c r="K1297" t="s">
        <v>4866</v>
      </c>
      <c r="L1297" t="s">
        <v>4866</v>
      </c>
      <c r="M1297" t="s">
        <v>1870</v>
      </c>
      <c r="N1297" t="s">
        <v>228</v>
      </c>
      <c r="O1297" t="s">
        <v>1871</v>
      </c>
      <c r="P1297" t="s">
        <v>221</v>
      </c>
      <c r="Q1297" t="s">
        <v>82</v>
      </c>
      <c r="R1297">
        <v>1</v>
      </c>
      <c r="S1297">
        <v>0.55000000000000004</v>
      </c>
      <c r="T1297">
        <v>0</v>
      </c>
      <c r="U1297">
        <v>1</v>
      </c>
      <c r="V1297">
        <v>1</v>
      </c>
      <c r="W1297">
        <v>29.22</v>
      </c>
      <c r="X1297">
        <v>0</v>
      </c>
      <c r="Y1297">
        <v>0</v>
      </c>
      <c r="Z1297">
        <v>0</v>
      </c>
      <c r="AA1297">
        <v>0</v>
      </c>
      <c r="AB1297">
        <v>0</v>
      </c>
      <c r="AC1297">
        <v>0</v>
      </c>
      <c r="AD1297">
        <v>1</v>
      </c>
      <c r="AE1297">
        <v>0</v>
      </c>
      <c r="AF1297">
        <v>0</v>
      </c>
      <c r="AG1297">
        <v>0</v>
      </c>
      <c r="AH1297">
        <v>0</v>
      </c>
      <c r="AI1297">
        <v>0</v>
      </c>
      <c r="AJ1297">
        <v>0</v>
      </c>
      <c r="AK1297">
        <v>0</v>
      </c>
    </row>
    <row r="1298" spans="1:37" x14ac:dyDescent="0.3">
      <c r="A1298">
        <v>7979</v>
      </c>
      <c r="B1298" t="s">
        <v>219</v>
      </c>
      <c r="D1298" t="s">
        <v>327</v>
      </c>
      <c r="E1298">
        <v>99999999</v>
      </c>
      <c r="F1298">
        <v>11111111</v>
      </c>
      <c r="G1298">
        <v>1111111111</v>
      </c>
      <c r="H1298" t="s">
        <v>4867</v>
      </c>
      <c r="I1298">
        <v>99999999</v>
      </c>
      <c r="J1298" s="188">
        <v>45236</v>
      </c>
      <c r="K1298" t="s">
        <v>4867</v>
      </c>
      <c r="L1298" t="s">
        <v>4867</v>
      </c>
      <c r="M1298" t="s">
        <v>783</v>
      </c>
      <c r="N1298" t="s">
        <v>99</v>
      </c>
      <c r="O1298">
        <v>95227</v>
      </c>
      <c r="P1298" t="s">
        <v>221</v>
      </c>
      <c r="Q1298" t="s">
        <v>82</v>
      </c>
      <c r="R1298">
        <v>1</v>
      </c>
      <c r="S1298">
        <v>5.53</v>
      </c>
      <c r="T1298">
        <v>0</v>
      </c>
      <c r="U1298">
        <v>1</v>
      </c>
      <c r="V1298">
        <v>1</v>
      </c>
      <c r="W1298">
        <v>35.869999999999997</v>
      </c>
      <c r="X1298">
        <v>0</v>
      </c>
      <c r="Y1298">
        <v>0</v>
      </c>
      <c r="Z1298">
        <v>0</v>
      </c>
      <c r="AA1298">
        <v>0</v>
      </c>
      <c r="AB1298">
        <v>0</v>
      </c>
      <c r="AC1298">
        <v>0</v>
      </c>
      <c r="AD1298">
        <v>1</v>
      </c>
      <c r="AE1298">
        <v>0</v>
      </c>
      <c r="AF1298">
        <v>0</v>
      </c>
      <c r="AG1298">
        <v>0</v>
      </c>
      <c r="AH1298">
        <v>0</v>
      </c>
      <c r="AI1298">
        <v>0</v>
      </c>
      <c r="AJ1298">
        <v>0</v>
      </c>
      <c r="AK1298">
        <v>0</v>
      </c>
    </row>
    <row r="1299" spans="1:37" x14ac:dyDescent="0.3">
      <c r="A1299">
        <v>7979</v>
      </c>
      <c r="B1299" t="s">
        <v>219</v>
      </c>
      <c r="D1299" t="s">
        <v>327</v>
      </c>
      <c r="E1299">
        <v>99999999</v>
      </c>
      <c r="F1299">
        <v>11111111</v>
      </c>
      <c r="G1299">
        <v>1111111111</v>
      </c>
      <c r="H1299" t="s">
        <v>4868</v>
      </c>
      <c r="I1299">
        <v>99999999</v>
      </c>
      <c r="J1299" s="188">
        <v>45236</v>
      </c>
      <c r="K1299" t="s">
        <v>4868</v>
      </c>
      <c r="L1299" t="s">
        <v>4868</v>
      </c>
      <c r="M1299" t="s">
        <v>1872</v>
      </c>
      <c r="N1299" t="s">
        <v>233</v>
      </c>
      <c r="O1299" t="s">
        <v>1873</v>
      </c>
      <c r="P1299" t="s">
        <v>221</v>
      </c>
      <c r="Q1299" t="s">
        <v>82</v>
      </c>
      <c r="R1299">
        <v>1</v>
      </c>
      <c r="S1299">
        <v>2.2000000000000002</v>
      </c>
      <c r="T1299">
        <v>0</v>
      </c>
      <c r="U1299">
        <v>1</v>
      </c>
      <c r="V1299">
        <v>1</v>
      </c>
      <c r="W1299">
        <v>33.07</v>
      </c>
      <c r="X1299">
        <v>0</v>
      </c>
      <c r="Y1299">
        <v>0</v>
      </c>
      <c r="Z1299">
        <v>0</v>
      </c>
      <c r="AA1299">
        <v>0</v>
      </c>
      <c r="AB1299">
        <v>0</v>
      </c>
      <c r="AC1299">
        <v>0</v>
      </c>
      <c r="AD1299">
        <v>1</v>
      </c>
      <c r="AE1299">
        <v>0</v>
      </c>
      <c r="AF1299">
        <v>0</v>
      </c>
      <c r="AG1299">
        <v>0</v>
      </c>
      <c r="AH1299">
        <v>0</v>
      </c>
      <c r="AI1299">
        <v>0</v>
      </c>
      <c r="AJ1299">
        <v>0</v>
      </c>
      <c r="AK1299">
        <v>0</v>
      </c>
    </row>
    <row r="1300" spans="1:37" x14ac:dyDescent="0.3">
      <c r="A1300">
        <v>7979</v>
      </c>
      <c r="B1300" t="s">
        <v>219</v>
      </c>
      <c r="D1300" t="s">
        <v>327</v>
      </c>
      <c r="E1300">
        <v>99999999</v>
      </c>
      <c r="F1300">
        <v>11111111</v>
      </c>
      <c r="G1300">
        <v>1111111111</v>
      </c>
      <c r="H1300" t="s">
        <v>4869</v>
      </c>
      <c r="I1300">
        <v>99999999</v>
      </c>
      <c r="J1300" s="188">
        <v>45236</v>
      </c>
      <c r="K1300" t="s">
        <v>4869</v>
      </c>
      <c r="L1300" t="s">
        <v>4869</v>
      </c>
      <c r="M1300" t="s">
        <v>1874</v>
      </c>
      <c r="N1300" t="s">
        <v>99</v>
      </c>
      <c r="O1300" t="s">
        <v>1875</v>
      </c>
      <c r="P1300" t="s">
        <v>221</v>
      </c>
      <c r="Q1300" t="s">
        <v>82</v>
      </c>
      <c r="R1300">
        <v>1</v>
      </c>
      <c r="S1300">
        <v>11.666</v>
      </c>
      <c r="T1300">
        <v>0</v>
      </c>
      <c r="U1300">
        <v>1</v>
      </c>
      <c r="V1300">
        <v>1</v>
      </c>
      <c r="W1300">
        <v>28.82</v>
      </c>
      <c r="X1300">
        <v>0</v>
      </c>
      <c r="Y1300">
        <v>0</v>
      </c>
      <c r="Z1300">
        <v>0</v>
      </c>
      <c r="AA1300">
        <v>0</v>
      </c>
      <c r="AB1300">
        <v>0</v>
      </c>
      <c r="AC1300">
        <v>0</v>
      </c>
      <c r="AD1300">
        <v>1</v>
      </c>
      <c r="AE1300">
        <v>0</v>
      </c>
      <c r="AF1300">
        <v>0</v>
      </c>
      <c r="AG1300">
        <v>0</v>
      </c>
      <c r="AH1300">
        <v>0</v>
      </c>
      <c r="AI1300">
        <v>0</v>
      </c>
      <c r="AJ1300">
        <v>0</v>
      </c>
      <c r="AK1300">
        <v>0</v>
      </c>
    </row>
    <row r="1301" spans="1:37" x14ac:dyDescent="0.3">
      <c r="A1301">
        <v>7979</v>
      </c>
      <c r="B1301" t="s">
        <v>219</v>
      </c>
      <c r="D1301" t="s">
        <v>327</v>
      </c>
      <c r="E1301">
        <v>99999999</v>
      </c>
      <c r="F1301">
        <v>11111111</v>
      </c>
      <c r="G1301">
        <v>1111111111</v>
      </c>
      <c r="H1301" t="s">
        <v>4870</v>
      </c>
      <c r="I1301">
        <v>99999999</v>
      </c>
      <c r="J1301" s="188">
        <v>45236</v>
      </c>
      <c r="K1301" t="s">
        <v>4870</v>
      </c>
      <c r="L1301" t="s">
        <v>4870</v>
      </c>
      <c r="M1301" t="s">
        <v>1858</v>
      </c>
      <c r="N1301" t="s">
        <v>151</v>
      </c>
      <c r="O1301" t="s">
        <v>1876</v>
      </c>
      <c r="P1301" t="s">
        <v>221</v>
      </c>
      <c r="Q1301" t="s">
        <v>82</v>
      </c>
      <c r="R1301">
        <v>1</v>
      </c>
      <c r="S1301">
        <v>1.42</v>
      </c>
      <c r="T1301">
        <v>0</v>
      </c>
      <c r="U1301">
        <v>1</v>
      </c>
      <c r="V1301">
        <v>1</v>
      </c>
      <c r="W1301">
        <v>23.1</v>
      </c>
      <c r="X1301">
        <v>0</v>
      </c>
      <c r="Y1301">
        <v>0</v>
      </c>
      <c r="Z1301">
        <v>0</v>
      </c>
      <c r="AA1301">
        <v>0</v>
      </c>
      <c r="AB1301">
        <v>0</v>
      </c>
      <c r="AC1301">
        <v>0</v>
      </c>
      <c r="AD1301">
        <v>1</v>
      </c>
      <c r="AE1301">
        <v>0</v>
      </c>
      <c r="AF1301">
        <v>0</v>
      </c>
      <c r="AG1301">
        <v>0</v>
      </c>
      <c r="AH1301">
        <v>0</v>
      </c>
      <c r="AI1301">
        <v>0</v>
      </c>
      <c r="AJ1301">
        <v>0</v>
      </c>
      <c r="AK1301">
        <v>0</v>
      </c>
    </row>
    <row r="1302" spans="1:37" x14ac:dyDescent="0.3">
      <c r="A1302">
        <v>7979</v>
      </c>
      <c r="B1302" t="s">
        <v>219</v>
      </c>
      <c r="D1302" t="s">
        <v>327</v>
      </c>
      <c r="E1302">
        <v>99999999</v>
      </c>
      <c r="F1302">
        <v>11111111</v>
      </c>
      <c r="G1302">
        <v>1111111111</v>
      </c>
      <c r="H1302" t="s">
        <v>4871</v>
      </c>
      <c r="I1302">
        <v>99999999</v>
      </c>
      <c r="J1302" s="188">
        <v>45236</v>
      </c>
      <c r="K1302" t="s">
        <v>4871</v>
      </c>
      <c r="L1302" t="s">
        <v>4871</v>
      </c>
      <c r="M1302" t="s">
        <v>915</v>
      </c>
      <c r="N1302" t="s">
        <v>164</v>
      </c>
      <c r="O1302" t="s">
        <v>1877</v>
      </c>
      <c r="P1302" t="s">
        <v>221</v>
      </c>
      <c r="Q1302" t="s">
        <v>82</v>
      </c>
      <c r="R1302">
        <v>2</v>
      </c>
      <c r="S1302">
        <v>9.14</v>
      </c>
      <c r="T1302">
        <v>0</v>
      </c>
      <c r="U1302">
        <v>1</v>
      </c>
      <c r="V1302">
        <v>2</v>
      </c>
      <c r="W1302">
        <v>24.41</v>
      </c>
      <c r="X1302">
        <v>0</v>
      </c>
      <c r="Y1302">
        <v>0</v>
      </c>
      <c r="Z1302">
        <v>0</v>
      </c>
      <c r="AA1302">
        <v>0</v>
      </c>
      <c r="AB1302">
        <v>0</v>
      </c>
      <c r="AC1302">
        <v>0</v>
      </c>
      <c r="AD1302">
        <v>2</v>
      </c>
      <c r="AE1302">
        <v>0</v>
      </c>
      <c r="AF1302">
        <v>0</v>
      </c>
      <c r="AG1302">
        <v>0</v>
      </c>
      <c r="AH1302">
        <v>0</v>
      </c>
      <c r="AI1302">
        <v>0</v>
      </c>
      <c r="AJ1302">
        <v>0</v>
      </c>
      <c r="AK1302">
        <v>0</v>
      </c>
    </row>
    <row r="1303" spans="1:37" x14ac:dyDescent="0.3">
      <c r="A1303">
        <v>7979</v>
      </c>
      <c r="B1303" t="s">
        <v>219</v>
      </c>
      <c r="D1303" t="s">
        <v>327</v>
      </c>
      <c r="E1303">
        <v>99999999</v>
      </c>
      <c r="F1303">
        <v>11111111</v>
      </c>
      <c r="G1303">
        <v>1111111111</v>
      </c>
      <c r="H1303" t="s">
        <v>4872</v>
      </c>
      <c r="I1303">
        <v>99999999</v>
      </c>
      <c r="J1303" s="188">
        <v>45236</v>
      </c>
      <c r="K1303" t="s">
        <v>4872</v>
      </c>
      <c r="L1303" t="s">
        <v>4872</v>
      </c>
      <c r="M1303" t="s">
        <v>1878</v>
      </c>
      <c r="N1303" t="s">
        <v>99</v>
      </c>
      <c r="O1303" t="s">
        <v>1879</v>
      </c>
      <c r="P1303" t="s">
        <v>221</v>
      </c>
      <c r="Q1303" t="s">
        <v>82</v>
      </c>
      <c r="R1303">
        <v>3</v>
      </c>
      <c r="S1303">
        <v>2.15</v>
      </c>
      <c r="T1303">
        <v>0</v>
      </c>
      <c r="U1303">
        <v>1</v>
      </c>
      <c r="V1303">
        <v>3</v>
      </c>
      <c r="W1303">
        <v>21.88</v>
      </c>
      <c r="X1303">
        <v>0</v>
      </c>
      <c r="Y1303">
        <v>0</v>
      </c>
      <c r="Z1303">
        <v>0</v>
      </c>
      <c r="AA1303">
        <v>0</v>
      </c>
      <c r="AB1303">
        <v>0</v>
      </c>
      <c r="AC1303">
        <v>0</v>
      </c>
      <c r="AD1303">
        <v>3</v>
      </c>
      <c r="AE1303">
        <v>0</v>
      </c>
      <c r="AF1303">
        <v>0</v>
      </c>
      <c r="AG1303">
        <v>0</v>
      </c>
      <c r="AH1303">
        <v>0</v>
      </c>
      <c r="AI1303">
        <v>0</v>
      </c>
      <c r="AJ1303">
        <v>0</v>
      </c>
      <c r="AK1303">
        <v>0</v>
      </c>
    </row>
    <row r="1304" spans="1:37" x14ac:dyDescent="0.3">
      <c r="A1304">
        <v>7979</v>
      </c>
      <c r="B1304" t="s">
        <v>219</v>
      </c>
      <c r="D1304" t="s">
        <v>327</v>
      </c>
      <c r="E1304">
        <v>99999999</v>
      </c>
      <c r="F1304">
        <v>11111111</v>
      </c>
      <c r="G1304">
        <v>1111111111</v>
      </c>
      <c r="H1304" t="s">
        <v>4873</v>
      </c>
      <c r="I1304">
        <v>99999999</v>
      </c>
      <c r="J1304" s="188">
        <v>45236</v>
      </c>
      <c r="K1304" t="s">
        <v>4873</v>
      </c>
      <c r="L1304" t="s">
        <v>4873</v>
      </c>
      <c r="M1304" t="s">
        <v>1880</v>
      </c>
      <c r="N1304" t="s">
        <v>161</v>
      </c>
      <c r="O1304" t="s">
        <v>1881</v>
      </c>
      <c r="P1304" t="s">
        <v>221</v>
      </c>
      <c r="Q1304" t="s">
        <v>82</v>
      </c>
      <c r="R1304">
        <v>1</v>
      </c>
      <c r="S1304">
        <v>5</v>
      </c>
      <c r="T1304">
        <v>0</v>
      </c>
      <c r="U1304">
        <v>1</v>
      </c>
      <c r="V1304">
        <v>1</v>
      </c>
      <c r="W1304">
        <v>33.380000000000003</v>
      </c>
      <c r="X1304">
        <v>0</v>
      </c>
      <c r="Y1304">
        <v>0</v>
      </c>
      <c r="Z1304">
        <v>0</v>
      </c>
      <c r="AA1304">
        <v>0</v>
      </c>
      <c r="AB1304">
        <v>0</v>
      </c>
      <c r="AC1304">
        <v>0</v>
      </c>
      <c r="AD1304">
        <v>1</v>
      </c>
      <c r="AE1304">
        <v>0</v>
      </c>
      <c r="AF1304">
        <v>0</v>
      </c>
      <c r="AG1304">
        <v>0</v>
      </c>
      <c r="AH1304">
        <v>0</v>
      </c>
      <c r="AI1304">
        <v>0</v>
      </c>
      <c r="AJ1304">
        <v>0</v>
      </c>
      <c r="AK1304">
        <v>0</v>
      </c>
    </row>
    <row r="1305" spans="1:37" x14ac:dyDescent="0.3">
      <c r="A1305">
        <v>7979</v>
      </c>
      <c r="B1305" t="s">
        <v>219</v>
      </c>
      <c r="D1305" t="s">
        <v>327</v>
      </c>
      <c r="E1305">
        <v>99999999</v>
      </c>
      <c r="F1305">
        <v>11111111</v>
      </c>
      <c r="G1305">
        <v>1111111111</v>
      </c>
      <c r="H1305" t="s">
        <v>4874</v>
      </c>
      <c r="I1305">
        <v>99999999</v>
      </c>
      <c r="J1305" s="188">
        <v>45236</v>
      </c>
      <c r="K1305" t="s">
        <v>4874</v>
      </c>
      <c r="L1305" t="s">
        <v>4874</v>
      </c>
      <c r="M1305" t="s">
        <v>1882</v>
      </c>
      <c r="N1305" t="s">
        <v>141</v>
      </c>
      <c r="O1305" t="s">
        <v>1883</v>
      </c>
      <c r="P1305" t="s">
        <v>221</v>
      </c>
      <c r="Q1305" t="s">
        <v>82</v>
      </c>
      <c r="R1305">
        <v>2</v>
      </c>
      <c r="S1305">
        <v>1.86</v>
      </c>
      <c r="T1305">
        <v>0</v>
      </c>
      <c r="U1305">
        <v>1</v>
      </c>
      <c r="V1305">
        <v>2</v>
      </c>
      <c r="W1305">
        <v>33.07</v>
      </c>
      <c r="X1305">
        <v>0</v>
      </c>
      <c r="Y1305">
        <v>0</v>
      </c>
      <c r="Z1305">
        <v>0</v>
      </c>
      <c r="AA1305">
        <v>0</v>
      </c>
      <c r="AB1305">
        <v>0</v>
      </c>
      <c r="AC1305">
        <v>0</v>
      </c>
      <c r="AD1305">
        <v>2</v>
      </c>
      <c r="AE1305">
        <v>0</v>
      </c>
      <c r="AF1305">
        <v>0</v>
      </c>
      <c r="AG1305">
        <v>0</v>
      </c>
      <c r="AH1305">
        <v>0</v>
      </c>
      <c r="AI1305">
        <v>0</v>
      </c>
      <c r="AJ1305">
        <v>0</v>
      </c>
      <c r="AK1305">
        <v>0</v>
      </c>
    </row>
    <row r="1306" spans="1:37" x14ac:dyDescent="0.3">
      <c r="A1306">
        <v>7979</v>
      </c>
      <c r="B1306" t="s">
        <v>219</v>
      </c>
      <c r="D1306" t="s">
        <v>327</v>
      </c>
      <c r="E1306">
        <v>99999999</v>
      </c>
      <c r="F1306">
        <v>11111111</v>
      </c>
      <c r="G1306">
        <v>1111111111</v>
      </c>
      <c r="H1306" t="s">
        <v>4875</v>
      </c>
      <c r="I1306">
        <v>99999999</v>
      </c>
      <c r="J1306" s="188">
        <v>45236</v>
      </c>
      <c r="K1306" t="s">
        <v>4875</v>
      </c>
      <c r="L1306" t="s">
        <v>4875</v>
      </c>
      <c r="M1306" t="s">
        <v>816</v>
      </c>
      <c r="N1306" t="s">
        <v>381</v>
      </c>
      <c r="O1306" t="s">
        <v>1884</v>
      </c>
      <c r="P1306" t="s">
        <v>221</v>
      </c>
      <c r="Q1306" t="s">
        <v>82</v>
      </c>
      <c r="R1306">
        <v>1</v>
      </c>
      <c r="S1306">
        <v>10</v>
      </c>
      <c r="T1306">
        <v>0</v>
      </c>
      <c r="U1306">
        <v>1</v>
      </c>
      <c r="V1306">
        <v>1</v>
      </c>
      <c r="W1306">
        <v>24.65</v>
      </c>
      <c r="X1306">
        <v>0</v>
      </c>
      <c r="Y1306">
        <v>0</v>
      </c>
      <c r="Z1306">
        <v>0</v>
      </c>
      <c r="AA1306">
        <v>0</v>
      </c>
      <c r="AB1306">
        <v>0</v>
      </c>
      <c r="AC1306">
        <v>0</v>
      </c>
      <c r="AD1306">
        <v>1</v>
      </c>
      <c r="AE1306">
        <v>0</v>
      </c>
      <c r="AF1306">
        <v>0</v>
      </c>
      <c r="AG1306">
        <v>0</v>
      </c>
      <c r="AH1306">
        <v>0</v>
      </c>
      <c r="AI1306">
        <v>0</v>
      </c>
      <c r="AJ1306">
        <v>0</v>
      </c>
      <c r="AK1306">
        <v>0</v>
      </c>
    </row>
    <row r="1307" spans="1:37" x14ac:dyDescent="0.3">
      <c r="A1307">
        <v>7979</v>
      </c>
      <c r="B1307" t="s">
        <v>219</v>
      </c>
      <c r="D1307" t="s">
        <v>327</v>
      </c>
      <c r="E1307">
        <v>99999999</v>
      </c>
      <c r="F1307">
        <v>11111111</v>
      </c>
      <c r="G1307">
        <v>1111111111</v>
      </c>
      <c r="H1307" t="s">
        <v>4876</v>
      </c>
      <c r="I1307">
        <v>99999999</v>
      </c>
      <c r="J1307" s="188">
        <v>45236</v>
      </c>
      <c r="K1307" t="s">
        <v>4876</v>
      </c>
      <c r="L1307" t="s">
        <v>4876</v>
      </c>
      <c r="M1307" t="s">
        <v>1885</v>
      </c>
      <c r="N1307" t="s">
        <v>99</v>
      </c>
      <c r="O1307" t="s">
        <v>1886</v>
      </c>
      <c r="P1307" t="s">
        <v>221</v>
      </c>
      <c r="Q1307" t="s">
        <v>82</v>
      </c>
      <c r="R1307">
        <v>5</v>
      </c>
      <c r="S1307">
        <v>8.4130000000000003</v>
      </c>
      <c r="T1307">
        <v>0</v>
      </c>
      <c r="U1307">
        <v>1</v>
      </c>
      <c r="V1307">
        <v>5</v>
      </c>
      <c r="W1307">
        <v>24.22</v>
      </c>
      <c r="X1307">
        <v>0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5</v>
      </c>
      <c r="AE1307">
        <v>0</v>
      </c>
      <c r="AF1307">
        <v>0</v>
      </c>
      <c r="AG1307">
        <v>0</v>
      </c>
      <c r="AH1307">
        <v>0</v>
      </c>
      <c r="AI1307">
        <v>0</v>
      </c>
      <c r="AJ1307">
        <v>0</v>
      </c>
      <c r="AK1307">
        <v>0</v>
      </c>
    </row>
    <row r="1308" spans="1:37" x14ac:dyDescent="0.3">
      <c r="A1308">
        <v>7979</v>
      </c>
      <c r="B1308" t="s">
        <v>219</v>
      </c>
      <c r="D1308" t="s">
        <v>327</v>
      </c>
      <c r="E1308">
        <v>99999999</v>
      </c>
      <c r="F1308">
        <v>11111111</v>
      </c>
      <c r="G1308">
        <v>1111111111</v>
      </c>
      <c r="H1308" t="s">
        <v>4877</v>
      </c>
      <c r="I1308">
        <v>99999999</v>
      </c>
      <c r="J1308" s="188">
        <v>45236</v>
      </c>
      <c r="K1308" t="s">
        <v>4877</v>
      </c>
      <c r="L1308" t="s">
        <v>4877</v>
      </c>
      <c r="M1308" t="s">
        <v>1072</v>
      </c>
      <c r="N1308" t="s">
        <v>99</v>
      </c>
      <c r="O1308" t="s">
        <v>1887</v>
      </c>
      <c r="P1308" t="s">
        <v>221</v>
      </c>
      <c r="Q1308" t="s">
        <v>82</v>
      </c>
      <c r="R1308">
        <v>3</v>
      </c>
      <c r="S1308">
        <v>3.6</v>
      </c>
      <c r="T1308">
        <v>0</v>
      </c>
      <c r="U1308">
        <v>1</v>
      </c>
      <c r="V1308">
        <v>1</v>
      </c>
      <c r="W1308">
        <v>29.05</v>
      </c>
      <c r="X1308">
        <v>0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3</v>
      </c>
      <c r="AE1308">
        <v>0</v>
      </c>
      <c r="AF1308">
        <v>0</v>
      </c>
      <c r="AG1308">
        <v>0</v>
      </c>
      <c r="AH1308">
        <v>0</v>
      </c>
      <c r="AI1308">
        <v>0</v>
      </c>
      <c r="AJ1308">
        <v>0</v>
      </c>
      <c r="AK1308">
        <v>0</v>
      </c>
    </row>
    <row r="1309" spans="1:37" x14ac:dyDescent="0.3">
      <c r="A1309">
        <v>7979</v>
      </c>
      <c r="B1309" t="s">
        <v>219</v>
      </c>
      <c r="D1309" t="s">
        <v>327</v>
      </c>
      <c r="E1309">
        <v>99999999</v>
      </c>
      <c r="F1309">
        <v>11111111</v>
      </c>
      <c r="G1309">
        <v>1111111111</v>
      </c>
      <c r="H1309" t="s">
        <v>4878</v>
      </c>
      <c r="I1309">
        <v>99999999</v>
      </c>
      <c r="J1309" s="188">
        <v>45236</v>
      </c>
      <c r="K1309" t="s">
        <v>4878</v>
      </c>
      <c r="L1309" t="s">
        <v>4878</v>
      </c>
      <c r="M1309" t="s">
        <v>113</v>
      </c>
      <c r="N1309" t="s">
        <v>551</v>
      </c>
      <c r="O1309" t="s">
        <v>1888</v>
      </c>
      <c r="P1309" t="s">
        <v>221</v>
      </c>
      <c r="Q1309" t="s">
        <v>82</v>
      </c>
      <c r="R1309">
        <v>1</v>
      </c>
      <c r="S1309">
        <v>5</v>
      </c>
      <c r="T1309">
        <v>0</v>
      </c>
      <c r="U1309">
        <v>1</v>
      </c>
      <c r="V1309">
        <v>1</v>
      </c>
      <c r="W1309">
        <v>29.21</v>
      </c>
      <c r="X1309">
        <v>0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1</v>
      </c>
      <c r="AE1309">
        <v>0</v>
      </c>
      <c r="AF1309">
        <v>0</v>
      </c>
      <c r="AG1309">
        <v>0</v>
      </c>
      <c r="AH1309">
        <v>0</v>
      </c>
      <c r="AI1309">
        <v>0</v>
      </c>
      <c r="AJ1309">
        <v>0</v>
      </c>
      <c r="AK1309">
        <v>0</v>
      </c>
    </row>
    <row r="1310" spans="1:37" x14ac:dyDescent="0.3">
      <c r="A1310">
        <v>7979</v>
      </c>
      <c r="B1310" t="s">
        <v>219</v>
      </c>
      <c r="D1310" t="s">
        <v>327</v>
      </c>
      <c r="E1310">
        <v>99999999</v>
      </c>
      <c r="F1310">
        <v>11111111</v>
      </c>
      <c r="G1310">
        <v>1111111111</v>
      </c>
      <c r="H1310" t="s">
        <v>4879</v>
      </c>
      <c r="I1310">
        <v>99999999</v>
      </c>
      <c r="J1310" s="188">
        <v>45236</v>
      </c>
      <c r="K1310" t="s">
        <v>4879</v>
      </c>
      <c r="L1310" t="s">
        <v>4879</v>
      </c>
      <c r="M1310" t="s">
        <v>1889</v>
      </c>
      <c r="N1310" t="s">
        <v>680</v>
      </c>
      <c r="O1310" t="s">
        <v>1890</v>
      </c>
      <c r="P1310" t="s">
        <v>221</v>
      </c>
      <c r="Q1310" t="s">
        <v>82</v>
      </c>
      <c r="R1310">
        <v>1</v>
      </c>
      <c r="S1310">
        <v>3</v>
      </c>
      <c r="T1310">
        <v>0</v>
      </c>
      <c r="U1310">
        <v>1</v>
      </c>
      <c r="V1310">
        <v>1</v>
      </c>
      <c r="W1310">
        <v>26.15</v>
      </c>
      <c r="X1310">
        <v>0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1</v>
      </c>
      <c r="AE1310">
        <v>0</v>
      </c>
      <c r="AF1310">
        <v>0</v>
      </c>
      <c r="AG1310">
        <v>0</v>
      </c>
      <c r="AH1310">
        <v>0</v>
      </c>
      <c r="AI1310">
        <v>0</v>
      </c>
      <c r="AJ1310">
        <v>0</v>
      </c>
      <c r="AK1310">
        <v>0</v>
      </c>
    </row>
    <row r="1311" spans="1:37" x14ac:dyDescent="0.3">
      <c r="A1311">
        <v>7979</v>
      </c>
      <c r="B1311" t="s">
        <v>219</v>
      </c>
      <c r="D1311" t="s">
        <v>327</v>
      </c>
      <c r="E1311">
        <v>99999999</v>
      </c>
      <c r="F1311">
        <v>11111111</v>
      </c>
      <c r="G1311">
        <v>1111111111</v>
      </c>
      <c r="H1311" t="s">
        <v>4880</v>
      </c>
      <c r="I1311">
        <v>99999999</v>
      </c>
      <c r="J1311" s="188">
        <v>45236</v>
      </c>
      <c r="K1311" t="s">
        <v>4880</v>
      </c>
      <c r="L1311" t="s">
        <v>4880</v>
      </c>
      <c r="M1311" t="s">
        <v>1885</v>
      </c>
      <c r="N1311" t="s">
        <v>99</v>
      </c>
      <c r="O1311" t="s">
        <v>1891</v>
      </c>
      <c r="P1311" t="s">
        <v>221</v>
      </c>
      <c r="Q1311" t="s">
        <v>82</v>
      </c>
      <c r="R1311">
        <v>2</v>
      </c>
      <c r="S1311">
        <v>12.5</v>
      </c>
      <c r="T1311">
        <v>0</v>
      </c>
      <c r="U1311">
        <v>1</v>
      </c>
      <c r="V1311">
        <v>2</v>
      </c>
      <c r="W1311">
        <v>25.05</v>
      </c>
      <c r="X1311">
        <v>0</v>
      </c>
      <c r="Y1311">
        <v>0</v>
      </c>
      <c r="Z1311">
        <v>0</v>
      </c>
      <c r="AA1311">
        <v>0</v>
      </c>
      <c r="AB1311">
        <v>0</v>
      </c>
      <c r="AC1311">
        <v>0</v>
      </c>
      <c r="AD1311">
        <v>2</v>
      </c>
      <c r="AE1311">
        <v>0</v>
      </c>
      <c r="AF1311">
        <v>0</v>
      </c>
      <c r="AG1311">
        <v>0</v>
      </c>
      <c r="AH1311">
        <v>0</v>
      </c>
      <c r="AI1311">
        <v>0</v>
      </c>
      <c r="AJ1311">
        <v>0</v>
      </c>
      <c r="AK1311">
        <v>0</v>
      </c>
    </row>
    <row r="1312" spans="1:37" x14ac:dyDescent="0.3">
      <c r="A1312">
        <v>7979</v>
      </c>
      <c r="B1312" t="s">
        <v>219</v>
      </c>
      <c r="D1312" t="s">
        <v>327</v>
      </c>
      <c r="E1312">
        <v>99999999</v>
      </c>
      <c r="F1312">
        <v>11111111</v>
      </c>
      <c r="G1312">
        <v>1111111111</v>
      </c>
      <c r="H1312" t="s">
        <v>4881</v>
      </c>
      <c r="I1312">
        <v>99999999</v>
      </c>
      <c r="J1312" s="188">
        <v>45236</v>
      </c>
      <c r="K1312" t="s">
        <v>4881</v>
      </c>
      <c r="L1312" t="s">
        <v>4881</v>
      </c>
      <c r="M1312" t="s">
        <v>899</v>
      </c>
      <c r="N1312" t="s">
        <v>85</v>
      </c>
      <c r="O1312" t="s">
        <v>1892</v>
      </c>
      <c r="P1312" t="s">
        <v>221</v>
      </c>
      <c r="Q1312" t="s">
        <v>82</v>
      </c>
      <c r="R1312">
        <v>2</v>
      </c>
      <c r="S1312">
        <v>5</v>
      </c>
      <c r="T1312">
        <v>0</v>
      </c>
      <c r="U1312">
        <v>1</v>
      </c>
      <c r="V1312">
        <v>2</v>
      </c>
      <c r="W1312">
        <v>26.14</v>
      </c>
      <c r="X1312">
        <v>0</v>
      </c>
      <c r="Y1312">
        <v>0</v>
      </c>
      <c r="Z1312">
        <v>0</v>
      </c>
      <c r="AA1312">
        <v>0</v>
      </c>
      <c r="AB1312">
        <v>0</v>
      </c>
      <c r="AC1312">
        <v>0</v>
      </c>
      <c r="AD1312">
        <v>2</v>
      </c>
      <c r="AE1312">
        <v>0</v>
      </c>
      <c r="AF1312">
        <v>0</v>
      </c>
      <c r="AG1312">
        <v>0</v>
      </c>
      <c r="AH1312">
        <v>0</v>
      </c>
      <c r="AI1312">
        <v>0</v>
      </c>
      <c r="AJ1312">
        <v>0</v>
      </c>
      <c r="AK1312">
        <v>0</v>
      </c>
    </row>
    <row r="1313" spans="1:37" x14ac:dyDescent="0.3">
      <c r="A1313">
        <v>7979</v>
      </c>
      <c r="B1313" t="s">
        <v>219</v>
      </c>
      <c r="D1313" t="s">
        <v>327</v>
      </c>
      <c r="E1313">
        <v>99999999</v>
      </c>
      <c r="F1313">
        <v>11111111</v>
      </c>
      <c r="G1313">
        <v>1111111111</v>
      </c>
      <c r="H1313" t="s">
        <v>4882</v>
      </c>
      <c r="I1313">
        <v>99999999</v>
      </c>
      <c r="J1313" s="188">
        <v>45236</v>
      </c>
      <c r="K1313" t="s">
        <v>4882</v>
      </c>
      <c r="L1313" t="s">
        <v>4882</v>
      </c>
      <c r="M1313" t="s">
        <v>1893</v>
      </c>
      <c r="N1313" t="s">
        <v>99</v>
      </c>
      <c r="O1313" t="s">
        <v>1894</v>
      </c>
      <c r="P1313" t="s">
        <v>221</v>
      </c>
      <c r="Q1313" t="s">
        <v>82</v>
      </c>
      <c r="R1313">
        <v>2</v>
      </c>
      <c r="S1313">
        <v>3.27</v>
      </c>
      <c r="T1313">
        <v>0</v>
      </c>
      <c r="U1313">
        <v>1</v>
      </c>
      <c r="V1313">
        <v>2</v>
      </c>
      <c r="W1313">
        <v>28.64</v>
      </c>
      <c r="X1313">
        <v>0</v>
      </c>
      <c r="Y1313">
        <v>0</v>
      </c>
      <c r="Z1313">
        <v>0</v>
      </c>
      <c r="AA1313">
        <v>0</v>
      </c>
      <c r="AB1313">
        <v>0</v>
      </c>
      <c r="AC1313">
        <v>0</v>
      </c>
      <c r="AD1313">
        <v>2</v>
      </c>
      <c r="AE1313">
        <v>0</v>
      </c>
      <c r="AF1313">
        <v>0</v>
      </c>
      <c r="AG1313">
        <v>0</v>
      </c>
      <c r="AH1313">
        <v>0</v>
      </c>
      <c r="AI1313">
        <v>0</v>
      </c>
      <c r="AJ1313">
        <v>0</v>
      </c>
      <c r="AK1313">
        <v>0</v>
      </c>
    </row>
    <row r="1314" spans="1:37" x14ac:dyDescent="0.3">
      <c r="A1314">
        <v>7979</v>
      </c>
      <c r="B1314" t="s">
        <v>219</v>
      </c>
      <c r="D1314" t="s">
        <v>327</v>
      </c>
      <c r="E1314">
        <v>99999999</v>
      </c>
      <c r="F1314">
        <v>11111111</v>
      </c>
      <c r="G1314">
        <v>1111111111</v>
      </c>
      <c r="H1314" t="s">
        <v>4883</v>
      </c>
      <c r="I1314">
        <v>99999999</v>
      </c>
      <c r="J1314" s="188">
        <v>45236</v>
      </c>
      <c r="K1314" t="s">
        <v>4883</v>
      </c>
      <c r="L1314" t="s">
        <v>4883</v>
      </c>
      <c r="M1314" t="s">
        <v>418</v>
      </c>
      <c r="N1314" t="s">
        <v>91</v>
      </c>
      <c r="O1314" t="s">
        <v>1895</v>
      </c>
      <c r="P1314" t="s">
        <v>221</v>
      </c>
      <c r="Q1314" t="s">
        <v>82</v>
      </c>
      <c r="R1314">
        <v>6</v>
      </c>
      <c r="S1314">
        <v>8.61</v>
      </c>
      <c r="T1314">
        <v>0</v>
      </c>
      <c r="U1314">
        <v>1</v>
      </c>
      <c r="V1314">
        <v>4</v>
      </c>
      <c r="W1314">
        <v>32.340000000000003</v>
      </c>
      <c r="X1314">
        <v>0</v>
      </c>
      <c r="Y1314">
        <v>0</v>
      </c>
      <c r="Z1314">
        <v>0</v>
      </c>
      <c r="AA1314">
        <v>0</v>
      </c>
      <c r="AB1314">
        <v>0</v>
      </c>
      <c r="AC1314">
        <v>0</v>
      </c>
      <c r="AD1314">
        <v>6</v>
      </c>
      <c r="AE1314">
        <v>0</v>
      </c>
      <c r="AF1314">
        <v>0</v>
      </c>
      <c r="AG1314">
        <v>0</v>
      </c>
      <c r="AH1314">
        <v>0</v>
      </c>
      <c r="AI1314">
        <v>0</v>
      </c>
      <c r="AJ1314">
        <v>0</v>
      </c>
      <c r="AK1314">
        <v>0</v>
      </c>
    </row>
    <row r="1315" spans="1:37" x14ac:dyDescent="0.3">
      <c r="A1315">
        <v>7979</v>
      </c>
      <c r="B1315" t="s">
        <v>219</v>
      </c>
      <c r="D1315" t="s">
        <v>327</v>
      </c>
      <c r="E1315">
        <v>99999999</v>
      </c>
      <c r="F1315">
        <v>11111111</v>
      </c>
      <c r="G1315">
        <v>1111111111</v>
      </c>
      <c r="H1315" t="s">
        <v>4884</v>
      </c>
      <c r="I1315">
        <v>99999999</v>
      </c>
      <c r="J1315" s="188">
        <v>45236</v>
      </c>
      <c r="K1315" t="s">
        <v>4884</v>
      </c>
      <c r="L1315" t="s">
        <v>4884</v>
      </c>
      <c r="M1315" t="s">
        <v>1896</v>
      </c>
      <c r="N1315" t="s">
        <v>197</v>
      </c>
      <c r="O1315" t="s">
        <v>1897</v>
      </c>
      <c r="P1315" t="s">
        <v>221</v>
      </c>
      <c r="Q1315" t="s">
        <v>82</v>
      </c>
      <c r="R1315">
        <v>5</v>
      </c>
      <c r="S1315">
        <v>4.4400000000000004</v>
      </c>
      <c r="T1315">
        <v>0</v>
      </c>
      <c r="U1315">
        <v>1</v>
      </c>
      <c r="V1315">
        <v>3</v>
      </c>
      <c r="W1315">
        <v>34.4</v>
      </c>
      <c r="X1315">
        <v>0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5</v>
      </c>
      <c r="AE1315">
        <v>0</v>
      </c>
      <c r="AF1315">
        <v>0</v>
      </c>
      <c r="AG1315">
        <v>0</v>
      </c>
      <c r="AH1315">
        <v>0</v>
      </c>
      <c r="AI1315">
        <v>0</v>
      </c>
      <c r="AJ1315">
        <v>0</v>
      </c>
      <c r="AK1315">
        <v>0</v>
      </c>
    </row>
    <row r="1316" spans="1:37" x14ac:dyDescent="0.3">
      <c r="A1316">
        <v>7979</v>
      </c>
      <c r="B1316" t="s">
        <v>219</v>
      </c>
      <c r="D1316" t="s">
        <v>327</v>
      </c>
      <c r="E1316">
        <v>99999999</v>
      </c>
      <c r="F1316">
        <v>11111111</v>
      </c>
      <c r="G1316">
        <v>1111111111</v>
      </c>
      <c r="H1316" t="s">
        <v>4885</v>
      </c>
      <c r="I1316">
        <v>99999999</v>
      </c>
      <c r="J1316" s="188">
        <v>45236</v>
      </c>
      <c r="K1316" t="s">
        <v>4885</v>
      </c>
      <c r="L1316" t="s">
        <v>4885</v>
      </c>
      <c r="M1316" t="s">
        <v>707</v>
      </c>
      <c r="N1316" t="s">
        <v>141</v>
      </c>
      <c r="O1316" t="s">
        <v>708</v>
      </c>
      <c r="P1316" t="s">
        <v>221</v>
      </c>
      <c r="Q1316" t="s">
        <v>82</v>
      </c>
      <c r="R1316">
        <v>7</v>
      </c>
      <c r="S1316">
        <v>9.24</v>
      </c>
      <c r="T1316">
        <v>0</v>
      </c>
      <c r="U1316">
        <v>1</v>
      </c>
      <c r="V1316">
        <v>1</v>
      </c>
      <c r="W1316">
        <v>38.06</v>
      </c>
      <c r="X1316">
        <v>0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7</v>
      </c>
      <c r="AE1316">
        <v>0</v>
      </c>
      <c r="AF1316">
        <v>0</v>
      </c>
      <c r="AG1316">
        <v>0</v>
      </c>
      <c r="AH1316">
        <v>0</v>
      </c>
      <c r="AI1316">
        <v>0</v>
      </c>
      <c r="AJ1316">
        <v>0</v>
      </c>
      <c r="AK1316">
        <v>0</v>
      </c>
    </row>
    <row r="1317" spans="1:37" x14ac:dyDescent="0.3">
      <c r="A1317">
        <v>7979</v>
      </c>
      <c r="B1317" t="s">
        <v>219</v>
      </c>
      <c r="D1317" t="s">
        <v>327</v>
      </c>
      <c r="E1317">
        <v>99999999</v>
      </c>
      <c r="F1317">
        <v>11111111</v>
      </c>
      <c r="G1317">
        <v>1111111111</v>
      </c>
      <c r="H1317" t="s">
        <v>4886</v>
      </c>
      <c r="I1317">
        <v>99999999</v>
      </c>
      <c r="J1317" s="188">
        <v>45236</v>
      </c>
      <c r="K1317" t="s">
        <v>4886</v>
      </c>
      <c r="L1317" t="s">
        <v>4886</v>
      </c>
      <c r="M1317" t="s">
        <v>406</v>
      </c>
      <c r="N1317" t="s">
        <v>99</v>
      </c>
      <c r="O1317" t="s">
        <v>407</v>
      </c>
      <c r="P1317" t="s">
        <v>221</v>
      </c>
      <c r="Q1317" t="s">
        <v>82</v>
      </c>
      <c r="R1317">
        <v>1</v>
      </c>
      <c r="S1317">
        <v>0.7</v>
      </c>
      <c r="T1317">
        <v>0</v>
      </c>
      <c r="U1317">
        <v>1</v>
      </c>
      <c r="V1317">
        <v>1</v>
      </c>
      <c r="W1317">
        <v>21.21</v>
      </c>
      <c r="X1317">
        <v>0</v>
      </c>
      <c r="Y1317">
        <v>0</v>
      </c>
      <c r="Z1317">
        <v>0</v>
      </c>
      <c r="AA1317">
        <v>0</v>
      </c>
      <c r="AB1317">
        <v>0</v>
      </c>
      <c r="AC1317">
        <v>0</v>
      </c>
      <c r="AD1317">
        <v>1</v>
      </c>
      <c r="AE1317">
        <v>0</v>
      </c>
      <c r="AF1317">
        <v>0</v>
      </c>
      <c r="AG1317">
        <v>0</v>
      </c>
      <c r="AH1317">
        <v>0</v>
      </c>
      <c r="AI1317">
        <v>0</v>
      </c>
      <c r="AJ1317">
        <v>0</v>
      </c>
      <c r="AK1317">
        <v>0</v>
      </c>
    </row>
    <row r="1318" spans="1:37" x14ac:dyDescent="0.3">
      <c r="A1318">
        <v>7979</v>
      </c>
      <c r="B1318" t="s">
        <v>219</v>
      </c>
      <c r="D1318" t="s">
        <v>327</v>
      </c>
      <c r="E1318">
        <v>99999999</v>
      </c>
      <c r="F1318">
        <v>11111111</v>
      </c>
      <c r="G1318">
        <v>1111111111</v>
      </c>
      <c r="H1318" t="s">
        <v>4887</v>
      </c>
      <c r="I1318">
        <v>99999999</v>
      </c>
      <c r="J1318" s="188">
        <v>45236</v>
      </c>
      <c r="K1318" t="s">
        <v>4887</v>
      </c>
      <c r="L1318" t="s">
        <v>4887</v>
      </c>
      <c r="M1318" t="s">
        <v>474</v>
      </c>
      <c r="N1318" t="s">
        <v>135</v>
      </c>
      <c r="O1318" t="s">
        <v>1898</v>
      </c>
      <c r="P1318" t="s">
        <v>221</v>
      </c>
      <c r="Q1318" t="s">
        <v>82</v>
      </c>
      <c r="R1318">
        <v>2</v>
      </c>
      <c r="S1318">
        <v>13.68</v>
      </c>
      <c r="T1318">
        <v>0</v>
      </c>
      <c r="U1318">
        <v>1</v>
      </c>
      <c r="V1318">
        <v>2</v>
      </c>
      <c r="W1318">
        <v>25.51</v>
      </c>
      <c r="X1318">
        <v>0</v>
      </c>
      <c r="Y1318">
        <v>0</v>
      </c>
      <c r="Z1318">
        <v>0</v>
      </c>
      <c r="AA1318">
        <v>0</v>
      </c>
      <c r="AB1318">
        <v>0</v>
      </c>
      <c r="AC1318">
        <v>0</v>
      </c>
      <c r="AD1318">
        <v>2</v>
      </c>
      <c r="AE1318">
        <v>0</v>
      </c>
      <c r="AF1318">
        <v>0</v>
      </c>
      <c r="AG1318">
        <v>0</v>
      </c>
      <c r="AH1318">
        <v>0</v>
      </c>
      <c r="AI1318">
        <v>0</v>
      </c>
      <c r="AJ1318">
        <v>0</v>
      </c>
      <c r="AK1318">
        <v>0</v>
      </c>
    </row>
    <row r="1319" spans="1:37" x14ac:dyDescent="0.3">
      <c r="A1319">
        <v>7979</v>
      </c>
      <c r="B1319" t="s">
        <v>219</v>
      </c>
      <c r="D1319" t="s">
        <v>327</v>
      </c>
      <c r="E1319">
        <v>99999999</v>
      </c>
      <c r="F1319">
        <v>11111111</v>
      </c>
      <c r="G1319">
        <v>1111111111</v>
      </c>
      <c r="H1319" t="s">
        <v>4888</v>
      </c>
      <c r="I1319">
        <v>99999999</v>
      </c>
      <c r="J1319" s="188">
        <v>45236</v>
      </c>
      <c r="K1319" t="s">
        <v>4888</v>
      </c>
      <c r="L1319" t="s">
        <v>4888</v>
      </c>
      <c r="M1319" t="s">
        <v>1899</v>
      </c>
      <c r="N1319" t="s">
        <v>97</v>
      </c>
      <c r="O1319" t="s">
        <v>1900</v>
      </c>
      <c r="P1319" t="s">
        <v>221</v>
      </c>
      <c r="Q1319" t="s">
        <v>82</v>
      </c>
      <c r="R1319">
        <v>1</v>
      </c>
      <c r="S1319">
        <v>6.2</v>
      </c>
      <c r="T1319">
        <v>0</v>
      </c>
      <c r="U1319">
        <v>1</v>
      </c>
      <c r="V1319">
        <v>1</v>
      </c>
      <c r="W1319">
        <v>31.8</v>
      </c>
      <c r="X1319">
        <v>0</v>
      </c>
      <c r="Y1319">
        <v>0</v>
      </c>
      <c r="Z1319">
        <v>0</v>
      </c>
      <c r="AA1319">
        <v>0</v>
      </c>
      <c r="AB1319">
        <v>0</v>
      </c>
      <c r="AC1319">
        <v>0</v>
      </c>
      <c r="AD1319">
        <v>1</v>
      </c>
      <c r="AE1319">
        <v>0</v>
      </c>
      <c r="AF1319">
        <v>0</v>
      </c>
      <c r="AG1319">
        <v>0</v>
      </c>
      <c r="AH1319">
        <v>0</v>
      </c>
      <c r="AI1319">
        <v>0</v>
      </c>
      <c r="AJ1319">
        <v>0</v>
      </c>
      <c r="AK1319">
        <v>0</v>
      </c>
    </row>
    <row r="1320" spans="1:37" x14ac:dyDescent="0.3">
      <c r="A1320">
        <v>7979</v>
      </c>
      <c r="B1320" t="s">
        <v>219</v>
      </c>
      <c r="D1320" t="s">
        <v>327</v>
      </c>
      <c r="E1320">
        <v>99999999</v>
      </c>
      <c r="F1320">
        <v>11111111</v>
      </c>
      <c r="G1320">
        <v>1111111111</v>
      </c>
      <c r="H1320" t="s">
        <v>4889</v>
      </c>
      <c r="I1320">
        <v>99999999</v>
      </c>
      <c r="J1320" s="188">
        <v>45236</v>
      </c>
      <c r="K1320" t="s">
        <v>4889</v>
      </c>
      <c r="L1320" t="s">
        <v>4889</v>
      </c>
      <c r="M1320" t="s">
        <v>899</v>
      </c>
      <c r="N1320" t="s">
        <v>85</v>
      </c>
      <c r="O1320" t="s">
        <v>1892</v>
      </c>
      <c r="P1320" t="s">
        <v>221</v>
      </c>
      <c r="Q1320" t="s">
        <v>82</v>
      </c>
      <c r="R1320">
        <v>1</v>
      </c>
      <c r="S1320">
        <v>2</v>
      </c>
      <c r="T1320">
        <v>0</v>
      </c>
      <c r="U1320">
        <v>1</v>
      </c>
      <c r="V1320">
        <v>1</v>
      </c>
      <c r="W1320">
        <v>25.28</v>
      </c>
      <c r="X1320">
        <v>0</v>
      </c>
      <c r="Y1320">
        <v>0</v>
      </c>
      <c r="Z1320">
        <v>0</v>
      </c>
      <c r="AA1320">
        <v>0</v>
      </c>
      <c r="AB1320">
        <v>0</v>
      </c>
      <c r="AC1320">
        <v>0</v>
      </c>
      <c r="AD1320">
        <v>1</v>
      </c>
      <c r="AE1320">
        <v>0</v>
      </c>
      <c r="AF1320">
        <v>0</v>
      </c>
      <c r="AG1320">
        <v>0</v>
      </c>
      <c r="AH1320">
        <v>0</v>
      </c>
      <c r="AI1320">
        <v>0</v>
      </c>
      <c r="AJ1320">
        <v>0</v>
      </c>
      <c r="AK1320">
        <v>0</v>
      </c>
    </row>
    <row r="1321" spans="1:37" x14ac:dyDescent="0.3">
      <c r="A1321">
        <v>7979</v>
      </c>
      <c r="B1321" t="s">
        <v>219</v>
      </c>
      <c r="D1321" t="s">
        <v>327</v>
      </c>
      <c r="E1321">
        <v>99999999</v>
      </c>
      <c r="F1321">
        <v>11111111</v>
      </c>
      <c r="G1321">
        <v>1111111111</v>
      </c>
      <c r="H1321" t="s">
        <v>4890</v>
      </c>
      <c r="I1321">
        <v>99999999</v>
      </c>
      <c r="J1321" s="188">
        <v>45236</v>
      </c>
      <c r="K1321" t="s">
        <v>4890</v>
      </c>
      <c r="L1321" t="s">
        <v>4890</v>
      </c>
      <c r="M1321" t="s">
        <v>1901</v>
      </c>
      <c r="N1321" t="s">
        <v>206</v>
      </c>
      <c r="O1321" t="s">
        <v>1902</v>
      </c>
      <c r="P1321" t="s">
        <v>221</v>
      </c>
      <c r="Q1321" t="s">
        <v>82</v>
      </c>
      <c r="R1321">
        <v>2</v>
      </c>
      <c r="S1321">
        <v>0.88</v>
      </c>
      <c r="T1321">
        <v>0</v>
      </c>
      <c r="U1321">
        <v>1</v>
      </c>
      <c r="V1321">
        <v>1</v>
      </c>
      <c r="W1321">
        <v>29.22</v>
      </c>
      <c r="X1321">
        <v>0</v>
      </c>
      <c r="Y1321">
        <v>0</v>
      </c>
      <c r="Z1321">
        <v>0</v>
      </c>
      <c r="AA1321">
        <v>0</v>
      </c>
      <c r="AB1321">
        <v>0</v>
      </c>
      <c r="AC1321">
        <v>0</v>
      </c>
      <c r="AD1321">
        <v>2</v>
      </c>
      <c r="AE1321">
        <v>0</v>
      </c>
      <c r="AF1321">
        <v>0</v>
      </c>
      <c r="AG1321">
        <v>0</v>
      </c>
      <c r="AH1321">
        <v>0</v>
      </c>
      <c r="AI1321">
        <v>0</v>
      </c>
      <c r="AJ1321">
        <v>0</v>
      </c>
      <c r="AK1321">
        <v>0</v>
      </c>
    </row>
    <row r="1322" spans="1:37" x14ac:dyDescent="0.3">
      <c r="A1322">
        <v>7979</v>
      </c>
      <c r="B1322" t="s">
        <v>219</v>
      </c>
      <c r="D1322" t="s">
        <v>327</v>
      </c>
      <c r="E1322">
        <v>99999999</v>
      </c>
      <c r="F1322">
        <v>11111111</v>
      </c>
      <c r="G1322">
        <v>1111111111</v>
      </c>
      <c r="H1322" t="s">
        <v>4891</v>
      </c>
      <c r="I1322">
        <v>99999999</v>
      </c>
      <c r="J1322" s="188">
        <v>45236</v>
      </c>
      <c r="K1322" t="s">
        <v>4891</v>
      </c>
      <c r="L1322" t="s">
        <v>4891</v>
      </c>
      <c r="M1322" t="s">
        <v>1903</v>
      </c>
      <c r="N1322" t="s">
        <v>265</v>
      </c>
      <c r="O1322" t="s">
        <v>1904</v>
      </c>
      <c r="P1322" t="s">
        <v>221</v>
      </c>
      <c r="Q1322" t="s">
        <v>82</v>
      </c>
      <c r="R1322">
        <v>1</v>
      </c>
      <c r="S1322">
        <v>1.07</v>
      </c>
      <c r="T1322">
        <v>0</v>
      </c>
      <c r="U1322">
        <v>1</v>
      </c>
      <c r="V1322">
        <v>1</v>
      </c>
      <c r="W1322">
        <v>31.36</v>
      </c>
      <c r="X1322">
        <v>0</v>
      </c>
      <c r="Y1322">
        <v>0</v>
      </c>
      <c r="Z1322">
        <v>0</v>
      </c>
      <c r="AA1322">
        <v>0</v>
      </c>
      <c r="AB1322">
        <v>0</v>
      </c>
      <c r="AC1322">
        <v>0</v>
      </c>
      <c r="AD1322">
        <v>1</v>
      </c>
      <c r="AE1322">
        <v>0</v>
      </c>
      <c r="AF1322">
        <v>0</v>
      </c>
      <c r="AG1322">
        <v>0</v>
      </c>
      <c r="AH1322">
        <v>0</v>
      </c>
      <c r="AI1322">
        <v>0</v>
      </c>
      <c r="AJ1322">
        <v>0</v>
      </c>
      <c r="AK1322">
        <v>0</v>
      </c>
    </row>
    <row r="1323" spans="1:37" x14ac:dyDescent="0.3">
      <c r="A1323">
        <v>7979</v>
      </c>
      <c r="B1323" t="s">
        <v>219</v>
      </c>
      <c r="D1323" t="s">
        <v>327</v>
      </c>
      <c r="E1323">
        <v>99999999</v>
      </c>
      <c r="F1323">
        <v>11111111</v>
      </c>
      <c r="G1323">
        <v>1111111111</v>
      </c>
      <c r="H1323" t="s">
        <v>4892</v>
      </c>
      <c r="I1323">
        <v>99999999</v>
      </c>
      <c r="J1323" s="188">
        <v>45236</v>
      </c>
      <c r="K1323" t="s">
        <v>4892</v>
      </c>
      <c r="L1323" t="s">
        <v>4892</v>
      </c>
      <c r="M1323" t="s">
        <v>1905</v>
      </c>
      <c r="N1323" t="s">
        <v>97</v>
      </c>
      <c r="O1323" t="s">
        <v>1906</v>
      </c>
      <c r="P1323" t="s">
        <v>221</v>
      </c>
      <c r="Q1323" t="s">
        <v>82</v>
      </c>
      <c r="R1323">
        <v>1</v>
      </c>
      <c r="S1323">
        <v>2.21</v>
      </c>
      <c r="T1323">
        <v>0</v>
      </c>
      <c r="U1323">
        <v>1</v>
      </c>
      <c r="V1323">
        <v>1</v>
      </c>
      <c r="W1323">
        <v>30.13</v>
      </c>
      <c r="X1323">
        <v>0</v>
      </c>
      <c r="Y1323">
        <v>0</v>
      </c>
      <c r="Z1323">
        <v>0</v>
      </c>
      <c r="AA1323">
        <v>0</v>
      </c>
      <c r="AB1323">
        <v>0</v>
      </c>
      <c r="AC1323">
        <v>0</v>
      </c>
      <c r="AD1323">
        <v>1</v>
      </c>
      <c r="AE1323">
        <v>0</v>
      </c>
      <c r="AF1323">
        <v>0</v>
      </c>
      <c r="AG1323">
        <v>0</v>
      </c>
      <c r="AH1323">
        <v>0</v>
      </c>
      <c r="AI1323">
        <v>0</v>
      </c>
      <c r="AJ1323">
        <v>0</v>
      </c>
      <c r="AK1323">
        <v>0</v>
      </c>
    </row>
    <row r="1324" spans="1:37" x14ac:dyDescent="0.3">
      <c r="A1324">
        <v>7979</v>
      </c>
      <c r="B1324" t="s">
        <v>219</v>
      </c>
      <c r="D1324" t="s">
        <v>327</v>
      </c>
      <c r="E1324">
        <v>99999999</v>
      </c>
      <c r="F1324">
        <v>11111111</v>
      </c>
      <c r="G1324">
        <v>1111111111</v>
      </c>
      <c r="H1324" t="s">
        <v>4893</v>
      </c>
      <c r="I1324">
        <v>99999999</v>
      </c>
      <c r="J1324" s="188">
        <v>45236</v>
      </c>
      <c r="K1324" t="s">
        <v>4893</v>
      </c>
      <c r="L1324" t="s">
        <v>4893</v>
      </c>
      <c r="M1324" t="s">
        <v>1907</v>
      </c>
      <c r="N1324" t="s">
        <v>228</v>
      </c>
      <c r="O1324" t="s">
        <v>1908</v>
      </c>
      <c r="P1324" t="s">
        <v>221</v>
      </c>
      <c r="Q1324" t="s">
        <v>82</v>
      </c>
      <c r="R1324">
        <v>1</v>
      </c>
      <c r="S1324">
        <v>0.3</v>
      </c>
      <c r="T1324">
        <v>0</v>
      </c>
      <c r="U1324">
        <v>1</v>
      </c>
      <c r="V1324">
        <v>1</v>
      </c>
      <c r="W1324">
        <v>29.04</v>
      </c>
      <c r="X1324">
        <v>0</v>
      </c>
      <c r="Y1324">
        <v>0</v>
      </c>
      <c r="Z1324">
        <v>0</v>
      </c>
      <c r="AA1324">
        <v>0</v>
      </c>
      <c r="AB1324">
        <v>0</v>
      </c>
      <c r="AC1324">
        <v>0</v>
      </c>
      <c r="AD1324">
        <v>1</v>
      </c>
      <c r="AE1324">
        <v>0</v>
      </c>
      <c r="AF1324">
        <v>0</v>
      </c>
      <c r="AG1324">
        <v>0</v>
      </c>
      <c r="AH1324">
        <v>0</v>
      </c>
      <c r="AI1324">
        <v>0</v>
      </c>
      <c r="AJ1324">
        <v>0</v>
      </c>
      <c r="AK1324">
        <v>0</v>
      </c>
    </row>
    <row r="1325" spans="1:37" x14ac:dyDescent="0.3">
      <c r="A1325">
        <v>7979</v>
      </c>
      <c r="B1325" t="s">
        <v>219</v>
      </c>
      <c r="D1325" t="s">
        <v>327</v>
      </c>
      <c r="E1325">
        <v>99999999</v>
      </c>
      <c r="F1325">
        <v>11111111</v>
      </c>
      <c r="G1325">
        <v>1111111111</v>
      </c>
      <c r="H1325" t="s">
        <v>4894</v>
      </c>
      <c r="I1325">
        <v>99999999</v>
      </c>
      <c r="J1325" s="188">
        <v>45236</v>
      </c>
      <c r="K1325" t="s">
        <v>4894</v>
      </c>
      <c r="L1325" t="s">
        <v>4894</v>
      </c>
      <c r="M1325" t="s">
        <v>1535</v>
      </c>
      <c r="N1325" t="s">
        <v>164</v>
      </c>
      <c r="O1325">
        <v>97504</v>
      </c>
      <c r="P1325" t="s">
        <v>221</v>
      </c>
      <c r="Q1325" t="s">
        <v>82</v>
      </c>
      <c r="R1325">
        <v>2</v>
      </c>
      <c r="S1325">
        <v>5.62</v>
      </c>
      <c r="T1325">
        <v>0</v>
      </c>
      <c r="U1325">
        <v>2</v>
      </c>
      <c r="V1325">
        <v>2</v>
      </c>
      <c r="W1325">
        <v>40.700000000000003</v>
      </c>
      <c r="X1325">
        <v>0</v>
      </c>
      <c r="Y1325">
        <v>0</v>
      </c>
      <c r="Z1325">
        <v>0</v>
      </c>
      <c r="AA1325">
        <v>0</v>
      </c>
      <c r="AB1325">
        <v>0</v>
      </c>
      <c r="AC1325">
        <v>0</v>
      </c>
      <c r="AD1325">
        <v>2</v>
      </c>
      <c r="AE1325">
        <v>0</v>
      </c>
      <c r="AF1325">
        <v>0</v>
      </c>
      <c r="AG1325">
        <v>0</v>
      </c>
      <c r="AH1325">
        <v>0</v>
      </c>
      <c r="AI1325">
        <v>0</v>
      </c>
      <c r="AJ1325">
        <v>0</v>
      </c>
      <c r="AK1325">
        <v>0</v>
      </c>
    </row>
    <row r="1326" spans="1:37" x14ac:dyDescent="0.3">
      <c r="A1326">
        <v>7979</v>
      </c>
      <c r="B1326" t="s">
        <v>219</v>
      </c>
      <c r="D1326" t="s">
        <v>327</v>
      </c>
      <c r="E1326">
        <v>99999999</v>
      </c>
      <c r="F1326">
        <v>11111111</v>
      </c>
      <c r="G1326">
        <v>1111111111</v>
      </c>
      <c r="H1326" t="s">
        <v>4895</v>
      </c>
      <c r="I1326">
        <v>99999999</v>
      </c>
      <c r="J1326" s="188">
        <v>45236</v>
      </c>
      <c r="K1326" t="s">
        <v>4895</v>
      </c>
      <c r="L1326" t="s">
        <v>4895</v>
      </c>
      <c r="M1326" t="s">
        <v>1074</v>
      </c>
      <c r="N1326" t="s">
        <v>99</v>
      </c>
      <c r="O1326">
        <v>94610</v>
      </c>
      <c r="P1326" t="s">
        <v>221</v>
      </c>
      <c r="Q1326" t="s">
        <v>82</v>
      </c>
      <c r="R1326">
        <v>1</v>
      </c>
      <c r="S1326">
        <v>0.12</v>
      </c>
      <c r="T1326">
        <v>0</v>
      </c>
      <c r="U1326">
        <v>1</v>
      </c>
      <c r="V1326">
        <v>1</v>
      </c>
      <c r="W1326">
        <v>18.2</v>
      </c>
      <c r="X1326">
        <v>0</v>
      </c>
      <c r="Y1326">
        <v>0</v>
      </c>
      <c r="Z1326">
        <v>0</v>
      </c>
      <c r="AA1326">
        <v>0</v>
      </c>
      <c r="AB1326">
        <v>0</v>
      </c>
      <c r="AC1326">
        <v>0</v>
      </c>
      <c r="AD1326">
        <v>1</v>
      </c>
      <c r="AE1326">
        <v>0</v>
      </c>
      <c r="AF1326">
        <v>0</v>
      </c>
      <c r="AG1326">
        <v>0</v>
      </c>
      <c r="AH1326">
        <v>0</v>
      </c>
      <c r="AI1326">
        <v>0</v>
      </c>
      <c r="AJ1326">
        <v>0</v>
      </c>
      <c r="AK1326">
        <v>0</v>
      </c>
    </row>
    <row r="1327" spans="1:37" x14ac:dyDescent="0.3">
      <c r="A1327">
        <v>7979</v>
      </c>
      <c r="B1327" t="s">
        <v>219</v>
      </c>
      <c r="D1327" t="s">
        <v>327</v>
      </c>
      <c r="E1327">
        <v>99999999</v>
      </c>
      <c r="F1327">
        <v>11111111</v>
      </c>
      <c r="G1327">
        <v>1111111111</v>
      </c>
      <c r="H1327" t="s">
        <v>4896</v>
      </c>
      <c r="I1327">
        <v>99999999</v>
      </c>
      <c r="J1327" s="188">
        <v>45236</v>
      </c>
      <c r="K1327" t="s">
        <v>4896</v>
      </c>
      <c r="L1327" t="s">
        <v>4896</v>
      </c>
      <c r="M1327" t="s">
        <v>838</v>
      </c>
      <c r="N1327" t="s">
        <v>197</v>
      </c>
      <c r="O1327" t="s">
        <v>1909</v>
      </c>
      <c r="P1327" t="s">
        <v>221</v>
      </c>
      <c r="Q1327" t="s">
        <v>82</v>
      </c>
      <c r="R1327">
        <v>3</v>
      </c>
      <c r="S1327">
        <v>2.3610000000000002</v>
      </c>
      <c r="T1327">
        <v>0</v>
      </c>
      <c r="U1327">
        <v>2</v>
      </c>
      <c r="V1327">
        <v>3</v>
      </c>
      <c r="W1327">
        <v>43.34</v>
      </c>
      <c r="X1327">
        <v>0</v>
      </c>
      <c r="Y1327">
        <v>0</v>
      </c>
      <c r="Z1327">
        <v>0</v>
      </c>
      <c r="AA1327">
        <v>0</v>
      </c>
      <c r="AB1327">
        <v>0</v>
      </c>
      <c r="AC1327">
        <v>0</v>
      </c>
      <c r="AD1327">
        <v>3</v>
      </c>
      <c r="AE1327">
        <v>0</v>
      </c>
      <c r="AF1327">
        <v>0</v>
      </c>
      <c r="AG1327">
        <v>0</v>
      </c>
      <c r="AH1327">
        <v>0</v>
      </c>
      <c r="AI1327">
        <v>0</v>
      </c>
      <c r="AJ1327">
        <v>0</v>
      </c>
      <c r="AK1327">
        <v>0</v>
      </c>
    </row>
    <row r="1328" spans="1:37" x14ac:dyDescent="0.3">
      <c r="A1328">
        <v>7979</v>
      </c>
      <c r="B1328" t="s">
        <v>219</v>
      </c>
      <c r="D1328" t="s">
        <v>327</v>
      </c>
      <c r="E1328">
        <v>99999999</v>
      </c>
      <c r="F1328">
        <v>11111111</v>
      </c>
      <c r="G1328">
        <v>1111111111</v>
      </c>
      <c r="H1328" t="s">
        <v>4897</v>
      </c>
      <c r="I1328">
        <v>99999999</v>
      </c>
      <c r="J1328" s="188">
        <v>45236</v>
      </c>
      <c r="K1328" t="s">
        <v>4897</v>
      </c>
      <c r="L1328" t="s">
        <v>4897</v>
      </c>
      <c r="M1328" t="s">
        <v>101</v>
      </c>
      <c r="N1328" t="s">
        <v>97</v>
      </c>
      <c r="O1328" t="s">
        <v>1910</v>
      </c>
      <c r="P1328" t="s">
        <v>221</v>
      </c>
      <c r="Q1328" t="s">
        <v>82</v>
      </c>
      <c r="R1328">
        <v>3</v>
      </c>
      <c r="S1328">
        <v>2.6</v>
      </c>
      <c r="T1328">
        <v>0</v>
      </c>
      <c r="U1328">
        <v>2</v>
      </c>
      <c r="V1328">
        <v>3</v>
      </c>
      <c r="W1328">
        <v>40.51</v>
      </c>
      <c r="X1328">
        <v>0</v>
      </c>
      <c r="Y1328">
        <v>0</v>
      </c>
      <c r="Z1328">
        <v>0</v>
      </c>
      <c r="AA1328">
        <v>0</v>
      </c>
      <c r="AB1328">
        <v>0</v>
      </c>
      <c r="AC1328">
        <v>0</v>
      </c>
      <c r="AD1328">
        <v>3</v>
      </c>
      <c r="AE1328">
        <v>0</v>
      </c>
      <c r="AF1328">
        <v>0</v>
      </c>
      <c r="AG1328">
        <v>0</v>
      </c>
      <c r="AH1328">
        <v>0</v>
      </c>
      <c r="AI1328">
        <v>0</v>
      </c>
      <c r="AJ1328">
        <v>0</v>
      </c>
      <c r="AK1328">
        <v>0</v>
      </c>
    </row>
    <row r="1329" spans="1:37" x14ac:dyDescent="0.3">
      <c r="A1329">
        <v>7979</v>
      </c>
      <c r="B1329" t="s">
        <v>219</v>
      </c>
      <c r="D1329" t="s">
        <v>327</v>
      </c>
      <c r="E1329">
        <v>99999999</v>
      </c>
      <c r="F1329">
        <v>11111111</v>
      </c>
      <c r="G1329">
        <v>1111111111</v>
      </c>
      <c r="H1329" t="s">
        <v>4898</v>
      </c>
      <c r="I1329">
        <v>99999999</v>
      </c>
      <c r="J1329" s="188">
        <v>45236</v>
      </c>
      <c r="K1329" t="s">
        <v>4898</v>
      </c>
      <c r="L1329" t="s">
        <v>4898</v>
      </c>
      <c r="M1329" t="s">
        <v>1467</v>
      </c>
      <c r="N1329" t="s">
        <v>99</v>
      </c>
      <c r="O1329" t="s">
        <v>1911</v>
      </c>
      <c r="P1329" t="s">
        <v>221</v>
      </c>
      <c r="Q1329" t="s">
        <v>82</v>
      </c>
      <c r="R1329">
        <v>2</v>
      </c>
      <c r="S1329">
        <v>5.2249999999999996</v>
      </c>
      <c r="T1329">
        <v>0</v>
      </c>
      <c r="U1329">
        <v>2</v>
      </c>
      <c r="V1329">
        <v>2</v>
      </c>
      <c r="W1329">
        <v>39.700000000000003</v>
      </c>
      <c r="X1329">
        <v>0</v>
      </c>
      <c r="Y1329">
        <v>0</v>
      </c>
      <c r="Z1329">
        <v>0</v>
      </c>
      <c r="AA1329">
        <v>0</v>
      </c>
      <c r="AB1329">
        <v>0</v>
      </c>
      <c r="AC1329">
        <v>0</v>
      </c>
      <c r="AD1329">
        <v>2</v>
      </c>
      <c r="AE1329">
        <v>0</v>
      </c>
      <c r="AF1329">
        <v>0</v>
      </c>
      <c r="AG1329">
        <v>0</v>
      </c>
      <c r="AH1329">
        <v>0</v>
      </c>
      <c r="AI1329">
        <v>0</v>
      </c>
      <c r="AJ1329">
        <v>0</v>
      </c>
      <c r="AK1329">
        <v>0</v>
      </c>
    </row>
    <row r="1330" spans="1:37" x14ac:dyDescent="0.3">
      <c r="A1330">
        <v>7979</v>
      </c>
      <c r="B1330" t="s">
        <v>219</v>
      </c>
      <c r="D1330" t="s">
        <v>327</v>
      </c>
      <c r="E1330">
        <v>99999999</v>
      </c>
      <c r="F1330">
        <v>11111111</v>
      </c>
      <c r="G1330">
        <v>1111111111</v>
      </c>
      <c r="H1330" t="s">
        <v>4899</v>
      </c>
      <c r="I1330">
        <v>99999999</v>
      </c>
      <c r="J1330" s="188">
        <v>45236</v>
      </c>
      <c r="K1330" t="s">
        <v>4899</v>
      </c>
      <c r="L1330" t="s">
        <v>4899</v>
      </c>
      <c r="M1330" t="s">
        <v>1912</v>
      </c>
      <c r="N1330" t="s">
        <v>99</v>
      </c>
      <c r="O1330">
        <v>95066</v>
      </c>
      <c r="P1330" t="s">
        <v>221</v>
      </c>
      <c r="Q1330" t="s">
        <v>82</v>
      </c>
      <c r="R1330">
        <v>3</v>
      </c>
      <c r="S1330">
        <v>9.5</v>
      </c>
      <c r="T1330">
        <v>0</v>
      </c>
      <c r="U1330">
        <v>2</v>
      </c>
      <c r="V1330">
        <v>3</v>
      </c>
      <c r="W1330">
        <v>41.03</v>
      </c>
      <c r="X1330">
        <v>0</v>
      </c>
      <c r="Y1330">
        <v>0</v>
      </c>
      <c r="Z1330">
        <v>0</v>
      </c>
      <c r="AA1330">
        <v>0</v>
      </c>
      <c r="AB1330">
        <v>0</v>
      </c>
      <c r="AC1330">
        <v>0</v>
      </c>
      <c r="AD1330">
        <v>3</v>
      </c>
      <c r="AE1330">
        <v>0</v>
      </c>
      <c r="AF1330">
        <v>0</v>
      </c>
      <c r="AG1330">
        <v>0</v>
      </c>
      <c r="AH1330">
        <v>0</v>
      </c>
      <c r="AI1330">
        <v>0</v>
      </c>
      <c r="AJ1330">
        <v>0</v>
      </c>
      <c r="AK1330">
        <v>0</v>
      </c>
    </row>
    <row r="1331" spans="1:37" x14ac:dyDescent="0.3">
      <c r="A1331">
        <v>7979</v>
      </c>
      <c r="B1331" t="s">
        <v>219</v>
      </c>
      <c r="D1331" t="s">
        <v>327</v>
      </c>
      <c r="E1331">
        <v>99999999</v>
      </c>
      <c r="F1331">
        <v>11111111</v>
      </c>
      <c r="G1331">
        <v>1111111111</v>
      </c>
      <c r="H1331" t="s">
        <v>4900</v>
      </c>
      <c r="I1331">
        <v>99999999</v>
      </c>
      <c r="J1331" s="188">
        <v>45236</v>
      </c>
      <c r="K1331" t="s">
        <v>4900</v>
      </c>
      <c r="L1331" t="s">
        <v>4900</v>
      </c>
      <c r="M1331" t="s">
        <v>193</v>
      </c>
      <c r="N1331" t="s">
        <v>85</v>
      </c>
      <c r="O1331" t="s">
        <v>1913</v>
      </c>
      <c r="P1331" t="s">
        <v>221</v>
      </c>
      <c r="Q1331" t="s">
        <v>82</v>
      </c>
      <c r="R1331">
        <v>1</v>
      </c>
      <c r="S1331">
        <v>0.2</v>
      </c>
      <c r="T1331">
        <v>0</v>
      </c>
      <c r="U1331">
        <v>1</v>
      </c>
      <c r="V1331">
        <v>1</v>
      </c>
      <c r="W1331">
        <v>19.3</v>
      </c>
      <c r="X1331">
        <v>0</v>
      </c>
      <c r="Y1331">
        <v>0</v>
      </c>
      <c r="Z1331">
        <v>0</v>
      </c>
      <c r="AA1331">
        <v>0</v>
      </c>
      <c r="AB1331">
        <v>0</v>
      </c>
      <c r="AC1331">
        <v>0</v>
      </c>
      <c r="AD1331">
        <v>1</v>
      </c>
      <c r="AE1331">
        <v>0</v>
      </c>
      <c r="AF1331">
        <v>0</v>
      </c>
      <c r="AG1331">
        <v>0</v>
      </c>
      <c r="AH1331">
        <v>0</v>
      </c>
      <c r="AI1331">
        <v>0</v>
      </c>
      <c r="AJ1331">
        <v>0</v>
      </c>
      <c r="AK1331">
        <v>0</v>
      </c>
    </row>
    <row r="1332" spans="1:37" x14ac:dyDescent="0.3">
      <c r="A1332">
        <v>7979</v>
      </c>
      <c r="B1332" t="s">
        <v>219</v>
      </c>
      <c r="D1332" t="s">
        <v>327</v>
      </c>
      <c r="E1332">
        <v>99999999</v>
      </c>
      <c r="F1332">
        <v>11111111</v>
      </c>
      <c r="G1332">
        <v>1111111111</v>
      </c>
      <c r="H1332" t="s">
        <v>4901</v>
      </c>
      <c r="I1332">
        <v>99999999</v>
      </c>
      <c r="J1332" s="188">
        <v>45236</v>
      </c>
      <c r="K1332" t="s">
        <v>4901</v>
      </c>
      <c r="L1332" t="s">
        <v>4901</v>
      </c>
      <c r="M1332" t="s">
        <v>1914</v>
      </c>
      <c r="N1332" t="s">
        <v>99</v>
      </c>
      <c r="O1332" t="s">
        <v>1915</v>
      </c>
      <c r="P1332" t="s">
        <v>221</v>
      </c>
      <c r="Q1332" t="s">
        <v>82</v>
      </c>
      <c r="R1332">
        <v>4</v>
      </c>
      <c r="S1332">
        <v>6.8250000000000002</v>
      </c>
      <c r="T1332">
        <v>0</v>
      </c>
      <c r="U1332">
        <v>2</v>
      </c>
      <c r="V1332">
        <v>4</v>
      </c>
      <c r="W1332">
        <v>42.84</v>
      </c>
      <c r="X1332">
        <v>0</v>
      </c>
      <c r="Y1332">
        <v>0</v>
      </c>
      <c r="Z1332">
        <v>0</v>
      </c>
      <c r="AA1332">
        <v>0</v>
      </c>
      <c r="AB1332">
        <v>0</v>
      </c>
      <c r="AC1332">
        <v>0</v>
      </c>
      <c r="AD1332">
        <v>4</v>
      </c>
      <c r="AE1332">
        <v>0</v>
      </c>
      <c r="AF1332">
        <v>0</v>
      </c>
      <c r="AG1332">
        <v>0</v>
      </c>
      <c r="AH1332">
        <v>0</v>
      </c>
      <c r="AI1332">
        <v>0</v>
      </c>
      <c r="AJ1332">
        <v>0</v>
      </c>
      <c r="AK1332">
        <v>0</v>
      </c>
    </row>
    <row r="1333" spans="1:37" x14ac:dyDescent="0.3">
      <c r="A1333">
        <v>7979</v>
      </c>
      <c r="B1333" t="s">
        <v>219</v>
      </c>
      <c r="D1333" t="s">
        <v>327</v>
      </c>
      <c r="E1333">
        <v>99999999</v>
      </c>
      <c r="F1333">
        <v>11111111</v>
      </c>
      <c r="G1333">
        <v>1111111111</v>
      </c>
      <c r="H1333" t="s">
        <v>4902</v>
      </c>
      <c r="I1333">
        <v>99999999</v>
      </c>
      <c r="J1333" s="188">
        <v>45236</v>
      </c>
      <c r="K1333" t="s">
        <v>4902</v>
      </c>
      <c r="L1333" t="s">
        <v>4902</v>
      </c>
      <c r="M1333" t="s">
        <v>659</v>
      </c>
      <c r="N1333" t="s">
        <v>99</v>
      </c>
      <c r="O1333" t="s">
        <v>1916</v>
      </c>
      <c r="P1333" t="s">
        <v>221</v>
      </c>
      <c r="Q1333" t="s">
        <v>82</v>
      </c>
      <c r="R1333">
        <v>1</v>
      </c>
      <c r="S1333">
        <v>0.12</v>
      </c>
      <c r="T1333">
        <v>0</v>
      </c>
      <c r="U1333">
        <v>1</v>
      </c>
      <c r="V1333">
        <v>1</v>
      </c>
      <c r="W1333">
        <v>18.2</v>
      </c>
      <c r="X1333">
        <v>0</v>
      </c>
      <c r="Y1333">
        <v>0</v>
      </c>
      <c r="Z1333">
        <v>0</v>
      </c>
      <c r="AA1333">
        <v>0</v>
      </c>
      <c r="AB1333">
        <v>0</v>
      </c>
      <c r="AC1333">
        <v>0</v>
      </c>
      <c r="AD1333">
        <v>1</v>
      </c>
      <c r="AE1333">
        <v>0</v>
      </c>
      <c r="AF1333">
        <v>0</v>
      </c>
      <c r="AG1333">
        <v>0</v>
      </c>
      <c r="AH1333">
        <v>0</v>
      </c>
      <c r="AI1333">
        <v>0</v>
      </c>
      <c r="AJ1333">
        <v>0</v>
      </c>
      <c r="AK1333">
        <v>0</v>
      </c>
    </row>
    <row r="1334" spans="1:37" x14ac:dyDescent="0.3">
      <c r="A1334">
        <v>7979</v>
      </c>
      <c r="B1334" t="s">
        <v>219</v>
      </c>
      <c r="D1334" t="s">
        <v>327</v>
      </c>
      <c r="E1334">
        <v>99999999</v>
      </c>
      <c r="F1334">
        <v>11111111</v>
      </c>
      <c r="G1334">
        <v>1111111111</v>
      </c>
      <c r="H1334" t="s">
        <v>4903</v>
      </c>
      <c r="I1334">
        <v>99999999</v>
      </c>
      <c r="J1334" s="188">
        <v>45236</v>
      </c>
      <c r="K1334" t="s">
        <v>4903</v>
      </c>
      <c r="L1334" t="s">
        <v>4903</v>
      </c>
      <c r="M1334" t="s">
        <v>1574</v>
      </c>
      <c r="N1334" t="s">
        <v>99</v>
      </c>
      <c r="O1334" t="s">
        <v>1917</v>
      </c>
      <c r="P1334" t="s">
        <v>221</v>
      </c>
      <c r="Q1334" t="s">
        <v>82</v>
      </c>
      <c r="R1334">
        <v>1</v>
      </c>
      <c r="S1334">
        <v>2</v>
      </c>
      <c r="T1334">
        <v>0</v>
      </c>
      <c r="U1334">
        <v>1</v>
      </c>
      <c r="V1334">
        <v>1</v>
      </c>
      <c r="W1334">
        <v>20.67</v>
      </c>
      <c r="X1334">
        <v>0</v>
      </c>
      <c r="Y1334">
        <v>0</v>
      </c>
      <c r="Z1334">
        <v>0</v>
      </c>
      <c r="AA1334">
        <v>0</v>
      </c>
      <c r="AB1334">
        <v>0</v>
      </c>
      <c r="AC1334">
        <v>0</v>
      </c>
      <c r="AD1334">
        <v>1</v>
      </c>
      <c r="AE1334">
        <v>0</v>
      </c>
      <c r="AF1334">
        <v>0</v>
      </c>
      <c r="AG1334">
        <v>0</v>
      </c>
      <c r="AH1334">
        <v>0</v>
      </c>
      <c r="AI1334">
        <v>0</v>
      </c>
      <c r="AJ1334">
        <v>0</v>
      </c>
      <c r="AK1334">
        <v>0</v>
      </c>
    </row>
    <row r="1335" spans="1:37" x14ac:dyDescent="0.3">
      <c r="A1335">
        <v>7979</v>
      </c>
      <c r="B1335" t="s">
        <v>219</v>
      </c>
      <c r="D1335" t="s">
        <v>327</v>
      </c>
      <c r="E1335">
        <v>99999999</v>
      </c>
      <c r="F1335">
        <v>11111111</v>
      </c>
      <c r="G1335">
        <v>1111111111</v>
      </c>
      <c r="H1335" t="s">
        <v>4904</v>
      </c>
      <c r="I1335">
        <v>99999999</v>
      </c>
      <c r="J1335" s="188">
        <v>45236</v>
      </c>
      <c r="K1335" t="s">
        <v>4904</v>
      </c>
      <c r="L1335" t="s">
        <v>4904</v>
      </c>
      <c r="M1335" t="s">
        <v>202</v>
      </c>
      <c r="N1335" t="s">
        <v>135</v>
      </c>
      <c r="O1335" t="s">
        <v>1918</v>
      </c>
      <c r="P1335" t="s">
        <v>221</v>
      </c>
      <c r="Q1335" t="s">
        <v>82</v>
      </c>
      <c r="R1335">
        <v>3</v>
      </c>
      <c r="S1335">
        <v>1.6</v>
      </c>
      <c r="T1335">
        <v>0</v>
      </c>
      <c r="U1335">
        <v>2</v>
      </c>
      <c r="V1335">
        <v>3</v>
      </c>
      <c r="W1335">
        <v>40.51</v>
      </c>
      <c r="X1335">
        <v>0</v>
      </c>
      <c r="Y1335">
        <v>0</v>
      </c>
      <c r="Z1335">
        <v>0</v>
      </c>
      <c r="AA1335">
        <v>0</v>
      </c>
      <c r="AB1335">
        <v>0</v>
      </c>
      <c r="AC1335">
        <v>0</v>
      </c>
      <c r="AD1335">
        <v>3</v>
      </c>
      <c r="AE1335">
        <v>0</v>
      </c>
      <c r="AF1335">
        <v>0</v>
      </c>
      <c r="AG1335">
        <v>0</v>
      </c>
      <c r="AH1335">
        <v>0</v>
      </c>
      <c r="AI1335">
        <v>0</v>
      </c>
      <c r="AJ1335">
        <v>0</v>
      </c>
      <c r="AK1335">
        <v>0</v>
      </c>
    </row>
    <row r="1336" spans="1:37" x14ac:dyDescent="0.3">
      <c r="A1336">
        <v>7979</v>
      </c>
      <c r="B1336" t="s">
        <v>219</v>
      </c>
      <c r="D1336" t="s">
        <v>327</v>
      </c>
      <c r="E1336">
        <v>99999999</v>
      </c>
      <c r="F1336">
        <v>11111111</v>
      </c>
      <c r="G1336">
        <v>1111111111</v>
      </c>
      <c r="H1336" t="s">
        <v>4905</v>
      </c>
      <c r="I1336">
        <v>99999999</v>
      </c>
      <c r="J1336" s="188">
        <v>45236</v>
      </c>
      <c r="K1336" t="s">
        <v>4905</v>
      </c>
      <c r="L1336" t="s">
        <v>4905</v>
      </c>
      <c r="M1336" t="s">
        <v>1919</v>
      </c>
      <c r="N1336" t="s">
        <v>130</v>
      </c>
      <c r="O1336" t="s">
        <v>1920</v>
      </c>
      <c r="P1336" t="s">
        <v>221</v>
      </c>
      <c r="Q1336" t="s">
        <v>82</v>
      </c>
      <c r="R1336">
        <v>3</v>
      </c>
      <c r="S1336">
        <v>22.1</v>
      </c>
      <c r="T1336">
        <v>0</v>
      </c>
      <c r="U1336">
        <v>2</v>
      </c>
      <c r="V1336">
        <v>2</v>
      </c>
      <c r="W1336">
        <v>55.01</v>
      </c>
      <c r="X1336">
        <v>0</v>
      </c>
      <c r="Y1336">
        <v>0</v>
      </c>
      <c r="Z1336">
        <v>0</v>
      </c>
      <c r="AA1336">
        <v>0</v>
      </c>
      <c r="AB1336">
        <v>0</v>
      </c>
      <c r="AC1336">
        <v>0</v>
      </c>
      <c r="AD1336">
        <v>3</v>
      </c>
      <c r="AE1336">
        <v>0</v>
      </c>
      <c r="AF1336">
        <v>0</v>
      </c>
      <c r="AG1336">
        <v>0</v>
      </c>
      <c r="AH1336">
        <v>0</v>
      </c>
      <c r="AI1336">
        <v>0</v>
      </c>
      <c r="AJ1336">
        <v>0</v>
      </c>
      <c r="AK1336">
        <v>0</v>
      </c>
    </row>
    <row r="1337" spans="1:37" x14ac:dyDescent="0.3">
      <c r="A1337">
        <v>7979</v>
      </c>
      <c r="B1337" t="s">
        <v>219</v>
      </c>
      <c r="D1337" t="s">
        <v>327</v>
      </c>
      <c r="E1337">
        <v>99999999</v>
      </c>
      <c r="F1337">
        <v>11111111</v>
      </c>
      <c r="G1337">
        <v>1111111111</v>
      </c>
      <c r="H1337" t="s">
        <v>4906</v>
      </c>
      <c r="I1337">
        <v>99999999</v>
      </c>
      <c r="J1337" s="188">
        <v>45236</v>
      </c>
      <c r="K1337" t="s">
        <v>4906</v>
      </c>
      <c r="L1337" t="s">
        <v>4906</v>
      </c>
      <c r="M1337" t="s">
        <v>246</v>
      </c>
      <c r="N1337" t="s">
        <v>99</v>
      </c>
      <c r="O1337" t="s">
        <v>1921</v>
      </c>
      <c r="P1337" t="s">
        <v>214</v>
      </c>
      <c r="Q1337" t="s">
        <v>82</v>
      </c>
      <c r="R1337">
        <v>3</v>
      </c>
      <c r="S1337">
        <v>4.3899999999999997</v>
      </c>
      <c r="T1337">
        <v>0</v>
      </c>
      <c r="U1337">
        <v>1</v>
      </c>
      <c r="V1337">
        <v>3</v>
      </c>
      <c r="W1337">
        <v>21.49</v>
      </c>
      <c r="X1337">
        <v>0</v>
      </c>
      <c r="Y1337">
        <v>0</v>
      </c>
      <c r="Z1337">
        <v>0</v>
      </c>
      <c r="AA1337">
        <v>0</v>
      </c>
      <c r="AB1337">
        <v>0</v>
      </c>
      <c r="AC1337">
        <v>0</v>
      </c>
      <c r="AD1337">
        <v>3</v>
      </c>
      <c r="AE1337">
        <v>0</v>
      </c>
      <c r="AF1337">
        <v>0</v>
      </c>
      <c r="AG1337">
        <v>0</v>
      </c>
      <c r="AH1337">
        <v>0</v>
      </c>
      <c r="AI1337">
        <v>0</v>
      </c>
      <c r="AJ1337">
        <v>0</v>
      </c>
      <c r="AK1337">
        <v>0</v>
      </c>
    </row>
    <row r="1338" spans="1:37" x14ac:dyDescent="0.3">
      <c r="A1338">
        <v>7979</v>
      </c>
      <c r="B1338" t="s">
        <v>219</v>
      </c>
      <c r="D1338" t="s">
        <v>327</v>
      </c>
      <c r="E1338">
        <v>99999999</v>
      </c>
      <c r="F1338">
        <v>11111111</v>
      </c>
      <c r="G1338">
        <v>1111111111</v>
      </c>
      <c r="H1338" t="s">
        <v>4907</v>
      </c>
      <c r="I1338">
        <v>99999999</v>
      </c>
      <c r="J1338" s="188">
        <v>45236</v>
      </c>
      <c r="K1338" t="s">
        <v>4907</v>
      </c>
      <c r="L1338" t="s">
        <v>4907</v>
      </c>
      <c r="M1338" t="s">
        <v>1922</v>
      </c>
      <c r="N1338" t="s">
        <v>99</v>
      </c>
      <c r="O1338" t="s">
        <v>1923</v>
      </c>
      <c r="P1338" t="s">
        <v>221</v>
      </c>
      <c r="Q1338" t="s">
        <v>82</v>
      </c>
      <c r="R1338">
        <v>4</v>
      </c>
      <c r="S1338">
        <v>12.29</v>
      </c>
      <c r="T1338">
        <v>0</v>
      </c>
      <c r="U1338">
        <v>1</v>
      </c>
      <c r="V1338">
        <v>3</v>
      </c>
      <c r="W1338">
        <v>23.82</v>
      </c>
      <c r="X1338">
        <v>0</v>
      </c>
      <c r="Y1338">
        <v>0</v>
      </c>
      <c r="Z1338">
        <v>0</v>
      </c>
      <c r="AA1338">
        <v>0</v>
      </c>
      <c r="AB1338">
        <v>0</v>
      </c>
      <c r="AC1338">
        <v>0</v>
      </c>
      <c r="AD1338">
        <v>4</v>
      </c>
      <c r="AE1338">
        <v>0</v>
      </c>
      <c r="AF1338">
        <v>0</v>
      </c>
      <c r="AG1338">
        <v>0</v>
      </c>
      <c r="AH1338">
        <v>0</v>
      </c>
      <c r="AI1338">
        <v>0</v>
      </c>
      <c r="AJ1338">
        <v>0</v>
      </c>
      <c r="AK1338">
        <v>0</v>
      </c>
    </row>
    <row r="1339" spans="1:37" x14ac:dyDescent="0.3">
      <c r="A1339">
        <v>7979</v>
      </c>
      <c r="B1339" t="s">
        <v>219</v>
      </c>
      <c r="D1339" t="s">
        <v>327</v>
      </c>
      <c r="E1339">
        <v>99999999</v>
      </c>
      <c r="F1339">
        <v>11111111</v>
      </c>
      <c r="G1339">
        <v>1111111111</v>
      </c>
      <c r="H1339" t="s">
        <v>4908</v>
      </c>
      <c r="I1339">
        <v>99999999</v>
      </c>
      <c r="J1339" s="188">
        <v>45236</v>
      </c>
      <c r="K1339" t="s">
        <v>4908</v>
      </c>
      <c r="L1339" t="s">
        <v>4908</v>
      </c>
      <c r="M1339" t="s">
        <v>1309</v>
      </c>
      <c r="N1339" t="s">
        <v>197</v>
      </c>
      <c r="O1339" t="s">
        <v>1924</v>
      </c>
      <c r="P1339" t="s">
        <v>221</v>
      </c>
      <c r="Q1339" t="s">
        <v>82</v>
      </c>
      <c r="R1339">
        <v>1</v>
      </c>
      <c r="S1339">
        <v>6.5</v>
      </c>
      <c r="T1339">
        <v>0</v>
      </c>
      <c r="U1339">
        <v>1</v>
      </c>
      <c r="V1339">
        <v>1</v>
      </c>
      <c r="W1339">
        <v>31.59</v>
      </c>
      <c r="X1339">
        <v>0</v>
      </c>
      <c r="Y1339">
        <v>0</v>
      </c>
      <c r="Z1339">
        <v>0</v>
      </c>
      <c r="AA1339">
        <v>0</v>
      </c>
      <c r="AB1339">
        <v>0</v>
      </c>
      <c r="AC1339">
        <v>0</v>
      </c>
      <c r="AD1339">
        <v>1</v>
      </c>
      <c r="AE1339">
        <v>0</v>
      </c>
      <c r="AF1339">
        <v>0</v>
      </c>
      <c r="AG1339">
        <v>0</v>
      </c>
      <c r="AH1339">
        <v>0</v>
      </c>
      <c r="AI1339">
        <v>0</v>
      </c>
      <c r="AJ1339">
        <v>0</v>
      </c>
      <c r="AK1339">
        <v>0</v>
      </c>
    </row>
    <row r="1340" spans="1:37" x14ac:dyDescent="0.3">
      <c r="A1340">
        <v>7979</v>
      </c>
      <c r="B1340" t="s">
        <v>219</v>
      </c>
      <c r="D1340" t="s">
        <v>327</v>
      </c>
      <c r="E1340">
        <v>99999999</v>
      </c>
      <c r="F1340">
        <v>11111111</v>
      </c>
      <c r="G1340">
        <v>1111111111</v>
      </c>
      <c r="H1340" t="s">
        <v>4909</v>
      </c>
      <c r="I1340">
        <v>99999999</v>
      </c>
      <c r="J1340" s="188">
        <v>45236</v>
      </c>
      <c r="K1340" t="s">
        <v>4909</v>
      </c>
      <c r="L1340" t="s">
        <v>4909</v>
      </c>
      <c r="M1340" t="s">
        <v>1284</v>
      </c>
      <c r="N1340" t="s">
        <v>97</v>
      </c>
      <c r="O1340" t="s">
        <v>1925</v>
      </c>
      <c r="P1340" t="s">
        <v>221</v>
      </c>
      <c r="Q1340" t="s">
        <v>82</v>
      </c>
      <c r="R1340">
        <v>1</v>
      </c>
      <c r="S1340">
        <v>8.8000000000000007</v>
      </c>
      <c r="T1340">
        <v>0</v>
      </c>
      <c r="U1340">
        <v>1</v>
      </c>
      <c r="V1340">
        <v>1</v>
      </c>
      <c r="W1340">
        <v>24.41</v>
      </c>
      <c r="X1340">
        <v>0</v>
      </c>
      <c r="Y1340">
        <v>0</v>
      </c>
      <c r="Z1340">
        <v>0</v>
      </c>
      <c r="AA1340">
        <v>0</v>
      </c>
      <c r="AB1340">
        <v>0</v>
      </c>
      <c r="AC1340">
        <v>0</v>
      </c>
      <c r="AD1340">
        <v>1</v>
      </c>
      <c r="AE1340">
        <v>0</v>
      </c>
      <c r="AF1340">
        <v>0</v>
      </c>
      <c r="AG1340">
        <v>0</v>
      </c>
      <c r="AH1340">
        <v>0</v>
      </c>
      <c r="AI1340">
        <v>0</v>
      </c>
      <c r="AJ1340">
        <v>0</v>
      </c>
      <c r="AK1340">
        <v>0</v>
      </c>
    </row>
    <row r="1341" spans="1:37" x14ac:dyDescent="0.3">
      <c r="A1341">
        <v>7979</v>
      </c>
      <c r="B1341" t="s">
        <v>219</v>
      </c>
      <c r="D1341" t="s">
        <v>327</v>
      </c>
      <c r="E1341">
        <v>99999999</v>
      </c>
      <c r="F1341">
        <v>11111111</v>
      </c>
      <c r="G1341">
        <v>1111111111</v>
      </c>
      <c r="H1341" t="s">
        <v>4910</v>
      </c>
      <c r="I1341">
        <v>99999999</v>
      </c>
      <c r="J1341" s="188">
        <v>45236</v>
      </c>
      <c r="K1341" t="s">
        <v>4910</v>
      </c>
      <c r="L1341" t="s">
        <v>4910</v>
      </c>
      <c r="M1341" t="s">
        <v>659</v>
      </c>
      <c r="N1341" t="s">
        <v>99</v>
      </c>
      <c r="O1341" t="s">
        <v>1926</v>
      </c>
      <c r="P1341" t="s">
        <v>221</v>
      </c>
      <c r="Q1341" t="s">
        <v>82</v>
      </c>
      <c r="R1341">
        <v>1</v>
      </c>
      <c r="S1341">
        <v>7.21</v>
      </c>
      <c r="T1341">
        <v>0</v>
      </c>
      <c r="U1341">
        <v>1</v>
      </c>
      <c r="V1341">
        <v>1</v>
      </c>
      <c r="W1341">
        <v>22.42</v>
      </c>
      <c r="X1341">
        <v>0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1</v>
      </c>
      <c r="AE1341">
        <v>0</v>
      </c>
      <c r="AF1341">
        <v>0</v>
      </c>
      <c r="AG1341">
        <v>0</v>
      </c>
      <c r="AH1341">
        <v>0</v>
      </c>
      <c r="AI1341">
        <v>0</v>
      </c>
      <c r="AJ1341">
        <v>0</v>
      </c>
      <c r="AK1341">
        <v>0</v>
      </c>
    </row>
    <row r="1342" spans="1:37" x14ac:dyDescent="0.3">
      <c r="A1342">
        <v>7979</v>
      </c>
      <c r="B1342" t="s">
        <v>219</v>
      </c>
      <c r="D1342" t="s">
        <v>327</v>
      </c>
      <c r="E1342">
        <v>99999999</v>
      </c>
      <c r="F1342">
        <v>11111111</v>
      </c>
      <c r="G1342">
        <v>1111111111</v>
      </c>
      <c r="H1342" t="s">
        <v>4911</v>
      </c>
      <c r="I1342">
        <v>99999999</v>
      </c>
      <c r="J1342" s="188">
        <v>45236</v>
      </c>
      <c r="K1342" t="s">
        <v>4911</v>
      </c>
      <c r="L1342" t="s">
        <v>4911</v>
      </c>
      <c r="M1342" t="s">
        <v>1927</v>
      </c>
      <c r="N1342" t="s">
        <v>151</v>
      </c>
      <c r="O1342" t="s">
        <v>1928</v>
      </c>
      <c r="P1342" t="s">
        <v>221</v>
      </c>
      <c r="Q1342" t="s">
        <v>82</v>
      </c>
      <c r="R1342">
        <v>1</v>
      </c>
      <c r="S1342">
        <v>8.69</v>
      </c>
      <c r="T1342">
        <v>0</v>
      </c>
      <c r="U1342">
        <v>1</v>
      </c>
      <c r="V1342">
        <v>1</v>
      </c>
      <c r="W1342">
        <v>40.19</v>
      </c>
      <c r="X1342">
        <v>0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1</v>
      </c>
      <c r="AE1342">
        <v>0</v>
      </c>
      <c r="AF1342">
        <v>0</v>
      </c>
      <c r="AG1342">
        <v>0</v>
      </c>
      <c r="AH1342">
        <v>0</v>
      </c>
      <c r="AI1342">
        <v>0</v>
      </c>
      <c r="AJ1342">
        <v>0</v>
      </c>
      <c r="AK1342">
        <v>0</v>
      </c>
    </row>
    <row r="1343" spans="1:37" x14ac:dyDescent="0.3">
      <c r="A1343">
        <v>7979</v>
      </c>
      <c r="B1343" t="s">
        <v>219</v>
      </c>
      <c r="D1343" t="s">
        <v>327</v>
      </c>
      <c r="E1343">
        <v>99999999</v>
      </c>
      <c r="F1343">
        <v>11111111</v>
      </c>
      <c r="G1343">
        <v>1111111111</v>
      </c>
      <c r="H1343" t="s">
        <v>4912</v>
      </c>
      <c r="I1343">
        <v>99999999</v>
      </c>
      <c r="J1343" s="188">
        <v>45236</v>
      </c>
      <c r="K1343" t="s">
        <v>4912</v>
      </c>
      <c r="L1343" t="s">
        <v>4912</v>
      </c>
      <c r="M1343" t="s">
        <v>1927</v>
      </c>
      <c r="N1343" t="s">
        <v>151</v>
      </c>
      <c r="O1343" t="s">
        <v>1928</v>
      </c>
      <c r="P1343" t="s">
        <v>221</v>
      </c>
      <c r="Q1343" t="s">
        <v>82</v>
      </c>
      <c r="R1343">
        <v>1</v>
      </c>
      <c r="S1343">
        <v>8.69</v>
      </c>
      <c r="T1343">
        <v>0</v>
      </c>
      <c r="U1343">
        <v>1</v>
      </c>
      <c r="V1343">
        <v>1</v>
      </c>
      <c r="W1343">
        <v>40.19</v>
      </c>
      <c r="X1343">
        <v>0</v>
      </c>
      <c r="Y1343">
        <v>0</v>
      </c>
      <c r="Z1343">
        <v>0</v>
      </c>
      <c r="AA1343">
        <v>0</v>
      </c>
      <c r="AB1343">
        <v>0</v>
      </c>
      <c r="AC1343">
        <v>0</v>
      </c>
      <c r="AD1343">
        <v>1</v>
      </c>
      <c r="AE1343">
        <v>0</v>
      </c>
      <c r="AF1343">
        <v>0</v>
      </c>
      <c r="AG1343">
        <v>0</v>
      </c>
      <c r="AH1343">
        <v>0</v>
      </c>
      <c r="AI1343">
        <v>0</v>
      </c>
      <c r="AJ1343">
        <v>0</v>
      </c>
      <c r="AK1343">
        <v>0</v>
      </c>
    </row>
    <row r="1344" spans="1:37" x14ac:dyDescent="0.3">
      <c r="A1344">
        <v>7979</v>
      </c>
      <c r="B1344" t="s">
        <v>219</v>
      </c>
      <c r="D1344" t="s">
        <v>327</v>
      </c>
      <c r="E1344">
        <v>99999999</v>
      </c>
      <c r="F1344">
        <v>11111111</v>
      </c>
      <c r="G1344">
        <v>1111111111</v>
      </c>
      <c r="H1344" t="s">
        <v>4913</v>
      </c>
      <c r="I1344">
        <v>99999999</v>
      </c>
      <c r="J1344" s="188">
        <v>45236</v>
      </c>
      <c r="K1344" t="s">
        <v>4913</v>
      </c>
      <c r="L1344" t="s">
        <v>4913</v>
      </c>
      <c r="M1344" t="s">
        <v>1307</v>
      </c>
      <c r="N1344" t="s">
        <v>88</v>
      </c>
      <c r="O1344" t="s">
        <v>1929</v>
      </c>
      <c r="P1344" t="s">
        <v>221</v>
      </c>
      <c r="Q1344" t="s">
        <v>82</v>
      </c>
      <c r="R1344">
        <v>1</v>
      </c>
      <c r="S1344">
        <v>8.8000000000000007</v>
      </c>
      <c r="T1344">
        <v>0</v>
      </c>
      <c r="U1344">
        <v>1</v>
      </c>
      <c r="V1344">
        <v>1</v>
      </c>
      <c r="W1344">
        <v>31.94</v>
      </c>
      <c r="X1344">
        <v>0</v>
      </c>
      <c r="Y1344">
        <v>0</v>
      </c>
      <c r="Z1344">
        <v>0</v>
      </c>
      <c r="AA1344">
        <v>0</v>
      </c>
      <c r="AB1344">
        <v>0</v>
      </c>
      <c r="AC1344">
        <v>0</v>
      </c>
      <c r="AD1344">
        <v>1</v>
      </c>
      <c r="AE1344">
        <v>0</v>
      </c>
      <c r="AF1344">
        <v>0</v>
      </c>
      <c r="AG1344">
        <v>0</v>
      </c>
      <c r="AH1344">
        <v>0</v>
      </c>
      <c r="AI1344">
        <v>0</v>
      </c>
      <c r="AJ1344">
        <v>0</v>
      </c>
      <c r="AK1344">
        <v>0</v>
      </c>
    </row>
    <row r="1345" spans="1:37" x14ac:dyDescent="0.3">
      <c r="A1345">
        <v>7979</v>
      </c>
      <c r="B1345" t="s">
        <v>219</v>
      </c>
      <c r="D1345" t="s">
        <v>327</v>
      </c>
      <c r="E1345">
        <v>99999999</v>
      </c>
      <c r="F1345">
        <v>11111111</v>
      </c>
      <c r="G1345">
        <v>1111111111</v>
      </c>
      <c r="H1345" t="s">
        <v>4914</v>
      </c>
      <c r="I1345">
        <v>99999999</v>
      </c>
      <c r="J1345" s="188">
        <v>45236</v>
      </c>
      <c r="K1345" t="s">
        <v>4914</v>
      </c>
      <c r="L1345" t="s">
        <v>4914</v>
      </c>
      <c r="M1345" t="s">
        <v>337</v>
      </c>
      <c r="N1345" t="s">
        <v>99</v>
      </c>
      <c r="O1345" t="s">
        <v>1930</v>
      </c>
      <c r="P1345" t="s">
        <v>221</v>
      </c>
      <c r="Q1345" t="s">
        <v>82</v>
      </c>
      <c r="R1345">
        <v>1</v>
      </c>
      <c r="S1345">
        <v>8</v>
      </c>
      <c r="T1345">
        <v>0</v>
      </c>
      <c r="U1345">
        <v>1</v>
      </c>
      <c r="V1345">
        <v>1</v>
      </c>
      <c r="W1345">
        <v>21.46</v>
      </c>
      <c r="X1345">
        <v>0</v>
      </c>
      <c r="Y1345">
        <v>0</v>
      </c>
      <c r="Z1345">
        <v>0</v>
      </c>
      <c r="AA1345">
        <v>0</v>
      </c>
      <c r="AB1345">
        <v>0</v>
      </c>
      <c r="AC1345">
        <v>0</v>
      </c>
      <c r="AD1345">
        <v>1</v>
      </c>
      <c r="AE1345">
        <v>0</v>
      </c>
      <c r="AF1345">
        <v>0</v>
      </c>
      <c r="AG1345">
        <v>0</v>
      </c>
      <c r="AH1345">
        <v>0</v>
      </c>
      <c r="AI1345">
        <v>0</v>
      </c>
      <c r="AJ1345">
        <v>0</v>
      </c>
      <c r="AK1345">
        <v>0</v>
      </c>
    </row>
    <row r="1346" spans="1:37" x14ac:dyDescent="0.3">
      <c r="A1346">
        <v>7979</v>
      </c>
      <c r="B1346" t="s">
        <v>219</v>
      </c>
      <c r="D1346" t="s">
        <v>327</v>
      </c>
      <c r="E1346">
        <v>99999999</v>
      </c>
      <c r="F1346">
        <v>11111111</v>
      </c>
      <c r="G1346">
        <v>1111111111</v>
      </c>
      <c r="H1346" t="s">
        <v>4915</v>
      </c>
      <c r="I1346">
        <v>99999999</v>
      </c>
      <c r="J1346" s="188">
        <v>45236</v>
      </c>
      <c r="K1346" t="s">
        <v>4915</v>
      </c>
      <c r="L1346" t="s">
        <v>4915</v>
      </c>
      <c r="M1346" t="s">
        <v>1931</v>
      </c>
      <c r="N1346" t="s">
        <v>99</v>
      </c>
      <c r="O1346" t="s">
        <v>1932</v>
      </c>
      <c r="P1346" t="s">
        <v>221</v>
      </c>
      <c r="Q1346" t="s">
        <v>82</v>
      </c>
      <c r="R1346">
        <v>1</v>
      </c>
      <c r="S1346">
        <v>9.9</v>
      </c>
      <c r="T1346">
        <v>0</v>
      </c>
      <c r="U1346">
        <v>1</v>
      </c>
      <c r="V1346">
        <v>1</v>
      </c>
      <c r="W1346">
        <v>37.42</v>
      </c>
      <c r="X1346">
        <v>0</v>
      </c>
      <c r="Y1346">
        <v>0</v>
      </c>
      <c r="Z1346">
        <v>0</v>
      </c>
      <c r="AA1346">
        <v>0</v>
      </c>
      <c r="AB1346">
        <v>0</v>
      </c>
      <c r="AC1346">
        <v>0</v>
      </c>
      <c r="AD1346">
        <v>1</v>
      </c>
      <c r="AE1346">
        <v>0</v>
      </c>
      <c r="AF1346">
        <v>0</v>
      </c>
      <c r="AG1346">
        <v>0</v>
      </c>
      <c r="AH1346">
        <v>0</v>
      </c>
      <c r="AI1346">
        <v>0</v>
      </c>
      <c r="AJ1346">
        <v>0</v>
      </c>
      <c r="AK1346">
        <v>0</v>
      </c>
    </row>
    <row r="1347" spans="1:37" x14ac:dyDescent="0.3">
      <c r="A1347">
        <v>7979</v>
      </c>
      <c r="B1347" t="s">
        <v>219</v>
      </c>
      <c r="D1347" t="s">
        <v>327</v>
      </c>
      <c r="E1347">
        <v>99999999</v>
      </c>
      <c r="F1347">
        <v>11111111</v>
      </c>
      <c r="G1347">
        <v>1111111111</v>
      </c>
      <c r="H1347" t="s">
        <v>4916</v>
      </c>
      <c r="I1347">
        <v>99999999</v>
      </c>
      <c r="J1347" s="188">
        <v>45236</v>
      </c>
      <c r="K1347" t="s">
        <v>4916</v>
      </c>
      <c r="L1347" t="s">
        <v>4916</v>
      </c>
      <c r="M1347" t="s">
        <v>1732</v>
      </c>
      <c r="N1347" t="s">
        <v>99</v>
      </c>
      <c r="O1347" t="s">
        <v>1933</v>
      </c>
      <c r="P1347" t="s">
        <v>221</v>
      </c>
      <c r="Q1347" t="s">
        <v>82</v>
      </c>
      <c r="R1347">
        <v>2</v>
      </c>
      <c r="S1347">
        <v>0.83</v>
      </c>
      <c r="T1347">
        <v>0</v>
      </c>
      <c r="U1347">
        <v>2</v>
      </c>
      <c r="V1347">
        <v>2</v>
      </c>
      <c r="W1347">
        <v>50.84</v>
      </c>
      <c r="X1347">
        <v>0</v>
      </c>
      <c r="Y1347">
        <v>0</v>
      </c>
      <c r="Z1347">
        <v>0</v>
      </c>
      <c r="AA1347">
        <v>0</v>
      </c>
      <c r="AB1347">
        <v>0</v>
      </c>
      <c r="AC1347">
        <v>0</v>
      </c>
      <c r="AD1347">
        <v>2</v>
      </c>
      <c r="AE1347">
        <v>0</v>
      </c>
      <c r="AF1347">
        <v>0</v>
      </c>
      <c r="AG1347">
        <v>0</v>
      </c>
      <c r="AH1347">
        <v>0</v>
      </c>
      <c r="AI1347">
        <v>0</v>
      </c>
      <c r="AJ1347">
        <v>0</v>
      </c>
      <c r="AK1347">
        <v>0</v>
      </c>
    </row>
    <row r="1348" spans="1:37" x14ac:dyDescent="0.3">
      <c r="A1348">
        <v>7979</v>
      </c>
      <c r="B1348" t="s">
        <v>219</v>
      </c>
      <c r="D1348" t="s">
        <v>327</v>
      </c>
      <c r="E1348">
        <v>99999999</v>
      </c>
      <c r="F1348">
        <v>11111111</v>
      </c>
      <c r="G1348">
        <v>1111111111</v>
      </c>
      <c r="H1348" t="s">
        <v>4917</v>
      </c>
      <c r="I1348">
        <v>99999999</v>
      </c>
      <c r="J1348" s="188">
        <v>45236</v>
      </c>
      <c r="K1348" t="s">
        <v>4917</v>
      </c>
      <c r="L1348" t="s">
        <v>4917</v>
      </c>
      <c r="M1348" t="s">
        <v>1007</v>
      </c>
      <c r="N1348" t="s">
        <v>381</v>
      </c>
      <c r="O1348" t="s">
        <v>1934</v>
      </c>
      <c r="P1348" t="s">
        <v>221</v>
      </c>
      <c r="Q1348" t="s">
        <v>82</v>
      </c>
      <c r="R1348">
        <v>1</v>
      </c>
      <c r="S1348">
        <v>24.7</v>
      </c>
      <c r="T1348">
        <v>0</v>
      </c>
      <c r="U1348">
        <v>1</v>
      </c>
      <c r="V1348">
        <v>1</v>
      </c>
      <c r="W1348">
        <v>32.06</v>
      </c>
      <c r="X1348">
        <v>0</v>
      </c>
      <c r="Y1348">
        <v>0</v>
      </c>
      <c r="Z1348">
        <v>0</v>
      </c>
      <c r="AA1348">
        <v>0</v>
      </c>
      <c r="AB1348">
        <v>0</v>
      </c>
      <c r="AC1348">
        <v>0</v>
      </c>
      <c r="AD1348">
        <v>1</v>
      </c>
      <c r="AE1348">
        <v>0</v>
      </c>
      <c r="AF1348">
        <v>0</v>
      </c>
      <c r="AG1348">
        <v>0</v>
      </c>
      <c r="AH1348">
        <v>0</v>
      </c>
      <c r="AI1348">
        <v>0</v>
      </c>
      <c r="AJ1348">
        <v>0</v>
      </c>
      <c r="AK1348">
        <v>0</v>
      </c>
    </row>
    <row r="1349" spans="1:37" x14ac:dyDescent="0.3">
      <c r="A1349">
        <v>7979</v>
      </c>
      <c r="B1349" t="s">
        <v>219</v>
      </c>
      <c r="D1349" t="s">
        <v>327</v>
      </c>
      <c r="E1349">
        <v>99999999</v>
      </c>
      <c r="F1349">
        <v>11111111</v>
      </c>
      <c r="G1349">
        <v>1111111111</v>
      </c>
      <c r="H1349" t="s">
        <v>4918</v>
      </c>
      <c r="I1349">
        <v>99999999</v>
      </c>
      <c r="J1349" s="188">
        <v>45236</v>
      </c>
      <c r="K1349" t="s">
        <v>4918</v>
      </c>
      <c r="L1349" t="s">
        <v>4918</v>
      </c>
      <c r="M1349" t="s">
        <v>349</v>
      </c>
      <c r="N1349" t="s">
        <v>99</v>
      </c>
      <c r="O1349" t="s">
        <v>350</v>
      </c>
      <c r="P1349" t="s">
        <v>221</v>
      </c>
      <c r="Q1349" t="s">
        <v>82</v>
      </c>
      <c r="R1349">
        <v>2</v>
      </c>
      <c r="S1349">
        <v>29.75</v>
      </c>
      <c r="T1349">
        <v>0</v>
      </c>
      <c r="U1349">
        <v>1</v>
      </c>
      <c r="V1349">
        <v>2</v>
      </c>
      <c r="W1349">
        <v>35.76</v>
      </c>
      <c r="X1349">
        <v>0</v>
      </c>
      <c r="Y1349">
        <v>0</v>
      </c>
      <c r="Z1349">
        <v>0</v>
      </c>
      <c r="AA1349">
        <v>0</v>
      </c>
      <c r="AB1349">
        <v>0</v>
      </c>
      <c r="AC1349">
        <v>0</v>
      </c>
      <c r="AD1349">
        <v>2</v>
      </c>
      <c r="AE1349">
        <v>0</v>
      </c>
      <c r="AF1349">
        <v>0</v>
      </c>
      <c r="AG1349">
        <v>0</v>
      </c>
      <c r="AH1349">
        <v>0</v>
      </c>
      <c r="AI1349">
        <v>0</v>
      </c>
      <c r="AJ1349">
        <v>0</v>
      </c>
      <c r="AK1349">
        <v>0</v>
      </c>
    </row>
    <row r="1350" spans="1:37" x14ac:dyDescent="0.3">
      <c r="A1350">
        <v>7979</v>
      </c>
      <c r="B1350" t="s">
        <v>219</v>
      </c>
      <c r="D1350" t="s">
        <v>327</v>
      </c>
      <c r="E1350">
        <v>99999999</v>
      </c>
      <c r="F1350">
        <v>11111111</v>
      </c>
      <c r="G1350">
        <v>1111111111</v>
      </c>
      <c r="H1350" t="s">
        <v>4919</v>
      </c>
      <c r="I1350">
        <v>99999999</v>
      </c>
      <c r="J1350" s="188">
        <v>45236</v>
      </c>
      <c r="K1350" t="s">
        <v>4919</v>
      </c>
      <c r="L1350" t="s">
        <v>4919</v>
      </c>
      <c r="M1350" t="s">
        <v>1935</v>
      </c>
      <c r="N1350" t="s">
        <v>522</v>
      </c>
      <c r="O1350" t="s">
        <v>1936</v>
      </c>
      <c r="P1350" t="s">
        <v>221</v>
      </c>
      <c r="Q1350" t="s">
        <v>82</v>
      </c>
      <c r="R1350">
        <v>1</v>
      </c>
      <c r="S1350">
        <v>3</v>
      </c>
      <c r="T1350">
        <v>0</v>
      </c>
      <c r="U1350">
        <v>1</v>
      </c>
      <c r="V1350">
        <v>1</v>
      </c>
      <c r="W1350">
        <v>26.15</v>
      </c>
      <c r="X1350">
        <v>0</v>
      </c>
      <c r="Y1350">
        <v>0</v>
      </c>
      <c r="Z1350">
        <v>0</v>
      </c>
      <c r="AA1350">
        <v>0</v>
      </c>
      <c r="AB1350">
        <v>0</v>
      </c>
      <c r="AC1350">
        <v>0</v>
      </c>
      <c r="AD1350">
        <v>1</v>
      </c>
      <c r="AE1350">
        <v>0</v>
      </c>
      <c r="AF1350">
        <v>0</v>
      </c>
      <c r="AG1350">
        <v>0</v>
      </c>
      <c r="AH1350">
        <v>0</v>
      </c>
      <c r="AI1350">
        <v>0</v>
      </c>
      <c r="AJ1350">
        <v>0</v>
      </c>
      <c r="AK1350">
        <v>0</v>
      </c>
    </row>
    <row r="1351" spans="1:37" x14ac:dyDescent="0.3">
      <c r="A1351">
        <v>7979</v>
      </c>
      <c r="B1351" t="s">
        <v>219</v>
      </c>
      <c r="D1351" t="s">
        <v>327</v>
      </c>
      <c r="E1351">
        <v>99999999</v>
      </c>
      <c r="F1351">
        <v>11111111</v>
      </c>
      <c r="G1351">
        <v>1111111111</v>
      </c>
      <c r="H1351" t="s">
        <v>4920</v>
      </c>
      <c r="I1351">
        <v>99999999</v>
      </c>
      <c r="J1351" s="188">
        <v>45236</v>
      </c>
      <c r="K1351" t="s">
        <v>4920</v>
      </c>
      <c r="L1351" t="s">
        <v>4920</v>
      </c>
      <c r="M1351" t="s">
        <v>1937</v>
      </c>
      <c r="N1351" t="s">
        <v>99</v>
      </c>
      <c r="O1351" t="s">
        <v>1938</v>
      </c>
      <c r="P1351" t="s">
        <v>221</v>
      </c>
      <c r="Q1351" t="s">
        <v>82</v>
      </c>
      <c r="R1351">
        <v>7</v>
      </c>
      <c r="S1351">
        <v>12.26</v>
      </c>
      <c r="T1351">
        <v>0</v>
      </c>
      <c r="U1351">
        <v>1</v>
      </c>
      <c r="V1351">
        <v>3</v>
      </c>
      <c r="W1351">
        <v>33.31</v>
      </c>
      <c r="X1351">
        <v>0</v>
      </c>
      <c r="Y1351">
        <v>0</v>
      </c>
      <c r="Z1351">
        <v>0</v>
      </c>
      <c r="AA1351">
        <v>0</v>
      </c>
      <c r="AB1351">
        <v>0</v>
      </c>
      <c r="AC1351">
        <v>0</v>
      </c>
      <c r="AD1351">
        <v>7</v>
      </c>
      <c r="AE1351">
        <v>0</v>
      </c>
      <c r="AF1351">
        <v>0</v>
      </c>
      <c r="AG1351">
        <v>0</v>
      </c>
      <c r="AH1351">
        <v>0</v>
      </c>
      <c r="AI1351">
        <v>0</v>
      </c>
      <c r="AJ1351">
        <v>0</v>
      </c>
      <c r="AK1351">
        <v>0</v>
      </c>
    </row>
    <row r="1352" spans="1:37" x14ac:dyDescent="0.3">
      <c r="A1352">
        <v>7979</v>
      </c>
      <c r="B1352" t="s">
        <v>219</v>
      </c>
      <c r="D1352" t="s">
        <v>327</v>
      </c>
      <c r="E1352">
        <v>99999999</v>
      </c>
      <c r="F1352">
        <v>11111111</v>
      </c>
      <c r="G1352">
        <v>1111111111</v>
      </c>
      <c r="H1352" t="s">
        <v>4921</v>
      </c>
      <c r="I1352">
        <v>99999999</v>
      </c>
      <c r="J1352" s="188">
        <v>45236</v>
      </c>
      <c r="K1352" t="s">
        <v>4921</v>
      </c>
      <c r="L1352" t="s">
        <v>4921</v>
      </c>
      <c r="M1352" t="s">
        <v>1939</v>
      </c>
      <c r="N1352" t="s">
        <v>239</v>
      </c>
      <c r="O1352" t="s">
        <v>1940</v>
      </c>
      <c r="P1352" t="s">
        <v>221</v>
      </c>
      <c r="Q1352" t="s">
        <v>82</v>
      </c>
      <c r="R1352">
        <v>1</v>
      </c>
      <c r="S1352">
        <v>0.88</v>
      </c>
      <c r="T1352">
        <v>0</v>
      </c>
      <c r="U1352">
        <v>1</v>
      </c>
      <c r="V1352">
        <v>1</v>
      </c>
      <c r="W1352">
        <v>29.8</v>
      </c>
      <c r="X1352">
        <v>0</v>
      </c>
      <c r="Y1352">
        <v>0</v>
      </c>
      <c r="Z1352">
        <v>0</v>
      </c>
      <c r="AA1352">
        <v>0</v>
      </c>
      <c r="AB1352">
        <v>0</v>
      </c>
      <c r="AC1352">
        <v>0</v>
      </c>
      <c r="AD1352">
        <v>1</v>
      </c>
      <c r="AE1352">
        <v>0</v>
      </c>
      <c r="AF1352">
        <v>0</v>
      </c>
      <c r="AG1352">
        <v>0</v>
      </c>
      <c r="AH1352">
        <v>0</v>
      </c>
      <c r="AI1352">
        <v>0</v>
      </c>
      <c r="AJ1352">
        <v>0</v>
      </c>
      <c r="AK1352">
        <v>0</v>
      </c>
    </row>
    <row r="1353" spans="1:37" x14ac:dyDescent="0.3">
      <c r="A1353">
        <v>7979</v>
      </c>
      <c r="B1353" t="s">
        <v>219</v>
      </c>
      <c r="D1353" t="s">
        <v>327</v>
      </c>
      <c r="E1353">
        <v>99999999</v>
      </c>
      <c r="F1353">
        <v>11111111</v>
      </c>
      <c r="G1353">
        <v>1111111111</v>
      </c>
      <c r="H1353" t="s">
        <v>4922</v>
      </c>
      <c r="I1353">
        <v>99999999</v>
      </c>
      <c r="J1353" s="188">
        <v>45236</v>
      </c>
      <c r="K1353" t="s">
        <v>4922</v>
      </c>
      <c r="L1353" t="s">
        <v>4922</v>
      </c>
      <c r="M1353" t="s">
        <v>1941</v>
      </c>
      <c r="N1353" t="s">
        <v>99</v>
      </c>
      <c r="O1353" t="s">
        <v>1942</v>
      </c>
      <c r="P1353" t="s">
        <v>221</v>
      </c>
      <c r="Q1353" t="s">
        <v>82</v>
      </c>
      <c r="R1353">
        <v>1</v>
      </c>
      <c r="S1353">
        <v>0.4</v>
      </c>
      <c r="T1353">
        <v>0</v>
      </c>
      <c r="U1353">
        <v>1</v>
      </c>
      <c r="V1353">
        <v>1</v>
      </c>
      <c r="W1353">
        <v>25.99</v>
      </c>
      <c r="X1353">
        <v>0</v>
      </c>
      <c r="Y1353">
        <v>0</v>
      </c>
      <c r="Z1353">
        <v>0</v>
      </c>
      <c r="AA1353">
        <v>0</v>
      </c>
      <c r="AB1353">
        <v>0</v>
      </c>
      <c r="AC1353">
        <v>0</v>
      </c>
      <c r="AD1353">
        <v>1</v>
      </c>
      <c r="AE1353">
        <v>0</v>
      </c>
      <c r="AF1353">
        <v>0</v>
      </c>
      <c r="AG1353">
        <v>0</v>
      </c>
      <c r="AH1353">
        <v>0</v>
      </c>
      <c r="AI1353">
        <v>0</v>
      </c>
      <c r="AJ1353">
        <v>0</v>
      </c>
      <c r="AK1353">
        <v>0</v>
      </c>
    </row>
    <row r="1354" spans="1:37" x14ac:dyDescent="0.3">
      <c r="A1354">
        <v>7979</v>
      </c>
      <c r="B1354" t="s">
        <v>219</v>
      </c>
      <c r="D1354" t="s">
        <v>327</v>
      </c>
      <c r="E1354">
        <v>99999999</v>
      </c>
      <c r="F1354">
        <v>11111111</v>
      </c>
      <c r="G1354">
        <v>1111111111</v>
      </c>
      <c r="H1354" t="s">
        <v>4923</v>
      </c>
      <c r="I1354">
        <v>99999999</v>
      </c>
      <c r="J1354" s="188">
        <v>45236</v>
      </c>
      <c r="K1354" t="s">
        <v>4923</v>
      </c>
      <c r="L1354" t="s">
        <v>4923</v>
      </c>
      <c r="M1354" t="s">
        <v>1480</v>
      </c>
      <c r="N1354" t="s">
        <v>197</v>
      </c>
      <c r="O1354" t="s">
        <v>1943</v>
      </c>
      <c r="P1354" t="s">
        <v>221</v>
      </c>
      <c r="Q1354" t="s">
        <v>82</v>
      </c>
      <c r="R1354">
        <v>2</v>
      </c>
      <c r="S1354">
        <v>2</v>
      </c>
      <c r="T1354">
        <v>0</v>
      </c>
      <c r="U1354">
        <v>1</v>
      </c>
      <c r="V1354">
        <v>1</v>
      </c>
      <c r="W1354">
        <v>23.35</v>
      </c>
      <c r="X1354">
        <v>0</v>
      </c>
      <c r="Y1354">
        <v>0</v>
      </c>
      <c r="Z1354">
        <v>0</v>
      </c>
      <c r="AA1354">
        <v>0</v>
      </c>
      <c r="AB1354">
        <v>0</v>
      </c>
      <c r="AC1354">
        <v>0</v>
      </c>
      <c r="AD1354">
        <v>2</v>
      </c>
      <c r="AE1354">
        <v>0</v>
      </c>
      <c r="AF1354">
        <v>0</v>
      </c>
      <c r="AG1354">
        <v>0</v>
      </c>
      <c r="AH1354">
        <v>0</v>
      </c>
      <c r="AI1354">
        <v>0</v>
      </c>
      <c r="AJ1354">
        <v>0</v>
      </c>
      <c r="AK1354">
        <v>0</v>
      </c>
    </row>
    <row r="1355" spans="1:37" x14ac:dyDescent="0.3">
      <c r="A1355">
        <v>7979</v>
      </c>
      <c r="B1355" t="s">
        <v>219</v>
      </c>
      <c r="D1355" t="s">
        <v>327</v>
      </c>
      <c r="E1355">
        <v>99999999</v>
      </c>
      <c r="F1355">
        <v>11111111</v>
      </c>
      <c r="G1355">
        <v>1111111111</v>
      </c>
      <c r="H1355" t="s">
        <v>4924</v>
      </c>
      <c r="I1355">
        <v>99999999</v>
      </c>
      <c r="J1355" s="188">
        <v>45236</v>
      </c>
      <c r="K1355" t="s">
        <v>4924</v>
      </c>
      <c r="L1355" t="s">
        <v>4924</v>
      </c>
      <c r="M1355" t="s">
        <v>1944</v>
      </c>
      <c r="N1355" t="s">
        <v>950</v>
      </c>
      <c r="O1355" t="s">
        <v>1945</v>
      </c>
      <c r="P1355" t="s">
        <v>221</v>
      </c>
      <c r="Q1355" t="s">
        <v>82</v>
      </c>
      <c r="R1355">
        <v>1</v>
      </c>
      <c r="S1355">
        <v>6.5</v>
      </c>
      <c r="T1355">
        <v>0</v>
      </c>
      <c r="U1355">
        <v>1</v>
      </c>
      <c r="V1355">
        <v>1</v>
      </c>
      <c r="W1355">
        <v>31.59</v>
      </c>
      <c r="X1355">
        <v>0</v>
      </c>
      <c r="Y1355">
        <v>0</v>
      </c>
      <c r="Z1355">
        <v>0</v>
      </c>
      <c r="AA1355">
        <v>0</v>
      </c>
      <c r="AB1355">
        <v>0</v>
      </c>
      <c r="AC1355">
        <v>0</v>
      </c>
      <c r="AD1355">
        <v>1</v>
      </c>
      <c r="AE1355">
        <v>0</v>
      </c>
      <c r="AF1355">
        <v>0</v>
      </c>
      <c r="AG1355">
        <v>0</v>
      </c>
      <c r="AH1355">
        <v>0</v>
      </c>
      <c r="AI1355">
        <v>0</v>
      </c>
      <c r="AJ1355">
        <v>0</v>
      </c>
      <c r="AK1355">
        <v>0</v>
      </c>
    </row>
    <row r="1356" spans="1:37" x14ac:dyDescent="0.3">
      <c r="A1356">
        <v>7979</v>
      </c>
      <c r="B1356" t="s">
        <v>219</v>
      </c>
      <c r="D1356" t="s">
        <v>327</v>
      </c>
      <c r="E1356">
        <v>99999999</v>
      </c>
      <c r="F1356">
        <v>11111111</v>
      </c>
      <c r="G1356">
        <v>1111111111</v>
      </c>
      <c r="H1356" t="s">
        <v>4925</v>
      </c>
      <c r="I1356">
        <v>99999999</v>
      </c>
      <c r="J1356" s="188">
        <v>45236</v>
      </c>
      <c r="K1356" t="s">
        <v>4925</v>
      </c>
      <c r="L1356" t="s">
        <v>4925</v>
      </c>
      <c r="M1356" t="s">
        <v>1946</v>
      </c>
      <c r="N1356" t="s">
        <v>1947</v>
      </c>
      <c r="O1356" t="s">
        <v>1948</v>
      </c>
      <c r="P1356" t="s">
        <v>221</v>
      </c>
      <c r="Q1356" t="s">
        <v>82</v>
      </c>
      <c r="R1356">
        <v>1</v>
      </c>
      <c r="S1356">
        <v>0.15</v>
      </c>
      <c r="T1356">
        <v>0</v>
      </c>
      <c r="U1356">
        <v>1</v>
      </c>
      <c r="V1356">
        <v>1</v>
      </c>
      <c r="W1356">
        <v>26.02</v>
      </c>
      <c r="X1356">
        <v>0</v>
      </c>
      <c r="Y1356">
        <v>0</v>
      </c>
      <c r="Z1356">
        <v>0</v>
      </c>
      <c r="AA1356">
        <v>0</v>
      </c>
      <c r="AB1356">
        <v>0</v>
      </c>
      <c r="AC1356">
        <v>0</v>
      </c>
      <c r="AD1356">
        <v>1</v>
      </c>
      <c r="AE1356">
        <v>0</v>
      </c>
      <c r="AF1356">
        <v>0</v>
      </c>
      <c r="AG1356">
        <v>0</v>
      </c>
      <c r="AH1356">
        <v>0</v>
      </c>
      <c r="AI1356">
        <v>0</v>
      </c>
      <c r="AJ1356">
        <v>0</v>
      </c>
      <c r="AK1356">
        <v>0</v>
      </c>
    </row>
    <row r="1357" spans="1:37" x14ac:dyDescent="0.3">
      <c r="A1357">
        <v>7979</v>
      </c>
      <c r="B1357" t="s">
        <v>219</v>
      </c>
      <c r="D1357" t="s">
        <v>327</v>
      </c>
      <c r="E1357">
        <v>99999999</v>
      </c>
      <c r="F1357">
        <v>11111111</v>
      </c>
      <c r="G1357">
        <v>1111111111</v>
      </c>
      <c r="H1357" t="s">
        <v>4926</v>
      </c>
      <c r="I1357">
        <v>99999999</v>
      </c>
      <c r="J1357" s="188">
        <v>45236</v>
      </c>
      <c r="K1357" t="s">
        <v>4926</v>
      </c>
      <c r="L1357" t="s">
        <v>4926</v>
      </c>
      <c r="M1357" t="s">
        <v>640</v>
      </c>
      <c r="N1357" t="s">
        <v>85</v>
      </c>
      <c r="O1357" t="s">
        <v>1949</v>
      </c>
      <c r="P1357" t="s">
        <v>221</v>
      </c>
      <c r="Q1357" t="s">
        <v>82</v>
      </c>
      <c r="R1357">
        <v>1</v>
      </c>
      <c r="S1357">
        <v>4.4000000000000004</v>
      </c>
      <c r="T1357">
        <v>0</v>
      </c>
      <c r="U1357">
        <v>1</v>
      </c>
      <c r="V1357">
        <v>1</v>
      </c>
      <c r="W1357">
        <v>28.16</v>
      </c>
      <c r="X1357">
        <v>0</v>
      </c>
      <c r="Y1357">
        <v>0</v>
      </c>
      <c r="Z1357">
        <v>0</v>
      </c>
      <c r="AA1357">
        <v>0</v>
      </c>
      <c r="AB1357">
        <v>0</v>
      </c>
      <c r="AC1357">
        <v>0</v>
      </c>
      <c r="AD1357">
        <v>1</v>
      </c>
      <c r="AE1357">
        <v>0</v>
      </c>
      <c r="AF1357">
        <v>0</v>
      </c>
      <c r="AG1357">
        <v>0</v>
      </c>
      <c r="AH1357">
        <v>0</v>
      </c>
      <c r="AI1357">
        <v>0</v>
      </c>
      <c r="AJ1357">
        <v>0</v>
      </c>
      <c r="AK1357">
        <v>0</v>
      </c>
    </row>
    <row r="1358" spans="1:37" x14ac:dyDescent="0.3">
      <c r="A1358">
        <v>7979</v>
      </c>
      <c r="B1358" t="s">
        <v>219</v>
      </c>
      <c r="D1358" t="s">
        <v>327</v>
      </c>
      <c r="E1358">
        <v>99999999</v>
      </c>
      <c r="F1358">
        <v>11111111</v>
      </c>
      <c r="G1358">
        <v>1111111111</v>
      </c>
      <c r="H1358" t="s">
        <v>4927</v>
      </c>
      <c r="I1358">
        <v>99999999</v>
      </c>
      <c r="J1358" s="188">
        <v>45236</v>
      </c>
      <c r="K1358" t="s">
        <v>4927</v>
      </c>
      <c r="L1358" t="s">
        <v>4927</v>
      </c>
      <c r="M1358" t="s">
        <v>1950</v>
      </c>
      <c r="N1358" t="s">
        <v>99</v>
      </c>
      <c r="O1358">
        <v>94924</v>
      </c>
      <c r="P1358" t="s">
        <v>221</v>
      </c>
      <c r="Q1358" t="s">
        <v>82</v>
      </c>
      <c r="R1358">
        <v>1</v>
      </c>
      <c r="S1358">
        <v>50</v>
      </c>
      <c r="T1358">
        <v>0</v>
      </c>
      <c r="U1358">
        <v>1</v>
      </c>
      <c r="V1358">
        <v>1</v>
      </c>
      <c r="W1358">
        <v>88.27</v>
      </c>
      <c r="X1358">
        <v>0</v>
      </c>
      <c r="Y1358">
        <v>0</v>
      </c>
      <c r="Z1358">
        <v>0</v>
      </c>
      <c r="AA1358">
        <v>0</v>
      </c>
      <c r="AB1358">
        <v>0</v>
      </c>
      <c r="AC1358">
        <v>0</v>
      </c>
      <c r="AD1358">
        <v>1</v>
      </c>
      <c r="AE1358">
        <v>0</v>
      </c>
      <c r="AF1358">
        <v>0</v>
      </c>
      <c r="AG1358">
        <v>0</v>
      </c>
      <c r="AH1358">
        <v>0</v>
      </c>
      <c r="AI1358">
        <v>0</v>
      </c>
      <c r="AJ1358">
        <v>0</v>
      </c>
      <c r="AK1358">
        <v>0</v>
      </c>
    </row>
    <row r="1359" spans="1:37" x14ac:dyDescent="0.3">
      <c r="A1359">
        <v>7979</v>
      </c>
      <c r="B1359" t="s">
        <v>219</v>
      </c>
      <c r="D1359" t="s">
        <v>327</v>
      </c>
      <c r="E1359">
        <v>99999999</v>
      </c>
      <c r="F1359">
        <v>11111111</v>
      </c>
      <c r="G1359">
        <v>1111111111</v>
      </c>
      <c r="H1359" t="s">
        <v>4928</v>
      </c>
      <c r="I1359">
        <v>99999999</v>
      </c>
      <c r="J1359" s="188">
        <v>45236</v>
      </c>
      <c r="K1359" t="s">
        <v>4928</v>
      </c>
      <c r="L1359" t="s">
        <v>4928</v>
      </c>
      <c r="M1359" t="s">
        <v>1951</v>
      </c>
      <c r="N1359" t="s">
        <v>402</v>
      </c>
      <c r="O1359" t="s">
        <v>1952</v>
      </c>
      <c r="P1359" t="s">
        <v>221</v>
      </c>
      <c r="Q1359" t="s">
        <v>82</v>
      </c>
      <c r="R1359">
        <v>16</v>
      </c>
      <c r="S1359">
        <v>36</v>
      </c>
      <c r="T1359">
        <v>0</v>
      </c>
      <c r="U1359">
        <v>1</v>
      </c>
      <c r="V1359">
        <v>1</v>
      </c>
      <c r="W1359">
        <v>85.35</v>
      </c>
      <c r="X1359">
        <v>0</v>
      </c>
      <c r="Y1359">
        <v>0</v>
      </c>
      <c r="Z1359">
        <v>0</v>
      </c>
      <c r="AA1359">
        <v>0</v>
      </c>
      <c r="AB1359">
        <v>0</v>
      </c>
      <c r="AC1359">
        <v>0</v>
      </c>
      <c r="AD1359">
        <v>16</v>
      </c>
      <c r="AE1359">
        <v>0</v>
      </c>
      <c r="AF1359">
        <v>0</v>
      </c>
      <c r="AG1359">
        <v>0</v>
      </c>
      <c r="AH1359">
        <v>0</v>
      </c>
      <c r="AI1359">
        <v>0</v>
      </c>
      <c r="AJ1359">
        <v>0</v>
      </c>
      <c r="AK1359">
        <v>0</v>
      </c>
    </row>
    <row r="1360" spans="1:37" x14ac:dyDescent="0.3">
      <c r="A1360">
        <v>7979</v>
      </c>
      <c r="B1360" t="s">
        <v>219</v>
      </c>
      <c r="D1360" t="s">
        <v>327</v>
      </c>
      <c r="E1360">
        <v>99999999</v>
      </c>
      <c r="F1360">
        <v>11111111</v>
      </c>
      <c r="G1360">
        <v>1111111111</v>
      </c>
      <c r="H1360" t="s">
        <v>4929</v>
      </c>
      <c r="I1360">
        <v>99999999</v>
      </c>
      <c r="J1360" s="188">
        <v>45236</v>
      </c>
      <c r="K1360" t="s">
        <v>4929</v>
      </c>
      <c r="L1360" t="s">
        <v>4929</v>
      </c>
      <c r="M1360" t="s">
        <v>1330</v>
      </c>
      <c r="N1360" t="s">
        <v>197</v>
      </c>
      <c r="O1360" t="s">
        <v>1953</v>
      </c>
      <c r="P1360" t="s">
        <v>221</v>
      </c>
      <c r="Q1360" t="s">
        <v>82</v>
      </c>
      <c r="R1360">
        <v>1</v>
      </c>
      <c r="S1360">
        <v>28.4</v>
      </c>
      <c r="T1360">
        <v>0</v>
      </c>
      <c r="U1360">
        <v>1</v>
      </c>
      <c r="V1360">
        <v>1</v>
      </c>
      <c r="W1360">
        <v>56.63</v>
      </c>
      <c r="X1360">
        <v>0</v>
      </c>
      <c r="Y1360">
        <v>0</v>
      </c>
      <c r="Z1360">
        <v>0</v>
      </c>
      <c r="AA1360">
        <v>0</v>
      </c>
      <c r="AB1360">
        <v>0</v>
      </c>
      <c r="AC1360">
        <v>0</v>
      </c>
      <c r="AD1360">
        <v>1</v>
      </c>
      <c r="AE1360">
        <v>0</v>
      </c>
      <c r="AF1360">
        <v>0</v>
      </c>
      <c r="AG1360">
        <v>0</v>
      </c>
      <c r="AH1360">
        <v>0</v>
      </c>
      <c r="AI1360">
        <v>0</v>
      </c>
      <c r="AJ1360">
        <v>0</v>
      </c>
      <c r="AK1360">
        <v>0</v>
      </c>
    </row>
    <row r="1361" spans="1:37" x14ac:dyDescent="0.3">
      <c r="A1361">
        <v>7979</v>
      </c>
      <c r="B1361" t="s">
        <v>219</v>
      </c>
      <c r="D1361" t="s">
        <v>327</v>
      </c>
      <c r="E1361">
        <v>99999999</v>
      </c>
      <c r="F1361">
        <v>11111111</v>
      </c>
      <c r="G1361">
        <v>1111111111</v>
      </c>
      <c r="H1361" t="s">
        <v>4930</v>
      </c>
      <c r="I1361">
        <v>99999999</v>
      </c>
      <c r="J1361" s="188">
        <v>45236</v>
      </c>
      <c r="K1361" t="s">
        <v>4930</v>
      </c>
      <c r="L1361" t="s">
        <v>4930</v>
      </c>
      <c r="M1361" t="s">
        <v>258</v>
      </c>
      <c r="N1361" t="s">
        <v>91</v>
      </c>
      <c r="O1361" t="s">
        <v>1954</v>
      </c>
      <c r="P1361" t="s">
        <v>221</v>
      </c>
      <c r="Q1361" t="s">
        <v>82</v>
      </c>
      <c r="R1361">
        <v>1</v>
      </c>
      <c r="S1361">
        <v>40</v>
      </c>
      <c r="T1361">
        <v>0</v>
      </c>
      <c r="U1361">
        <v>1</v>
      </c>
      <c r="V1361">
        <v>1</v>
      </c>
      <c r="W1361">
        <v>50.95</v>
      </c>
      <c r="X1361">
        <v>0</v>
      </c>
      <c r="Y1361">
        <v>0</v>
      </c>
      <c r="Z1361">
        <v>0</v>
      </c>
      <c r="AA1361">
        <v>0</v>
      </c>
      <c r="AB1361">
        <v>0</v>
      </c>
      <c r="AC1361">
        <v>0</v>
      </c>
      <c r="AD1361">
        <v>1</v>
      </c>
      <c r="AE1361">
        <v>0</v>
      </c>
      <c r="AF1361">
        <v>0</v>
      </c>
      <c r="AG1361">
        <v>0</v>
      </c>
      <c r="AH1361">
        <v>0</v>
      </c>
      <c r="AI1361">
        <v>0</v>
      </c>
      <c r="AJ1361">
        <v>0</v>
      </c>
      <c r="AK1361">
        <v>0</v>
      </c>
    </row>
    <row r="1362" spans="1:37" x14ac:dyDescent="0.3">
      <c r="A1362">
        <v>7979</v>
      </c>
      <c r="B1362" t="s">
        <v>219</v>
      </c>
      <c r="D1362" t="s">
        <v>327</v>
      </c>
      <c r="E1362">
        <v>99999999</v>
      </c>
      <c r="F1362">
        <v>11111111</v>
      </c>
      <c r="G1362">
        <v>1111111111</v>
      </c>
      <c r="H1362" t="s">
        <v>4931</v>
      </c>
      <c r="I1362">
        <v>99999999</v>
      </c>
      <c r="J1362" s="188">
        <v>45236</v>
      </c>
      <c r="K1362" t="s">
        <v>4931</v>
      </c>
      <c r="L1362" t="s">
        <v>4931</v>
      </c>
      <c r="M1362" t="s">
        <v>1955</v>
      </c>
      <c r="N1362" t="s">
        <v>197</v>
      </c>
      <c r="O1362" t="s">
        <v>1956</v>
      </c>
      <c r="P1362" t="s">
        <v>221</v>
      </c>
      <c r="Q1362" t="s">
        <v>82</v>
      </c>
      <c r="R1362">
        <v>2</v>
      </c>
      <c r="S1362">
        <v>26</v>
      </c>
      <c r="T1362">
        <v>0</v>
      </c>
      <c r="U1362">
        <v>1</v>
      </c>
      <c r="V1362">
        <v>2</v>
      </c>
      <c r="W1362">
        <v>61.64</v>
      </c>
      <c r="X1362">
        <v>0</v>
      </c>
      <c r="Y1362">
        <v>0</v>
      </c>
      <c r="Z1362">
        <v>0</v>
      </c>
      <c r="AA1362">
        <v>0</v>
      </c>
      <c r="AB1362">
        <v>0</v>
      </c>
      <c r="AC1362">
        <v>0</v>
      </c>
      <c r="AD1362">
        <v>2</v>
      </c>
      <c r="AE1362">
        <v>0</v>
      </c>
      <c r="AF1362">
        <v>0</v>
      </c>
      <c r="AG1362">
        <v>0</v>
      </c>
      <c r="AH1362">
        <v>0</v>
      </c>
      <c r="AI1362">
        <v>0</v>
      </c>
      <c r="AJ1362">
        <v>0</v>
      </c>
      <c r="AK1362">
        <v>0</v>
      </c>
    </row>
    <row r="1363" spans="1:37" x14ac:dyDescent="0.3">
      <c r="A1363">
        <v>7979</v>
      </c>
      <c r="B1363" t="s">
        <v>219</v>
      </c>
      <c r="D1363" t="s">
        <v>327</v>
      </c>
      <c r="E1363">
        <v>99999999</v>
      </c>
      <c r="F1363">
        <v>11111111</v>
      </c>
      <c r="G1363">
        <v>1111111111</v>
      </c>
      <c r="H1363" t="s">
        <v>4932</v>
      </c>
      <c r="I1363">
        <v>99999999</v>
      </c>
      <c r="J1363" s="188">
        <v>45236</v>
      </c>
      <c r="K1363" t="s">
        <v>4932</v>
      </c>
      <c r="L1363" t="s">
        <v>4932</v>
      </c>
      <c r="M1363" t="s">
        <v>1957</v>
      </c>
      <c r="N1363" t="s">
        <v>164</v>
      </c>
      <c r="O1363" t="s">
        <v>1958</v>
      </c>
      <c r="P1363" t="s">
        <v>221</v>
      </c>
      <c r="Q1363" t="s">
        <v>82</v>
      </c>
      <c r="R1363">
        <v>4</v>
      </c>
      <c r="S1363">
        <v>3.23</v>
      </c>
      <c r="T1363">
        <v>0</v>
      </c>
      <c r="U1363">
        <v>1</v>
      </c>
      <c r="V1363">
        <v>4</v>
      </c>
      <c r="W1363">
        <v>28.64</v>
      </c>
      <c r="X1363">
        <v>0</v>
      </c>
      <c r="Y1363">
        <v>0</v>
      </c>
      <c r="Z1363">
        <v>0</v>
      </c>
      <c r="AA1363">
        <v>0</v>
      </c>
      <c r="AB1363">
        <v>0</v>
      </c>
      <c r="AC1363">
        <v>0</v>
      </c>
      <c r="AD1363">
        <v>4</v>
      </c>
      <c r="AE1363">
        <v>0</v>
      </c>
      <c r="AF1363">
        <v>0</v>
      </c>
      <c r="AG1363">
        <v>0</v>
      </c>
      <c r="AH1363">
        <v>0</v>
      </c>
      <c r="AI1363">
        <v>0</v>
      </c>
      <c r="AJ1363">
        <v>0</v>
      </c>
      <c r="AK1363">
        <v>0</v>
      </c>
    </row>
    <row r="1364" spans="1:37" x14ac:dyDescent="0.3">
      <c r="A1364">
        <v>7979</v>
      </c>
      <c r="B1364" t="s">
        <v>219</v>
      </c>
      <c r="D1364" t="s">
        <v>327</v>
      </c>
      <c r="E1364">
        <v>99999999</v>
      </c>
      <c r="F1364">
        <v>11111111</v>
      </c>
      <c r="G1364">
        <v>1111111111</v>
      </c>
      <c r="H1364" t="s">
        <v>4933</v>
      </c>
      <c r="I1364">
        <v>99999999</v>
      </c>
      <c r="J1364" s="188">
        <v>45236</v>
      </c>
      <c r="K1364" t="s">
        <v>4933</v>
      </c>
      <c r="L1364" t="s">
        <v>4933</v>
      </c>
      <c r="M1364" t="s">
        <v>360</v>
      </c>
      <c r="N1364" t="s">
        <v>130</v>
      </c>
      <c r="O1364" t="s">
        <v>1959</v>
      </c>
      <c r="P1364" t="s">
        <v>221</v>
      </c>
      <c r="Q1364" t="s">
        <v>82</v>
      </c>
      <c r="R1364">
        <v>3</v>
      </c>
      <c r="S1364">
        <v>52.8</v>
      </c>
      <c r="T1364">
        <v>0</v>
      </c>
      <c r="U1364">
        <v>2</v>
      </c>
      <c r="V1364">
        <v>2</v>
      </c>
      <c r="W1364">
        <v>96.49</v>
      </c>
      <c r="X1364">
        <v>0</v>
      </c>
      <c r="Y1364">
        <v>0</v>
      </c>
      <c r="Z1364">
        <v>0</v>
      </c>
      <c r="AA1364">
        <v>0</v>
      </c>
      <c r="AB1364">
        <v>0</v>
      </c>
      <c r="AC1364">
        <v>0</v>
      </c>
      <c r="AD1364">
        <v>3</v>
      </c>
      <c r="AE1364">
        <v>0</v>
      </c>
      <c r="AF1364">
        <v>0</v>
      </c>
      <c r="AG1364">
        <v>0</v>
      </c>
      <c r="AH1364">
        <v>0</v>
      </c>
      <c r="AI1364">
        <v>0</v>
      </c>
      <c r="AJ1364">
        <v>0</v>
      </c>
      <c r="AK1364">
        <v>0</v>
      </c>
    </row>
    <row r="1365" spans="1:37" x14ac:dyDescent="0.3">
      <c r="A1365">
        <v>7979</v>
      </c>
      <c r="B1365" t="s">
        <v>219</v>
      </c>
      <c r="D1365" t="s">
        <v>327</v>
      </c>
      <c r="E1365">
        <v>99999999</v>
      </c>
      <c r="F1365">
        <v>11111111</v>
      </c>
      <c r="G1365">
        <v>1111111111</v>
      </c>
      <c r="H1365" t="s">
        <v>4934</v>
      </c>
      <c r="I1365">
        <v>99999999</v>
      </c>
      <c r="J1365" s="188">
        <v>45236</v>
      </c>
      <c r="K1365" t="s">
        <v>4934</v>
      </c>
      <c r="L1365" t="s">
        <v>4934</v>
      </c>
      <c r="M1365" t="s">
        <v>1960</v>
      </c>
      <c r="N1365" t="s">
        <v>197</v>
      </c>
      <c r="O1365">
        <v>79777</v>
      </c>
      <c r="P1365" t="s">
        <v>221</v>
      </c>
      <c r="Q1365" t="s">
        <v>82</v>
      </c>
      <c r="R1365">
        <v>1</v>
      </c>
      <c r="S1365">
        <v>44</v>
      </c>
      <c r="T1365">
        <v>0</v>
      </c>
      <c r="U1365">
        <v>1</v>
      </c>
      <c r="V1365">
        <v>1</v>
      </c>
      <c r="W1365">
        <v>74.86</v>
      </c>
      <c r="X1365">
        <v>0</v>
      </c>
      <c r="Y1365">
        <v>0</v>
      </c>
      <c r="Z1365">
        <v>0</v>
      </c>
      <c r="AA1365">
        <v>0</v>
      </c>
      <c r="AB1365">
        <v>0</v>
      </c>
      <c r="AC1365">
        <v>0</v>
      </c>
      <c r="AD1365">
        <v>1</v>
      </c>
      <c r="AE1365">
        <v>0</v>
      </c>
      <c r="AF1365">
        <v>0</v>
      </c>
      <c r="AG1365">
        <v>0</v>
      </c>
      <c r="AH1365">
        <v>0</v>
      </c>
      <c r="AI1365">
        <v>0</v>
      </c>
      <c r="AJ1365">
        <v>0</v>
      </c>
      <c r="AK1365">
        <v>0</v>
      </c>
    </row>
    <row r="1366" spans="1:37" x14ac:dyDescent="0.3">
      <c r="A1366">
        <v>7979</v>
      </c>
      <c r="B1366" t="s">
        <v>219</v>
      </c>
      <c r="D1366" t="s">
        <v>327</v>
      </c>
      <c r="E1366">
        <v>99999999</v>
      </c>
      <c r="F1366">
        <v>11111111</v>
      </c>
      <c r="G1366">
        <v>1111111111</v>
      </c>
      <c r="H1366" t="s">
        <v>4935</v>
      </c>
      <c r="I1366">
        <v>99999999</v>
      </c>
      <c r="J1366" s="188">
        <v>45236</v>
      </c>
      <c r="K1366" t="s">
        <v>4935</v>
      </c>
      <c r="L1366" t="s">
        <v>4935</v>
      </c>
      <c r="M1366" t="s">
        <v>1318</v>
      </c>
      <c r="N1366" t="s">
        <v>197</v>
      </c>
      <c r="O1366">
        <v>78676</v>
      </c>
      <c r="P1366" t="s">
        <v>221</v>
      </c>
      <c r="Q1366" t="s">
        <v>82</v>
      </c>
      <c r="R1366">
        <v>1</v>
      </c>
      <c r="S1366">
        <v>44</v>
      </c>
      <c r="T1366">
        <v>0</v>
      </c>
      <c r="U1366">
        <v>1</v>
      </c>
      <c r="V1366">
        <v>1</v>
      </c>
      <c r="W1366">
        <v>72.72</v>
      </c>
      <c r="X1366">
        <v>0</v>
      </c>
      <c r="Y1366">
        <v>0</v>
      </c>
      <c r="Z1366">
        <v>0</v>
      </c>
      <c r="AA1366">
        <v>0</v>
      </c>
      <c r="AB1366">
        <v>0</v>
      </c>
      <c r="AC1366">
        <v>0</v>
      </c>
      <c r="AD1366">
        <v>1</v>
      </c>
      <c r="AE1366">
        <v>0</v>
      </c>
      <c r="AF1366">
        <v>0</v>
      </c>
      <c r="AG1366">
        <v>0</v>
      </c>
      <c r="AH1366">
        <v>0</v>
      </c>
      <c r="AI1366">
        <v>0</v>
      </c>
      <c r="AJ1366">
        <v>0</v>
      </c>
      <c r="AK1366">
        <v>0</v>
      </c>
    </row>
    <row r="1367" spans="1:37" x14ac:dyDescent="0.3">
      <c r="A1367">
        <v>7979</v>
      </c>
      <c r="B1367" t="s">
        <v>219</v>
      </c>
      <c r="D1367" t="s">
        <v>327</v>
      </c>
      <c r="E1367">
        <v>99999999</v>
      </c>
      <c r="F1367">
        <v>11111111</v>
      </c>
      <c r="G1367">
        <v>1111111111</v>
      </c>
      <c r="H1367" t="s">
        <v>4936</v>
      </c>
      <c r="I1367">
        <v>99999999</v>
      </c>
      <c r="J1367" s="188">
        <v>45236</v>
      </c>
      <c r="K1367" t="s">
        <v>4936</v>
      </c>
      <c r="L1367" t="s">
        <v>4936</v>
      </c>
      <c r="M1367" t="s">
        <v>1961</v>
      </c>
      <c r="N1367" t="s">
        <v>811</v>
      </c>
      <c r="O1367" t="s">
        <v>1962</v>
      </c>
      <c r="P1367" t="s">
        <v>221</v>
      </c>
      <c r="Q1367" t="s">
        <v>82</v>
      </c>
      <c r="R1367">
        <v>1</v>
      </c>
      <c r="S1367">
        <v>1.1299999999999999</v>
      </c>
      <c r="T1367">
        <v>0</v>
      </c>
      <c r="U1367">
        <v>1</v>
      </c>
      <c r="V1367">
        <v>1</v>
      </c>
      <c r="W1367">
        <v>23.1</v>
      </c>
      <c r="X1367">
        <v>0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1</v>
      </c>
      <c r="AE1367">
        <v>0</v>
      </c>
      <c r="AF1367">
        <v>0</v>
      </c>
      <c r="AG1367">
        <v>0</v>
      </c>
      <c r="AH1367">
        <v>0</v>
      </c>
      <c r="AI1367">
        <v>0</v>
      </c>
      <c r="AJ1367">
        <v>0</v>
      </c>
      <c r="AK1367">
        <v>0</v>
      </c>
    </row>
    <row r="1368" spans="1:37" x14ac:dyDescent="0.3">
      <c r="A1368">
        <v>7979</v>
      </c>
      <c r="B1368" t="s">
        <v>219</v>
      </c>
      <c r="D1368" t="s">
        <v>327</v>
      </c>
      <c r="E1368">
        <v>99999999</v>
      </c>
      <c r="F1368">
        <v>11111111</v>
      </c>
      <c r="G1368">
        <v>1111111111</v>
      </c>
      <c r="H1368" t="s">
        <v>4937</v>
      </c>
      <c r="I1368">
        <v>99999999</v>
      </c>
      <c r="J1368" s="188">
        <v>45236</v>
      </c>
      <c r="K1368" t="s">
        <v>4937</v>
      </c>
      <c r="L1368" t="s">
        <v>4937</v>
      </c>
      <c r="M1368" t="s">
        <v>1963</v>
      </c>
      <c r="N1368" t="s">
        <v>811</v>
      </c>
      <c r="O1368" t="s">
        <v>1964</v>
      </c>
      <c r="P1368" t="s">
        <v>221</v>
      </c>
      <c r="Q1368" t="s">
        <v>82</v>
      </c>
      <c r="R1368">
        <v>1</v>
      </c>
      <c r="S1368">
        <v>0.19</v>
      </c>
      <c r="T1368">
        <v>0</v>
      </c>
      <c r="U1368">
        <v>1</v>
      </c>
      <c r="V1368">
        <v>1</v>
      </c>
      <c r="W1368">
        <v>20.78</v>
      </c>
      <c r="X1368">
        <v>0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1</v>
      </c>
      <c r="AE1368">
        <v>0</v>
      </c>
      <c r="AF1368">
        <v>0</v>
      </c>
      <c r="AG1368">
        <v>0</v>
      </c>
      <c r="AH1368">
        <v>0</v>
      </c>
      <c r="AI1368">
        <v>0</v>
      </c>
      <c r="AJ1368">
        <v>0</v>
      </c>
      <c r="AK1368">
        <v>0</v>
      </c>
    </row>
    <row r="1369" spans="1:37" x14ac:dyDescent="0.3">
      <c r="A1369">
        <v>7979</v>
      </c>
      <c r="B1369" t="s">
        <v>219</v>
      </c>
      <c r="D1369" t="s">
        <v>327</v>
      </c>
      <c r="E1369">
        <v>99999999</v>
      </c>
      <c r="F1369">
        <v>11111111</v>
      </c>
      <c r="G1369">
        <v>1111111111</v>
      </c>
      <c r="H1369" t="s">
        <v>4938</v>
      </c>
      <c r="I1369">
        <v>99999999</v>
      </c>
      <c r="J1369" s="188">
        <v>45236</v>
      </c>
      <c r="K1369" t="s">
        <v>4938</v>
      </c>
      <c r="L1369" t="s">
        <v>4938</v>
      </c>
      <c r="M1369" t="s">
        <v>754</v>
      </c>
      <c r="N1369" t="s">
        <v>130</v>
      </c>
      <c r="O1369" t="s">
        <v>1965</v>
      </c>
      <c r="P1369" t="s">
        <v>221</v>
      </c>
      <c r="Q1369" t="s">
        <v>82</v>
      </c>
      <c r="R1369">
        <v>2</v>
      </c>
      <c r="S1369">
        <v>0.24</v>
      </c>
      <c r="T1369">
        <v>0</v>
      </c>
      <c r="U1369">
        <v>1</v>
      </c>
      <c r="V1369">
        <v>2</v>
      </c>
      <c r="W1369">
        <v>19.899999999999999</v>
      </c>
      <c r="X1369">
        <v>0</v>
      </c>
      <c r="Y1369">
        <v>0</v>
      </c>
      <c r="Z1369">
        <v>0</v>
      </c>
      <c r="AA1369">
        <v>0</v>
      </c>
      <c r="AB1369">
        <v>0</v>
      </c>
      <c r="AC1369">
        <v>0</v>
      </c>
      <c r="AD1369">
        <v>2</v>
      </c>
      <c r="AE1369">
        <v>0</v>
      </c>
      <c r="AF1369">
        <v>0</v>
      </c>
      <c r="AG1369">
        <v>0</v>
      </c>
      <c r="AH1369">
        <v>0</v>
      </c>
      <c r="AI1369">
        <v>0</v>
      </c>
      <c r="AJ1369">
        <v>0</v>
      </c>
      <c r="AK1369">
        <v>0</v>
      </c>
    </row>
    <row r="1370" spans="1:37" x14ac:dyDescent="0.3">
      <c r="A1370">
        <v>7979</v>
      </c>
      <c r="B1370" t="s">
        <v>219</v>
      </c>
      <c r="D1370" t="s">
        <v>327</v>
      </c>
      <c r="E1370">
        <v>99999999</v>
      </c>
      <c r="F1370">
        <v>11111111</v>
      </c>
      <c r="G1370">
        <v>1111111111</v>
      </c>
      <c r="H1370" t="s">
        <v>4939</v>
      </c>
      <c r="I1370">
        <v>99999999</v>
      </c>
      <c r="J1370" s="188">
        <v>45236</v>
      </c>
      <c r="K1370" t="s">
        <v>4939</v>
      </c>
      <c r="L1370" t="s">
        <v>4939</v>
      </c>
      <c r="M1370" t="s">
        <v>337</v>
      </c>
      <c r="N1370" t="s">
        <v>99</v>
      </c>
      <c r="O1370" t="s">
        <v>1966</v>
      </c>
      <c r="P1370" t="s">
        <v>221</v>
      </c>
      <c r="Q1370" t="s">
        <v>82</v>
      </c>
      <c r="R1370">
        <v>1</v>
      </c>
      <c r="S1370">
        <v>2</v>
      </c>
      <c r="T1370">
        <v>0</v>
      </c>
      <c r="U1370">
        <v>1</v>
      </c>
      <c r="V1370">
        <v>1</v>
      </c>
      <c r="W1370">
        <v>19.16</v>
      </c>
      <c r="X1370">
        <v>0</v>
      </c>
      <c r="Y1370">
        <v>0</v>
      </c>
      <c r="Z1370">
        <v>0</v>
      </c>
      <c r="AA1370">
        <v>0</v>
      </c>
      <c r="AB1370">
        <v>0</v>
      </c>
      <c r="AC1370">
        <v>0</v>
      </c>
      <c r="AD1370">
        <v>1</v>
      </c>
      <c r="AE1370">
        <v>0</v>
      </c>
      <c r="AF1370">
        <v>0</v>
      </c>
      <c r="AG1370">
        <v>0</v>
      </c>
      <c r="AH1370">
        <v>0</v>
      </c>
      <c r="AI1370">
        <v>0</v>
      </c>
      <c r="AJ1370">
        <v>0</v>
      </c>
      <c r="AK1370">
        <v>0</v>
      </c>
    </row>
    <row r="1371" spans="1:37" x14ac:dyDescent="0.3">
      <c r="A1371">
        <v>7979</v>
      </c>
      <c r="B1371" t="s">
        <v>219</v>
      </c>
      <c r="D1371" t="s">
        <v>327</v>
      </c>
      <c r="E1371">
        <v>99999999</v>
      </c>
      <c r="F1371">
        <v>11111111</v>
      </c>
      <c r="G1371">
        <v>1111111111</v>
      </c>
      <c r="H1371" t="s">
        <v>4940</v>
      </c>
      <c r="I1371">
        <v>99999999</v>
      </c>
      <c r="J1371" s="188">
        <v>45236</v>
      </c>
      <c r="K1371" t="s">
        <v>4940</v>
      </c>
      <c r="L1371" t="s">
        <v>4940</v>
      </c>
      <c r="M1371" t="s">
        <v>198</v>
      </c>
      <c r="N1371" t="s">
        <v>1350</v>
      </c>
      <c r="O1371" t="s">
        <v>1967</v>
      </c>
      <c r="P1371" t="s">
        <v>221</v>
      </c>
      <c r="Q1371" t="s">
        <v>82</v>
      </c>
      <c r="R1371">
        <v>1</v>
      </c>
      <c r="S1371">
        <v>1.6659999999999999</v>
      </c>
      <c r="T1371">
        <v>0</v>
      </c>
      <c r="U1371">
        <v>1</v>
      </c>
      <c r="V1371">
        <v>1</v>
      </c>
      <c r="W1371">
        <v>24.81</v>
      </c>
      <c r="X1371">
        <v>0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1</v>
      </c>
      <c r="AE1371">
        <v>0</v>
      </c>
      <c r="AF1371">
        <v>0</v>
      </c>
      <c r="AG1371">
        <v>0</v>
      </c>
      <c r="AH1371">
        <v>0</v>
      </c>
      <c r="AI1371">
        <v>0</v>
      </c>
      <c r="AJ1371">
        <v>0</v>
      </c>
      <c r="AK1371">
        <v>0</v>
      </c>
    </row>
    <row r="1372" spans="1:37" x14ac:dyDescent="0.3">
      <c r="A1372">
        <v>7979</v>
      </c>
      <c r="B1372" t="s">
        <v>219</v>
      </c>
      <c r="D1372" t="s">
        <v>327</v>
      </c>
      <c r="E1372">
        <v>99999999</v>
      </c>
      <c r="F1372">
        <v>11111111</v>
      </c>
      <c r="G1372">
        <v>1111111111</v>
      </c>
      <c r="H1372" t="s">
        <v>4941</v>
      </c>
      <c r="I1372">
        <v>99999999</v>
      </c>
      <c r="J1372" s="188">
        <v>45236</v>
      </c>
      <c r="K1372" t="s">
        <v>4941</v>
      </c>
      <c r="L1372" t="s">
        <v>4941</v>
      </c>
      <c r="M1372" t="s">
        <v>1968</v>
      </c>
      <c r="N1372" t="s">
        <v>130</v>
      </c>
      <c r="O1372" t="s">
        <v>1969</v>
      </c>
      <c r="P1372" t="s">
        <v>221</v>
      </c>
      <c r="Q1372" t="s">
        <v>82</v>
      </c>
      <c r="R1372">
        <v>1</v>
      </c>
      <c r="S1372">
        <v>0.15</v>
      </c>
      <c r="T1372">
        <v>0</v>
      </c>
      <c r="U1372">
        <v>1</v>
      </c>
      <c r="V1372">
        <v>1</v>
      </c>
      <c r="W1372">
        <v>19.899999999999999</v>
      </c>
      <c r="X1372">
        <v>0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1</v>
      </c>
      <c r="AE1372">
        <v>0</v>
      </c>
      <c r="AF1372">
        <v>0</v>
      </c>
      <c r="AG1372">
        <v>0</v>
      </c>
      <c r="AH1372">
        <v>0</v>
      </c>
      <c r="AI1372">
        <v>0</v>
      </c>
      <c r="AJ1372">
        <v>0</v>
      </c>
      <c r="AK1372">
        <v>0</v>
      </c>
    </row>
    <row r="1373" spans="1:37" x14ac:dyDescent="0.3">
      <c r="A1373">
        <v>7979</v>
      </c>
      <c r="B1373" t="s">
        <v>219</v>
      </c>
      <c r="D1373" t="s">
        <v>327</v>
      </c>
      <c r="E1373">
        <v>99999999</v>
      </c>
      <c r="F1373">
        <v>11111111</v>
      </c>
      <c r="G1373">
        <v>1111111111</v>
      </c>
      <c r="H1373" t="s">
        <v>4942</v>
      </c>
      <c r="I1373">
        <v>99999999</v>
      </c>
      <c r="J1373" s="188">
        <v>45236</v>
      </c>
      <c r="K1373" t="s">
        <v>4942</v>
      </c>
      <c r="L1373" t="s">
        <v>4942</v>
      </c>
      <c r="M1373" t="s">
        <v>1970</v>
      </c>
      <c r="N1373" t="s">
        <v>231</v>
      </c>
      <c r="O1373" t="s">
        <v>1971</v>
      </c>
      <c r="P1373" t="s">
        <v>221</v>
      </c>
      <c r="Q1373" t="s">
        <v>82</v>
      </c>
      <c r="R1373">
        <v>1</v>
      </c>
      <c r="S1373">
        <v>0.31</v>
      </c>
      <c r="T1373">
        <v>0</v>
      </c>
      <c r="U1373">
        <v>1</v>
      </c>
      <c r="V1373">
        <v>1</v>
      </c>
      <c r="W1373">
        <v>26.9</v>
      </c>
      <c r="X1373">
        <v>0</v>
      </c>
      <c r="Y1373">
        <v>0</v>
      </c>
      <c r="Z1373">
        <v>0</v>
      </c>
      <c r="AA1373">
        <v>0</v>
      </c>
      <c r="AB1373">
        <v>0</v>
      </c>
      <c r="AC1373">
        <v>0</v>
      </c>
      <c r="AD1373">
        <v>1</v>
      </c>
      <c r="AE1373">
        <v>0</v>
      </c>
      <c r="AF1373">
        <v>0</v>
      </c>
      <c r="AG1373">
        <v>0</v>
      </c>
      <c r="AH1373">
        <v>0</v>
      </c>
      <c r="AI1373">
        <v>0</v>
      </c>
      <c r="AJ1373">
        <v>0</v>
      </c>
      <c r="AK1373">
        <v>0</v>
      </c>
    </row>
    <row r="1374" spans="1:37" x14ac:dyDescent="0.3">
      <c r="A1374">
        <v>7979</v>
      </c>
      <c r="B1374" t="s">
        <v>219</v>
      </c>
      <c r="D1374" t="s">
        <v>327</v>
      </c>
      <c r="E1374">
        <v>99999999</v>
      </c>
      <c r="F1374">
        <v>11111111</v>
      </c>
      <c r="G1374">
        <v>1111111111</v>
      </c>
      <c r="H1374" t="s">
        <v>4943</v>
      </c>
      <c r="I1374">
        <v>99999999</v>
      </c>
      <c r="J1374" s="188">
        <v>45236</v>
      </c>
      <c r="K1374" t="s">
        <v>4943</v>
      </c>
      <c r="L1374" t="s">
        <v>4943</v>
      </c>
      <c r="M1374" t="s">
        <v>230</v>
      </c>
      <c r="N1374" t="s">
        <v>231</v>
      </c>
      <c r="O1374" t="s">
        <v>1972</v>
      </c>
      <c r="P1374" t="s">
        <v>221</v>
      </c>
      <c r="Q1374" t="s">
        <v>82</v>
      </c>
      <c r="R1374">
        <v>1</v>
      </c>
      <c r="S1374">
        <v>0.93</v>
      </c>
      <c r="T1374">
        <v>0</v>
      </c>
      <c r="U1374">
        <v>1</v>
      </c>
      <c r="V1374">
        <v>1</v>
      </c>
      <c r="W1374">
        <v>23.1</v>
      </c>
      <c r="X1374">
        <v>0</v>
      </c>
      <c r="Y1374">
        <v>0</v>
      </c>
      <c r="Z1374">
        <v>0</v>
      </c>
      <c r="AA1374">
        <v>0</v>
      </c>
      <c r="AB1374">
        <v>0</v>
      </c>
      <c r="AC1374">
        <v>0</v>
      </c>
      <c r="AD1374">
        <v>1</v>
      </c>
      <c r="AE1374">
        <v>0</v>
      </c>
      <c r="AF1374">
        <v>0</v>
      </c>
      <c r="AG1374">
        <v>0</v>
      </c>
      <c r="AH1374">
        <v>0</v>
      </c>
      <c r="AI1374">
        <v>0</v>
      </c>
      <c r="AJ1374">
        <v>0</v>
      </c>
      <c r="AK1374">
        <v>0</v>
      </c>
    </row>
    <row r="1375" spans="1:37" x14ac:dyDescent="0.3">
      <c r="A1375">
        <v>7979</v>
      </c>
      <c r="B1375" t="s">
        <v>219</v>
      </c>
      <c r="D1375" t="s">
        <v>327</v>
      </c>
      <c r="E1375">
        <v>99999999</v>
      </c>
      <c r="F1375">
        <v>11111111</v>
      </c>
      <c r="G1375">
        <v>1111111111</v>
      </c>
      <c r="H1375" t="s">
        <v>4944</v>
      </c>
      <c r="I1375">
        <v>99999999</v>
      </c>
      <c r="J1375" s="188">
        <v>45236</v>
      </c>
      <c r="K1375" t="s">
        <v>4944</v>
      </c>
      <c r="L1375" t="s">
        <v>4944</v>
      </c>
      <c r="M1375" t="s">
        <v>1973</v>
      </c>
      <c r="N1375" t="s">
        <v>233</v>
      </c>
      <c r="O1375" t="s">
        <v>1974</v>
      </c>
      <c r="P1375" t="s">
        <v>221</v>
      </c>
      <c r="Q1375" t="s">
        <v>82</v>
      </c>
      <c r="R1375">
        <v>1</v>
      </c>
      <c r="S1375">
        <v>0.93</v>
      </c>
      <c r="T1375">
        <v>0</v>
      </c>
      <c r="U1375">
        <v>1</v>
      </c>
      <c r="V1375">
        <v>1</v>
      </c>
      <c r="W1375">
        <v>23.1</v>
      </c>
      <c r="X1375">
        <v>0</v>
      </c>
      <c r="Y1375">
        <v>0</v>
      </c>
      <c r="Z1375">
        <v>0</v>
      </c>
      <c r="AA1375">
        <v>0</v>
      </c>
      <c r="AB1375">
        <v>0</v>
      </c>
      <c r="AC1375">
        <v>0</v>
      </c>
      <c r="AD1375">
        <v>1</v>
      </c>
      <c r="AE1375">
        <v>0</v>
      </c>
      <c r="AF1375">
        <v>0</v>
      </c>
      <c r="AG1375">
        <v>0</v>
      </c>
      <c r="AH1375">
        <v>0</v>
      </c>
      <c r="AI1375">
        <v>0</v>
      </c>
      <c r="AJ1375">
        <v>0</v>
      </c>
      <c r="AK1375">
        <v>0</v>
      </c>
    </row>
    <row r="1376" spans="1:37" x14ac:dyDescent="0.3">
      <c r="A1376">
        <v>7979</v>
      </c>
      <c r="B1376" t="s">
        <v>219</v>
      </c>
      <c r="D1376" t="s">
        <v>327</v>
      </c>
      <c r="E1376">
        <v>99999999</v>
      </c>
      <c r="F1376">
        <v>11111111</v>
      </c>
      <c r="G1376">
        <v>1111111111</v>
      </c>
      <c r="H1376" t="s">
        <v>4945</v>
      </c>
      <c r="I1376">
        <v>99999999</v>
      </c>
      <c r="J1376" s="188">
        <v>45236</v>
      </c>
      <c r="K1376" t="s">
        <v>4945</v>
      </c>
      <c r="L1376" t="s">
        <v>4945</v>
      </c>
      <c r="M1376" t="s">
        <v>1975</v>
      </c>
      <c r="N1376" t="s">
        <v>88</v>
      </c>
      <c r="O1376" t="s">
        <v>1976</v>
      </c>
      <c r="P1376" t="s">
        <v>221</v>
      </c>
      <c r="Q1376" t="s">
        <v>82</v>
      </c>
      <c r="R1376">
        <v>1</v>
      </c>
      <c r="S1376">
        <v>1.42</v>
      </c>
      <c r="T1376">
        <v>0</v>
      </c>
      <c r="U1376">
        <v>1</v>
      </c>
      <c r="V1376">
        <v>1</v>
      </c>
      <c r="W1376">
        <v>22.81</v>
      </c>
      <c r="X1376">
        <v>0</v>
      </c>
      <c r="Y1376">
        <v>0</v>
      </c>
      <c r="Z1376">
        <v>0</v>
      </c>
      <c r="AA1376">
        <v>0</v>
      </c>
      <c r="AB1376">
        <v>0</v>
      </c>
      <c r="AC1376">
        <v>0</v>
      </c>
      <c r="AD1376">
        <v>1</v>
      </c>
      <c r="AE1376">
        <v>0</v>
      </c>
      <c r="AF1376">
        <v>0</v>
      </c>
      <c r="AG1376">
        <v>0</v>
      </c>
      <c r="AH1376">
        <v>0</v>
      </c>
      <c r="AI1376">
        <v>0</v>
      </c>
      <c r="AJ1376">
        <v>0</v>
      </c>
      <c r="AK1376">
        <v>0</v>
      </c>
    </row>
    <row r="1377" spans="1:37" x14ac:dyDescent="0.3">
      <c r="A1377">
        <v>7979</v>
      </c>
      <c r="B1377" t="s">
        <v>219</v>
      </c>
      <c r="D1377" t="s">
        <v>327</v>
      </c>
      <c r="E1377">
        <v>99999999</v>
      </c>
      <c r="F1377">
        <v>11111111</v>
      </c>
      <c r="G1377">
        <v>1111111111</v>
      </c>
      <c r="H1377" t="s">
        <v>4946</v>
      </c>
      <c r="I1377">
        <v>99999999</v>
      </c>
      <c r="J1377" s="188">
        <v>45236</v>
      </c>
      <c r="K1377" t="s">
        <v>4946</v>
      </c>
      <c r="L1377" t="s">
        <v>4946</v>
      </c>
      <c r="M1377" t="s">
        <v>659</v>
      </c>
      <c r="N1377" t="s">
        <v>99</v>
      </c>
      <c r="O1377" t="s">
        <v>1977</v>
      </c>
      <c r="P1377" t="s">
        <v>221</v>
      </c>
      <c r="Q1377" t="s">
        <v>82</v>
      </c>
      <c r="R1377">
        <v>3</v>
      </c>
      <c r="S1377">
        <v>2.4500000000000002</v>
      </c>
      <c r="T1377">
        <v>0</v>
      </c>
      <c r="U1377">
        <v>1</v>
      </c>
      <c r="V1377">
        <v>2</v>
      </c>
      <c r="W1377">
        <v>20.67</v>
      </c>
      <c r="X1377">
        <v>0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3</v>
      </c>
      <c r="AE1377">
        <v>0</v>
      </c>
      <c r="AF1377">
        <v>0</v>
      </c>
      <c r="AG1377">
        <v>0</v>
      </c>
      <c r="AH1377">
        <v>0</v>
      </c>
      <c r="AI1377">
        <v>0</v>
      </c>
      <c r="AJ1377">
        <v>0</v>
      </c>
      <c r="AK1377">
        <v>0</v>
      </c>
    </row>
    <row r="1378" spans="1:37" x14ac:dyDescent="0.3">
      <c r="A1378">
        <v>7979</v>
      </c>
      <c r="B1378" t="s">
        <v>219</v>
      </c>
      <c r="D1378" t="s">
        <v>327</v>
      </c>
      <c r="E1378">
        <v>99999999</v>
      </c>
      <c r="F1378">
        <v>11111111</v>
      </c>
      <c r="G1378">
        <v>1111111111</v>
      </c>
      <c r="H1378" t="s">
        <v>4947</v>
      </c>
      <c r="I1378">
        <v>99999999</v>
      </c>
      <c r="J1378" s="188">
        <v>45236</v>
      </c>
      <c r="K1378" t="s">
        <v>4947</v>
      </c>
      <c r="L1378" t="s">
        <v>4947</v>
      </c>
      <c r="M1378" t="s">
        <v>1978</v>
      </c>
      <c r="N1378" t="s">
        <v>381</v>
      </c>
      <c r="O1378">
        <v>59457</v>
      </c>
      <c r="P1378" t="s">
        <v>221</v>
      </c>
      <c r="Q1378" t="s">
        <v>82</v>
      </c>
      <c r="R1378">
        <v>2</v>
      </c>
      <c r="S1378">
        <v>1.3</v>
      </c>
      <c r="T1378">
        <v>0</v>
      </c>
      <c r="U1378">
        <v>1</v>
      </c>
      <c r="V1378">
        <v>2</v>
      </c>
      <c r="W1378">
        <v>29.8</v>
      </c>
      <c r="X1378">
        <v>0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2</v>
      </c>
      <c r="AE1378">
        <v>0</v>
      </c>
      <c r="AF1378">
        <v>0</v>
      </c>
      <c r="AG1378">
        <v>0</v>
      </c>
      <c r="AH1378">
        <v>0</v>
      </c>
      <c r="AI1378">
        <v>0</v>
      </c>
      <c r="AJ1378">
        <v>0</v>
      </c>
      <c r="AK1378">
        <v>0</v>
      </c>
    </row>
    <row r="1379" spans="1:37" x14ac:dyDescent="0.3">
      <c r="A1379">
        <v>7979</v>
      </c>
      <c r="B1379" t="s">
        <v>219</v>
      </c>
      <c r="D1379" t="s">
        <v>327</v>
      </c>
      <c r="E1379">
        <v>99999999</v>
      </c>
      <c r="F1379">
        <v>11111111</v>
      </c>
      <c r="G1379">
        <v>1111111111</v>
      </c>
      <c r="H1379" t="s">
        <v>4948</v>
      </c>
      <c r="I1379">
        <v>99999999</v>
      </c>
      <c r="J1379" s="188">
        <v>45236</v>
      </c>
      <c r="K1379" t="s">
        <v>4948</v>
      </c>
      <c r="L1379" t="s">
        <v>4948</v>
      </c>
      <c r="M1379" t="s">
        <v>1979</v>
      </c>
      <c r="N1379" t="s">
        <v>99</v>
      </c>
      <c r="O1379" t="s">
        <v>1980</v>
      </c>
      <c r="P1379" t="s">
        <v>221</v>
      </c>
      <c r="Q1379" t="s">
        <v>82</v>
      </c>
      <c r="R1379">
        <v>4</v>
      </c>
      <c r="S1379">
        <v>3.2</v>
      </c>
      <c r="T1379">
        <v>0</v>
      </c>
      <c r="U1379">
        <v>1</v>
      </c>
      <c r="V1379">
        <v>2</v>
      </c>
      <c r="W1379">
        <v>27.8</v>
      </c>
      <c r="X1379">
        <v>0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4</v>
      </c>
      <c r="AE1379">
        <v>0</v>
      </c>
      <c r="AF1379">
        <v>0</v>
      </c>
      <c r="AG1379">
        <v>0</v>
      </c>
      <c r="AH1379">
        <v>0</v>
      </c>
      <c r="AI1379">
        <v>0</v>
      </c>
      <c r="AJ1379">
        <v>0</v>
      </c>
      <c r="AK1379">
        <v>0</v>
      </c>
    </row>
    <row r="1380" spans="1:37" x14ac:dyDescent="0.3">
      <c r="A1380">
        <v>7979</v>
      </c>
      <c r="B1380" t="s">
        <v>219</v>
      </c>
      <c r="D1380" t="s">
        <v>327</v>
      </c>
      <c r="E1380">
        <v>99999999</v>
      </c>
      <c r="F1380">
        <v>11111111</v>
      </c>
      <c r="G1380">
        <v>1111111111</v>
      </c>
      <c r="H1380" t="s">
        <v>4949</v>
      </c>
      <c r="I1380">
        <v>99999999</v>
      </c>
      <c r="J1380" s="188">
        <v>45236</v>
      </c>
      <c r="K1380" t="s">
        <v>4949</v>
      </c>
      <c r="L1380" t="s">
        <v>4949</v>
      </c>
      <c r="M1380" t="s">
        <v>418</v>
      </c>
      <c r="N1380" t="s">
        <v>91</v>
      </c>
      <c r="O1380" t="s">
        <v>1981</v>
      </c>
      <c r="P1380" t="s">
        <v>221</v>
      </c>
      <c r="Q1380" t="s">
        <v>82</v>
      </c>
      <c r="R1380">
        <v>1</v>
      </c>
      <c r="S1380">
        <v>1.17</v>
      </c>
      <c r="T1380">
        <v>0</v>
      </c>
      <c r="U1380">
        <v>1</v>
      </c>
      <c r="V1380">
        <v>1</v>
      </c>
      <c r="W1380">
        <v>21.54</v>
      </c>
      <c r="X1380">
        <v>0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1</v>
      </c>
      <c r="AE1380">
        <v>0</v>
      </c>
      <c r="AF1380">
        <v>0</v>
      </c>
      <c r="AG1380">
        <v>0</v>
      </c>
      <c r="AH1380">
        <v>0</v>
      </c>
      <c r="AI1380">
        <v>0</v>
      </c>
      <c r="AJ1380">
        <v>0</v>
      </c>
      <c r="AK1380">
        <v>0</v>
      </c>
    </row>
    <row r="1381" spans="1:37" x14ac:dyDescent="0.3">
      <c r="A1381">
        <v>7979</v>
      </c>
      <c r="B1381" t="s">
        <v>219</v>
      </c>
      <c r="D1381" t="s">
        <v>327</v>
      </c>
      <c r="E1381">
        <v>99999999</v>
      </c>
      <c r="F1381">
        <v>11111111</v>
      </c>
      <c r="G1381">
        <v>1111111111</v>
      </c>
      <c r="H1381" t="s">
        <v>4950</v>
      </c>
      <c r="I1381">
        <v>99999999</v>
      </c>
      <c r="J1381" s="188">
        <v>45236</v>
      </c>
      <c r="K1381" t="s">
        <v>4950</v>
      </c>
      <c r="L1381" t="s">
        <v>4950</v>
      </c>
      <c r="M1381" t="s">
        <v>1982</v>
      </c>
      <c r="N1381" t="s">
        <v>233</v>
      </c>
      <c r="O1381" t="s">
        <v>1983</v>
      </c>
      <c r="P1381" t="s">
        <v>221</v>
      </c>
      <c r="Q1381" t="s">
        <v>82</v>
      </c>
      <c r="R1381">
        <v>1</v>
      </c>
      <c r="S1381">
        <v>0.05</v>
      </c>
      <c r="T1381">
        <v>0</v>
      </c>
      <c r="U1381">
        <v>1</v>
      </c>
      <c r="V1381">
        <v>1</v>
      </c>
      <c r="W1381">
        <v>26.9</v>
      </c>
      <c r="X1381">
        <v>0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1</v>
      </c>
      <c r="AE1381">
        <v>0</v>
      </c>
      <c r="AF1381">
        <v>0</v>
      </c>
      <c r="AG1381">
        <v>0</v>
      </c>
      <c r="AH1381">
        <v>0</v>
      </c>
      <c r="AI1381">
        <v>0</v>
      </c>
      <c r="AJ1381">
        <v>0</v>
      </c>
      <c r="AK1381">
        <v>0</v>
      </c>
    </row>
    <row r="1382" spans="1:37" x14ac:dyDescent="0.3">
      <c r="A1382">
        <v>7979</v>
      </c>
      <c r="B1382" t="s">
        <v>219</v>
      </c>
      <c r="D1382" t="s">
        <v>327</v>
      </c>
      <c r="E1382">
        <v>99999999</v>
      </c>
      <c r="F1382">
        <v>11111111</v>
      </c>
      <c r="G1382">
        <v>1111111111</v>
      </c>
      <c r="H1382" t="s">
        <v>4951</v>
      </c>
      <c r="I1382">
        <v>99999999</v>
      </c>
      <c r="J1382" s="188">
        <v>45236</v>
      </c>
      <c r="K1382" t="s">
        <v>4951</v>
      </c>
      <c r="L1382" t="s">
        <v>4951</v>
      </c>
      <c r="M1382" t="s">
        <v>448</v>
      </c>
      <c r="N1382" t="s">
        <v>197</v>
      </c>
      <c r="O1382" t="s">
        <v>1984</v>
      </c>
      <c r="P1382" t="s">
        <v>221</v>
      </c>
      <c r="Q1382" t="s">
        <v>82</v>
      </c>
      <c r="R1382">
        <v>1</v>
      </c>
      <c r="S1382">
        <v>1.5</v>
      </c>
      <c r="T1382">
        <v>0</v>
      </c>
      <c r="U1382">
        <v>1</v>
      </c>
      <c r="V1382">
        <v>1</v>
      </c>
      <c r="W1382">
        <v>22.81</v>
      </c>
      <c r="X1382">
        <v>0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1</v>
      </c>
      <c r="AE1382">
        <v>0</v>
      </c>
      <c r="AF1382">
        <v>0</v>
      </c>
      <c r="AG1382">
        <v>0</v>
      </c>
      <c r="AH1382">
        <v>0</v>
      </c>
      <c r="AI1382">
        <v>0</v>
      </c>
      <c r="AJ1382">
        <v>0</v>
      </c>
      <c r="AK1382">
        <v>0</v>
      </c>
    </row>
    <row r="1383" spans="1:37" x14ac:dyDescent="0.3">
      <c r="A1383">
        <v>7979</v>
      </c>
      <c r="B1383" t="s">
        <v>219</v>
      </c>
      <c r="D1383" t="s">
        <v>327</v>
      </c>
      <c r="E1383">
        <v>99999999</v>
      </c>
      <c r="F1383">
        <v>11111111</v>
      </c>
      <c r="G1383">
        <v>1111111111</v>
      </c>
      <c r="H1383" t="s">
        <v>4952</v>
      </c>
      <c r="I1383">
        <v>99999999</v>
      </c>
      <c r="J1383" s="188">
        <v>45236</v>
      </c>
      <c r="K1383" t="s">
        <v>4952</v>
      </c>
      <c r="L1383" t="s">
        <v>4952</v>
      </c>
      <c r="M1383" t="s">
        <v>1985</v>
      </c>
      <c r="N1383" t="s">
        <v>130</v>
      </c>
      <c r="O1383">
        <v>80108</v>
      </c>
      <c r="P1383" t="s">
        <v>221</v>
      </c>
      <c r="Q1383" t="s">
        <v>82</v>
      </c>
      <c r="R1383">
        <v>2</v>
      </c>
      <c r="S1383">
        <v>1.9</v>
      </c>
      <c r="T1383">
        <v>0</v>
      </c>
      <c r="U1383">
        <v>1</v>
      </c>
      <c r="V1383">
        <v>2</v>
      </c>
      <c r="W1383">
        <v>22.67</v>
      </c>
      <c r="X1383">
        <v>0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2</v>
      </c>
      <c r="AE1383">
        <v>0</v>
      </c>
      <c r="AF1383">
        <v>0</v>
      </c>
      <c r="AG1383">
        <v>0</v>
      </c>
      <c r="AH1383">
        <v>0</v>
      </c>
      <c r="AI1383">
        <v>0</v>
      </c>
      <c r="AJ1383">
        <v>0</v>
      </c>
      <c r="AK1383">
        <v>0</v>
      </c>
    </row>
    <row r="1384" spans="1:37" x14ac:dyDescent="0.3">
      <c r="A1384">
        <v>7979</v>
      </c>
      <c r="B1384" t="s">
        <v>219</v>
      </c>
      <c r="D1384" t="s">
        <v>327</v>
      </c>
      <c r="E1384">
        <v>99999999</v>
      </c>
      <c r="F1384">
        <v>11111111</v>
      </c>
      <c r="G1384">
        <v>1111111111</v>
      </c>
      <c r="H1384" t="s">
        <v>4953</v>
      </c>
      <c r="I1384">
        <v>99999999</v>
      </c>
      <c r="J1384" s="188">
        <v>45236</v>
      </c>
      <c r="K1384" t="s">
        <v>4953</v>
      </c>
      <c r="L1384" t="s">
        <v>4953</v>
      </c>
      <c r="M1384" t="s">
        <v>573</v>
      </c>
      <c r="N1384" t="s">
        <v>97</v>
      </c>
      <c r="O1384" t="s">
        <v>1986</v>
      </c>
      <c r="P1384" t="s">
        <v>221</v>
      </c>
      <c r="Q1384" t="s">
        <v>82</v>
      </c>
      <c r="R1384">
        <v>5</v>
      </c>
      <c r="S1384">
        <v>3.84</v>
      </c>
      <c r="T1384">
        <v>0</v>
      </c>
      <c r="U1384">
        <v>1</v>
      </c>
      <c r="V1384">
        <v>4</v>
      </c>
      <c r="W1384">
        <v>22.93</v>
      </c>
      <c r="X1384">
        <v>0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5</v>
      </c>
      <c r="AE1384">
        <v>0</v>
      </c>
      <c r="AF1384">
        <v>0</v>
      </c>
      <c r="AG1384">
        <v>0</v>
      </c>
      <c r="AH1384">
        <v>0</v>
      </c>
      <c r="AI1384">
        <v>0</v>
      </c>
      <c r="AJ1384">
        <v>0</v>
      </c>
      <c r="AK1384">
        <v>0</v>
      </c>
    </row>
    <row r="1385" spans="1:37" x14ac:dyDescent="0.3">
      <c r="A1385">
        <v>7979</v>
      </c>
      <c r="B1385" t="s">
        <v>219</v>
      </c>
      <c r="D1385" t="s">
        <v>327</v>
      </c>
      <c r="E1385">
        <v>99999999</v>
      </c>
      <c r="F1385">
        <v>11111111</v>
      </c>
      <c r="G1385">
        <v>1111111111</v>
      </c>
      <c r="H1385" t="s">
        <v>4954</v>
      </c>
      <c r="I1385">
        <v>99999999</v>
      </c>
      <c r="J1385" s="188">
        <v>45236</v>
      </c>
      <c r="K1385" t="s">
        <v>4954</v>
      </c>
      <c r="L1385" t="s">
        <v>4954</v>
      </c>
      <c r="M1385" t="s">
        <v>1077</v>
      </c>
      <c r="N1385" t="s">
        <v>99</v>
      </c>
      <c r="O1385">
        <v>94010</v>
      </c>
      <c r="P1385" t="s">
        <v>221</v>
      </c>
      <c r="Q1385" t="s">
        <v>82</v>
      </c>
      <c r="R1385">
        <v>1</v>
      </c>
      <c r="S1385">
        <v>0.05</v>
      </c>
      <c r="T1385">
        <v>0</v>
      </c>
      <c r="U1385">
        <v>1</v>
      </c>
      <c r="V1385">
        <v>1</v>
      </c>
      <c r="W1385">
        <v>18.2</v>
      </c>
      <c r="X1385">
        <v>0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1</v>
      </c>
      <c r="AE1385">
        <v>0</v>
      </c>
      <c r="AF1385">
        <v>0</v>
      </c>
      <c r="AG1385">
        <v>0</v>
      </c>
      <c r="AH1385">
        <v>0</v>
      </c>
      <c r="AI1385">
        <v>0</v>
      </c>
      <c r="AJ1385">
        <v>0</v>
      </c>
      <c r="AK1385">
        <v>0</v>
      </c>
    </row>
    <row r="1386" spans="1:37" x14ac:dyDescent="0.3">
      <c r="A1386">
        <v>7979</v>
      </c>
      <c r="B1386" t="s">
        <v>219</v>
      </c>
      <c r="D1386" t="s">
        <v>327</v>
      </c>
      <c r="E1386">
        <v>99999999</v>
      </c>
      <c r="F1386">
        <v>11111111</v>
      </c>
      <c r="G1386">
        <v>1111111111</v>
      </c>
      <c r="H1386" t="s">
        <v>4955</v>
      </c>
      <c r="I1386">
        <v>99999999</v>
      </c>
      <c r="J1386" s="188">
        <v>45236</v>
      </c>
      <c r="K1386" t="s">
        <v>4955</v>
      </c>
      <c r="L1386" t="s">
        <v>4955</v>
      </c>
      <c r="M1386" t="s">
        <v>155</v>
      </c>
      <c r="N1386" t="s">
        <v>99</v>
      </c>
      <c r="O1386" t="s">
        <v>1987</v>
      </c>
      <c r="P1386" t="s">
        <v>221</v>
      </c>
      <c r="Q1386" t="s">
        <v>82</v>
      </c>
      <c r="R1386">
        <v>1</v>
      </c>
      <c r="S1386">
        <v>0.3</v>
      </c>
      <c r="T1386">
        <v>0</v>
      </c>
      <c r="U1386">
        <v>1</v>
      </c>
      <c r="V1386">
        <v>1</v>
      </c>
      <c r="W1386">
        <v>19.3</v>
      </c>
      <c r="X1386">
        <v>0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1</v>
      </c>
      <c r="AE1386">
        <v>0</v>
      </c>
      <c r="AF1386">
        <v>0</v>
      </c>
      <c r="AG1386">
        <v>0</v>
      </c>
      <c r="AH1386">
        <v>0</v>
      </c>
      <c r="AI1386">
        <v>0</v>
      </c>
      <c r="AJ1386">
        <v>0</v>
      </c>
      <c r="AK1386">
        <v>0</v>
      </c>
    </row>
    <row r="1387" spans="1:37" x14ac:dyDescent="0.3">
      <c r="A1387">
        <v>7979</v>
      </c>
      <c r="B1387" t="s">
        <v>219</v>
      </c>
      <c r="D1387" t="s">
        <v>327</v>
      </c>
      <c r="E1387">
        <v>99999999</v>
      </c>
      <c r="F1387">
        <v>11111111</v>
      </c>
      <c r="G1387">
        <v>1111111111</v>
      </c>
      <c r="H1387" t="s">
        <v>4956</v>
      </c>
      <c r="I1387">
        <v>99999999</v>
      </c>
      <c r="J1387" s="188">
        <v>45236</v>
      </c>
      <c r="K1387" t="s">
        <v>4956</v>
      </c>
      <c r="L1387" t="s">
        <v>4956</v>
      </c>
      <c r="M1387" t="s">
        <v>1988</v>
      </c>
      <c r="N1387" t="s">
        <v>197</v>
      </c>
      <c r="O1387" t="s">
        <v>1989</v>
      </c>
      <c r="P1387" t="s">
        <v>221</v>
      </c>
      <c r="Q1387" t="s">
        <v>82</v>
      </c>
      <c r="R1387">
        <v>1</v>
      </c>
      <c r="S1387">
        <v>1.05</v>
      </c>
      <c r="T1387">
        <v>0</v>
      </c>
      <c r="U1387">
        <v>1</v>
      </c>
      <c r="V1387">
        <v>1</v>
      </c>
      <c r="W1387">
        <v>31.07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1</v>
      </c>
      <c r="AE1387">
        <v>0</v>
      </c>
      <c r="AF1387">
        <v>0</v>
      </c>
      <c r="AG1387">
        <v>0</v>
      </c>
      <c r="AH1387">
        <v>0</v>
      </c>
      <c r="AI1387">
        <v>0</v>
      </c>
      <c r="AJ1387">
        <v>0</v>
      </c>
      <c r="AK1387">
        <v>0</v>
      </c>
    </row>
    <row r="1388" spans="1:37" x14ac:dyDescent="0.3">
      <c r="A1388">
        <v>7979</v>
      </c>
      <c r="B1388" t="s">
        <v>219</v>
      </c>
      <c r="D1388" t="s">
        <v>327</v>
      </c>
      <c r="E1388">
        <v>99999999</v>
      </c>
      <c r="F1388">
        <v>11111111</v>
      </c>
      <c r="G1388">
        <v>1111111111</v>
      </c>
      <c r="H1388" t="s">
        <v>4957</v>
      </c>
      <c r="I1388">
        <v>99999999</v>
      </c>
      <c r="J1388" s="188">
        <v>45236</v>
      </c>
      <c r="K1388" t="s">
        <v>4957</v>
      </c>
      <c r="L1388" t="s">
        <v>4957</v>
      </c>
      <c r="M1388" t="s">
        <v>1990</v>
      </c>
      <c r="N1388" t="s">
        <v>161</v>
      </c>
      <c r="O1388" t="s">
        <v>1991</v>
      </c>
      <c r="P1388" t="s">
        <v>221</v>
      </c>
      <c r="Q1388" t="s">
        <v>82</v>
      </c>
      <c r="R1388">
        <v>1</v>
      </c>
      <c r="S1388">
        <v>2</v>
      </c>
      <c r="T1388">
        <v>0</v>
      </c>
      <c r="U1388">
        <v>1</v>
      </c>
      <c r="V1388">
        <v>1</v>
      </c>
      <c r="W1388">
        <v>30.05</v>
      </c>
      <c r="X1388">
        <v>0</v>
      </c>
      <c r="Y1388">
        <v>0</v>
      </c>
      <c r="Z1388">
        <v>0</v>
      </c>
      <c r="AA1388">
        <v>0</v>
      </c>
      <c r="AB1388">
        <v>0</v>
      </c>
      <c r="AC1388">
        <v>0</v>
      </c>
      <c r="AD1388">
        <v>1</v>
      </c>
      <c r="AE1388">
        <v>0</v>
      </c>
      <c r="AF1388">
        <v>0</v>
      </c>
      <c r="AG1388">
        <v>0</v>
      </c>
      <c r="AH1388">
        <v>0</v>
      </c>
      <c r="AI1388">
        <v>0</v>
      </c>
      <c r="AJ1388">
        <v>0</v>
      </c>
      <c r="AK1388">
        <v>0</v>
      </c>
    </row>
    <row r="1389" spans="1:37" x14ac:dyDescent="0.3">
      <c r="A1389">
        <v>7979</v>
      </c>
      <c r="B1389" t="s">
        <v>219</v>
      </c>
      <c r="D1389" t="s">
        <v>327</v>
      </c>
      <c r="E1389">
        <v>99999999</v>
      </c>
      <c r="F1389">
        <v>11111111</v>
      </c>
      <c r="G1389">
        <v>1111111111</v>
      </c>
      <c r="H1389" t="s">
        <v>4958</v>
      </c>
      <c r="I1389">
        <v>99999999</v>
      </c>
      <c r="J1389" s="188">
        <v>45236</v>
      </c>
      <c r="K1389" t="s">
        <v>4958</v>
      </c>
      <c r="L1389" t="s">
        <v>4958</v>
      </c>
      <c r="M1389" t="s">
        <v>334</v>
      </c>
      <c r="N1389" t="s">
        <v>97</v>
      </c>
      <c r="O1389">
        <v>98296</v>
      </c>
      <c r="P1389" t="s">
        <v>221</v>
      </c>
      <c r="Q1389" t="s">
        <v>82</v>
      </c>
      <c r="R1389">
        <v>1</v>
      </c>
      <c r="S1389">
        <v>0.65</v>
      </c>
      <c r="T1389">
        <v>0</v>
      </c>
      <c r="U1389">
        <v>1</v>
      </c>
      <c r="V1389">
        <v>1</v>
      </c>
      <c r="W1389">
        <v>27.33</v>
      </c>
      <c r="X1389">
        <v>0</v>
      </c>
      <c r="Y1389">
        <v>0</v>
      </c>
      <c r="Z1389">
        <v>0</v>
      </c>
      <c r="AA1389">
        <v>0</v>
      </c>
      <c r="AB1389">
        <v>0</v>
      </c>
      <c r="AC1389">
        <v>0</v>
      </c>
      <c r="AD1389">
        <v>1</v>
      </c>
      <c r="AE1389">
        <v>0</v>
      </c>
      <c r="AF1389">
        <v>0</v>
      </c>
      <c r="AG1389">
        <v>0</v>
      </c>
      <c r="AH1389">
        <v>0</v>
      </c>
      <c r="AI1389">
        <v>0</v>
      </c>
      <c r="AJ1389">
        <v>0</v>
      </c>
      <c r="AK1389">
        <v>0</v>
      </c>
    </row>
    <row r="1390" spans="1:37" x14ac:dyDescent="0.3">
      <c r="A1390">
        <v>7979</v>
      </c>
      <c r="B1390" t="s">
        <v>219</v>
      </c>
      <c r="D1390" t="s">
        <v>327</v>
      </c>
      <c r="E1390">
        <v>99999999</v>
      </c>
      <c r="F1390">
        <v>11111111</v>
      </c>
      <c r="G1390">
        <v>1111111111</v>
      </c>
      <c r="H1390" t="s">
        <v>4959</v>
      </c>
      <c r="I1390">
        <v>99999999</v>
      </c>
      <c r="J1390" s="188">
        <v>45236</v>
      </c>
      <c r="K1390" t="s">
        <v>4959</v>
      </c>
      <c r="L1390" t="s">
        <v>4959</v>
      </c>
      <c r="M1390" t="s">
        <v>128</v>
      </c>
      <c r="N1390" t="s">
        <v>85</v>
      </c>
      <c r="O1390" t="s">
        <v>1992</v>
      </c>
      <c r="P1390" t="s">
        <v>221</v>
      </c>
      <c r="Q1390" t="s">
        <v>82</v>
      </c>
      <c r="R1390">
        <v>2</v>
      </c>
      <c r="S1390">
        <v>4.4000000000000004</v>
      </c>
      <c r="T1390">
        <v>0</v>
      </c>
      <c r="U1390">
        <v>1</v>
      </c>
      <c r="V1390">
        <v>1</v>
      </c>
      <c r="W1390">
        <v>19.899999999999999</v>
      </c>
      <c r="X1390">
        <v>0</v>
      </c>
      <c r="Y1390">
        <v>0</v>
      </c>
      <c r="Z1390">
        <v>0</v>
      </c>
      <c r="AA1390">
        <v>0</v>
      </c>
      <c r="AB1390">
        <v>0</v>
      </c>
      <c r="AC1390">
        <v>0</v>
      </c>
      <c r="AD1390">
        <v>2</v>
      </c>
      <c r="AE1390">
        <v>0</v>
      </c>
      <c r="AF1390">
        <v>0</v>
      </c>
      <c r="AG1390">
        <v>0</v>
      </c>
      <c r="AH1390">
        <v>0</v>
      </c>
      <c r="AI1390">
        <v>0</v>
      </c>
      <c r="AJ1390">
        <v>0</v>
      </c>
      <c r="AK1390">
        <v>0</v>
      </c>
    </row>
    <row r="1391" spans="1:37" x14ac:dyDescent="0.3">
      <c r="A1391">
        <v>7979</v>
      </c>
      <c r="B1391" t="s">
        <v>219</v>
      </c>
      <c r="D1391" t="s">
        <v>327</v>
      </c>
      <c r="E1391">
        <v>99999999</v>
      </c>
      <c r="F1391">
        <v>11111111</v>
      </c>
      <c r="G1391">
        <v>1111111111</v>
      </c>
      <c r="H1391" t="s">
        <v>4960</v>
      </c>
      <c r="I1391">
        <v>99999999</v>
      </c>
      <c r="J1391" s="188">
        <v>45236</v>
      </c>
      <c r="K1391" t="s">
        <v>4960</v>
      </c>
      <c r="L1391" t="s">
        <v>4960</v>
      </c>
      <c r="M1391" t="s">
        <v>1993</v>
      </c>
      <c r="N1391" t="s">
        <v>233</v>
      </c>
      <c r="O1391" t="s">
        <v>1994</v>
      </c>
      <c r="P1391" t="s">
        <v>221</v>
      </c>
      <c r="Q1391" t="s">
        <v>82</v>
      </c>
      <c r="R1391">
        <v>1</v>
      </c>
      <c r="S1391">
        <v>0.65</v>
      </c>
      <c r="T1391">
        <v>0</v>
      </c>
      <c r="U1391">
        <v>1</v>
      </c>
      <c r="V1391">
        <v>1</v>
      </c>
      <c r="W1391">
        <v>23.1</v>
      </c>
      <c r="X1391">
        <v>0</v>
      </c>
      <c r="Y1391">
        <v>0</v>
      </c>
      <c r="Z1391">
        <v>0</v>
      </c>
      <c r="AA1391">
        <v>0</v>
      </c>
      <c r="AB1391">
        <v>0</v>
      </c>
      <c r="AC1391">
        <v>0</v>
      </c>
      <c r="AD1391">
        <v>1</v>
      </c>
      <c r="AE1391">
        <v>0</v>
      </c>
      <c r="AF1391">
        <v>0</v>
      </c>
      <c r="AG1391">
        <v>0</v>
      </c>
      <c r="AH1391">
        <v>0</v>
      </c>
      <c r="AI1391">
        <v>0</v>
      </c>
      <c r="AJ1391">
        <v>0</v>
      </c>
      <c r="AK1391">
        <v>0</v>
      </c>
    </row>
    <row r="1392" spans="1:37" x14ac:dyDescent="0.3">
      <c r="A1392">
        <v>7979</v>
      </c>
      <c r="B1392" t="s">
        <v>219</v>
      </c>
      <c r="D1392" t="s">
        <v>327</v>
      </c>
      <c r="E1392">
        <v>99999999</v>
      </c>
      <c r="F1392">
        <v>11111111</v>
      </c>
      <c r="G1392">
        <v>1111111111</v>
      </c>
      <c r="H1392" t="s">
        <v>4961</v>
      </c>
      <c r="I1392">
        <v>99999999</v>
      </c>
      <c r="J1392" s="188">
        <v>45236</v>
      </c>
      <c r="K1392" t="s">
        <v>4961</v>
      </c>
      <c r="L1392" t="s">
        <v>4961</v>
      </c>
      <c r="M1392" t="s">
        <v>1077</v>
      </c>
      <c r="N1392" t="s">
        <v>983</v>
      </c>
      <c r="O1392" t="s">
        <v>1995</v>
      </c>
      <c r="P1392" t="s">
        <v>221</v>
      </c>
      <c r="Q1392" t="s">
        <v>82</v>
      </c>
      <c r="R1392">
        <v>1</v>
      </c>
      <c r="S1392">
        <v>1</v>
      </c>
      <c r="T1392">
        <v>0</v>
      </c>
      <c r="U1392">
        <v>1</v>
      </c>
      <c r="V1392">
        <v>1</v>
      </c>
      <c r="W1392">
        <v>29.22</v>
      </c>
      <c r="X1392">
        <v>0</v>
      </c>
      <c r="Y1392">
        <v>0</v>
      </c>
      <c r="Z1392">
        <v>0</v>
      </c>
      <c r="AA1392">
        <v>0</v>
      </c>
      <c r="AB1392">
        <v>0</v>
      </c>
      <c r="AC1392">
        <v>0</v>
      </c>
      <c r="AD1392">
        <v>1</v>
      </c>
      <c r="AE1392">
        <v>0</v>
      </c>
      <c r="AF1392">
        <v>0</v>
      </c>
      <c r="AG1392">
        <v>0</v>
      </c>
      <c r="AH1392">
        <v>0</v>
      </c>
      <c r="AI1392">
        <v>0</v>
      </c>
      <c r="AJ1392">
        <v>0</v>
      </c>
      <c r="AK1392">
        <v>0</v>
      </c>
    </row>
    <row r="1393" spans="1:37" x14ac:dyDescent="0.3">
      <c r="A1393">
        <v>7979</v>
      </c>
      <c r="B1393" t="s">
        <v>219</v>
      </c>
      <c r="D1393" t="s">
        <v>327</v>
      </c>
      <c r="E1393">
        <v>99999999</v>
      </c>
      <c r="F1393">
        <v>11111111</v>
      </c>
      <c r="G1393">
        <v>1111111111</v>
      </c>
      <c r="H1393" t="s">
        <v>4962</v>
      </c>
      <c r="I1393">
        <v>99999999</v>
      </c>
      <c r="J1393" s="188">
        <v>45236</v>
      </c>
      <c r="K1393" t="s">
        <v>4962</v>
      </c>
      <c r="L1393" t="s">
        <v>4962</v>
      </c>
      <c r="M1393" t="s">
        <v>1217</v>
      </c>
      <c r="N1393" t="s">
        <v>197</v>
      </c>
      <c r="O1393" t="s">
        <v>1996</v>
      </c>
      <c r="P1393" t="s">
        <v>221</v>
      </c>
      <c r="Q1393" t="s">
        <v>82</v>
      </c>
      <c r="R1393">
        <v>6</v>
      </c>
      <c r="S1393">
        <v>1.86</v>
      </c>
      <c r="T1393">
        <v>0</v>
      </c>
      <c r="U1393">
        <v>1</v>
      </c>
      <c r="V1393">
        <v>2</v>
      </c>
      <c r="W1393">
        <v>30.05</v>
      </c>
      <c r="X1393">
        <v>0</v>
      </c>
      <c r="Y1393">
        <v>0</v>
      </c>
      <c r="Z1393">
        <v>0</v>
      </c>
      <c r="AA1393">
        <v>0</v>
      </c>
      <c r="AB1393">
        <v>0</v>
      </c>
      <c r="AC1393">
        <v>0</v>
      </c>
      <c r="AD1393">
        <v>6</v>
      </c>
      <c r="AE1393">
        <v>0</v>
      </c>
      <c r="AF1393">
        <v>0</v>
      </c>
      <c r="AG1393">
        <v>0</v>
      </c>
      <c r="AH1393">
        <v>0</v>
      </c>
      <c r="AI1393">
        <v>0</v>
      </c>
      <c r="AJ1393">
        <v>0</v>
      </c>
      <c r="AK1393">
        <v>0</v>
      </c>
    </row>
    <row r="1394" spans="1:37" x14ac:dyDescent="0.3">
      <c r="A1394">
        <v>7979</v>
      </c>
      <c r="B1394" t="s">
        <v>219</v>
      </c>
      <c r="D1394" t="s">
        <v>327</v>
      </c>
      <c r="E1394">
        <v>99999999</v>
      </c>
      <c r="F1394">
        <v>11111111</v>
      </c>
      <c r="G1394">
        <v>1111111111</v>
      </c>
      <c r="H1394" t="s">
        <v>4963</v>
      </c>
      <c r="I1394">
        <v>99999999</v>
      </c>
      <c r="J1394" s="188">
        <v>45236</v>
      </c>
      <c r="K1394" t="s">
        <v>4963</v>
      </c>
      <c r="L1394" t="s">
        <v>4963</v>
      </c>
      <c r="M1394" t="s">
        <v>1979</v>
      </c>
      <c r="N1394" t="s">
        <v>99</v>
      </c>
      <c r="O1394" t="s">
        <v>1997</v>
      </c>
      <c r="P1394" t="s">
        <v>221</v>
      </c>
      <c r="Q1394" t="s">
        <v>82</v>
      </c>
      <c r="R1394">
        <v>1</v>
      </c>
      <c r="S1394">
        <v>11.666</v>
      </c>
      <c r="T1394">
        <v>0</v>
      </c>
      <c r="U1394">
        <v>1</v>
      </c>
      <c r="V1394">
        <v>1</v>
      </c>
      <c r="W1394">
        <v>30.95</v>
      </c>
      <c r="X1394">
        <v>0</v>
      </c>
      <c r="Y1394">
        <v>0</v>
      </c>
      <c r="Z1394">
        <v>0</v>
      </c>
      <c r="AA1394">
        <v>0</v>
      </c>
      <c r="AB1394">
        <v>0</v>
      </c>
      <c r="AC1394">
        <v>0</v>
      </c>
      <c r="AD1394">
        <v>1</v>
      </c>
      <c r="AE1394">
        <v>0</v>
      </c>
      <c r="AF1394">
        <v>0</v>
      </c>
      <c r="AG1394">
        <v>0</v>
      </c>
      <c r="AH1394">
        <v>0</v>
      </c>
      <c r="AI1394">
        <v>0</v>
      </c>
      <c r="AJ1394">
        <v>0</v>
      </c>
      <c r="AK1394">
        <v>0</v>
      </c>
    </row>
    <row r="1395" spans="1:37" x14ac:dyDescent="0.3">
      <c r="A1395">
        <v>7979</v>
      </c>
      <c r="B1395" t="s">
        <v>219</v>
      </c>
      <c r="D1395" t="s">
        <v>327</v>
      </c>
      <c r="E1395">
        <v>99999999</v>
      </c>
      <c r="F1395">
        <v>11111111</v>
      </c>
      <c r="G1395">
        <v>1111111111</v>
      </c>
      <c r="H1395" t="s">
        <v>4964</v>
      </c>
      <c r="I1395">
        <v>99999999</v>
      </c>
      <c r="J1395" s="188">
        <v>45236</v>
      </c>
      <c r="K1395" t="s">
        <v>4964</v>
      </c>
      <c r="L1395" t="s">
        <v>4964</v>
      </c>
      <c r="M1395" t="s">
        <v>1602</v>
      </c>
      <c r="N1395" t="s">
        <v>97</v>
      </c>
      <c r="O1395" t="s">
        <v>1701</v>
      </c>
      <c r="P1395" t="s">
        <v>221</v>
      </c>
      <c r="Q1395" t="s">
        <v>82</v>
      </c>
      <c r="R1395">
        <v>1</v>
      </c>
      <c r="S1395">
        <v>0.05</v>
      </c>
      <c r="T1395">
        <v>0</v>
      </c>
      <c r="U1395">
        <v>1</v>
      </c>
      <c r="V1395">
        <v>1</v>
      </c>
      <c r="W1395">
        <v>25.42</v>
      </c>
      <c r="X1395">
        <v>0</v>
      </c>
      <c r="Y1395">
        <v>0</v>
      </c>
      <c r="Z1395">
        <v>0</v>
      </c>
      <c r="AA1395">
        <v>0</v>
      </c>
      <c r="AB1395">
        <v>0</v>
      </c>
      <c r="AC1395">
        <v>0</v>
      </c>
      <c r="AD1395">
        <v>1</v>
      </c>
      <c r="AE1395">
        <v>0</v>
      </c>
      <c r="AF1395">
        <v>0</v>
      </c>
      <c r="AG1395">
        <v>0</v>
      </c>
      <c r="AH1395">
        <v>0</v>
      </c>
      <c r="AI1395">
        <v>0</v>
      </c>
      <c r="AJ1395">
        <v>0</v>
      </c>
      <c r="AK1395">
        <v>0</v>
      </c>
    </row>
    <row r="1396" spans="1:37" x14ac:dyDescent="0.3">
      <c r="A1396">
        <v>7979</v>
      </c>
      <c r="B1396" t="s">
        <v>219</v>
      </c>
      <c r="D1396" t="s">
        <v>327</v>
      </c>
      <c r="E1396">
        <v>99999999</v>
      </c>
      <c r="F1396">
        <v>11111111</v>
      </c>
      <c r="G1396">
        <v>1111111111</v>
      </c>
      <c r="H1396" t="s">
        <v>4965</v>
      </c>
      <c r="I1396">
        <v>99999999</v>
      </c>
      <c r="J1396" s="188">
        <v>45236</v>
      </c>
      <c r="K1396" t="s">
        <v>4965</v>
      </c>
      <c r="L1396" t="s">
        <v>4965</v>
      </c>
      <c r="M1396" t="s">
        <v>1998</v>
      </c>
      <c r="N1396" t="s">
        <v>99</v>
      </c>
      <c r="O1396">
        <v>92067</v>
      </c>
      <c r="P1396" t="s">
        <v>221</v>
      </c>
      <c r="Q1396" t="s">
        <v>82</v>
      </c>
      <c r="R1396">
        <v>2</v>
      </c>
      <c r="S1396">
        <v>1.65</v>
      </c>
      <c r="T1396">
        <v>0</v>
      </c>
      <c r="U1396">
        <v>1</v>
      </c>
      <c r="V1396">
        <v>2</v>
      </c>
      <c r="W1396">
        <v>28</v>
      </c>
      <c r="X1396">
        <v>0</v>
      </c>
      <c r="Y1396">
        <v>0</v>
      </c>
      <c r="Z1396">
        <v>0</v>
      </c>
      <c r="AA1396">
        <v>0</v>
      </c>
      <c r="AB1396">
        <v>0</v>
      </c>
      <c r="AC1396">
        <v>0</v>
      </c>
      <c r="AD1396">
        <v>2</v>
      </c>
      <c r="AE1396">
        <v>0</v>
      </c>
      <c r="AF1396">
        <v>0</v>
      </c>
      <c r="AG1396">
        <v>0</v>
      </c>
      <c r="AH1396">
        <v>0</v>
      </c>
      <c r="AI1396">
        <v>0</v>
      </c>
      <c r="AJ1396">
        <v>0</v>
      </c>
      <c r="AK1396">
        <v>0</v>
      </c>
    </row>
    <row r="1397" spans="1:37" x14ac:dyDescent="0.3">
      <c r="A1397">
        <v>7979</v>
      </c>
      <c r="B1397" t="s">
        <v>219</v>
      </c>
      <c r="D1397" t="s">
        <v>327</v>
      </c>
      <c r="E1397">
        <v>99999999</v>
      </c>
      <c r="F1397">
        <v>11111111</v>
      </c>
      <c r="G1397">
        <v>1111111111</v>
      </c>
      <c r="H1397" t="s">
        <v>4966</v>
      </c>
      <c r="I1397">
        <v>99999999</v>
      </c>
      <c r="J1397" s="188">
        <v>45236</v>
      </c>
      <c r="K1397" t="s">
        <v>4966</v>
      </c>
      <c r="L1397" t="s">
        <v>4966</v>
      </c>
      <c r="M1397" t="s">
        <v>110</v>
      </c>
      <c r="N1397" t="s">
        <v>99</v>
      </c>
      <c r="O1397" t="s">
        <v>1999</v>
      </c>
      <c r="P1397" t="s">
        <v>221</v>
      </c>
      <c r="Q1397" t="s">
        <v>82</v>
      </c>
      <c r="R1397">
        <v>1</v>
      </c>
      <c r="S1397">
        <v>2</v>
      </c>
      <c r="T1397">
        <v>0</v>
      </c>
      <c r="U1397">
        <v>1</v>
      </c>
      <c r="V1397">
        <v>1</v>
      </c>
      <c r="W1397">
        <v>20.67</v>
      </c>
      <c r="X1397">
        <v>0</v>
      </c>
      <c r="Y1397">
        <v>0</v>
      </c>
      <c r="Z1397">
        <v>0</v>
      </c>
      <c r="AA1397">
        <v>0</v>
      </c>
      <c r="AB1397">
        <v>0</v>
      </c>
      <c r="AC1397">
        <v>0</v>
      </c>
      <c r="AD1397">
        <v>1</v>
      </c>
      <c r="AE1397">
        <v>0</v>
      </c>
      <c r="AF1397">
        <v>0</v>
      </c>
      <c r="AG1397">
        <v>0</v>
      </c>
      <c r="AH1397">
        <v>0</v>
      </c>
      <c r="AI1397">
        <v>0</v>
      </c>
      <c r="AJ1397">
        <v>0</v>
      </c>
      <c r="AK1397">
        <v>0</v>
      </c>
    </row>
    <row r="1398" spans="1:37" x14ac:dyDescent="0.3">
      <c r="A1398">
        <v>7979</v>
      </c>
      <c r="B1398" t="s">
        <v>219</v>
      </c>
      <c r="D1398" t="s">
        <v>327</v>
      </c>
      <c r="E1398">
        <v>99999999</v>
      </c>
      <c r="F1398">
        <v>11111111</v>
      </c>
      <c r="G1398">
        <v>1111111111</v>
      </c>
      <c r="H1398" t="s">
        <v>4967</v>
      </c>
      <c r="I1398">
        <v>99999999</v>
      </c>
      <c r="J1398" s="188">
        <v>45236</v>
      </c>
      <c r="K1398" t="s">
        <v>4967</v>
      </c>
      <c r="L1398" t="s">
        <v>4967</v>
      </c>
      <c r="M1398" t="s">
        <v>2000</v>
      </c>
      <c r="N1398" t="s">
        <v>197</v>
      </c>
      <c r="O1398" t="s">
        <v>2001</v>
      </c>
      <c r="P1398" t="s">
        <v>221</v>
      </c>
      <c r="Q1398" t="s">
        <v>82</v>
      </c>
      <c r="R1398">
        <v>1</v>
      </c>
      <c r="S1398">
        <v>2.6</v>
      </c>
      <c r="T1398">
        <v>0</v>
      </c>
      <c r="U1398">
        <v>1</v>
      </c>
      <c r="V1398">
        <v>1</v>
      </c>
      <c r="W1398">
        <v>32.33</v>
      </c>
      <c r="X1398">
        <v>0</v>
      </c>
      <c r="Y1398">
        <v>0</v>
      </c>
      <c r="Z1398">
        <v>0</v>
      </c>
      <c r="AA1398">
        <v>0</v>
      </c>
      <c r="AB1398">
        <v>0</v>
      </c>
      <c r="AC1398">
        <v>0</v>
      </c>
      <c r="AD1398">
        <v>1</v>
      </c>
      <c r="AE1398">
        <v>0</v>
      </c>
      <c r="AF1398">
        <v>0</v>
      </c>
      <c r="AG1398">
        <v>0</v>
      </c>
      <c r="AH1398">
        <v>0</v>
      </c>
      <c r="AI1398">
        <v>0</v>
      </c>
      <c r="AJ1398">
        <v>0</v>
      </c>
      <c r="AK1398">
        <v>0</v>
      </c>
    </row>
    <row r="1399" spans="1:37" x14ac:dyDescent="0.3">
      <c r="A1399">
        <v>7979</v>
      </c>
      <c r="B1399" t="s">
        <v>219</v>
      </c>
      <c r="D1399" t="s">
        <v>327</v>
      </c>
      <c r="E1399">
        <v>99999999</v>
      </c>
      <c r="F1399">
        <v>11111111</v>
      </c>
      <c r="G1399">
        <v>1111111111</v>
      </c>
      <c r="H1399" t="s">
        <v>4968</v>
      </c>
      <c r="I1399">
        <v>99999999</v>
      </c>
      <c r="J1399" s="188">
        <v>45236</v>
      </c>
      <c r="K1399" t="s">
        <v>4968</v>
      </c>
      <c r="L1399" t="s">
        <v>4968</v>
      </c>
      <c r="M1399" t="s">
        <v>2002</v>
      </c>
      <c r="N1399" t="s">
        <v>99</v>
      </c>
      <c r="O1399" t="s">
        <v>2003</v>
      </c>
      <c r="P1399" t="s">
        <v>221</v>
      </c>
      <c r="Q1399" t="s">
        <v>82</v>
      </c>
      <c r="R1399">
        <v>1</v>
      </c>
      <c r="S1399">
        <v>2.31</v>
      </c>
      <c r="T1399">
        <v>0</v>
      </c>
      <c r="U1399">
        <v>1</v>
      </c>
      <c r="V1399">
        <v>1</v>
      </c>
      <c r="W1399">
        <v>21.88</v>
      </c>
      <c r="X1399">
        <v>0</v>
      </c>
      <c r="Y1399">
        <v>0</v>
      </c>
      <c r="Z1399">
        <v>0</v>
      </c>
      <c r="AA1399">
        <v>0</v>
      </c>
      <c r="AB1399">
        <v>0</v>
      </c>
      <c r="AC1399">
        <v>0</v>
      </c>
      <c r="AD1399">
        <v>1</v>
      </c>
      <c r="AE1399">
        <v>0</v>
      </c>
      <c r="AF1399">
        <v>0</v>
      </c>
      <c r="AG1399">
        <v>0</v>
      </c>
      <c r="AH1399">
        <v>0</v>
      </c>
      <c r="AI1399">
        <v>0</v>
      </c>
      <c r="AJ1399">
        <v>0</v>
      </c>
      <c r="AK1399">
        <v>0</v>
      </c>
    </row>
    <row r="1400" spans="1:37" x14ac:dyDescent="0.3">
      <c r="A1400">
        <v>7979</v>
      </c>
      <c r="B1400" t="s">
        <v>219</v>
      </c>
      <c r="D1400" t="s">
        <v>327</v>
      </c>
      <c r="E1400">
        <v>99999999</v>
      </c>
      <c r="F1400">
        <v>11111111</v>
      </c>
      <c r="G1400">
        <v>1111111111</v>
      </c>
      <c r="H1400" t="s">
        <v>4969</v>
      </c>
      <c r="I1400">
        <v>99999999</v>
      </c>
      <c r="J1400" s="188">
        <v>45236</v>
      </c>
      <c r="K1400" t="s">
        <v>4969</v>
      </c>
      <c r="L1400" t="s">
        <v>4969</v>
      </c>
      <c r="M1400" t="s">
        <v>2004</v>
      </c>
      <c r="N1400" t="s">
        <v>97</v>
      </c>
      <c r="O1400" t="s">
        <v>2005</v>
      </c>
      <c r="P1400" t="s">
        <v>221</v>
      </c>
      <c r="Q1400" t="s">
        <v>82</v>
      </c>
      <c r="R1400">
        <v>1</v>
      </c>
      <c r="S1400">
        <v>1.6659999999999999</v>
      </c>
      <c r="T1400">
        <v>0</v>
      </c>
      <c r="U1400">
        <v>1</v>
      </c>
      <c r="V1400">
        <v>1</v>
      </c>
      <c r="W1400">
        <v>30.13</v>
      </c>
      <c r="X1400">
        <v>0</v>
      </c>
      <c r="Y1400">
        <v>0</v>
      </c>
      <c r="Z1400">
        <v>0</v>
      </c>
      <c r="AA1400">
        <v>0</v>
      </c>
      <c r="AB1400">
        <v>0</v>
      </c>
      <c r="AC1400">
        <v>0</v>
      </c>
      <c r="AD1400">
        <v>1</v>
      </c>
      <c r="AE1400">
        <v>0</v>
      </c>
      <c r="AF1400">
        <v>0</v>
      </c>
      <c r="AG1400">
        <v>0</v>
      </c>
      <c r="AH1400">
        <v>0</v>
      </c>
      <c r="AI1400">
        <v>0</v>
      </c>
      <c r="AJ1400">
        <v>0</v>
      </c>
      <c r="AK1400">
        <v>0</v>
      </c>
    </row>
    <row r="1401" spans="1:37" x14ac:dyDescent="0.3">
      <c r="A1401">
        <v>7979</v>
      </c>
      <c r="B1401" t="s">
        <v>219</v>
      </c>
      <c r="D1401" t="s">
        <v>327</v>
      </c>
      <c r="E1401">
        <v>99999999</v>
      </c>
      <c r="F1401">
        <v>11111111</v>
      </c>
      <c r="G1401">
        <v>1111111111</v>
      </c>
      <c r="H1401" t="s">
        <v>4970</v>
      </c>
      <c r="I1401">
        <v>99999999</v>
      </c>
      <c r="J1401" s="188">
        <v>45236</v>
      </c>
      <c r="K1401" t="s">
        <v>4970</v>
      </c>
      <c r="L1401" t="s">
        <v>4970</v>
      </c>
      <c r="M1401" t="s">
        <v>1673</v>
      </c>
      <c r="N1401" t="s">
        <v>130</v>
      </c>
      <c r="O1401" t="s">
        <v>2006</v>
      </c>
      <c r="P1401" t="s">
        <v>221</v>
      </c>
      <c r="Q1401" t="s">
        <v>82</v>
      </c>
      <c r="R1401">
        <v>1</v>
      </c>
      <c r="S1401">
        <v>2.5</v>
      </c>
      <c r="T1401">
        <v>0</v>
      </c>
      <c r="U1401">
        <v>1</v>
      </c>
      <c r="V1401">
        <v>1</v>
      </c>
      <c r="W1401">
        <v>30.93</v>
      </c>
      <c r="X1401">
        <v>0</v>
      </c>
      <c r="Y1401">
        <v>0</v>
      </c>
      <c r="Z1401">
        <v>0</v>
      </c>
      <c r="AA1401">
        <v>0</v>
      </c>
      <c r="AB1401">
        <v>0</v>
      </c>
      <c r="AC1401">
        <v>0</v>
      </c>
      <c r="AD1401">
        <v>1</v>
      </c>
      <c r="AE1401">
        <v>0</v>
      </c>
      <c r="AF1401">
        <v>0</v>
      </c>
      <c r="AG1401">
        <v>0</v>
      </c>
      <c r="AH1401">
        <v>0</v>
      </c>
      <c r="AI1401">
        <v>0</v>
      </c>
      <c r="AJ1401">
        <v>0</v>
      </c>
      <c r="AK1401">
        <v>0</v>
      </c>
    </row>
    <row r="1402" spans="1:37" x14ac:dyDescent="0.3">
      <c r="A1402">
        <v>7979</v>
      </c>
      <c r="B1402" t="s">
        <v>219</v>
      </c>
      <c r="D1402" t="s">
        <v>327</v>
      </c>
      <c r="E1402">
        <v>99999999</v>
      </c>
      <c r="F1402">
        <v>11111111</v>
      </c>
      <c r="G1402">
        <v>1111111111</v>
      </c>
      <c r="H1402" t="s">
        <v>4971</v>
      </c>
      <c r="I1402">
        <v>99999999</v>
      </c>
      <c r="J1402" s="188">
        <v>45236</v>
      </c>
      <c r="K1402" t="s">
        <v>4971</v>
      </c>
      <c r="L1402" t="s">
        <v>4971</v>
      </c>
      <c r="M1402" t="s">
        <v>611</v>
      </c>
      <c r="N1402" t="s">
        <v>130</v>
      </c>
      <c r="O1402">
        <v>80113</v>
      </c>
      <c r="P1402" t="s">
        <v>221</v>
      </c>
      <c r="Q1402" t="s">
        <v>82</v>
      </c>
      <c r="R1402">
        <v>1</v>
      </c>
      <c r="S1402">
        <v>2</v>
      </c>
      <c r="T1402">
        <v>0</v>
      </c>
      <c r="U1402">
        <v>1</v>
      </c>
      <c r="V1402">
        <v>1</v>
      </c>
      <c r="W1402">
        <v>22.67</v>
      </c>
      <c r="X1402">
        <v>0</v>
      </c>
      <c r="Y1402">
        <v>0</v>
      </c>
      <c r="Z1402">
        <v>0</v>
      </c>
      <c r="AA1402">
        <v>0</v>
      </c>
      <c r="AB1402">
        <v>0</v>
      </c>
      <c r="AC1402">
        <v>0</v>
      </c>
      <c r="AD1402">
        <v>1</v>
      </c>
      <c r="AE1402">
        <v>0</v>
      </c>
      <c r="AF1402">
        <v>0</v>
      </c>
      <c r="AG1402">
        <v>0</v>
      </c>
      <c r="AH1402">
        <v>0</v>
      </c>
      <c r="AI1402">
        <v>0</v>
      </c>
      <c r="AJ1402">
        <v>0</v>
      </c>
      <c r="AK1402">
        <v>0</v>
      </c>
    </row>
    <row r="1403" spans="1:37" x14ac:dyDescent="0.3">
      <c r="A1403">
        <v>7979</v>
      </c>
      <c r="B1403" t="s">
        <v>219</v>
      </c>
      <c r="D1403" t="s">
        <v>327</v>
      </c>
      <c r="E1403">
        <v>99999999</v>
      </c>
      <c r="F1403">
        <v>11111111</v>
      </c>
      <c r="G1403">
        <v>1111111111</v>
      </c>
      <c r="H1403" t="s">
        <v>4972</v>
      </c>
      <c r="I1403">
        <v>99999999</v>
      </c>
      <c r="J1403" s="188">
        <v>45236</v>
      </c>
      <c r="K1403" t="s">
        <v>4972</v>
      </c>
      <c r="L1403" t="s">
        <v>4972</v>
      </c>
      <c r="M1403" t="s">
        <v>341</v>
      </c>
      <c r="N1403" t="s">
        <v>130</v>
      </c>
      <c r="O1403">
        <v>80503</v>
      </c>
      <c r="P1403" t="s">
        <v>221</v>
      </c>
      <c r="Q1403" t="s">
        <v>82</v>
      </c>
      <c r="R1403">
        <v>1</v>
      </c>
      <c r="S1403">
        <v>1.74</v>
      </c>
      <c r="T1403">
        <v>0</v>
      </c>
      <c r="U1403">
        <v>1</v>
      </c>
      <c r="V1403">
        <v>1</v>
      </c>
      <c r="W1403">
        <v>22.67</v>
      </c>
      <c r="X1403">
        <v>0</v>
      </c>
      <c r="Y1403">
        <v>0</v>
      </c>
      <c r="Z1403">
        <v>0</v>
      </c>
      <c r="AA1403">
        <v>0</v>
      </c>
      <c r="AB1403">
        <v>0</v>
      </c>
      <c r="AC1403">
        <v>0</v>
      </c>
      <c r="AD1403">
        <v>1</v>
      </c>
      <c r="AE1403">
        <v>0</v>
      </c>
      <c r="AF1403">
        <v>0</v>
      </c>
      <c r="AG1403">
        <v>0</v>
      </c>
      <c r="AH1403">
        <v>0</v>
      </c>
      <c r="AI1403">
        <v>0</v>
      </c>
      <c r="AJ1403">
        <v>0</v>
      </c>
      <c r="AK1403">
        <v>0</v>
      </c>
    </row>
    <row r="1404" spans="1:37" x14ac:dyDescent="0.3">
      <c r="A1404">
        <v>7979</v>
      </c>
      <c r="B1404" t="s">
        <v>219</v>
      </c>
      <c r="D1404" t="s">
        <v>327</v>
      </c>
      <c r="E1404">
        <v>99999999</v>
      </c>
      <c r="F1404">
        <v>11111111</v>
      </c>
      <c r="G1404">
        <v>1111111111</v>
      </c>
      <c r="H1404" t="s">
        <v>4973</v>
      </c>
      <c r="I1404">
        <v>99999999</v>
      </c>
      <c r="J1404" s="188">
        <v>45236</v>
      </c>
      <c r="K1404" t="s">
        <v>4973</v>
      </c>
      <c r="L1404" t="s">
        <v>4973</v>
      </c>
      <c r="M1404" t="s">
        <v>2007</v>
      </c>
      <c r="N1404" t="s">
        <v>104</v>
      </c>
      <c r="O1404" t="s">
        <v>2008</v>
      </c>
      <c r="P1404" t="s">
        <v>221</v>
      </c>
      <c r="Q1404" t="s">
        <v>82</v>
      </c>
      <c r="R1404">
        <v>1</v>
      </c>
      <c r="S1404">
        <v>3.7</v>
      </c>
      <c r="T1404">
        <v>0</v>
      </c>
      <c r="U1404">
        <v>1</v>
      </c>
      <c r="V1404">
        <v>1</v>
      </c>
      <c r="W1404">
        <v>32.630000000000003</v>
      </c>
      <c r="X1404">
        <v>0</v>
      </c>
      <c r="Y1404">
        <v>0</v>
      </c>
      <c r="Z1404">
        <v>0</v>
      </c>
      <c r="AA1404">
        <v>0</v>
      </c>
      <c r="AB1404">
        <v>0</v>
      </c>
      <c r="AC1404">
        <v>0</v>
      </c>
      <c r="AD1404">
        <v>1</v>
      </c>
      <c r="AE1404">
        <v>0</v>
      </c>
      <c r="AF1404">
        <v>0</v>
      </c>
      <c r="AG1404">
        <v>0</v>
      </c>
      <c r="AH1404">
        <v>0</v>
      </c>
      <c r="AI1404">
        <v>0</v>
      </c>
      <c r="AJ1404">
        <v>0</v>
      </c>
      <c r="AK1404">
        <v>0</v>
      </c>
    </row>
    <row r="1405" spans="1:37" x14ac:dyDescent="0.3">
      <c r="A1405">
        <v>7979</v>
      </c>
      <c r="B1405" t="s">
        <v>219</v>
      </c>
      <c r="D1405" t="s">
        <v>327</v>
      </c>
      <c r="E1405">
        <v>99999999</v>
      </c>
      <c r="F1405">
        <v>11111111</v>
      </c>
      <c r="G1405">
        <v>1111111111</v>
      </c>
      <c r="H1405" t="s">
        <v>4974</v>
      </c>
      <c r="I1405">
        <v>99999999</v>
      </c>
      <c r="J1405" s="188">
        <v>45236</v>
      </c>
      <c r="K1405" t="s">
        <v>4974</v>
      </c>
      <c r="L1405" t="s">
        <v>4974</v>
      </c>
      <c r="M1405" t="s">
        <v>2009</v>
      </c>
      <c r="N1405" t="s">
        <v>118</v>
      </c>
      <c r="O1405" t="s">
        <v>2010</v>
      </c>
      <c r="P1405" t="s">
        <v>221</v>
      </c>
      <c r="Q1405" t="s">
        <v>82</v>
      </c>
      <c r="R1405">
        <v>1</v>
      </c>
      <c r="S1405">
        <v>1</v>
      </c>
      <c r="T1405">
        <v>0</v>
      </c>
      <c r="U1405">
        <v>1</v>
      </c>
      <c r="V1405">
        <v>1</v>
      </c>
      <c r="W1405">
        <v>31.36</v>
      </c>
      <c r="X1405">
        <v>0</v>
      </c>
      <c r="Y1405">
        <v>0</v>
      </c>
      <c r="Z1405">
        <v>0</v>
      </c>
      <c r="AA1405">
        <v>0</v>
      </c>
      <c r="AB1405">
        <v>0</v>
      </c>
      <c r="AC1405">
        <v>0</v>
      </c>
      <c r="AD1405">
        <v>1</v>
      </c>
      <c r="AE1405">
        <v>0</v>
      </c>
      <c r="AF1405">
        <v>0</v>
      </c>
      <c r="AG1405">
        <v>0</v>
      </c>
      <c r="AH1405">
        <v>0</v>
      </c>
      <c r="AI1405">
        <v>0</v>
      </c>
      <c r="AJ1405">
        <v>0</v>
      </c>
      <c r="AK1405">
        <v>0</v>
      </c>
    </row>
    <row r="1406" spans="1:37" x14ac:dyDescent="0.3">
      <c r="A1406">
        <v>7979</v>
      </c>
      <c r="B1406" t="s">
        <v>219</v>
      </c>
      <c r="D1406" t="s">
        <v>327</v>
      </c>
      <c r="E1406">
        <v>99999999</v>
      </c>
      <c r="F1406">
        <v>11111111</v>
      </c>
      <c r="G1406">
        <v>1111111111</v>
      </c>
      <c r="H1406" t="s">
        <v>4975</v>
      </c>
      <c r="I1406">
        <v>99999999</v>
      </c>
      <c r="J1406" s="188">
        <v>45236</v>
      </c>
      <c r="K1406" t="s">
        <v>4975</v>
      </c>
      <c r="L1406" t="s">
        <v>4975</v>
      </c>
      <c r="M1406" t="s">
        <v>1267</v>
      </c>
      <c r="N1406" t="s">
        <v>97</v>
      </c>
      <c r="O1406" t="s">
        <v>2011</v>
      </c>
      <c r="P1406" t="s">
        <v>221</v>
      </c>
      <c r="Q1406" t="s">
        <v>82</v>
      </c>
      <c r="R1406">
        <v>1</v>
      </c>
      <c r="S1406">
        <v>10.46</v>
      </c>
      <c r="T1406">
        <v>0</v>
      </c>
      <c r="U1406">
        <v>1</v>
      </c>
      <c r="V1406">
        <v>1</v>
      </c>
      <c r="W1406">
        <v>24.65</v>
      </c>
      <c r="X1406">
        <v>0</v>
      </c>
      <c r="Y1406">
        <v>0</v>
      </c>
      <c r="Z1406">
        <v>0</v>
      </c>
      <c r="AA1406">
        <v>0</v>
      </c>
      <c r="AB1406">
        <v>0</v>
      </c>
      <c r="AC1406">
        <v>0</v>
      </c>
      <c r="AD1406">
        <v>1</v>
      </c>
      <c r="AE1406">
        <v>0</v>
      </c>
      <c r="AF1406">
        <v>0</v>
      </c>
      <c r="AG1406">
        <v>0</v>
      </c>
      <c r="AH1406">
        <v>0</v>
      </c>
      <c r="AI1406">
        <v>0</v>
      </c>
      <c r="AJ1406">
        <v>0</v>
      </c>
      <c r="AK1406">
        <v>0</v>
      </c>
    </row>
    <row r="1407" spans="1:37" x14ac:dyDescent="0.3">
      <c r="A1407">
        <v>7979</v>
      </c>
      <c r="B1407" t="s">
        <v>219</v>
      </c>
      <c r="D1407" t="s">
        <v>327</v>
      </c>
      <c r="E1407">
        <v>99999999</v>
      </c>
      <c r="F1407">
        <v>11111111</v>
      </c>
      <c r="G1407">
        <v>1111111111</v>
      </c>
      <c r="H1407" t="s">
        <v>4976</v>
      </c>
      <c r="I1407">
        <v>99999999</v>
      </c>
      <c r="J1407" s="188">
        <v>45236</v>
      </c>
      <c r="K1407" t="s">
        <v>4976</v>
      </c>
      <c r="L1407" t="s">
        <v>4976</v>
      </c>
      <c r="M1407" t="s">
        <v>392</v>
      </c>
      <c r="N1407" t="s">
        <v>97</v>
      </c>
      <c r="O1407" t="s">
        <v>2012</v>
      </c>
      <c r="P1407" t="s">
        <v>221</v>
      </c>
      <c r="Q1407" t="s">
        <v>82</v>
      </c>
      <c r="R1407">
        <v>1</v>
      </c>
      <c r="S1407">
        <v>7.01</v>
      </c>
      <c r="T1407">
        <v>0</v>
      </c>
      <c r="U1407">
        <v>1</v>
      </c>
      <c r="V1407">
        <v>1</v>
      </c>
      <c r="W1407">
        <v>24.15</v>
      </c>
      <c r="X1407">
        <v>0</v>
      </c>
      <c r="Y1407">
        <v>0</v>
      </c>
      <c r="Z1407">
        <v>0</v>
      </c>
      <c r="AA1407">
        <v>0</v>
      </c>
      <c r="AB1407">
        <v>0</v>
      </c>
      <c r="AC1407">
        <v>0</v>
      </c>
      <c r="AD1407">
        <v>1</v>
      </c>
      <c r="AE1407">
        <v>0</v>
      </c>
      <c r="AF1407">
        <v>0</v>
      </c>
      <c r="AG1407">
        <v>0</v>
      </c>
      <c r="AH1407">
        <v>0</v>
      </c>
      <c r="AI1407">
        <v>0</v>
      </c>
      <c r="AJ1407">
        <v>0</v>
      </c>
      <c r="AK1407">
        <v>0</v>
      </c>
    </row>
    <row r="1408" spans="1:37" x14ac:dyDescent="0.3">
      <c r="A1408">
        <v>7979</v>
      </c>
      <c r="B1408" t="s">
        <v>219</v>
      </c>
      <c r="D1408" t="s">
        <v>327</v>
      </c>
      <c r="E1408">
        <v>99999999</v>
      </c>
      <c r="F1408">
        <v>11111111</v>
      </c>
      <c r="G1408">
        <v>1111111111</v>
      </c>
      <c r="H1408" t="s">
        <v>4977</v>
      </c>
      <c r="I1408">
        <v>99999999</v>
      </c>
      <c r="J1408" s="188">
        <v>45236</v>
      </c>
      <c r="K1408" t="s">
        <v>4977</v>
      </c>
      <c r="L1408" t="s">
        <v>4977</v>
      </c>
      <c r="M1408" t="s">
        <v>540</v>
      </c>
      <c r="N1408" t="s">
        <v>97</v>
      </c>
      <c r="O1408" t="s">
        <v>2013</v>
      </c>
      <c r="P1408" t="s">
        <v>221</v>
      </c>
      <c r="Q1408" t="s">
        <v>82</v>
      </c>
      <c r="R1408">
        <v>6</v>
      </c>
      <c r="S1408">
        <v>4.8</v>
      </c>
      <c r="T1408">
        <v>0</v>
      </c>
      <c r="U1408">
        <v>1</v>
      </c>
      <c r="V1408">
        <v>1</v>
      </c>
      <c r="W1408">
        <v>23.09</v>
      </c>
      <c r="X1408">
        <v>0</v>
      </c>
      <c r="Y1408">
        <v>0</v>
      </c>
      <c r="Z1408">
        <v>0</v>
      </c>
      <c r="AA1408">
        <v>0</v>
      </c>
      <c r="AB1408">
        <v>0</v>
      </c>
      <c r="AC1408">
        <v>0</v>
      </c>
      <c r="AD1408">
        <v>6</v>
      </c>
      <c r="AE1408">
        <v>0</v>
      </c>
      <c r="AF1408">
        <v>0</v>
      </c>
      <c r="AG1408">
        <v>0</v>
      </c>
      <c r="AH1408">
        <v>0</v>
      </c>
      <c r="AI1408">
        <v>0</v>
      </c>
      <c r="AJ1408">
        <v>0</v>
      </c>
      <c r="AK1408">
        <v>0</v>
      </c>
    </row>
    <row r="1409" spans="1:37" x14ac:dyDescent="0.3">
      <c r="A1409">
        <v>7979</v>
      </c>
      <c r="B1409" t="s">
        <v>219</v>
      </c>
      <c r="D1409" t="s">
        <v>327</v>
      </c>
      <c r="E1409">
        <v>99999999</v>
      </c>
      <c r="F1409">
        <v>11111111</v>
      </c>
      <c r="G1409">
        <v>1111111111</v>
      </c>
      <c r="H1409" t="s">
        <v>4978</v>
      </c>
      <c r="I1409">
        <v>99999999</v>
      </c>
      <c r="J1409" s="188">
        <v>45236</v>
      </c>
      <c r="K1409" t="s">
        <v>4978</v>
      </c>
      <c r="L1409" t="s">
        <v>4978</v>
      </c>
      <c r="M1409" t="s">
        <v>2014</v>
      </c>
      <c r="N1409" t="s">
        <v>141</v>
      </c>
      <c r="O1409">
        <v>32776</v>
      </c>
      <c r="P1409" t="s">
        <v>221</v>
      </c>
      <c r="Q1409" t="s">
        <v>82</v>
      </c>
      <c r="R1409">
        <v>2</v>
      </c>
      <c r="S1409">
        <v>1.6259999999999999</v>
      </c>
      <c r="T1409">
        <v>0</v>
      </c>
      <c r="U1409">
        <v>1</v>
      </c>
      <c r="V1409">
        <v>1</v>
      </c>
      <c r="W1409">
        <v>30.93</v>
      </c>
      <c r="X1409">
        <v>0</v>
      </c>
      <c r="Y1409">
        <v>0</v>
      </c>
      <c r="Z1409">
        <v>0</v>
      </c>
      <c r="AA1409">
        <v>0</v>
      </c>
      <c r="AB1409">
        <v>0</v>
      </c>
      <c r="AC1409">
        <v>0</v>
      </c>
      <c r="AD1409">
        <v>2</v>
      </c>
      <c r="AE1409">
        <v>0</v>
      </c>
      <c r="AF1409">
        <v>0</v>
      </c>
      <c r="AG1409">
        <v>0</v>
      </c>
      <c r="AH1409">
        <v>0</v>
      </c>
      <c r="AI1409">
        <v>0</v>
      </c>
      <c r="AJ1409">
        <v>0</v>
      </c>
      <c r="AK1409">
        <v>0</v>
      </c>
    </row>
    <row r="1410" spans="1:37" x14ac:dyDescent="0.3">
      <c r="A1410">
        <v>7979</v>
      </c>
      <c r="B1410" t="s">
        <v>219</v>
      </c>
      <c r="D1410" t="s">
        <v>327</v>
      </c>
      <c r="E1410">
        <v>99999999</v>
      </c>
      <c r="F1410">
        <v>11111111</v>
      </c>
      <c r="G1410">
        <v>1111111111</v>
      </c>
      <c r="H1410" t="s">
        <v>4979</v>
      </c>
      <c r="I1410">
        <v>99999999</v>
      </c>
      <c r="J1410" s="188">
        <v>45236</v>
      </c>
      <c r="K1410" t="s">
        <v>4979</v>
      </c>
      <c r="L1410" t="s">
        <v>4979</v>
      </c>
      <c r="M1410" t="s">
        <v>2015</v>
      </c>
      <c r="N1410" t="s">
        <v>99</v>
      </c>
      <c r="O1410" t="s">
        <v>2016</v>
      </c>
      <c r="P1410" t="s">
        <v>221</v>
      </c>
      <c r="Q1410" t="s">
        <v>82</v>
      </c>
      <c r="R1410">
        <v>3</v>
      </c>
      <c r="S1410">
        <v>9.4</v>
      </c>
      <c r="T1410">
        <v>0</v>
      </c>
      <c r="U1410">
        <v>1</v>
      </c>
      <c r="V1410">
        <v>3</v>
      </c>
      <c r="W1410">
        <v>29.93</v>
      </c>
      <c r="X1410">
        <v>0</v>
      </c>
      <c r="Y1410">
        <v>0</v>
      </c>
      <c r="Z1410">
        <v>0</v>
      </c>
      <c r="AA1410">
        <v>0</v>
      </c>
      <c r="AB1410">
        <v>0</v>
      </c>
      <c r="AC1410">
        <v>0</v>
      </c>
      <c r="AD1410">
        <v>3</v>
      </c>
      <c r="AE1410">
        <v>0</v>
      </c>
      <c r="AF1410">
        <v>0</v>
      </c>
      <c r="AG1410">
        <v>0</v>
      </c>
      <c r="AH1410">
        <v>0</v>
      </c>
      <c r="AI1410">
        <v>0</v>
      </c>
      <c r="AJ1410">
        <v>0</v>
      </c>
      <c r="AK1410">
        <v>0</v>
      </c>
    </row>
    <row r="1411" spans="1:37" x14ac:dyDescent="0.3">
      <c r="A1411">
        <v>7979</v>
      </c>
      <c r="B1411" t="s">
        <v>219</v>
      </c>
      <c r="D1411" t="s">
        <v>327</v>
      </c>
      <c r="E1411">
        <v>99999999</v>
      </c>
      <c r="F1411">
        <v>11111111</v>
      </c>
      <c r="G1411">
        <v>1111111111</v>
      </c>
      <c r="H1411" t="s">
        <v>4980</v>
      </c>
      <c r="I1411">
        <v>99999999</v>
      </c>
      <c r="J1411" s="188">
        <v>45236</v>
      </c>
      <c r="K1411" t="s">
        <v>4980</v>
      </c>
      <c r="L1411" t="s">
        <v>4980</v>
      </c>
      <c r="M1411" t="s">
        <v>2017</v>
      </c>
      <c r="N1411" t="s">
        <v>130</v>
      </c>
      <c r="O1411" t="s">
        <v>2018</v>
      </c>
      <c r="P1411" t="s">
        <v>221</v>
      </c>
      <c r="Q1411" t="s">
        <v>82</v>
      </c>
      <c r="R1411">
        <v>1</v>
      </c>
      <c r="S1411">
        <v>3.4</v>
      </c>
      <c r="T1411">
        <v>0</v>
      </c>
      <c r="U1411">
        <v>1</v>
      </c>
      <c r="V1411">
        <v>1</v>
      </c>
      <c r="W1411">
        <v>31.84</v>
      </c>
      <c r="X1411">
        <v>0</v>
      </c>
      <c r="Y1411">
        <v>0</v>
      </c>
      <c r="Z1411">
        <v>0</v>
      </c>
      <c r="AA1411">
        <v>0</v>
      </c>
      <c r="AB1411">
        <v>0</v>
      </c>
      <c r="AC1411">
        <v>0</v>
      </c>
      <c r="AD1411">
        <v>1</v>
      </c>
      <c r="AE1411">
        <v>0</v>
      </c>
      <c r="AF1411">
        <v>0</v>
      </c>
      <c r="AG1411">
        <v>0</v>
      </c>
      <c r="AH1411">
        <v>0</v>
      </c>
      <c r="AI1411">
        <v>0</v>
      </c>
      <c r="AJ1411">
        <v>0</v>
      </c>
      <c r="AK1411">
        <v>0</v>
      </c>
    </row>
    <row r="1412" spans="1:37" x14ac:dyDescent="0.3">
      <c r="A1412">
        <v>7979</v>
      </c>
      <c r="B1412" t="s">
        <v>219</v>
      </c>
      <c r="D1412" t="s">
        <v>327</v>
      </c>
      <c r="E1412">
        <v>99999999</v>
      </c>
      <c r="F1412">
        <v>11111111</v>
      </c>
      <c r="G1412">
        <v>1111111111</v>
      </c>
      <c r="H1412" t="s">
        <v>4981</v>
      </c>
      <c r="I1412">
        <v>99999999</v>
      </c>
      <c r="J1412" s="188">
        <v>45236</v>
      </c>
      <c r="K1412" t="s">
        <v>4981</v>
      </c>
      <c r="L1412" t="s">
        <v>4981</v>
      </c>
      <c r="M1412" t="s">
        <v>2019</v>
      </c>
      <c r="N1412" t="s">
        <v>99</v>
      </c>
      <c r="O1412">
        <v>93023</v>
      </c>
      <c r="P1412" t="s">
        <v>221</v>
      </c>
      <c r="Q1412" t="s">
        <v>82</v>
      </c>
      <c r="R1412">
        <v>7</v>
      </c>
      <c r="S1412">
        <v>6</v>
      </c>
      <c r="T1412">
        <v>0</v>
      </c>
      <c r="U1412">
        <v>1</v>
      </c>
      <c r="V1412">
        <v>7</v>
      </c>
      <c r="W1412">
        <v>31.8</v>
      </c>
      <c r="X1412">
        <v>0</v>
      </c>
      <c r="Y1412">
        <v>0</v>
      </c>
      <c r="Z1412">
        <v>0</v>
      </c>
      <c r="AA1412">
        <v>0</v>
      </c>
      <c r="AB1412">
        <v>0</v>
      </c>
      <c r="AC1412">
        <v>0</v>
      </c>
      <c r="AD1412">
        <v>7</v>
      </c>
      <c r="AE1412">
        <v>0</v>
      </c>
      <c r="AF1412">
        <v>0</v>
      </c>
      <c r="AG1412">
        <v>0</v>
      </c>
      <c r="AH1412">
        <v>0</v>
      </c>
      <c r="AI1412">
        <v>0</v>
      </c>
      <c r="AJ1412">
        <v>0</v>
      </c>
      <c r="AK1412">
        <v>0</v>
      </c>
    </row>
    <row r="1413" spans="1:37" x14ac:dyDescent="0.3">
      <c r="A1413">
        <v>7979</v>
      </c>
      <c r="B1413" t="s">
        <v>219</v>
      </c>
      <c r="D1413" t="s">
        <v>327</v>
      </c>
      <c r="E1413">
        <v>99999999</v>
      </c>
      <c r="F1413">
        <v>11111111</v>
      </c>
      <c r="G1413">
        <v>1111111111</v>
      </c>
      <c r="H1413" t="s">
        <v>4982</v>
      </c>
      <c r="I1413">
        <v>99999999</v>
      </c>
      <c r="J1413" s="188">
        <v>45236</v>
      </c>
      <c r="K1413" t="s">
        <v>4982</v>
      </c>
      <c r="L1413" t="s">
        <v>4982</v>
      </c>
      <c r="M1413" t="s">
        <v>2020</v>
      </c>
      <c r="N1413" t="s">
        <v>99</v>
      </c>
      <c r="O1413" t="s">
        <v>2021</v>
      </c>
      <c r="P1413" t="s">
        <v>221</v>
      </c>
      <c r="Q1413" t="s">
        <v>82</v>
      </c>
      <c r="R1413">
        <v>2</v>
      </c>
      <c r="S1413">
        <v>2.266</v>
      </c>
      <c r="T1413">
        <v>0</v>
      </c>
      <c r="U1413">
        <v>1</v>
      </c>
      <c r="V1413">
        <v>2</v>
      </c>
      <c r="W1413">
        <v>21.88</v>
      </c>
      <c r="X1413">
        <v>0</v>
      </c>
      <c r="Y1413">
        <v>0</v>
      </c>
      <c r="Z1413">
        <v>0</v>
      </c>
      <c r="AA1413">
        <v>0</v>
      </c>
      <c r="AB1413">
        <v>0</v>
      </c>
      <c r="AC1413">
        <v>0</v>
      </c>
      <c r="AD1413">
        <v>2</v>
      </c>
      <c r="AE1413">
        <v>0</v>
      </c>
      <c r="AF1413">
        <v>0</v>
      </c>
      <c r="AG1413">
        <v>0</v>
      </c>
      <c r="AH1413">
        <v>0</v>
      </c>
      <c r="AI1413">
        <v>0</v>
      </c>
      <c r="AJ1413">
        <v>0</v>
      </c>
      <c r="AK1413">
        <v>0</v>
      </c>
    </row>
    <row r="1414" spans="1:37" x14ac:dyDescent="0.3">
      <c r="A1414">
        <v>7979</v>
      </c>
      <c r="B1414" t="s">
        <v>219</v>
      </c>
      <c r="D1414" t="s">
        <v>327</v>
      </c>
      <c r="E1414">
        <v>99999999</v>
      </c>
      <c r="F1414">
        <v>11111111</v>
      </c>
      <c r="G1414">
        <v>1111111111</v>
      </c>
      <c r="H1414" t="s">
        <v>4983</v>
      </c>
      <c r="I1414">
        <v>99999999</v>
      </c>
      <c r="J1414" s="188">
        <v>45236</v>
      </c>
      <c r="K1414" t="s">
        <v>4983</v>
      </c>
      <c r="L1414" t="s">
        <v>4983</v>
      </c>
      <c r="M1414" t="s">
        <v>149</v>
      </c>
      <c r="N1414" t="s">
        <v>99</v>
      </c>
      <c r="O1414" t="s">
        <v>2022</v>
      </c>
      <c r="P1414" t="s">
        <v>221</v>
      </c>
      <c r="Q1414" t="s">
        <v>82</v>
      </c>
      <c r="R1414">
        <v>12</v>
      </c>
      <c r="S1414">
        <v>7.25</v>
      </c>
      <c r="T1414">
        <v>0</v>
      </c>
      <c r="U1414">
        <v>1</v>
      </c>
      <c r="V1414">
        <v>4</v>
      </c>
      <c r="W1414">
        <v>22.42</v>
      </c>
      <c r="X1414">
        <v>0</v>
      </c>
      <c r="Y1414">
        <v>0</v>
      </c>
      <c r="Z1414">
        <v>0</v>
      </c>
      <c r="AA1414">
        <v>0</v>
      </c>
      <c r="AB1414">
        <v>0</v>
      </c>
      <c r="AC1414">
        <v>0</v>
      </c>
      <c r="AD1414">
        <v>12</v>
      </c>
      <c r="AE1414">
        <v>0</v>
      </c>
      <c r="AF1414">
        <v>0</v>
      </c>
      <c r="AG1414">
        <v>0</v>
      </c>
      <c r="AH1414">
        <v>0</v>
      </c>
      <c r="AI1414">
        <v>0</v>
      </c>
      <c r="AJ1414">
        <v>0</v>
      </c>
      <c r="AK1414">
        <v>0</v>
      </c>
    </row>
    <row r="1415" spans="1:37" x14ac:dyDescent="0.3">
      <c r="A1415">
        <v>7979</v>
      </c>
      <c r="B1415" t="s">
        <v>219</v>
      </c>
      <c r="D1415" t="s">
        <v>327</v>
      </c>
      <c r="E1415">
        <v>99999999</v>
      </c>
      <c r="F1415">
        <v>11111111</v>
      </c>
      <c r="G1415">
        <v>1111111111</v>
      </c>
      <c r="H1415" t="s">
        <v>4984</v>
      </c>
      <c r="I1415">
        <v>99999999</v>
      </c>
      <c r="J1415" s="188">
        <v>45236</v>
      </c>
      <c r="K1415" t="s">
        <v>4984</v>
      </c>
      <c r="L1415" t="s">
        <v>4984</v>
      </c>
      <c r="M1415" t="s">
        <v>2023</v>
      </c>
      <c r="N1415" t="s">
        <v>122</v>
      </c>
      <c r="O1415" t="s">
        <v>2024</v>
      </c>
      <c r="P1415" t="s">
        <v>221</v>
      </c>
      <c r="Q1415" t="s">
        <v>82</v>
      </c>
      <c r="R1415">
        <v>2</v>
      </c>
      <c r="S1415">
        <v>0.68</v>
      </c>
      <c r="T1415">
        <v>0</v>
      </c>
      <c r="U1415">
        <v>1</v>
      </c>
      <c r="V1415">
        <v>2</v>
      </c>
      <c r="W1415">
        <v>27.66</v>
      </c>
      <c r="X1415">
        <v>0</v>
      </c>
      <c r="Y1415">
        <v>0</v>
      </c>
      <c r="Z1415">
        <v>0</v>
      </c>
      <c r="AA1415">
        <v>0</v>
      </c>
      <c r="AB1415">
        <v>0</v>
      </c>
      <c r="AC1415">
        <v>0</v>
      </c>
      <c r="AD1415">
        <v>2</v>
      </c>
      <c r="AE1415">
        <v>0</v>
      </c>
      <c r="AF1415">
        <v>0</v>
      </c>
      <c r="AG1415">
        <v>0</v>
      </c>
      <c r="AH1415">
        <v>0</v>
      </c>
      <c r="AI1415">
        <v>0</v>
      </c>
      <c r="AJ1415">
        <v>0</v>
      </c>
      <c r="AK1415">
        <v>0</v>
      </c>
    </row>
    <row r="1416" spans="1:37" x14ac:dyDescent="0.3">
      <c r="A1416">
        <v>7979</v>
      </c>
      <c r="B1416" t="s">
        <v>219</v>
      </c>
      <c r="D1416" t="s">
        <v>327</v>
      </c>
      <c r="E1416">
        <v>99999999</v>
      </c>
      <c r="F1416">
        <v>11111111</v>
      </c>
      <c r="G1416">
        <v>1111111111</v>
      </c>
      <c r="H1416" t="s">
        <v>4985</v>
      </c>
      <c r="I1416">
        <v>99999999</v>
      </c>
      <c r="J1416" s="188">
        <v>45236</v>
      </c>
      <c r="K1416" t="s">
        <v>4985</v>
      </c>
      <c r="L1416" t="s">
        <v>4985</v>
      </c>
      <c r="M1416" t="s">
        <v>2025</v>
      </c>
      <c r="N1416" t="s">
        <v>122</v>
      </c>
      <c r="O1416" t="s">
        <v>2026</v>
      </c>
      <c r="P1416" t="s">
        <v>221</v>
      </c>
      <c r="Q1416" t="s">
        <v>82</v>
      </c>
      <c r="R1416">
        <v>2</v>
      </c>
      <c r="S1416">
        <v>3.8</v>
      </c>
      <c r="T1416">
        <v>0</v>
      </c>
      <c r="U1416">
        <v>1</v>
      </c>
      <c r="V1416">
        <v>2</v>
      </c>
      <c r="W1416">
        <v>30.49</v>
      </c>
      <c r="X1416">
        <v>0</v>
      </c>
      <c r="Y1416">
        <v>0</v>
      </c>
      <c r="Z1416">
        <v>0</v>
      </c>
      <c r="AA1416">
        <v>0</v>
      </c>
      <c r="AB1416">
        <v>0</v>
      </c>
      <c r="AC1416">
        <v>0</v>
      </c>
      <c r="AD1416">
        <v>2</v>
      </c>
      <c r="AE1416">
        <v>0</v>
      </c>
      <c r="AF1416">
        <v>0</v>
      </c>
      <c r="AG1416">
        <v>0</v>
      </c>
      <c r="AH1416">
        <v>0</v>
      </c>
      <c r="AI1416">
        <v>0</v>
      </c>
      <c r="AJ1416">
        <v>0</v>
      </c>
      <c r="AK1416">
        <v>0</v>
      </c>
    </row>
    <row r="1417" spans="1:37" x14ac:dyDescent="0.3">
      <c r="A1417">
        <v>7979</v>
      </c>
      <c r="B1417" t="s">
        <v>219</v>
      </c>
      <c r="D1417" t="s">
        <v>327</v>
      </c>
      <c r="E1417">
        <v>99999999</v>
      </c>
      <c r="F1417">
        <v>11111111</v>
      </c>
      <c r="G1417">
        <v>1111111111</v>
      </c>
      <c r="H1417" t="s">
        <v>4986</v>
      </c>
      <c r="I1417">
        <v>99999999</v>
      </c>
      <c r="J1417" s="188">
        <v>45236</v>
      </c>
      <c r="K1417" t="s">
        <v>4986</v>
      </c>
      <c r="L1417" t="s">
        <v>4986</v>
      </c>
      <c r="M1417" t="s">
        <v>2027</v>
      </c>
      <c r="N1417" t="s">
        <v>99</v>
      </c>
      <c r="O1417" t="s">
        <v>2028</v>
      </c>
      <c r="P1417" t="s">
        <v>221</v>
      </c>
      <c r="Q1417" t="s">
        <v>82</v>
      </c>
      <c r="R1417">
        <v>5</v>
      </c>
      <c r="S1417">
        <v>3.5779999999999998</v>
      </c>
      <c r="T1417">
        <v>0</v>
      </c>
      <c r="U1417">
        <v>1</v>
      </c>
      <c r="V1417">
        <v>5</v>
      </c>
      <c r="W1417">
        <v>22.93</v>
      </c>
      <c r="X1417">
        <v>0</v>
      </c>
      <c r="Y1417">
        <v>0</v>
      </c>
      <c r="Z1417">
        <v>0</v>
      </c>
      <c r="AA1417">
        <v>0</v>
      </c>
      <c r="AB1417">
        <v>0</v>
      </c>
      <c r="AC1417">
        <v>0</v>
      </c>
      <c r="AD1417">
        <v>5</v>
      </c>
      <c r="AE1417">
        <v>0</v>
      </c>
      <c r="AF1417">
        <v>0</v>
      </c>
      <c r="AG1417">
        <v>0</v>
      </c>
      <c r="AH1417">
        <v>0</v>
      </c>
      <c r="AI1417">
        <v>0</v>
      </c>
      <c r="AJ1417">
        <v>0</v>
      </c>
      <c r="AK1417">
        <v>0</v>
      </c>
    </row>
    <row r="1418" spans="1:37" x14ac:dyDescent="0.3">
      <c r="A1418">
        <v>7979</v>
      </c>
      <c r="B1418" t="s">
        <v>219</v>
      </c>
      <c r="D1418" t="s">
        <v>327</v>
      </c>
      <c r="E1418">
        <v>99999999</v>
      </c>
      <c r="F1418">
        <v>11111111</v>
      </c>
      <c r="G1418">
        <v>1111111111</v>
      </c>
      <c r="H1418" t="s">
        <v>4987</v>
      </c>
      <c r="I1418">
        <v>99999999</v>
      </c>
      <c r="J1418" s="188">
        <v>45236</v>
      </c>
      <c r="K1418" t="s">
        <v>4987</v>
      </c>
      <c r="L1418" t="s">
        <v>4987</v>
      </c>
      <c r="M1418" t="s">
        <v>799</v>
      </c>
      <c r="N1418" t="s">
        <v>97</v>
      </c>
      <c r="O1418" t="s">
        <v>2029</v>
      </c>
      <c r="P1418" t="s">
        <v>221</v>
      </c>
      <c r="Q1418" t="s">
        <v>82</v>
      </c>
      <c r="R1418">
        <v>2</v>
      </c>
      <c r="S1418">
        <v>3.15</v>
      </c>
      <c r="T1418">
        <v>0</v>
      </c>
      <c r="U1418">
        <v>1</v>
      </c>
      <c r="V1418">
        <v>2</v>
      </c>
      <c r="W1418">
        <v>28.64</v>
      </c>
      <c r="X1418">
        <v>0</v>
      </c>
      <c r="Y1418">
        <v>0</v>
      </c>
      <c r="Z1418">
        <v>0</v>
      </c>
      <c r="AA1418">
        <v>0</v>
      </c>
      <c r="AB1418">
        <v>0</v>
      </c>
      <c r="AC1418">
        <v>0</v>
      </c>
      <c r="AD1418">
        <v>2</v>
      </c>
      <c r="AE1418">
        <v>0</v>
      </c>
      <c r="AF1418">
        <v>0</v>
      </c>
      <c r="AG1418">
        <v>0</v>
      </c>
      <c r="AH1418">
        <v>0</v>
      </c>
      <c r="AI1418">
        <v>0</v>
      </c>
      <c r="AJ1418">
        <v>0</v>
      </c>
      <c r="AK1418">
        <v>0</v>
      </c>
    </row>
    <row r="1419" spans="1:37" x14ac:dyDescent="0.3">
      <c r="A1419">
        <v>7979</v>
      </c>
      <c r="B1419" t="s">
        <v>219</v>
      </c>
      <c r="D1419" t="s">
        <v>327</v>
      </c>
      <c r="E1419">
        <v>99999999</v>
      </c>
      <c r="F1419">
        <v>11111111</v>
      </c>
      <c r="G1419">
        <v>1111111111</v>
      </c>
      <c r="H1419" t="s">
        <v>4988</v>
      </c>
      <c r="I1419">
        <v>99999999</v>
      </c>
      <c r="J1419" s="188">
        <v>45236</v>
      </c>
      <c r="K1419" t="s">
        <v>4988</v>
      </c>
      <c r="L1419" t="s">
        <v>4988</v>
      </c>
      <c r="M1419" t="s">
        <v>1649</v>
      </c>
      <c r="N1419" t="s">
        <v>197</v>
      </c>
      <c r="O1419" t="s">
        <v>2030</v>
      </c>
      <c r="P1419" t="s">
        <v>221</v>
      </c>
      <c r="Q1419" t="s">
        <v>82</v>
      </c>
      <c r="R1419">
        <v>2</v>
      </c>
      <c r="S1419">
        <v>4.7</v>
      </c>
      <c r="T1419">
        <v>0</v>
      </c>
      <c r="U1419">
        <v>1</v>
      </c>
      <c r="V1419">
        <v>2</v>
      </c>
      <c r="W1419">
        <v>31.24</v>
      </c>
      <c r="X1419">
        <v>0</v>
      </c>
      <c r="Y1419">
        <v>0</v>
      </c>
      <c r="Z1419">
        <v>0</v>
      </c>
      <c r="AA1419">
        <v>0</v>
      </c>
      <c r="AB1419">
        <v>0</v>
      </c>
      <c r="AC1419">
        <v>0</v>
      </c>
      <c r="AD1419">
        <v>2</v>
      </c>
      <c r="AE1419">
        <v>0</v>
      </c>
      <c r="AF1419">
        <v>0</v>
      </c>
      <c r="AG1419">
        <v>0</v>
      </c>
      <c r="AH1419">
        <v>0</v>
      </c>
      <c r="AI1419">
        <v>0</v>
      </c>
      <c r="AJ1419">
        <v>0</v>
      </c>
      <c r="AK1419">
        <v>0</v>
      </c>
    </row>
    <row r="1420" spans="1:37" x14ac:dyDescent="0.3">
      <c r="A1420">
        <v>7979</v>
      </c>
      <c r="B1420" t="s">
        <v>219</v>
      </c>
      <c r="D1420" t="s">
        <v>327</v>
      </c>
      <c r="E1420">
        <v>99999999</v>
      </c>
      <c r="F1420">
        <v>11111111</v>
      </c>
      <c r="G1420">
        <v>1111111111</v>
      </c>
      <c r="H1420" t="s">
        <v>4989</v>
      </c>
      <c r="I1420">
        <v>99999999</v>
      </c>
      <c r="J1420" s="188">
        <v>45236</v>
      </c>
      <c r="K1420" t="s">
        <v>4989</v>
      </c>
      <c r="L1420" t="s">
        <v>4989</v>
      </c>
      <c r="M1420" t="s">
        <v>198</v>
      </c>
      <c r="N1420" t="s">
        <v>99</v>
      </c>
      <c r="O1420">
        <v>95461</v>
      </c>
      <c r="P1420" t="s">
        <v>221</v>
      </c>
      <c r="Q1420" t="s">
        <v>82</v>
      </c>
      <c r="R1420">
        <v>1</v>
      </c>
      <c r="S1420">
        <v>9.5</v>
      </c>
      <c r="T1420">
        <v>0</v>
      </c>
      <c r="U1420">
        <v>1</v>
      </c>
      <c r="V1420">
        <v>1</v>
      </c>
      <c r="W1420">
        <v>31.08</v>
      </c>
      <c r="X1420">
        <v>0</v>
      </c>
      <c r="Y1420">
        <v>0</v>
      </c>
      <c r="Z1420">
        <v>0</v>
      </c>
      <c r="AA1420">
        <v>0</v>
      </c>
      <c r="AB1420">
        <v>0</v>
      </c>
      <c r="AC1420">
        <v>0</v>
      </c>
      <c r="AD1420">
        <v>1</v>
      </c>
      <c r="AE1420">
        <v>0</v>
      </c>
      <c r="AF1420">
        <v>0</v>
      </c>
      <c r="AG1420">
        <v>0</v>
      </c>
      <c r="AH1420">
        <v>0</v>
      </c>
      <c r="AI1420">
        <v>0</v>
      </c>
      <c r="AJ1420">
        <v>0</v>
      </c>
      <c r="AK1420">
        <v>0</v>
      </c>
    </row>
    <row r="1421" spans="1:37" x14ac:dyDescent="0.3">
      <c r="A1421">
        <v>7979</v>
      </c>
      <c r="B1421" t="s">
        <v>219</v>
      </c>
      <c r="D1421" t="s">
        <v>327</v>
      </c>
      <c r="E1421">
        <v>99999999</v>
      </c>
      <c r="F1421">
        <v>11111111</v>
      </c>
      <c r="G1421">
        <v>1111111111</v>
      </c>
      <c r="H1421" t="s">
        <v>4990</v>
      </c>
      <c r="I1421">
        <v>99999999</v>
      </c>
      <c r="J1421" s="188">
        <v>45236</v>
      </c>
      <c r="K1421" t="s">
        <v>4990</v>
      </c>
      <c r="L1421" t="s">
        <v>4990</v>
      </c>
      <c r="M1421" t="s">
        <v>941</v>
      </c>
      <c r="N1421" t="s">
        <v>99</v>
      </c>
      <c r="O1421" t="s">
        <v>2031</v>
      </c>
      <c r="P1421" t="s">
        <v>221</v>
      </c>
      <c r="Q1421" t="s">
        <v>82</v>
      </c>
      <c r="R1421">
        <v>1</v>
      </c>
      <c r="S1421">
        <v>0.4</v>
      </c>
      <c r="T1421">
        <v>0</v>
      </c>
      <c r="U1421">
        <v>1</v>
      </c>
      <c r="V1421">
        <v>1</v>
      </c>
      <c r="W1421">
        <v>18.2</v>
      </c>
      <c r="X1421">
        <v>0</v>
      </c>
      <c r="Y1421">
        <v>0</v>
      </c>
      <c r="Z1421">
        <v>0</v>
      </c>
      <c r="AA1421">
        <v>0</v>
      </c>
      <c r="AB1421">
        <v>0</v>
      </c>
      <c r="AC1421">
        <v>0</v>
      </c>
      <c r="AD1421">
        <v>1</v>
      </c>
      <c r="AE1421">
        <v>0</v>
      </c>
      <c r="AF1421">
        <v>0</v>
      </c>
      <c r="AG1421">
        <v>0</v>
      </c>
      <c r="AH1421">
        <v>0</v>
      </c>
      <c r="AI1421">
        <v>0</v>
      </c>
      <c r="AJ1421">
        <v>0</v>
      </c>
      <c r="AK1421">
        <v>0</v>
      </c>
    </row>
    <row r="1422" spans="1:37" x14ac:dyDescent="0.3">
      <c r="A1422">
        <v>7979</v>
      </c>
      <c r="B1422" t="s">
        <v>219</v>
      </c>
      <c r="D1422" t="s">
        <v>327</v>
      </c>
      <c r="E1422">
        <v>99999999</v>
      </c>
      <c r="F1422">
        <v>11111111</v>
      </c>
      <c r="G1422">
        <v>1111111111</v>
      </c>
      <c r="H1422" t="s">
        <v>4991</v>
      </c>
      <c r="I1422">
        <v>99999999</v>
      </c>
      <c r="J1422" s="188">
        <v>45236</v>
      </c>
      <c r="K1422" t="s">
        <v>4991</v>
      </c>
      <c r="L1422" t="s">
        <v>4991</v>
      </c>
      <c r="M1422" t="s">
        <v>2032</v>
      </c>
      <c r="N1422" t="s">
        <v>164</v>
      </c>
      <c r="O1422" t="s">
        <v>2033</v>
      </c>
      <c r="P1422" t="s">
        <v>221</v>
      </c>
      <c r="Q1422" t="s">
        <v>82</v>
      </c>
      <c r="R1422">
        <v>1</v>
      </c>
      <c r="S1422">
        <v>13</v>
      </c>
      <c r="T1422">
        <v>0</v>
      </c>
      <c r="U1422">
        <v>1</v>
      </c>
      <c r="V1422">
        <v>1</v>
      </c>
      <c r="W1422">
        <v>33.49</v>
      </c>
      <c r="X1422">
        <v>0</v>
      </c>
      <c r="Y1422">
        <v>0</v>
      </c>
      <c r="Z1422">
        <v>0</v>
      </c>
      <c r="AA1422">
        <v>0</v>
      </c>
      <c r="AB1422">
        <v>0</v>
      </c>
      <c r="AC1422">
        <v>0</v>
      </c>
      <c r="AD1422">
        <v>1</v>
      </c>
      <c r="AE1422">
        <v>0</v>
      </c>
      <c r="AF1422">
        <v>0</v>
      </c>
      <c r="AG1422">
        <v>0</v>
      </c>
      <c r="AH1422">
        <v>0</v>
      </c>
      <c r="AI1422">
        <v>0</v>
      </c>
      <c r="AJ1422">
        <v>0</v>
      </c>
      <c r="AK1422">
        <v>0</v>
      </c>
    </row>
    <row r="1423" spans="1:37" x14ac:dyDescent="0.3">
      <c r="A1423">
        <v>7979</v>
      </c>
      <c r="B1423" t="s">
        <v>219</v>
      </c>
      <c r="D1423" t="s">
        <v>327</v>
      </c>
      <c r="E1423">
        <v>99999999</v>
      </c>
      <c r="F1423">
        <v>11111111</v>
      </c>
      <c r="G1423">
        <v>1111111111</v>
      </c>
      <c r="H1423" t="s">
        <v>4992</v>
      </c>
      <c r="I1423">
        <v>99999999</v>
      </c>
      <c r="J1423" s="188">
        <v>45236</v>
      </c>
      <c r="K1423" t="s">
        <v>4992</v>
      </c>
      <c r="L1423" t="s">
        <v>4992</v>
      </c>
      <c r="M1423" t="s">
        <v>2034</v>
      </c>
      <c r="N1423" t="s">
        <v>1022</v>
      </c>
      <c r="O1423" t="s">
        <v>2035</v>
      </c>
      <c r="P1423" t="s">
        <v>221</v>
      </c>
      <c r="Q1423" t="s">
        <v>82</v>
      </c>
      <c r="R1423">
        <v>1</v>
      </c>
      <c r="S1423">
        <v>2</v>
      </c>
      <c r="T1423">
        <v>0</v>
      </c>
      <c r="U1423">
        <v>1</v>
      </c>
      <c r="V1423">
        <v>1</v>
      </c>
      <c r="W1423">
        <v>24.81</v>
      </c>
      <c r="X1423">
        <v>0</v>
      </c>
      <c r="Y1423">
        <v>0</v>
      </c>
      <c r="Z1423">
        <v>0</v>
      </c>
      <c r="AA1423">
        <v>0</v>
      </c>
      <c r="AB1423">
        <v>0</v>
      </c>
      <c r="AC1423">
        <v>0</v>
      </c>
      <c r="AD1423">
        <v>1</v>
      </c>
      <c r="AE1423">
        <v>0</v>
      </c>
      <c r="AF1423">
        <v>0</v>
      </c>
      <c r="AG1423">
        <v>0</v>
      </c>
      <c r="AH1423">
        <v>0</v>
      </c>
      <c r="AI1423">
        <v>0</v>
      </c>
      <c r="AJ1423">
        <v>0</v>
      </c>
      <c r="AK1423">
        <v>0</v>
      </c>
    </row>
    <row r="1424" spans="1:37" x14ac:dyDescent="0.3">
      <c r="A1424">
        <v>7979</v>
      </c>
      <c r="B1424" t="s">
        <v>219</v>
      </c>
      <c r="D1424" t="s">
        <v>327</v>
      </c>
      <c r="E1424">
        <v>99999999</v>
      </c>
      <c r="F1424">
        <v>11111111</v>
      </c>
      <c r="G1424">
        <v>1111111111</v>
      </c>
      <c r="H1424" t="s">
        <v>4993</v>
      </c>
      <c r="I1424">
        <v>99999999</v>
      </c>
      <c r="J1424" s="188">
        <v>45236</v>
      </c>
      <c r="K1424" t="s">
        <v>4993</v>
      </c>
      <c r="L1424" t="s">
        <v>4993</v>
      </c>
      <c r="M1424" t="s">
        <v>2036</v>
      </c>
      <c r="N1424" t="s">
        <v>99</v>
      </c>
      <c r="O1424" t="s">
        <v>2037</v>
      </c>
      <c r="P1424" t="s">
        <v>221</v>
      </c>
      <c r="Q1424" t="s">
        <v>82</v>
      </c>
      <c r="R1424">
        <v>1</v>
      </c>
      <c r="S1424">
        <v>2</v>
      </c>
      <c r="T1424">
        <v>0</v>
      </c>
      <c r="U1424">
        <v>1</v>
      </c>
      <c r="V1424">
        <v>1</v>
      </c>
      <c r="W1424">
        <v>28</v>
      </c>
      <c r="X1424">
        <v>0</v>
      </c>
      <c r="Y1424">
        <v>0</v>
      </c>
      <c r="Z1424">
        <v>0</v>
      </c>
      <c r="AA1424">
        <v>0</v>
      </c>
      <c r="AB1424">
        <v>0</v>
      </c>
      <c r="AC1424">
        <v>0</v>
      </c>
      <c r="AD1424">
        <v>1</v>
      </c>
      <c r="AE1424">
        <v>0</v>
      </c>
      <c r="AF1424">
        <v>0</v>
      </c>
      <c r="AG1424">
        <v>0</v>
      </c>
      <c r="AH1424">
        <v>0</v>
      </c>
      <c r="AI1424">
        <v>0</v>
      </c>
      <c r="AJ1424">
        <v>0</v>
      </c>
      <c r="AK1424">
        <v>0</v>
      </c>
    </row>
    <row r="1425" spans="1:37" x14ac:dyDescent="0.3">
      <c r="A1425">
        <v>7979</v>
      </c>
      <c r="B1425" t="s">
        <v>219</v>
      </c>
      <c r="D1425" t="s">
        <v>327</v>
      </c>
      <c r="E1425">
        <v>99999999</v>
      </c>
      <c r="F1425">
        <v>11111111</v>
      </c>
      <c r="G1425">
        <v>1111111111</v>
      </c>
      <c r="H1425" t="s">
        <v>4994</v>
      </c>
      <c r="I1425">
        <v>99999999</v>
      </c>
      <c r="J1425" s="188">
        <v>45236</v>
      </c>
      <c r="K1425" t="s">
        <v>4994</v>
      </c>
      <c r="L1425" t="s">
        <v>4994</v>
      </c>
      <c r="M1425" t="s">
        <v>2038</v>
      </c>
      <c r="N1425" t="s">
        <v>130</v>
      </c>
      <c r="O1425" t="s">
        <v>2039</v>
      </c>
      <c r="P1425" t="s">
        <v>221</v>
      </c>
      <c r="Q1425" t="s">
        <v>82</v>
      </c>
      <c r="R1425">
        <v>1</v>
      </c>
      <c r="S1425">
        <v>4.41</v>
      </c>
      <c r="T1425">
        <v>0</v>
      </c>
      <c r="U1425">
        <v>1</v>
      </c>
      <c r="V1425">
        <v>1</v>
      </c>
      <c r="W1425">
        <v>30.49</v>
      </c>
      <c r="X1425">
        <v>0</v>
      </c>
      <c r="Y1425">
        <v>0</v>
      </c>
      <c r="Z1425">
        <v>0</v>
      </c>
      <c r="AA1425">
        <v>0</v>
      </c>
      <c r="AB1425">
        <v>0</v>
      </c>
      <c r="AC1425">
        <v>0</v>
      </c>
      <c r="AD1425">
        <v>1</v>
      </c>
      <c r="AE1425">
        <v>0</v>
      </c>
      <c r="AF1425">
        <v>0</v>
      </c>
      <c r="AG1425">
        <v>0</v>
      </c>
      <c r="AH1425">
        <v>0</v>
      </c>
      <c r="AI1425">
        <v>0</v>
      </c>
      <c r="AJ1425">
        <v>0</v>
      </c>
      <c r="AK1425">
        <v>0</v>
      </c>
    </row>
    <row r="1426" spans="1:37" x14ac:dyDescent="0.3">
      <c r="A1426">
        <v>7979</v>
      </c>
      <c r="B1426" t="s">
        <v>219</v>
      </c>
      <c r="D1426" t="s">
        <v>327</v>
      </c>
      <c r="E1426">
        <v>99999999</v>
      </c>
      <c r="F1426">
        <v>11111111</v>
      </c>
      <c r="G1426">
        <v>1111111111</v>
      </c>
      <c r="H1426" t="s">
        <v>4995</v>
      </c>
      <c r="I1426">
        <v>99999999</v>
      </c>
      <c r="J1426" s="188">
        <v>45236</v>
      </c>
      <c r="K1426" t="s">
        <v>4995</v>
      </c>
      <c r="L1426" t="s">
        <v>4995</v>
      </c>
      <c r="M1426" t="s">
        <v>2040</v>
      </c>
      <c r="N1426" t="s">
        <v>1135</v>
      </c>
      <c r="O1426">
        <v>26241</v>
      </c>
      <c r="P1426" t="s">
        <v>221</v>
      </c>
      <c r="Q1426" t="s">
        <v>82</v>
      </c>
      <c r="R1426">
        <v>1</v>
      </c>
      <c r="S1426">
        <v>1.55</v>
      </c>
      <c r="T1426">
        <v>0</v>
      </c>
      <c r="U1426">
        <v>1</v>
      </c>
      <c r="V1426">
        <v>1</v>
      </c>
      <c r="W1426">
        <v>30.93</v>
      </c>
      <c r="X1426">
        <v>0</v>
      </c>
      <c r="Y1426">
        <v>0</v>
      </c>
      <c r="Z1426">
        <v>0</v>
      </c>
      <c r="AA1426">
        <v>0</v>
      </c>
      <c r="AB1426">
        <v>0</v>
      </c>
      <c r="AC1426">
        <v>0</v>
      </c>
      <c r="AD1426">
        <v>1</v>
      </c>
      <c r="AE1426">
        <v>0</v>
      </c>
      <c r="AF1426">
        <v>0</v>
      </c>
      <c r="AG1426">
        <v>0</v>
      </c>
      <c r="AH1426">
        <v>0</v>
      </c>
      <c r="AI1426">
        <v>0</v>
      </c>
      <c r="AJ1426">
        <v>0</v>
      </c>
      <c r="AK1426">
        <v>0</v>
      </c>
    </row>
    <row r="1427" spans="1:37" x14ac:dyDescent="0.3">
      <c r="A1427">
        <v>7979</v>
      </c>
      <c r="B1427" t="s">
        <v>219</v>
      </c>
      <c r="D1427" t="s">
        <v>327</v>
      </c>
      <c r="E1427">
        <v>99999999</v>
      </c>
      <c r="F1427">
        <v>11111111</v>
      </c>
      <c r="G1427">
        <v>1111111111</v>
      </c>
      <c r="H1427" t="s">
        <v>4996</v>
      </c>
      <c r="I1427">
        <v>99999999</v>
      </c>
      <c r="J1427" s="188">
        <v>45236</v>
      </c>
      <c r="K1427" t="s">
        <v>4996</v>
      </c>
      <c r="L1427" t="s">
        <v>4996</v>
      </c>
      <c r="M1427" t="s">
        <v>2023</v>
      </c>
      <c r="N1427" t="s">
        <v>99</v>
      </c>
      <c r="O1427" t="s">
        <v>2041</v>
      </c>
      <c r="P1427" t="s">
        <v>221</v>
      </c>
      <c r="Q1427" t="s">
        <v>82</v>
      </c>
      <c r="R1427">
        <v>1</v>
      </c>
      <c r="S1427">
        <v>3.33</v>
      </c>
      <c r="T1427">
        <v>0</v>
      </c>
      <c r="U1427">
        <v>1</v>
      </c>
      <c r="V1427">
        <v>1</v>
      </c>
      <c r="W1427">
        <v>20.77</v>
      </c>
      <c r="X1427">
        <v>0</v>
      </c>
      <c r="Y1427">
        <v>0</v>
      </c>
      <c r="Z1427">
        <v>0</v>
      </c>
      <c r="AA1427">
        <v>0</v>
      </c>
      <c r="AB1427">
        <v>0</v>
      </c>
      <c r="AC1427">
        <v>0</v>
      </c>
      <c r="AD1427">
        <v>1</v>
      </c>
      <c r="AE1427">
        <v>0</v>
      </c>
      <c r="AF1427">
        <v>0</v>
      </c>
      <c r="AG1427">
        <v>0</v>
      </c>
      <c r="AH1427">
        <v>0</v>
      </c>
      <c r="AI1427">
        <v>0</v>
      </c>
      <c r="AJ1427">
        <v>0</v>
      </c>
      <c r="AK1427">
        <v>0</v>
      </c>
    </row>
    <row r="1428" spans="1:37" x14ac:dyDescent="0.3">
      <c r="A1428">
        <v>7979</v>
      </c>
      <c r="B1428" t="s">
        <v>219</v>
      </c>
      <c r="D1428" t="s">
        <v>327</v>
      </c>
      <c r="E1428">
        <v>99999999</v>
      </c>
      <c r="F1428">
        <v>11111111</v>
      </c>
      <c r="G1428">
        <v>1111111111</v>
      </c>
      <c r="H1428" t="s">
        <v>4997</v>
      </c>
      <c r="I1428">
        <v>99999999</v>
      </c>
      <c r="J1428" s="188">
        <v>45236</v>
      </c>
      <c r="K1428" t="s">
        <v>4997</v>
      </c>
      <c r="L1428" t="s">
        <v>4997</v>
      </c>
      <c r="M1428" t="s">
        <v>2042</v>
      </c>
      <c r="N1428" t="s">
        <v>99</v>
      </c>
      <c r="O1428" t="s">
        <v>2043</v>
      </c>
      <c r="P1428" t="s">
        <v>221</v>
      </c>
      <c r="Q1428" t="s">
        <v>82</v>
      </c>
      <c r="R1428">
        <v>1</v>
      </c>
      <c r="S1428">
        <v>4.5999999999999996</v>
      </c>
      <c r="T1428">
        <v>0</v>
      </c>
      <c r="U1428">
        <v>1</v>
      </c>
      <c r="V1428">
        <v>1</v>
      </c>
      <c r="W1428">
        <v>21.49</v>
      </c>
      <c r="X1428">
        <v>0</v>
      </c>
      <c r="Y1428">
        <v>0</v>
      </c>
      <c r="Z1428">
        <v>0</v>
      </c>
      <c r="AA1428">
        <v>0</v>
      </c>
      <c r="AB1428">
        <v>0</v>
      </c>
      <c r="AC1428">
        <v>0</v>
      </c>
      <c r="AD1428">
        <v>1</v>
      </c>
      <c r="AE1428">
        <v>0</v>
      </c>
      <c r="AF1428">
        <v>0</v>
      </c>
      <c r="AG1428">
        <v>0</v>
      </c>
      <c r="AH1428">
        <v>0</v>
      </c>
      <c r="AI1428">
        <v>0</v>
      </c>
      <c r="AJ1428">
        <v>0</v>
      </c>
      <c r="AK1428">
        <v>0</v>
      </c>
    </row>
    <row r="1429" spans="1:37" x14ac:dyDescent="0.3">
      <c r="A1429">
        <v>7979</v>
      </c>
      <c r="B1429" t="s">
        <v>219</v>
      </c>
      <c r="D1429" t="s">
        <v>327</v>
      </c>
      <c r="E1429">
        <v>99999999</v>
      </c>
      <c r="F1429">
        <v>11111111</v>
      </c>
      <c r="G1429">
        <v>1111111111</v>
      </c>
      <c r="H1429" t="s">
        <v>4998</v>
      </c>
      <c r="I1429">
        <v>99999999</v>
      </c>
      <c r="J1429" s="188">
        <v>45236</v>
      </c>
      <c r="K1429" t="s">
        <v>4998</v>
      </c>
      <c r="L1429" t="s">
        <v>4998</v>
      </c>
      <c r="M1429" t="s">
        <v>282</v>
      </c>
      <c r="N1429" t="s">
        <v>197</v>
      </c>
      <c r="O1429" t="s">
        <v>2044</v>
      </c>
      <c r="P1429" t="s">
        <v>221</v>
      </c>
      <c r="Q1429" t="s">
        <v>82</v>
      </c>
      <c r="R1429">
        <v>1</v>
      </c>
      <c r="S1429">
        <v>1.55</v>
      </c>
      <c r="T1429">
        <v>0</v>
      </c>
      <c r="U1429">
        <v>1</v>
      </c>
      <c r="V1429">
        <v>1</v>
      </c>
      <c r="W1429">
        <v>23.35</v>
      </c>
      <c r="X1429">
        <v>0</v>
      </c>
      <c r="Y1429">
        <v>0</v>
      </c>
      <c r="Z1429">
        <v>0</v>
      </c>
      <c r="AA1429">
        <v>0</v>
      </c>
      <c r="AB1429">
        <v>0</v>
      </c>
      <c r="AC1429">
        <v>0</v>
      </c>
      <c r="AD1429">
        <v>1</v>
      </c>
      <c r="AE1429">
        <v>0</v>
      </c>
      <c r="AF1429">
        <v>0</v>
      </c>
      <c r="AG1429">
        <v>0</v>
      </c>
      <c r="AH1429">
        <v>0</v>
      </c>
      <c r="AI1429">
        <v>0</v>
      </c>
      <c r="AJ1429">
        <v>0</v>
      </c>
      <c r="AK1429">
        <v>0</v>
      </c>
    </row>
    <row r="1430" spans="1:37" x14ac:dyDescent="0.3">
      <c r="A1430">
        <v>7979</v>
      </c>
      <c r="B1430" t="s">
        <v>219</v>
      </c>
      <c r="D1430" t="s">
        <v>327</v>
      </c>
      <c r="E1430">
        <v>99999999</v>
      </c>
      <c r="F1430">
        <v>11111111</v>
      </c>
      <c r="G1430">
        <v>1111111111</v>
      </c>
      <c r="H1430" t="s">
        <v>4999</v>
      </c>
      <c r="I1430">
        <v>99999999</v>
      </c>
      <c r="J1430" s="188">
        <v>45236</v>
      </c>
      <c r="K1430" t="s">
        <v>4999</v>
      </c>
      <c r="L1430" t="s">
        <v>4999</v>
      </c>
      <c r="M1430" t="s">
        <v>2045</v>
      </c>
      <c r="N1430" t="s">
        <v>99</v>
      </c>
      <c r="O1430">
        <v>94513</v>
      </c>
      <c r="P1430" t="s">
        <v>221</v>
      </c>
      <c r="Q1430" t="s">
        <v>82</v>
      </c>
      <c r="R1430">
        <v>1</v>
      </c>
      <c r="S1430">
        <v>3.97</v>
      </c>
      <c r="T1430">
        <v>0</v>
      </c>
      <c r="U1430">
        <v>1</v>
      </c>
      <c r="V1430">
        <v>1</v>
      </c>
      <c r="W1430">
        <v>21.44</v>
      </c>
      <c r="X1430">
        <v>0</v>
      </c>
      <c r="Y1430">
        <v>0</v>
      </c>
      <c r="Z1430">
        <v>0</v>
      </c>
      <c r="AA1430">
        <v>0</v>
      </c>
      <c r="AB1430">
        <v>0</v>
      </c>
      <c r="AC1430">
        <v>0</v>
      </c>
      <c r="AD1430">
        <v>1</v>
      </c>
      <c r="AE1430">
        <v>0</v>
      </c>
      <c r="AF1430">
        <v>0</v>
      </c>
      <c r="AG1430">
        <v>0</v>
      </c>
      <c r="AH1430">
        <v>0</v>
      </c>
      <c r="AI1430">
        <v>0</v>
      </c>
      <c r="AJ1430">
        <v>0</v>
      </c>
      <c r="AK1430">
        <v>0</v>
      </c>
    </row>
    <row r="1431" spans="1:37" x14ac:dyDescent="0.3">
      <c r="A1431">
        <v>7979</v>
      </c>
      <c r="B1431" t="s">
        <v>219</v>
      </c>
      <c r="D1431" t="s">
        <v>327</v>
      </c>
      <c r="E1431">
        <v>99999999</v>
      </c>
      <c r="F1431">
        <v>11111111</v>
      </c>
      <c r="G1431">
        <v>1111111111</v>
      </c>
      <c r="H1431" t="s">
        <v>5000</v>
      </c>
      <c r="I1431">
        <v>99999999</v>
      </c>
      <c r="J1431" s="188">
        <v>45236</v>
      </c>
      <c r="K1431" t="s">
        <v>5000</v>
      </c>
      <c r="L1431" t="s">
        <v>5000</v>
      </c>
      <c r="M1431" t="s">
        <v>1416</v>
      </c>
      <c r="N1431" t="s">
        <v>197</v>
      </c>
      <c r="O1431">
        <v>77385</v>
      </c>
      <c r="P1431" t="s">
        <v>221</v>
      </c>
      <c r="Q1431" t="s">
        <v>82</v>
      </c>
      <c r="R1431">
        <v>1</v>
      </c>
      <c r="S1431">
        <v>2</v>
      </c>
      <c r="T1431">
        <v>0</v>
      </c>
      <c r="U1431">
        <v>1</v>
      </c>
      <c r="V1431">
        <v>1</v>
      </c>
      <c r="W1431">
        <v>23.93</v>
      </c>
      <c r="X1431">
        <v>0</v>
      </c>
      <c r="Y1431">
        <v>0</v>
      </c>
      <c r="Z1431">
        <v>0</v>
      </c>
      <c r="AA1431">
        <v>0</v>
      </c>
      <c r="AB1431">
        <v>0</v>
      </c>
      <c r="AC1431">
        <v>0</v>
      </c>
      <c r="AD1431">
        <v>1</v>
      </c>
      <c r="AE1431">
        <v>0</v>
      </c>
      <c r="AF1431">
        <v>0</v>
      </c>
      <c r="AG1431">
        <v>0</v>
      </c>
      <c r="AH1431">
        <v>0</v>
      </c>
      <c r="AI1431">
        <v>0</v>
      </c>
      <c r="AJ1431">
        <v>0</v>
      </c>
      <c r="AK1431">
        <v>0</v>
      </c>
    </row>
    <row r="1432" spans="1:37" x14ac:dyDescent="0.3">
      <c r="A1432">
        <v>7979</v>
      </c>
      <c r="B1432" t="s">
        <v>219</v>
      </c>
      <c r="D1432" t="s">
        <v>327</v>
      </c>
      <c r="E1432">
        <v>99999999</v>
      </c>
      <c r="F1432">
        <v>11111111</v>
      </c>
      <c r="G1432">
        <v>1111111111</v>
      </c>
      <c r="H1432" t="s">
        <v>5001</v>
      </c>
      <c r="I1432">
        <v>99999999</v>
      </c>
      <c r="J1432" s="188">
        <v>45236</v>
      </c>
      <c r="K1432" t="s">
        <v>5001</v>
      </c>
      <c r="L1432" t="s">
        <v>5001</v>
      </c>
      <c r="M1432" t="s">
        <v>2046</v>
      </c>
      <c r="N1432" t="s">
        <v>983</v>
      </c>
      <c r="O1432" t="s">
        <v>2047</v>
      </c>
      <c r="P1432" t="s">
        <v>221</v>
      </c>
      <c r="Q1432" t="s">
        <v>82</v>
      </c>
      <c r="R1432">
        <v>1</v>
      </c>
      <c r="S1432">
        <v>5.8</v>
      </c>
      <c r="T1432">
        <v>0</v>
      </c>
      <c r="U1432">
        <v>1</v>
      </c>
      <c r="V1432">
        <v>1</v>
      </c>
      <c r="W1432">
        <v>28.15</v>
      </c>
      <c r="X1432">
        <v>0</v>
      </c>
      <c r="Y1432">
        <v>0</v>
      </c>
      <c r="Z1432">
        <v>0</v>
      </c>
      <c r="AA1432">
        <v>0</v>
      </c>
      <c r="AB1432">
        <v>0</v>
      </c>
      <c r="AC1432">
        <v>0</v>
      </c>
      <c r="AD1432">
        <v>1</v>
      </c>
      <c r="AE1432">
        <v>0</v>
      </c>
      <c r="AF1432">
        <v>0</v>
      </c>
      <c r="AG1432">
        <v>0</v>
      </c>
      <c r="AH1432">
        <v>0</v>
      </c>
      <c r="AI1432">
        <v>0</v>
      </c>
      <c r="AJ1432">
        <v>0</v>
      </c>
      <c r="AK1432">
        <v>0</v>
      </c>
    </row>
    <row r="1433" spans="1:37" x14ac:dyDescent="0.3">
      <c r="A1433">
        <v>7979</v>
      </c>
      <c r="B1433" t="s">
        <v>219</v>
      </c>
      <c r="D1433" t="s">
        <v>327</v>
      </c>
      <c r="E1433">
        <v>99999999</v>
      </c>
      <c r="F1433">
        <v>11111111</v>
      </c>
      <c r="G1433">
        <v>1111111111</v>
      </c>
      <c r="H1433" t="s">
        <v>5002</v>
      </c>
      <c r="I1433">
        <v>99999999</v>
      </c>
      <c r="J1433" s="188">
        <v>45236</v>
      </c>
      <c r="K1433" t="s">
        <v>5002</v>
      </c>
      <c r="L1433" t="s">
        <v>5002</v>
      </c>
      <c r="M1433" t="s">
        <v>2023</v>
      </c>
      <c r="N1433" t="s">
        <v>99</v>
      </c>
      <c r="O1433" t="s">
        <v>2048</v>
      </c>
      <c r="P1433" t="s">
        <v>221</v>
      </c>
      <c r="Q1433" t="s">
        <v>82</v>
      </c>
      <c r="R1433">
        <v>1</v>
      </c>
      <c r="S1433">
        <v>3.33</v>
      </c>
      <c r="T1433">
        <v>0</v>
      </c>
      <c r="U1433">
        <v>1</v>
      </c>
      <c r="V1433">
        <v>1</v>
      </c>
      <c r="W1433">
        <v>26.89</v>
      </c>
      <c r="X1433">
        <v>0</v>
      </c>
      <c r="Y1433">
        <v>0</v>
      </c>
      <c r="Z1433">
        <v>0</v>
      </c>
      <c r="AA1433">
        <v>0</v>
      </c>
      <c r="AB1433">
        <v>0</v>
      </c>
      <c r="AC1433">
        <v>0</v>
      </c>
      <c r="AD1433">
        <v>1</v>
      </c>
      <c r="AE1433">
        <v>0</v>
      </c>
      <c r="AF1433">
        <v>0</v>
      </c>
      <c r="AG1433">
        <v>0</v>
      </c>
      <c r="AH1433">
        <v>0</v>
      </c>
      <c r="AI1433">
        <v>0</v>
      </c>
      <c r="AJ1433">
        <v>0</v>
      </c>
      <c r="AK1433">
        <v>0</v>
      </c>
    </row>
    <row r="1434" spans="1:37" x14ac:dyDescent="0.3">
      <c r="A1434">
        <v>7979</v>
      </c>
      <c r="B1434" t="s">
        <v>219</v>
      </c>
      <c r="D1434" t="s">
        <v>327</v>
      </c>
      <c r="E1434">
        <v>99999999</v>
      </c>
      <c r="F1434">
        <v>11111111</v>
      </c>
      <c r="G1434">
        <v>1111111111</v>
      </c>
      <c r="H1434" t="s">
        <v>5003</v>
      </c>
      <c r="I1434">
        <v>99999999</v>
      </c>
      <c r="J1434" s="188">
        <v>45236</v>
      </c>
      <c r="K1434" t="s">
        <v>5003</v>
      </c>
      <c r="L1434" t="s">
        <v>5003</v>
      </c>
      <c r="M1434" t="s">
        <v>2049</v>
      </c>
      <c r="N1434" t="s">
        <v>99</v>
      </c>
      <c r="O1434">
        <v>93420</v>
      </c>
      <c r="P1434" t="s">
        <v>221</v>
      </c>
      <c r="Q1434" t="s">
        <v>82</v>
      </c>
      <c r="R1434">
        <v>1</v>
      </c>
      <c r="S1434">
        <v>5.1100000000000003</v>
      </c>
      <c r="T1434">
        <v>0</v>
      </c>
      <c r="U1434">
        <v>1</v>
      </c>
      <c r="V1434">
        <v>1</v>
      </c>
      <c r="W1434">
        <v>29.21</v>
      </c>
      <c r="X1434">
        <v>0</v>
      </c>
      <c r="Y1434">
        <v>0</v>
      </c>
      <c r="Z1434">
        <v>0</v>
      </c>
      <c r="AA1434">
        <v>0</v>
      </c>
      <c r="AB1434">
        <v>0</v>
      </c>
      <c r="AC1434">
        <v>0</v>
      </c>
      <c r="AD1434">
        <v>1</v>
      </c>
      <c r="AE1434">
        <v>0</v>
      </c>
      <c r="AF1434">
        <v>0</v>
      </c>
      <c r="AG1434">
        <v>0</v>
      </c>
      <c r="AH1434">
        <v>0</v>
      </c>
      <c r="AI1434">
        <v>0</v>
      </c>
      <c r="AJ1434">
        <v>0</v>
      </c>
      <c r="AK1434">
        <v>0</v>
      </c>
    </row>
    <row r="1435" spans="1:37" x14ac:dyDescent="0.3">
      <c r="A1435">
        <v>7979</v>
      </c>
      <c r="B1435" t="s">
        <v>219</v>
      </c>
      <c r="D1435" t="s">
        <v>327</v>
      </c>
      <c r="E1435">
        <v>99999999</v>
      </c>
      <c r="F1435">
        <v>11111111</v>
      </c>
      <c r="G1435">
        <v>1111111111</v>
      </c>
      <c r="H1435" t="s">
        <v>5004</v>
      </c>
      <c r="I1435">
        <v>99999999</v>
      </c>
      <c r="J1435" s="188">
        <v>45236</v>
      </c>
      <c r="K1435" t="s">
        <v>5004</v>
      </c>
      <c r="L1435" t="s">
        <v>5004</v>
      </c>
      <c r="M1435" t="s">
        <v>562</v>
      </c>
      <c r="N1435" t="s">
        <v>197</v>
      </c>
      <c r="O1435" t="s">
        <v>2050</v>
      </c>
      <c r="P1435" t="s">
        <v>221</v>
      </c>
      <c r="Q1435" t="s">
        <v>82</v>
      </c>
      <c r="R1435">
        <v>2</v>
      </c>
      <c r="S1435">
        <v>12.5</v>
      </c>
      <c r="T1435">
        <v>0</v>
      </c>
      <c r="U1435">
        <v>1</v>
      </c>
      <c r="V1435">
        <v>2</v>
      </c>
      <c r="W1435">
        <v>28.89</v>
      </c>
      <c r="X1435">
        <v>0</v>
      </c>
      <c r="Y1435">
        <v>0</v>
      </c>
      <c r="Z1435">
        <v>0</v>
      </c>
      <c r="AA1435">
        <v>0</v>
      </c>
      <c r="AB1435">
        <v>0</v>
      </c>
      <c r="AC1435">
        <v>0</v>
      </c>
      <c r="AD1435">
        <v>2</v>
      </c>
      <c r="AE1435">
        <v>0</v>
      </c>
      <c r="AF1435">
        <v>0</v>
      </c>
      <c r="AG1435">
        <v>0</v>
      </c>
      <c r="AH1435">
        <v>0</v>
      </c>
      <c r="AI1435">
        <v>0</v>
      </c>
      <c r="AJ1435">
        <v>0</v>
      </c>
      <c r="AK1435">
        <v>0</v>
      </c>
    </row>
    <row r="1436" spans="1:37" x14ac:dyDescent="0.3">
      <c r="A1436">
        <v>7979</v>
      </c>
      <c r="B1436" t="s">
        <v>219</v>
      </c>
      <c r="D1436" t="s">
        <v>327</v>
      </c>
      <c r="E1436">
        <v>99999999</v>
      </c>
      <c r="F1436">
        <v>11111111</v>
      </c>
      <c r="G1436">
        <v>1111111111</v>
      </c>
      <c r="H1436" t="s">
        <v>5005</v>
      </c>
      <c r="I1436">
        <v>99999999</v>
      </c>
      <c r="J1436" s="188">
        <v>45236</v>
      </c>
      <c r="K1436" t="s">
        <v>5005</v>
      </c>
      <c r="L1436" t="s">
        <v>5005</v>
      </c>
      <c r="M1436" t="s">
        <v>2051</v>
      </c>
      <c r="N1436" t="s">
        <v>104</v>
      </c>
      <c r="O1436" t="s">
        <v>2052</v>
      </c>
      <c r="P1436" t="s">
        <v>221</v>
      </c>
      <c r="Q1436" t="s">
        <v>82</v>
      </c>
      <c r="R1436">
        <v>1</v>
      </c>
      <c r="S1436">
        <v>7.5</v>
      </c>
      <c r="T1436">
        <v>0</v>
      </c>
      <c r="U1436">
        <v>1</v>
      </c>
      <c r="V1436">
        <v>1</v>
      </c>
      <c r="W1436">
        <v>32.409999999999997</v>
      </c>
      <c r="X1436">
        <v>0</v>
      </c>
      <c r="Y1436">
        <v>0</v>
      </c>
      <c r="Z1436">
        <v>0</v>
      </c>
      <c r="AA1436">
        <v>0</v>
      </c>
      <c r="AB1436">
        <v>0</v>
      </c>
      <c r="AC1436">
        <v>0</v>
      </c>
      <c r="AD1436">
        <v>1</v>
      </c>
      <c r="AE1436">
        <v>0</v>
      </c>
      <c r="AF1436">
        <v>0</v>
      </c>
      <c r="AG1436">
        <v>0</v>
      </c>
      <c r="AH1436">
        <v>0</v>
      </c>
      <c r="AI1436">
        <v>0</v>
      </c>
      <c r="AJ1436">
        <v>0</v>
      </c>
      <c r="AK1436">
        <v>0</v>
      </c>
    </row>
    <row r="1437" spans="1:37" x14ac:dyDescent="0.3">
      <c r="A1437">
        <v>7979</v>
      </c>
      <c r="B1437" t="s">
        <v>219</v>
      </c>
      <c r="D1437" t="s">
        <v>327</v>
      </c>
      <c r="E1437">
        <v>99999999</v>
      </c>
      <c r="F1437">
        <v>11111111</v>
      </c>
      <c r="G1437">
        <v>1111111111</v>
      </c>
      <c r="H1437" t="s">
        <v>5006</v>
      </c>
      <c r="I1437">
        <v>99999999</v>
      </c>
      <c r="J1437" s="188">
        <v>45236</v>
      </c>
      <c r="K1437" t="s">
        <v>5006</v>
      </c>
      <c r="L1437" t="s">
        <v>5006</v>
      </c>
      <c r="M1437" t="s">
        <v>2053</v>
      </c>
      <c r="N1437" t="s">
        <v>151</v>
      </c>
      <c r="O1437" t="s">
        <v>2054</v>
      </c>
      <c r="P1437" t="s">
        <v>221</v>
      </c>
      <c r="Q1437" t="s">
        <v>82</v>
      </c>
      <c r="R1437">
        <v>1</v>
      </c>
      <c r="S1437">
        <v>5</v>
      </c>
      <c r="T1437">
        <v>0</v>
      </c>
      <c r="U1437">
        <v>1</v>
      </c>
      <c r="V1437">
        <v>1</v>
      </c>
      <c r="W1437">
        <v>33.47</v>
      </c>
      <c r="X1437">
        <v>0</v>
      </c>
      <c r="Y1437">
        <v>0</v>
      </c>
      <c r="Z1437">
        <v>0</v>
      </c>
      <c r="AA1437">
        <v>0</v>
      </c>
      <c r="AB1437">
        <v>0</v>
      </c>
      <c r="AC1437">
        <v>0</v>
      </c>
      <c r="AD1437">
        <v>1</v>
      </c>
      <c r="AE1437">
        <v>0</v>
      </c>
      <c r="AF1437">
        <v>0</v>
      </c>
      <c r="AG1437">
        <v>0</v>
      </c>
      <c r="AH1437">
        <v>0</v>
      </c>
      <c r="AI1437">
        <v>0</v>
      </c>
      <c r="AJ1437">
        <v>0</v>
      </c>
      <c r="AK1437">
        <v>0</v>
      </c>
    </row>
    <row r="1438" spans="1:37" x14ac:dyDescent="0.3">
      <c r="A1438">
        <v>7979</v>
      </c>
      <c r="B1438" t="s">
        <v>219</v>
      </c>
      <c r="D1438" t="s">
        <v>327</v>
      </c>
      <c r="E1438">
        <v>99999999</v>
      </c>
      <c r="F1438">
        <v>11111111</v>
      </c>
      <c r="G1438">
        <v>1111111111</v>
      </c>
      <c r="H1438" t="s">
        <v>5007</v>
      </c>
      <c r="I1438">
        <v>99999999</v>
      </c>
      <c r="J1438" s="188">
        <v>45236</v>
      </c>
      <c r="K1438" t="s">
        <v>5007</v>
      </c>
      <c r="L1438" t="s">
        <v>5007</v>
      </c>
      <c r="M1438" t="s">
        <v>2055</v>
      </c>
      <c r="N1438" t="s">
        <v>551</v>
      </c>
      <c r="O1438" t="s">
        <v>2056</v>
      </c>
      <c r="P1438" t="s">
        <v>221</v>
      </c>
      <c r="Q1438" t="s">
        <v>82</v>
      </c>
      <c r="R1438">
        <v>1</v>
      </c>
      <c r="S1438">
        <v>12.4</v>
      </c>
      <c r="T1438">
        <v>0</v>
      </c>
      <c r="U1438">
        <v>1</v>
      </c>
      <c r="V1438">
        <v>1</v>
      </c>
      <c r="W1438">
        <v>35.159999999999997</v>
      </c>
      <c r="X1438">
        <v>0</v>
      </c>
      <c r="Y1438">
        <v>0</v>
      </c>
      <c r="Z1438">
        <v>0</v>
      </c>
      <c r="AA1438">
        <v>0</v>
      </c>
      <c r="AB1438">
        <v>0</v>
      </c>
      <c r="AC1438">
        <v>0</v>
      </c>
      <c r="AD1438">
        <v>1</v>
      </c>
      <c r="AE1438">
        <v>0</v>
      </c>
      <c r="AF1438">
        <v>0</v>
      </c>
      <c r="AG1438">
        <v>0</v>
      </c>
      <c r="AH1438">
        <v>0</v>
      </c>
      <c r="AI1438">
        <v>0</v>
      </c>
      <c r="AJ1438">
        <v>0</v>
      </c>
      <c r="AK1438">
        <v>0</v>
      </c>
    </row>
    <row r="1439" spans="1:37" x14ac:dyDescent="0.3">
      <c r="A1439">
        <v>7979</v>
      </c>
      <c r="B1439" t="s">
        <v>219</v>
      </c>
      <c r="D1439" t="s">
        <v>327</v>
      </c>
      <c r="E1439">
        <v>99999999</v>
      </c>
      <c r="F1439">
        <v>11111111</v>
      </c>
      <c r="G1439">
        <v>1111111111</v>
      </c>
      <c r="H1439" t="s">
        <v>5008</v>
      </c>
      <c r="I1439">
        <v>99999999</v>
      </c>
      <c r="J1439" s="188">
        <v>45236</v>
      </c>
      <c r="K1439" t="s">
        <v>5008</v>
      </c>
      <c r="L1439" t="s">
        <v>5008</v>
      </c>
      <c r="M1439" t="s">
        <v>727</v>
      </c>
      <c r="N1439" t="s">
        <v>99</v>
      </c>
      <c r="O1439" t="s">
        <v>2057</v>
      </c>
      <c r="P1439" t="s">
        <v>221</v>
      </c>
      <c r="Q1439" t="s">
        <v>82</v>
      </c>
      <c r="R1439">
        <v>1</v>
      </c>
      <c r="S1439">
        <v>5.2</v>
      </c>
      <c r="T1439">
        <v>0</v>
      </c>
      <c r="U1439">
        <v>1</v>
      </c>
      <c r="V1439">
        <v>1</v>
      </c>
      <c r="W1439">
        <v>26.14</v>
      </c>
      <c r="X1439">
        <v>0</v>
      </c>
      <c r="Y1439">
        <v>0</v>
      </c>
      <c r="Z1439">
        <v>0</v>
      </c>
      <c r="AA1439">
        <v>0</v>
      </c>
      <c r="AB1439">
        <v>0</v>
      </c>
      <c r="AC1439">
        <v>0</v>
      </c>
      <c r="AD1439">
        <v>1</v>
      </c>
      <c r="AE1439">
        <v>0</v>
      </c>
      <c r="AF1439">
        <v>0</v>
      </c>
      <c r="AG1439">
        <v>0</v>
      </c>
      <c r="AH1439">
        <v>0</v>
      </c>
      <c r="AI1439">
        <v>0</v>
      </c>
      <c r="AJ1439">
        <v>0</v>
      </c>
      <c r="AK1439">
        <v>0</v>
      </c>
    </row>
    <row r="1440" spans="1:37" x14ac:dyDescent="0.3">
      <c r="A1440">
        <v>7979</v>
      </c>
      <c r="B1440" t="s">
        <v>219</v>
      </c>
      <c r="D1440" t="s">
        <v>327</v>
      </c>
      <c r="E1440">
        <v>99999999</v>
      </c>
      <c r="F1440">
        <v>11111111</v>
      </c>
      <c r="G1440">
        <v>1111111111</v>
      </c>
      <c r="H1440" t="s">
        <v>5009</v>
      </c>
      <c r="I1440">
        <v>99999999</v>
      </c>
      <c r="J1440" s="188">
        <v>45236</v>
      </c>
      <c r="K1440" t="s">
        <v>5009</v>
      </c>
      <c r="L1440" t="s">
        <v>5009</v>
      </c>
      <c r="M1440" t="s">
        <v>1007</v>
      </c>
      <c r="N1440" t="s">
        <v>381</v>
      </c>
      <c r="O1440" t="s">
        <v>2058</v>
      </c>
      <c r="P1440" t="s">
        <v>221</v>
      </c>
      <c r="Q1440" t="s">
        <v>82</v>
      </c>
      <c r="R1440">
        <v>1</v>
      </c>
      <c r="S1440">
        <v>13</v>
      </c>
      <c r="T1440">
        <v>0</v>
      </c>
      <c r="U1440">
        <v>1</v>
      </c>
      <c r="V1440">
        <v>1</v>
      </c>
      <c r="W1440">
        <v>31.36</v>
      </c>
      <c r="X1440">
        <v>0</v>
      </c>
      <c r="Y1440">
        <v>0</v>
      </c>
      <c r="Z1440">
        <v>0</v>
      </c>
      <c r="AA1440">
        <v>0</v>
      </c>
      <c r="AB1440">
        <v>0</v>
      </c>
      <c r="AC1440">
        <v>0</v>
      </c>
      <c r="AD1440">
        <v>1</v>
      </c>
      <c r="AE1440">
        <v>0</v>
      </c>
      <c r="AF1440">
        <v>0</v>
      </c>
      <c r="AG1440">
        <v>0</v>
      </c>
      <c r="AH1440">
        <v>0</v>
      </c>
      <c r="AI1440">
        <v>0</v>
      </c>
      <c r="AJ1440">
        <v>0</v>
      </c>
      <c r="AK1440">
        <v>0</v>
      </c>
    </row>
    <row r="1441" spans="1:37" x14ac:dyDescent="0.3">
      <c r="A1441">
        <v>7979</v>
      </c>
      <c r="B1441" t="s">
        <v>219</v>
      </c>
      <c r="D1441" t="s">
        <v>327</v>
      </c>
      <c r="E1441">
        <v>99999999</v>
      </c>
      <c r="F1441">
        <v>11111111</v>
      </c>
      <c r="G1441">
        <v>1111111111</v>
      </c>
      <c r="H1441" t="s">
        <v>5010</v>
      </c>
      <c r="I1441">
        <v>99999999</v>
      </c>
      <c r="J1441" s="188">
        <v>45236</v>
      </c>
      <c r="K1441" t="s">
        <v>5010</v>
      </c>
      <c r="L1441" t="s">
        <v>5010</v>
      </c>
      <c r="M1441" t="s">
        <v>406</v>
      </c>
      <c r="N1441" t="s">
        <v>99</v>
      </c>
      <c r="O1441" t="s">
        <v>2059</v>
      </c>
      <c r="P1441" t="s">
        <v>221</v>
      </c>
      <c r="Q1441" t="s">
        <v>82</v>
      </c>
      <c r="R1441">
        <v>4</v>
      </c>
      <c r="S1441">
        <v>24.8</v>
      </c>
      <c r="T1441">
        <v>0</v>
      </c>
      <c r="U1441">
        <v>1</v>
      </c>
      <c r="V1441">
        <v>1</v>
      </c>
      <c r="W1441">
        <v>32.06</v>
      </c>
      <c r="X1441">
        <v>0</v>
      </c>
      <c r="Y1441">
        <v>0</v>
      </c>
      <c r="Z1441">
        <v>0</v>
      </c>
      <c r="AA1441">
        <v>0</v>
      </c>
      <c r="AB1441">
        <v>0</v>
      </c>
      <c r="AC1441">
        <v>0</v>
      </c>
      <c r="AD1441">
        <v>4</v>
      </c>
      <c r="AE1441">
        <v>0</v>
      </c>
      <c r="AF1441">
        <v>0</v>
      </c>
      <c r="AG1441">
        <v>0</v>
      </c>
      <c r="AH1441">
        <v>0</v>
      </c>
      <c r="AI1441">
        <v>0</v>
      </c>
      <c r="AJ1441">
        <v>0</v>
      </c>
      <c r="AK1441">
        <v>0</v>
      </c>
    </row>
    <row r="1442" spans="1:37" x14ac:dyDescent="0.3">
      <c r="A1442">
        <v>7979</v>
      </c>
      <c r="B1442" t="s">
        <v>219</v>
      </c>
      <c r="D1442" t="s">
        <v>327</v>
      </c>
      <c r="E1442">
        <v>99999999</v>
      </c>
      <c r="F1442">
        <v>11111111</v>
      </c>
      <c r="G1442">
        <v>1111111111</v>
      </c>
      <c r="H1442" t="s">
        <v>5011</v>
      </c>
      <c r="I1442">
        <v>99999999</v>
      </c>
      <c r="J1442" s="188">
        <v>45236</v>
      </c>
      <c r="K1442" t="s">
        <v>5011</v>
      </c>
      <c r="L1442" t="s">
        <v>5011</v>
      </c>
      <c r="M1442" t="s">
        <v>797</v>
      </c>
      <c r="N1442" t="s">
        <v>99</v>
      </c>
      <c r="O1442" t="s">
        <v>1314</v>
      </c>
      <c r="P1442" t="s">
        <v>221</v>
      </c>
      <c r="Q1442" t="s">
        <v>82</v>
      </c>
      <c r="R1442">
        <v>1</v>
      </c>
      <c r="S1442">
        <v>4.4000000000000004</v>
      </c>
      <c r="T1442">
        <v>0</v>
      </c>
      <c r="U1442">
        <v>1</v>
      </c>
      <c r="V1442">
        <v>1</v>
      </c>
      <c r="W1442">
        <v>22.93</v>
      </c>
      <c r="X1442">
        <v>0</v>
      </c>
      <c r="Y1442">
        <v>0</v>
      </c>
      <c r="Z1442">
        <v>0</v>
      </c>
      <c r="AA1442">
        <v>0</v>
      </c>
      <c r="AB1442">
        <v>0</v>
      </c>
      <c r="AC1442">
        <v>0</v>
      </c>
      <c r="AD1442">
        <v>1</v>
      </c>
      <c r="AE1442">
        <v>0</v>
      </c>
      <c r="AF1442">
        <v>0</v>
      </c>
      <c r="AG1442">
        <v>0</v>
      </c>
      <c r="AH1442">
        <v>0</v>
      </c>
      <c r="AI1442">
        <v>0</v>
      </c>
      <c r="AJ1442">
        <v>0</v>
      </c>
      <c r="AK1442">
        <v>0</v>
      </c>
    </row>
    <row r="1443" spans="1:37" x14ac:dyDescent="0.3">
      <c r="A1443">
        <v>7979</v>
      </c>
      <c r="B1443" t="s">
        <v>219</v>
      </c>
      <c r="D1443" t="s">
        <v>327</v>
      </c>
      <c r="E1443">
        <v>99999999</v>
      </c>
      <c r="F1443">
        <v>11111111</v>
      </c>
      <c r="G1443">
        <v>1111111111</v>
      </c>
      <c r="H1443" t="s">
        <v>5012</v>
      </c>
      <c r="I1443">
        <v>99999999</v>
      </c>
      <c r="J1443" s="188">
        <v>45236</v>
      </c>
      <c r="K1443" t="s">
        <v>5012</v>
      </c>
      <c r="L1443" t="s">
        <v>5012</v>
      </c>
      <c r="M1443" t="s">
        <v>2060</v>
      </c>
      <c r="N1443" t="s">
        <v>91</v>
      </c>
      <c r="O1443">
        <v>85193</v>
      </c>
      <c r="P1443" t="s">
        <v>221</v>
      </c>
      <c r="Q1443" t="s">
        <v>82</v>
      </c>
      <c r="R1443">
        <v>1</v>
      </c>
      <c r="S1443">
        <v>10.6</v>
      </c>
      <c r="T1443">
        <v>0</v>
      </c>
      <c r="U1443">
        <v>1</v>
      </c>
      <c r="V1443">
        <v>1</v>
      </c>
      <c r="W1443">
        <v>32.630000000000003</v>
      </c>
      <c r="X1443">
        <v>0</v>
      </c>
      <c r="Y1443">
        <v>0</v>
      </c>
      <c r="Z1443">
        <v>0</v>
      </c>
      <c r="AA1443">
        <v>0</v>
      </c>
      <c r="AB1443">
        <v>0</v>
      </c>
      <c r="AC1443">
        <v>0</v>
      </c>
      <c r="AD1443">
        <v>1</v>
      </c>
      <c r="AE1443">
        <v>0</v>
      </c>
      <c r="AF1443">
        <v>0</v>
      </c>
      <c r="AG1443">
        <v>0</v>
      </c>
      <c r="AH1443">
        <v>0</v>
      </c>
      <c r="AI1443">
        <v>0</v>
      </c>
      <c r="AJ1443">
        <v>0</v>
      </c>
      <c r="AK1443">
        <v>0</v>
      </c>
    </row>
    <row r="1444" spans="1:37" x14ac:dyDescent="0.3">
      <c r="A1444">
        <v>7979</v>
      </c>
      <c r="B1444" t="s">
        <v>219</v>
      </c>
      <c r="D1444" t="s">
        <v>327</v>
      </c>
      <c r="E1444">
        <v>99999999</v>
      </c>
      <c r="F1444">
        <v>11111111</v>
      </c>
      <c r="G1444">
        <v>1111111111</v>
      </c>
      <c r="H1444" t="s">
        <v>5013</v>
      </c>
      <c r="I1444">
        <v>99999999</v>
      </c>
      <c r="J1444" s="188">
        <v>45236</v>
      </c>
      <c r="K1444" t="s">
        <v>5013</v>
      </c>
      <c r="L1444" t="s">
        <v>5013</v>
      </c>
      <c r="M1444" t="s">
        <v>2061</v>
      </c>
      <c r="N1444" t="s">
        <v>231</v>
      </c>
      <c r="O1444" t="s">
        <v>2062</v>
      </c>
      <c r="P1444" t="s">
        <v>221</v>
      </c>
      <c r="Q1444" t="s">
        <v>82</v>
      </c>
      <c r="R1444">
        <v>1</v>
      </c>
      <c r="S1444">
        <v>9.0399999999999991</v>
      </c>
      <c r="T1444">
        <v>0</v>
      </c>
      <c r="U1444">
        <v>1</v>
      </c>
      <c r="V1444">
        <v>1</v>
      </c>
      <c r="W1444">
        <v>31.94</v>
      </c>
      <c r="X1444">
        <v>0</v>
      </c>
      <c r="Y1444">
        <v>0</v>
      </c>
      <c r="Z1444">
        <v>0</v>
      </c>
      <c r="AA1444">
        <v>0</v>
      </c>
      <c r="AB1444">
        <v>0</v>
      </c>
      <c r="AC1444">
        <v>0</v>
      </c>
      <c r="AD1444">
        <v>1</v>
      </c>
      <c r="AE1444">
        <v>0</v>
      </c>
      <c r="AF1444">
        <v>0</v>
      </c>
      <c r="AG1444">
        <v>0</v>
      </c>
      <c r="AH1444">
        <v>0</v>
      </c>
      <c r="AI1444">
        <v>0</v>
      </c>
      <c r="AJ1444">
        <v>0</v>
      </c>
      <c r="AK1444">
        <v>0</v>
      </c>
    </row>
    <row r="1445" spans="1:37" x14ac:dyDescent="0.3">
      <c r="A1445">
        <v>7979</v>
      </c>
      <c r="B1445" t="s">
        <v>219</v>
      </c>
      <c r="D1445" t="s">
        <v>327</v>
      </c>
      <c r="E1445">
        <v>99999999</v>
      </c>
      <c r="F1445">
        <v>11111111</v>
      </c>
      <c r="G1445">
        <v>1111111111</v>
      </c>
      <c r="H1445" t="s">
        <v>5014</v>
      </c>
      <c r="I1445">
        <v>99999999</v>
      </c>
      <c r="J1445" s="188">
        <v>45236</v>
      </c>
      <c r="K1445" t="s">
        <v>5014</v>
      </c>
      <c r="L1445" t="s">
        <v>5014</v>
      </c>
      <c r="M1445" t="s">
        <v>1400</v>
      </c>
      <c r="N1445" t="s">
        <v>91</v>
      </c>
      <c r="O1445" t="s">
        <v>2063</v>
      </c>
      <c r="P1445" t="s">
        <v>221</v>
      </c>
      <c r="Q1445" t="s">
        <v>82</v>
      </c>
      <c r="R1445">
        <v>2</v>
      </c>
      <c r="S1445">
        <v>30</v>
      </c>
      <c r="T1445">
        <v>0</v>
      </c>
      <c r="U1445">
        <v>1</v>
      </c>
      <c r="V1445">
        <v>1</v>
      </c>
      <c r="W1445">
        <v>41.88</v>
      </c>
      <c r="X1445">
        <v>0</v>
      </c>
      <c r="Y1445">
        <v>0</v>
      </c>
      <c r="Z1445">
        <v>0</v>
      </c>
      <c r="AA1445">
        <v>0</v>
      </c>
      <c r="AB1445">
        <v>0</v>
      </c>
      <c r="AC1445">
        <v>0</v>
      </c>
      <c r="AD1445">
        <v>2</v>
      </c>
      <c r="AE1445">
        <v>0</v>
      </c>
      <c r="AF1445">
        <v>0</v>
      </c>
      <c r="AG1445">
        <v>0</v>
      </c>
      <c r="AH1445">
        <v>0</v>
      </c>
      <c r="AI1445">
        <v>0</v>
      </c>
      <c r="AJ1445">
        <v>0</v>
      </c>
      <c r="AK1445">
        <v>0</v>
      </c>
    </row>
    <row r="1446" spans="1:37" x14ac:dyDescent="0.3">
      <c r="A1446">
        <v>7979</v>
      </c>
      <c r="B1446" t="s">
        <v>219</v>
      </c>
      <c r="D1446" t="s">
        <v>327</v>
      </c>
      <c r="E1446">
        <v>99999999</v>
      </c>
      <c r="F1446">
        <v>11111111</v>
      </c>
      <c r="G1446">
        <v>1111111111</v>
      </c>
      <c r="H1446" t="s">
        <v>5015</v>
      </c>
      <c r="I1446">
        <v>99999999</v>
      </c>
      <c r="J1446" s="188">
        <v>45236</v>
      </c>
      <c r="K1446" t="s">
        <v>5015</v>
      </c>
      <c r="L1446" t="s">
        <v>5015</v>
      </c>
      <c r="M1446" t="s">
        <v>2064</v>
      </c>
      <c r="N1446" t="s">
        <v>97</v>
      </c>
      <c r="O1446" t="s">
        <v>2065</v>
      </c>
      <c r="P1446" t="s">
        <v>221</v>
      </c>
      <c r="Q1446" t="s">
        <v>82</v>
      </c>
      <c r="R1446">
        <v>2</v>
      </c>
      <c r="S1446">
        <v>21.314</v>
      </c>
      <c r="T1446">
        <v>0</v>
      </c>
      <c r="U1446">
        <v>1</v>
      </c>
      <c r="V1446">
        <v>2</v>
      </c>
      <c r="W1446">
        <v>35.299999999999997</v>
      </c>
      <c r="X1446">
        <v>0</v>
      </c>
      <c r="Y1446">
        <v>0</v>
      </c>
      <c r="Z1446">
        <v>0</v>
      </c>
      <c r="AA1446">
        <v>0</v>
      </c>
      <c r="AB1446">
        <v>0</v>
      </c>
      <c r="AC1446">
        <v>0</v>
      </c>
      <c r="AD1446">
        <v>2</v>
      </c>
      <c r="AE1446">
        <v>0</v>
      </c>
      <c r="AF1446">
        <v>0</v>
      </c>
      <c r="AG1446">
        <v>0</v>
      </c>
      <c r="AH1446">
        <v>0</v>
      </c>
      <c r="AI1446">
        <v>0</v>
      </c>
      <c r="AJ1446">
        <v>0</v>
      </c>
      <c r="AK1446">
        <v>0</v>
      </c>
    </row>
    <row r="1447" spans="1:37" x14ac:dyDescent="0.3">
      <c r="A1447">
        <v>7979</v>
      </c>
      <c r="B1447" t="s">
        <v>219</v>
      </c>
      <c r="D1447" t="s">
        <v>327</v>
      </c>
      <c r="E1447">
        <v>99999999</v>
      </c>
      <c r="F1447">
        <v>11111111</v>
      </c>
      <c r="G1447">
        <v>1111111111</v>
      </c>
      <c r="H1447" t="s">
        <v>5016</v>
      </c>
      <c r="I1447">
        <v>99999999</v>
      </c>
      <c r="J1447" s="188">
        <v>45236</v>
      </c>
      <c r="K1447" t="s">
        <v>5016</v>
      </c>
      <c r="L1447" t="s">
        <v>5016</v>
      </c>
      <c r="M1447" t="s">
        <v>486</v>
      </c>
      <c r="N1447" t="s">
        <v>99</v>
      </c>
      <c r="O1447" t="s">
        <v>2066</v>
      </c>
      <c r="P1447" t="s">
        <v>221</v>
      </c>
      <c r="Q1447" t="s">
        <v>82</v>
      </c>
      <c r="R1447">
        <v>1</v>
      </c>
      <c r="S1447">
        <v>4.4000000000000004</v>
      </c>
      <c r="T1447">
        <v>0</v>
      </c>
      <c r="U1447">
        <v>1</v>
      </c>
      <c r="V1447">
        <v>1</v>
      </c>
      <c r="W1447">
        <v>27.56</v>
      </c>
      <c r="X1447">
        <v>0</v>
      </c>
      <c r="Y1447">
        <v>0</v>
      </c>
      <c r="Z1447">
        <v>0</v>
      </c>
      <c r="AA1447">
        <v>0</v>
      </c>
      <c r="AB1447">
        <v>0</v>
      </c>
      <c r="AC1447">
        <v>0</v>
      </c>
      <c r="AD1447">
        <v>1</v>
      </c>
      <c r="AE1447">
        <v>0</v>
      </c>
      <c r="AF1447">
        <v>0</v>
      </c>
      <c r="AG1447">
        <v>0</v>
      </c>
      <c r="AH1447">
        <v>0</v>
      </c>
      <c r="AI1447">
        <v>0</v>
      </c>
      <c r="AJ1447">
        <v>0</v>
      </c>
      <c r="AK1447">
        <v>0</v>
      </c>
    </row>
    <row r="1448" spans="1:37" x14ac:dyDescent="0.3">
      <c r="A1448">
        <v>7979</v>
      </c>
      <c r="B1448" t="s">
        <v>219</v>
      </c>
      <c r="D1448" t="s">
        <v>327</v>
      </c>
      <c r="E1448">
        <v>99999999</v>
      </c>
      <c r="F1448">
        <v>11111111</v>
      </c>
      <c r="G1448">
        <v>1111111111</v>
      </c>
      <c r="H1448" t="s">
        <v>5017</v>
      </c>
      <c r="I1448">
        <v>99999999</v>
      </c>
      <c r="J1448" s="188">
        <v>45236</v>
      </c>
      <c r="K1448" t="s">
        <v>5017</v>
      </c>
      <c r="L1448" t="s">
        <v>5017</v>
      </c>
      <c r="M1448" t="s">
        <v>2038</v>
      </c>
      <c r="N1448" t="s">
        <v>130</v>
      </c>
      <c r="O1448" t="s">
        <v>2067</v>
      </c>
      <c r="P1448" t="s">
        <v>221</v>
      </c>
      <c r="Q1448" t="s">
        <v>82</v>
      </c>
      <c r="R1448">
        <v>2</v>
      </c>
      <c r="S1448">
        <v>30</v>
      </c>
      <c r="T1448">
        <v>0</v>
      </c>
      <c r="U1448">
        <v>1</v>
      </c>
      <c r="V1448">
        <v>1</v>
      </c>
      <c r="W1448">
        <v>47.48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2</v>
      </c>
      <c r="AE1448">
        <v>0</v>
      </c>
      <c r="AF1448">
        <v>0</v>
      </c>
      <c r="AG1448">
        <v>0</v>
      </c>
      <c r="AH1448">
        <v>0</v>
      </c>
      <c r="AI1448">
        <v>0</v>
      </c>
      <c r="AJ1448">
        <v>0</v>
      </c>
      <c r="AK1448">
        <v>0</v>
      </c>
    </row>
    <row r="1449" spans="1:37" x14ac:dyDescent="0.3">
      <c r="A1449">
        <v>7979</v>
      </c>
      <c r="B1449" t="s">
        <v>219</v>
      </c>
      <c r="D1449" t="s">
        <v>327</v>
      </c>
      <c r="E1449">
        <v>99999999</v>
      </c>
      <c r="F1449">
        <v>11111111</v>
      </c>
      <c r="G1449">
        <v>1111111111</v>
      </c>
      <c r="H1449" t="s">
        <v>5018</v>
      </c>
      <c r="I1449">
        <v>99999999</v>
      </c>
      <c r="J1449" s="188">
        <v>45236</v>
      </c>
      <c r="K1449" t="s">
        <v>5018</v>
      </c>
      <c r="L1449" t="s">
        <v>5018</v>
      </c>
      <c r="M1449" t="s">
        <v>111</v>
      </c>
      <c r="N1449" t="s">
        <v>99</v>
      </c>
      <c r="O1449" t="s">
        <v>2068</v>
      </c>
      <c r="P1449" t="s">
        <v>221</v>
      </c>
      <c r="Q1449" t="s">
        <v>82</v>
      </c>
      <c r="R1449">
        <v>1</v>
      </c>
      <c r="S1449">
        <v>8.1999999999999993</v>
      </c>
      <c r="T1449">
        <v>0</v>
      </c>
      <c r="U1449">
        <v>1</v>
      </c>
      <c r="V1449">
        <v>1</v>
      </c>
      <c r="W1449">
        <v>27.58</v>
      </c>
      <c r="X1449">
        <v>0</v>
      </c>
      <c r="Y1449">
        <v>0</v>
      </c>
      <c r="Z1449">
        <v>0</v>
      </c>
      <c r="AA1449">
        <v>0</v>
      </c>
      <c r="AB1449">
        <v>0</v>
      </c>
      <c r="AC1449">
        <v>0</v>
      </c>
      <c r="AD1449">
        <v>1</v>
      </c>
      <c r="AE1449">
        <v>0</v>
      </c>
      <c r="AF1449">
        <v>0</v>
      </c>
      <c r="AG1449">
        <v>0</v>
      </c>
      <c r="AH1449">
        <v>0</v>
      </c>
      <c r="AI1449">
        <v>0</v>
      </c>
      <c r="AJ1449">
        <v>0</v>
      </c>
      <c r="AK1449">
        <v>0</v>
      </c>
    </row>
    <row r="1450" spans="1:37" x14ac:dyDescent="0.3">
      <c r="A1450">
        <v>7979</v>
      </c>
      <c r="B1450" t="s">
        <v>219</v>
      </c>
      <c r="D1450" t="s">
        <v>327</v>
      </c>
      <c r="E1450">
        <v>99999999</v>
      </c>
      <c r="F1450">
        <v>11111111</v>
      </c>
      <c r="G1450">
        <v>1111111111</v>
      </c>
      <c r="H1450" t="s">
        <v>5019</v>
      </c>
      <c r="I1450">
        <v>99999999</v>
      </c>
      <c r="J1450" s="188">
        <v>45236</v>
      </c>
      <c r="K1450" t="s">
        <v>5019</v>
      </c>
      <c r="L1450" t="s">
        <v>5019</v>
      </c>
      <c r="M1450" t="s">
        <v>972</v>
      </c>
      <c r="N1450" t="s">
        <v>1276</v>
      </c>
      <c r="O1450" t="s">
        <v>2069</v>
      </c>
      <c r="P1450" t="s">
        <v>221</v>
      </c>
      <c r="Q1450" t="s">
        <v>82</v>
      </c>
      <c r="R1450">
        <v>1</v>
      </c>
      <c r="S1450">
        <v>2.5</v>
      </c>
      <c r="T1450">
        <v>0</v>
      </c>
      <c r="U1450">
        <v>1</v>
      </c>
      <c r="V1450">
        <v>1</v>
      </c>
      <c r="W1450">
        <v>23.35</v>
      </c>
      <c r="X1450">
        <v>0</v>
      </c>
      <c r="Y1450">
        <v>0</v>
      </c>
      <c r="Z1450">
        <v>0</v>
      </c>
      <c r="AA1450">
        <v>0</v>
      </c>
      <c r="AB1450">
        <v>0</v>
      </c>
      <c r="AC1450">
        <v>0</v>
      </c>
      <c r="AD1450">
        <v>1</v>
      </c>
      <c r="AE1450">
        <v>0</v>
      </c>
      <c r="AF1450">
        <v>0</v>
      </c>
      <c r="AG1450">
        <v>0</v>
      </c>
      <c r="AH1450">
        <v>0</v>
      </c>
      <c r="AI1450">
        <v>0</v>
      </c>
      <c r="AJ1450">
        <v>0</v>
      </c>
      <c r="AK1450">
        <v>0</v>
      </c>
    </row>
    <row r="1451" spans="1:37" x14ac:dyDescent="0.3">
      <c r="A1451">
        <v>7979</v>
      </c>
      <c r="B1451" t="s">
        <v>219</v>
      </c>
      <c r="D1451" t="s">
        <v>327</v>
      </c>
      <c r="E1451">
        <v>99999999</v>
      </c>
      <c r="F1451">
        <v>11111111</v>
      </c>
      <c r="G1451">
        <v>1111111111</v>
      </c>
      <c r="H1451" t="s">
        <v>5020</v>
      </c>
      <c r="I1451">
        <v>99999999</v>
      </c>
      <c r="J1451" s="188">
        <v>45236</v>
      </c>
      <c r="K1451" t="s">
        <v>5020</v>
      </c>
      <c r="L1451" t="s">
        <v>5020</v>
      </c>
      <c r="M1451" t="s">
        <v>2070</v>
      </c>
      <c r="N1451" t="s">
        <v>197</v>
      </c>
      <c r="O1451" t="s">
        <v>2071</v>
      </c>
      <c r="P1451" t="s">
        <v>221</v>
      </c>
      <c r="Q1451" t="s">
        <v>82</v>
      </c>
      <c r="R1451">
        <v>1</v>
      </c>
      <c r="S1451">
        <v>15</v>
      </c>
      <c r="T1451">
        <v>0</v>
      </c>
      <c r="U1451">
        <v>1</v>
      </c>
      <c r="V1451">
        <v>1</v>
      </c>
      <c r="W1451">
        <v>40.630000000000003</v>
      </c>
      <c r="X1451">
        <v>0</v>
      </c>
      <c r="Y1451">
        <v>0</v>
      </c>
      <c r="Z1451">
        <v>0</v>
      </c>
      <c r="AA1451">
        <v>0</v>
      </c>
      <c r="AB1451">
        <v>0</v>
      </c>
      <c r="AC1451">
        <v>0</v>
      </c>
      <c r="AD1451">
        <v>1</v>
      </c>
      <c r="AE1451">
        <v>0</v>
      </c>
      <c r="AF1451">
        <v>0</v>
      </c>
      <c r="AG1451">
        <v>0</v>
      </c>
      <c r="AH1451">
        <v>0</v>
      </c>
      <c r="AI1451">
        <v>0</v>
      </c>
      <c r="AJ1451">
        <v>0</v>
      </c>
      <c r="AK1451">
        <v>0</v>
      </c>
    </row>
    <row r="1452" spans="1:37" x14ac:dyDescent="0.3">
      <c r="A1452">
        <v>7979</v>
      </c>
      <c r="B1452" t="s">
        <v>219</v>
      </c>
      <c r="D1452" t="s">
        <v>327</v>
      </c>
      <c r="E1452">
        <v>99999999</v>
      </c>
      <c r="F1452">
        <v>11111111</v>
      </c>
      <c r="G1452">
        <v>1111111111</v>
      </c>
      <c r="H1452" t="s">
        <v>5021</v>
      </c>
      <c r="I1452">
        <v>99999999</v>
      </c>
      <c r="J1452" s="188">
        <v>45236</v>
      </c>
      <c r="K1452" t="s">
        <v>5021</v>
      </c>
      <c r="L1452" t="s">
        <v>5021</v>
      </c>
      <c r="M1452" t="s">
        <v>537</v>
      </c>
      <c r="N1452" t="s">
        <v>130</v>
      </c>
      <c r="O1452" t="s">
        <v>2072</v>
      </c>
      <c r="P1452" t="s">
        <v>221</v>
      </c>
      <c r="Q1452" t="s">
        <v>82</v>
      </c>
      <c r="R1452">
        <v>1</v>
      </c>
      <c r="S1452">
        <v>15.12</v>
      </c>
      <c r="T1452">
        <v>0</v>
      </c>
      <c r="U1452">
        <v>1</v>
      </c>
      <c r="V1452">
        <v>1</v>
      </c>
      <c r="W1452">
        <v>34.67</v>
      </c>
      <c r="X1452">
        <v>0</v>
      </c>
      <c r="Y1452">
        <v>0</v>
      </c>
      <c r="Z1452">
        <v>0</v>
      </c>
      <c r="AA1452">
        <v>0</v>
      </c>
      <c r="AB1452">
        <v>0</v>
      </c>
      <c r="AC1452">
        <v>0</v>
      </c>
      <c r="AD1452">
        <v>1</v>
      </c>
      <c r="AE1452">
        <v>0</v>
      </c>
      <c r="AF1452">
        <v>0</v>
      </c>
      <c r="AG1452">
        <v>0</v>
      </c>
      <c r="AH1452">
        <v>0</v>
      </c>
      <c r="AI1452">
        <v>0</v>
      </c>
      <c r="AJ1452">
        <v>0</v>
      </c>
      <c r="AK1452">
        <v>0</v>
      </c>
    </row>
    <row r="1453" spans="1:37" x14ac:dyDescent="0.3">
      <c r="A1453">
        <v>7979</v>
      </c>
      <c r="B1453" t="s">
        <v>219</v>
      </c>
      <c r="D1453" t="s">
        <v>327</v>
      </c>
      <c r="E1453">
        <v>99999999</v>
      </c>
      <c r="F1453">
        <v>11111111</v>
      </c>
      <c r="G1453">
        <v>1111111111</v>
      </c>
      <c r="H1453" t="s">
        <v>5022</v>
      </c>
      <c r="I1453">
        <v>99999999</v>
      </c>
      <c r="J1453" s="188">
        <v>45236</v>
      </c>
      <c r="K1453" t="s">
        <v>5022</v>
      </c>
      <c r="L1453" t="s">
        <v>5022</v>
      </c>
      <c r="M1453" t="s">
        <v>486</v>
      </c>
      <c r="N1453" t="s">
        <v>99</v>
      </c>
      <c r="O1453">
        <v>94019</v>
      </c>
      <c r="P1453" t="s">
        <v>221</v>
      </c>
      <c r="Q1453" t="s">
        <v>82</v>
      </c>
      <c r="R1453">
        <v>1</v>
      </c>
      <c r="S1453">
        <v>10</v>
      </c>
      <c r="T1453">
        <v>0</v>
      </c>
      <c r="U1453">
        <v>1</v>
      </c>
      <c r="V1453">
        <v>1</v>
      </c>
      <c r="W1453">
        <v>29.14</v>
      </c>
      <c r="X1453">
        <v>0</v>
      </c>
      <c r="Y1453">
        <v>0</v>
      </c>
      <c r="Z1453">
        <v>0</v>
      </c>
      <c r="AA1453">
        <v>0</v>
      </c>
      <c r="AB1453">
        <v>0</v>
      </c>
      <c r="AC1453">
        <v>0</v>
      </c>
      <c r="AD1453">
        <v>1</v>
      </c>
      <c r="AE1453">
        <v>0</v>
      </c>
      <c r="AF1453">
        <v>0</v>
      </c>
      <c r="AG1453">
        <v>0</v>
      </c>
      <c r="AH1453">
        <v>0</v>
      </c>
      <c r="AI1453">
        <v>0</v>
      </c>
      <c r="AJ1453">
        <v>0</v>
      </c>
      <c r="AK1453">
        <v>0</v>
      </c>
    </row>
    <row r="1454" spans="1:37" x14ac:dyDescent="0.3">
      <c r="A1454">
        <v>7979</v>
      </c>
      <c r="B1454" t="s">
        <v>219</v>
      </c>
      <c r="D1454" t="s">
        <v>327</v>
      </c>
      <c r="E1454">
        <v>99999999</v>
      </c>
      <c r="F1454">
        <v>11111111</v>
      </c>
      <c r="G1454">
        <v>1111111111</v>
      </c>
      <c r="H1454" t="s">
        <v>5023</v>
      </c>
      <c r="I1454">
        <v>99999999</v>
      </c>
      <c r="J1454" s="188">
        <v>45236</v>
      </c>
      <c r="K1454" t="s">
        <v>5023</v>
      </c>
      <c r="L1454" t="s">
        <v>5023</v>
      </c>
      <c r="M1454" t="s">
        <v>2073</v>
      </c>
      <c r="N1454" t="s">
        <v>381</v>
      </c>
      <c r="O1454">
        <v>59477</v>
      </c>
      <c r="P1454" t="s">
        <v>221</v>
      </c>
      <c r="Q1454" t="s">
        <v>82</v>
      </c>
      <c r="R1454">
        <v>1</v>
      </c>
      <c r="S1454">
        <v>11.07</v>
      </c>
      <c r="T1454">
        <v>0</v>
      </c>
      <c r="U1454">
        <v>1</v>
      </c>
      <c r="V1454">
        <v>1</v>
      </c>
      <c r="W1454">
        <v>32.630000000000003</v>
      </c>
      <c r="X1454">
        <v>0</v>
      </c>
      <c r="Y1454">
        <v>0</v>
      </c>
      <c r="Z1454">
        <v>0</v>
      </c>
      <c r="AA1454">
        <v>0</v>
      </c>
      <c r="AB1454">
        <v>0</v>
      </c>
      <c r="AC1454">
        <v>0</v>
      </c>
      <c r="AD1454">
        <v>1</v>
      </c>
      <c r="AE1454">
        <v>0</v>
      </c>
      <c r="AF1454">
        <v>0</v>
      </c>
      <c r="AG1454">
        <v>0</v>
      </c>
      <c r="AH1454">
        <v>0</v>
      </c>
      <c r="AI1454">
        <v>0</v>
      </c>
      <c r="AJ1454">
        <v>0</v>
      </c>
      <c r="AK1454">
        <v>0</v>
      </c>
    </row>
    <row r="1455" spans="1:37" x14ac:dyDescent="0.3">
      <c r="A1455">
        <v>7979</v>
      </c>
      <c r="B1455" t="s">
        <v>219</v>
      </c>
      <c r="D1455" t="s">
        <v>327</v>
      </c>
      <c r="E1455">
        <v>99999999</v>
      </c>
      <c r="F1455">
        <v>11111111</v>
      </c>
      <c r="G1455">
        <v>1111111111</v>
      </c>
      <c r="H1455" t="s">
        <v>5024</v>
      </c>
      <c r="I1455">
        <v>99999999</v>
      </c>
      <c r="J1455" s="188">
        <v>45236</v>
      </c>
      <c r="K1455" t="s">
        <v>5024</v>
      </c>
      <c r="L1455" t="s">
        <v>5024</v>
      </c>
      <c r="M1455" t="s">
        <v>334</v>
      </c>
      <c r="N1455" t="s">
        <v>97</v>
      </c>
      <c r="O1455" t="s">
        <v>2074</v>
      </c>
      <c r="P1455" t="s">
        <v>221</v>
      </c>
      <c r="Q1455" t="s">
        <v>82</v>
      </c>
      <c r="R1455">
        <v>1</v>
      </c>
      <c r="S1455">
        <v>8.8000000000000007</v>
      </c>
      <c r="T1455">
        <v>0</v>
      </c>
      <c r="U1455">
        <v>1</v>
      </c>
      <c r="V1455">
        <v>1</v>
      </c>
      <c r="W1455">
        <v>30.53</v>
      </c>
      <c r="X1455">
        <v>0</v>
      </c>
      <c r="Y1455">
        <v>0</v>
      </c>
      <c r="Z1455">
        <v>0</v>
      </c>
      <c r="AA1455">
        <v>0</v>
      </c>
      <c r="AB1455">
        <v>0</v>
      </c>
      <c r="AC1455">
        <v>0</v>
      </c>
      <c r="AD1455">
        <v>1</v>
      </c>
      <c r="AE1455">
        <v>0</v>
      </c>
      <c r="AF1455">
        <v>0</v>
      </c>
      <c r="AG1455">
        <v>0</v>
      </c>
      <c r="AH1455">
        <v>0</v>
      </c>
      <c r="AI1455">
        <v>0</v>
      </c>
      <c r="AJ1455">
        <v>0</v>
      </c>
      <c r="AK1455">
        <v>0</v>
      </c>
    </row>
    <row r="1456" spans="1:37" x14ac:dyDescent="0.3">
      <c r="A1456">
        <v>7979</v>
      </c>
      <c r="B1456" t="s">
        <v>219</v>
      </c>
      <c r="D1456" t="s">
        <v>327</v>
      </c>
      <c r="E1456">
        <v>99999999</v>
      </c>
      <c r="F1456">
        <v>11111111</v>
      </c>
      <c r="G1456">
        <v>1111111111</v>
      </c>
      <c r="H1456" t="s">
        <v>5025</v>
      </c>
      <c r="I1456">
        <v>99999999</v>
      </c>
      <c r="J1456" s="188">
        <v>45236</v>
      </c>
      <c r="K1456" t="s">
        <v>5025</v>
      </c>
      <c r="L1456" t="s">
        <v>5025</v>
      </c>
      <c r="M1456" t="s">
        <v>396</v>
      </c>
      <c r="N1456" t="s">
        <v>99</v>
      </c>
      <c r="O1456" t="s">
        <v>974</v>
      </c>
      <c r="P1456" t="s">
        <v>221</v>
      </c>
      <c r="Q1456" t="s">
        <v>82</v>
      </c>
      <c r="R1456">
        <v>1</v>
      </c>
      <c r="S1456">
        <v>3.5</v>
      </c>
      <c r="T1456">
        <v>0</v>
      </c>
      <c r="U1456">
        <v>1</v>
      </c>
      <c r="V1456">
        <v>1</v>
      </c>
      <c r="W1456">
        <v>20.77</v>
      </c>
      <c r="X1456">
        <v>0</v>
      </c>
      <c r="Y1456">
        <v>0</v>
      </c>
      <c r="Z1456">
        <v>0</v>
      </c>
      <c r="AA1456">
        <v>0</v>
      </c>
      <c r="AB1456">
        <v>0</v>
      </c>
      <c r="AC1456">
        <v>0</v>
      </c>
      <c r="AD1456">
        <v>1</v>
      </c>
      <c r="AE1456">
        <v>0</v>
      </c>
      <c r="AF1456">
        <v>0</v>
      </c>
      <c r="AG1456">
        <v>0</v>
      </c>
      <c r="AH1456">
        <v>0</v>
      </c>
      <c r="AI1456">
        <v>0</v>
      </c>
      <c r="AJ1456">
        <v>0</v>
      </c>
      <c r="AK1456">
        <v>0</v>
      </c>
    </row>
    <row r="1457" spans="1:37" x14ac:dyDescent="0.3">
      <c r="A1457">
        <v>7979</v>
      </c>
      <c r="B1457" t="s">
        <v>219</v>
      </c>
      <c r="D1457" t="s">
        <v>327</v>
      </c>
      <c r="E1457">
        <v>99999999</v>
      </c>
      <c r="F1457">
        <v>11111111</v>
      </c>
      <c r="G1457">
        <v>1111111111</v>
      </c>
      <c r="H1457" t="s">
        <v>5026</v>
      </c>
      <c r="I1457">
        <v>99999999</v>
      </c>
      <c r="J1457" s="188">
        <v>45236</v>
      </c>
      <c r="K1457" t="s">
        <v>5026</v>
      </c>
      <c r="L1457" t="s">
        <v>5026</v>
      </c>
      <c r="M1457" t="s">
        <v>2075</v>
      </c>
      <c r="N1457" t="s">
        <v>104</v>
      </c>
      <c r="O1457" t="s">
        <v>2076</v>
      </c>
      <c r="P1457" t="s">
        <v>221</v>
      </c>
      <c r="Q1457" t="s">
        <v>82</v>
      </c>
      <c r="R1457">
        <v>1</v>
      </c>
      <c r="S1457">
        <v>2.4</v>
      </c>
      <c r="T1457">
        <v>0</v>
      </c>
      <c r="U1457">
        <v>1</v>
      </c>
      <c r="V1457">
        <v>1</v>
      </c>
      <c r="W1457">
        <v>28</v>
      </c>
      <c r="X1457">
        <v>0</v>
      </c>
      <c r="Y1457">
        <v>0</v>
      </c>
      <c r="Z1457">
        <v>0</v>
      </c>
      <c r="AA1457">
        <v>0</v>
      </c>
      <c r="AB1457">
        <v>0</v>
      </c>
      <c r="AC1457">
        <v>0</v>
      </c>
      <c r="AD1457">
        <v>1</v>
      </c>
      <c r="AE1457">
        <v>0</v>
      </c>
      <c r="AF1457">
        <v>0</v>
      </c>
      <c r="AG1457">
        <v>0</v>
      </c>
      <c r="AH1457">
        <v>0</v>
      </c>
      <c r="AI1457">
        <v>0</v>
      </c>
      <c r="AJ1457">
        <v>0</v>
      </c>
      <c r="AK1457">
        <v>0</v>
      </c>
    </row>
    <row r="1458" spans="1:37" x14ac:dyDescent="0.3">
      <c r="A1458">
        <v>7979</v>
      </c>
      <c r="B1458" t="s">
        <v>219</v>
      </c>
      <c r="D1458" t="s">
        <v>327</v>
      </c>
      <c r="E1458">
        <v>99999999</v>
      </c>
      <c r="F1458">
        <v>11111111</v>
      </c>
      <c r="G1458">
        <v>1111111111</v>
      </c>
      <c r="H1458" t="s">
        <v>5027</v>
      </c>
      <c r="I1458">
        <v>99999999</v>
      </c>
      <c r="J1458" s="188">
        <v>45236</v>
      </c>
      <c r="K1458" t="s">
        <v>5027</v>
      </c>
      <c r="L1458" t="s">
        <v>5027</v>
      </c>
      <c r="M1458" t="s">
        <v>325</v>
      </c>
      <c r="N1458" t="s">
        <v>88</v>
      </c>
      <c r="O1458" t="s">
        <v>326</v>
      </c>
      <c r="P1458" t="s">
        <v>221</v>
      </c>
      <c r="Q1458" t="s">
        <v>82</v>
      </c>
      <c r="R1458">
        <v>1</v>
      </c>
      <c r="S1458">
        <v>7.52</v>
      </c>
      <c r="T1458">
        <v>0</v>
      </c>
      <c r="U1458">
        <v>1</v>
      </c>
      <c r="V1458">
        <v>1</v>
      </c>
      <c r="W1458">
        <v>38.6</v>
      </c>
      <c r="X1458">
        <v>0</v>
      </c>
      <c r="Y1458">
        <v>0</v>
      </c>
      <c r="Z1458">
        <v>0</v>
      </c>
      <c r="AA1458">
        <v>0</v>
      </c>
      <c r="AB1458">
        <v>0</v>
      </c>
      <c r="AC1458">
        <v>0</v>
      </c>
      <c r="AD1458">
        <v>1</v>
      </c>
      <c r="AE1458">
        <v>0</v>
      </c>
      <c r="AF1458">
        <v>0</v>
      </c>
      <c r="AG1458">
        <v>0</v>
      </c>
      <c r="AH1458">
        <v>0</v>
      </c>
      <c r="AI1458">
        <v>0</v>
      </c>
      <c r="AJ1458">
        <v>0</v>
      </c>
      <c r="AK1458">
        <v>0</v>
      </c>
    </row>
    <row r="1459" spans="1:37" x14ac:dyDescent="0.3">
      <c r="A1459">
        <v>7979</v>
      </c>
      <c r="B1459" t="s">
        <v>219</v>
      </c>
      <c r="D1459" t="s">
        <v>327</v>
      </c>
      <c r="E1459">
        <v>99999999</v>
      </c>
      <c r="F1459">
        <v>11111111</v>
      </c>
      <c r="G1459">
        <v>1111111111</v>
      </c>
      <c r="H1459" t="s">
        <v>5028</v>
      </c>
      <c r="I1459">
        <v>99999999</v>
      </c>
      <c r="J1459" s="188">
        <v>45236</v>
      </c>
      <c r="K1459" t="s">
        <v>5028</v>
      </c>
      <c r="L1459" t="s">
        <v>5028</v>
      </c>
      <c r="M1459" t="s">
        <v>2077</v>
      </c>
      <c r="N1459" t="s">
        <v>233</v>
      </c>
      <c r="O1459" t="s">
        <v>2078</v>
      </c>
      <c r="P1459" t="s">
        <v>221</v>
      </c>
      <c r="Q1459" t="s">
        <v>82</v>
      </c>
      <c r="R1459">
        <v>1</v>
      </c>
      <c r="S1459">
        <v>4.1900000000000004</v>
      </c>
      <c r="T1459">
        <v>0</v>
      </c>
      <c r="U1459">
        <v>1</v>
      </c>
      <c r="V1459">
        <v>1</v>
      </c>
      <c r="W1459">
        <v>27.34</v>
      </c>
      <c r="X1459">
        <v>0</v>
      </c>
      <c r="Y1459">
        <v>0</v>
      </c>
      <c r="Z1459">
        <v>0</v>
      </c>
      <c r="AA1459">
        <v>0</v>
      </c>
      <c r="AB1459">
        <v>0</v>
      </c>
      <c r="AC1459">
        <v>0</v>
      </c>
      <c r="AD1459">
        <v>1</v>
      </c>
      <c r="AE1459">
        <v>0</v>
      </c>
      <c r="AF1459">
        <v>0</v>
      </c>
      <c r="AG1459">
        <v>0</v>
      </c>
      <c r="AH1459">
        <v>0</v>
      </c>
      <c r="AI1459">
        <v>0</v>
      </c>
      <c r="AJ1459">
        <v>0</v>
      </c>
      <c r="AK1459">
        <v>0</v>
      </c>
    </row>
    <row r="1460" spans="1:37" x14ac:dyDescent="0.3">
      <c r="A1460">
        <v>7979</v>
      </c>
      <c r="B1460" t="s">
        <v>219</v>
      </c>
      <c r="D1460" t="s">
        <v>327</v>
      </c>
      <c r="E1460">
        <v>99999999</v>
      </c>
      <c r="F1460">
        <v>11111111</v>
      </c>
      <c r="G1460">
        <v>1111111111</v>
      </c>
      <c r="H1460" t="s">
        <v>5029</v>
      </c>
      <c r="I1460">
        <v>99999999</v>
      </c>
      <c r="J1460" s="188">
        <v>45236</v>
      </c>
      <c r="K1460" t="s">
        <v>5029</v>
      </c>
      <c r="L1460" t="s">
        <v>5029</v>
      </c>
      <c r="M1460" t="s">
        <v>2079</v>
      </c>
      <c r="N1460" t="s">
        <v>122</v>
      </c>
      <c r="O1460" t="s">
        <v>2080</v>
      </c>
      <c r="P1460" t="s">
        <v>221</v>
      </c>
      <c r="Q1460" t="s">
        <v>82</v>
      </c>
      <c r="R1460">
        <v>1</v>
      </c>
      <c r="S1460">
        <v>7.7</v>
      </c>
      <c r="T1460">
        <v>0</v>
      </c>
      <c r="U1460">
        <v>1</v>
      </c>
      <c r="V1460">
        <v>1</v>
      </c>
      <c r="W1460">
        <v>25.74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1</v>
      </c>
      <c r="AE1460">
        <v>0</v>
      </c>
      <c r="AF1460">
        <v>0</v>
      </c>
      <c r="AG1460">
        <v>0</v>
      </c>
      <c r="AH1460">
        <v>0</v>
      </c>
      <c r="AI1460">
        <v>0</v>
      </c>
      <c r="AJ1460">
        <v>0</v>
      </c>
      <c r="AK1460">
        <v>0</v>
      </c>
    </row>
    <row r="1461" spans="1:37" x14ac:dyDescent="0.3">
      <c r="A1461">
        <v>7979</v>
      </c>
      <c r="B1461" t="s">
        <v>219</v>
      </c>
      <c r="D1461" t="s">
        <v>327</v>
      </c>
      <c r="E1461">
        <v>99999999</v>
      </c>
      <c r="F1461">
        <v>11111111</v>
      </c>
      <c r="G1461">
        <v>1111111111</v>
      </c>
      <c r="H1461" t="s">
        <v>5030</v>
      </c>
      <c r="I1461">
        <v>99999999</v>
      </c>
      <c r="J1461" s="188">
        <v>45236</v>
      </c>
      <c r="K1461" t="s">
        <v>5030</v>
      </c>
      <c r="L1461" t="s">
        <v>5030</v>
      </c>
      <c r="M1461" t="s">
        <v>2081</v>
      </c>
      <c r="N1461" t="s">
        <v>97</v>
      </c>
      <c r="O1461" t="s">
        <v>2082</v>
      </c>
      <c r="P1461" t="s">
        <v>221</v>
      </c>
      <c r="Q1461" t="s">
        <v>82</v>
      </c>
      <c r="R1461">
        <v>4</v>
      </c>
      <c r="S1461">
        <v>35.42</v>
      </c>
      <c r="T1461">
        <v>0</v>
      </c>
      <c r="U1461">
        <v>1</v>
      </c>
      <c r="V1461">
        <v>2</v>
      </c>
      <c r="W1461">
        <v>39.409999999999997</v>
      </c>
      <c r="X1461">
        <v>0</v>
      </c>
      <c r="Y1461">
        <v>0</v>
      </c>
      <c r="Z1461">
        <v>0</v>
      </c>
      <c r="AA1461">
        <v>0</v>
      </c>
      <c r="AB1461">
        <v>0</v>
      </c>
      <c r="AC1461">
        <v>0</v>
      </c>
      <c r="AD1461">
        <v>4</v>
      </c>
      <c r="AE1461">
        <v>0</v>
      </c>
      <c r="AF1461">
        <v>0</v>
      </c>
      <c r="AG1461">
        <v>0</v>
      </c>
      <c r="AH1461">
        <v>0</v>
      </c>
      <c r="AI1461">
        <v>0</v>
      </c>
      <c r="AJ1461">
        <v>0</v>
      </c>
      <c r="AK1461">
        <v>0</v>
      </c>
    </row>
    <row r="1462" spans="1:37" x14ac:dyDescent="0.3">
      <c r="A1462">
        <v>7979</v>
      </c>
      <c r="B1462" t="s">
        <v>219</v>
      </c>
      <c r="D1462" t="s">
        <v>327</v>
      </c>
      <c r="E1462">
        <v>99999999</v>
      </c>
      <c r="F1462">
        <v>11111111</v>
      </c>
      <c r="G1462">
        <v>1111111111</v>
      </c>
      <c r="H1462" t="s">
        <v>5031</v>
      </c>
      <c r="I1462">
        <v>99999999</v>
      </c>
      <c r="J1462" s="188">
        <v>45236</v>
      </c>
      <c r="K1462" t="s">
        <v>5031</v>
      </c>
      <c r="L1462" t="s">
        <v>5031</v>
      </c>
      <c r="M1462" t="s">
        <v>264</v>
      </c>
      <c r="N1462" t="s">
        <v>265</v>
      </c>
      <c r="O1462">
        <v>29407</v>
      </c>
      <c r="P1462" t="s">
        <v>221</v>
      </c>
      <c r="Q1462" t="s">
        <v>82</v>
      </c>
      <c r="R1462">
        <v>2</v>
      </c>
      <c r="S1462">
        <v>8.8000000000000007</v>
      </c>
      <c r="T1462">
        <v>0</v>
      </c>
      <c r="U1462">
        <v>1</v>
      </c>
      <c r="V1462">
        <v>1</v>
      </c>
      <c r="W1462">
        <v>31.94</v>
      </c>
      <c r="X1462">
        <v>0</v>
      </c>
      <c r="Y1462">
        <v>0</v>
      </c>
      <c r="Z1462">
        <v>0</v>
      </c>
      <c r="AA1462">
        <v>0</v>
      </c>
      <c r="AB1462">
        <v>0</v>
      </c>
      <c r="AC1462">
        <v>0</v>
      </c>
      <c r="AD1462">
        <v>2</v>
      </c>
      <c r="AE1462">
        <v>0</v>
      </c>
      <c r="AF1462">
        <v>0</v>
      </c>
      <c r="AG1462">
        <v>0</v>
      </c>
      <c r="AH1462">
        <v>0</v>
      </c>
      <c r="AI1462">
        <v>0</v>
      </c>
      <c r="AJ1462">
        <v>0</v>
      </c>
      <c r="AK1462">
        <v>0</v>
      </c>
    </row>
    <row r="1463" spans="1:37" x14ac:dyDescent="0.3">
      <c r="A1463">
        <v>7979</v>
      </c>
      <c r="B1463" t="s">
        <v>219</v>
      </c>
      <c r="D1463" t="s">
        <v>327</v>
      </c>
      <c r="E1463">
        <v>99999999</v>
      </c>
      <c r="F1463">
        <v>11111111</v>
      </c>
      <c r="G1463">
        <v>1111111111</v>
      </c>
      <c r="H1463" t="s">
        <v>5032</v>
      </c>
      <c r="I1463">
        <v>99999999</v>
      </c>
      <c r="J1463" s="188">
        <v>45236</v>
      </c>
      <c r="K1463" t="s">
        <v>5032</v>
      </c>
      <c r="L1463" t="s">
        <v>5032</v>
      </c>
      <c r="M1463" t="s">
        <v>148</v>
      </c>
      <c r="N1463" t="s">
        <v>97</v>
      </c>
      <c r="O1463" t="s">
        <v>2083</v>
      </c>
      <c r="P1463" t="s">
        <v>221</v>
      </c>
      <c r="Q1463" t="s">
        <v>82</v>
      </c>
      <c r="R1463">
        <v>1</v>
      </c>
      <c r="S1463">
        <v>12</v>
      </c>
      <c r="T1463">
        <v>0</v>
      </c>
      <c r="U1463">
        <v>1</v>
      </c>
      <c r="V1463">
        <v>1</v>
      </c>
      <c r="W1463">
        <v>25.05</v>
      </c>
      <c r="X1463">
        <v>0</v>
      </c>
      <c r="Y1463">
        <v>0</v>
      </c>
      <c r="Z1463">
        <v>0</v>
      </c>
      <c r="AA1463">
        <v>0</v>
      </c>
      <c r="AB1463">
        <v>0</v>
      </c>
      <c r="AC1463">
        <v>0</v>
      </c>
      <c r="AD1463">
        <v>1</v>
      </c>
      <c r="AE1463">
        <v>0</v>
      </c>
      <c r="AF1463">
        <v>0</v>
      </c>
      <c r="AG1463">
        <v>0</v>
      </c>
      <c r="AH1463">
        <v>0</v>
      </c>
      <c r="AI1463">
        <v>0</v>
      </c>
      <c r="AJ1463">
        <v>0</v>
      </c>
      <c r="AK1463">
        <v>0</v>
      </c>
    </row>
    <row r="1464" spans="1:37" x14ac:dyDescent="0.3">
      <c r="A1464">
        <v>7979</v>
      </c>
      <c r="B1464" t="s">
        <v>219</v>
      </c>
      <c r="D1464" t="s">
        <v>327</v>
      </c>
      <c r="E1464">
        <v>99999999</v>
      </c>
      <c r="F1464">
        <v>11111111</v>
      </c>
      <c r="G1464">
        <v>1111111111</v>
      </c>
      <c r="H1464" t="s">
        <v>5033</v>
      </c>
      <c r="I1464">
        <v>99999999</v>
      </c>
      <c r="J1464" s="188">
        <v>45236</v>
      </c>
      <c r="K1464" t="s">
        <v>5033</v>
      </c>
      <c r="L1464" t="s">
        <v>5033</v>
      </c>
      <c r="M1464" t="s">
        <v>1289</v>
      </c>
      <c r="N1464" t="s">
        <v>97</v>
      </c>
      <c r="O1464" t="s">
        <v>2084</v>
      </c>
      <c r="P1464" t="s">
        <v>221</v>
      </c>
      <c r="Q1464" t="s">
        <v>82</v>
      </c>
      <c r="R1464">
        <v>1</v>
      </c>
      <c r="S1464">
        <v>5.24</v>
      </c>
      <c r="T1464">
        <v>0</v>
      </c>
      <c r="U1464">
        <v>1</v>
      </c>
      <c r="V1464">
        <v>1</v>
      </c>
      <c r="W1464">
        <v>29.21</v>
      </c>
      <c r="X1464">
        <v>0</v>
      </c>
      <c r="Y1464">
        <v>0</v>
      </c>
      <c r="Z1464">
        <v>0</v>
      </c>
      <c r="AA1464">
        <v>0</v>
      </c>
      <c r="AB1464">
        <v>0</v>
      </c>
      <c r="AC1464">
        <v>0</v>
      </c>
      <c r="AD1464">
        <v>1</v>
      </c>
      <c r="AE1464">
        <v>0</v>
      </c>
      <c r="AF1464">
        <v>0</v>
      </c>
      <c r="AG1464">
        <v>0</v>
      </c>
      <c r="AH1464">
        <v>0</v>
      </c>
      <c r="AI1464">
        <v>0</v>
      </c>
      <c r="AJ1464">
        <v>0</v>
      </c>
      <c r="AK1464">
        <v>0</v>
      </c>
    </row>
    <row r="1465" spans="1:37" x14ac:dyDescent="0.3">
      <c r="A1465">
        <v>7979</v>
      </c>
      <c r="B1465" t="s">
        <v>219</v>
      </c>
      <c r="D1465" t="s">
        <v>327</v>
      </c>
      <c r="E1465">
        <v>99999999</v>
      </c>
      <c r="F1465">
        <v>11111111</v>
      </c>
      <c r="G1465">
        <v>1111111111</v>
      </c>
      <c r="H1465" t="s">
        <v>5034</v>
      </c>
      <c r="I1465">
        <v>99999999</v>
      </c>
      <c r="J1465" s="188">
        <v>45236</v>
      </c>
      <c r="K1465" t="s">
        <v>5034</v>
      </c>
      <c r="L1465" t="s">
        <v>5034</v>
      </c>
      <c r="M1465" t="s">
        <v>531</v>
      </c>
      <c r="N1465" t="s">
        <v>97</v>
      </c>
      <c r="O1465" t="s">
        <v>1523</v>
      </c>
      <c r="P1465" t="s">
        <v>221</v>
      </c>
      <c r="Q1465" t="s">
        <v>82</v>
      </c>
      <c r="R1465">
        <v>2</v>
      </c>
      <c r="S1465">
        <v>9</v>
      </c>
      <c r="T1465">
        <v>0</v>
      </c>
      <c r="U1465">
        <v>1</v>
      </c>
      <c r="V1465">
        <v>2</v>
      </c>
      <c r="W1465">
        <v>24.41</v>
      </c>
      <c r="X1465">
        <v>0</v>
      </c>
      <c r="Y1465">
        <v>0</v>
      </c>
      <c r="Z1465">
        <v>0</v>
      </c>
      <c r="AA1465">
        <v>0</v>
      </c>
      <c r="AB1465">
        <v>0</v>
      </c>
      <c r="AC1465">
        <v>0</v>
      </c>
      <c r="AD1465">
        <v>2</v>
      </c>
      <c r="AE1465">
        <v>0</v>
      </c>
      <c r="AF1465">
        <v>0</v>
      </c>
      <c r="AG1465">
        <v>0</v>
      </c>
      <c r="AH1465">
        <v>0</v>
      </c>
      <c r="AI1465">
        <v>0</v>
      </c>
      <c r="AJ1465">
        <v>0</v>
      </c>
      <c r="AK1465">
        <v>0</v>
      </c>
    </row>
    <row r="1466" spans="1:37" x14ac:dyDescent="0.3">
      <c r="A1466">
        <v>7979</v>
      </c>
      <c r="B1466" t="s">
        <v>219</v>
      </c>
      <c r="D1466" t="s">
        <v>327</v>
      </c>
      <c r="E1466">
        <v>99999999</v>
      </c>
      <c r="F1466">
        <v>11111111</v>
      </c>
      <c r="G1466">
        <v>1111111111</v>
      </c>
      <c r="H1466" t="s">
        <v>5035</v>
      </c>
      <c r="I1466">
        <v>99999999</v>
      </c>
      <c r="J1466" s="188">
        <v>45236</v>
      </c>
      <c r="K1466" t="s">
        <v>5035</v>
      </c>
      <c r="L1466" t="s">
        <v>5035</v>
      </c>
      <c r="M1466" t="s">
        <v>799</v>
      </c>
      <c r="N1466" t="s">
        <v>97</v>
      </c>
      <c r="O1466" t="s">
        <v>2085</v>
      </c>
      <c r="P1466" t="s">
        <v>221</v>
      </c>
      <c r="Q1466" t="s">
        <v>82</v>
      </c>
      <c r="R1466">
        <v>1</v>
      </c>
      <c r="S1466">
        <v>18.600000000000001</v>
      </c>
      <c r="T1466">
        <v>0</v>
      </c>
      <c r="U1466">
        <v>1</v>
      </c>
      <c r="V1466">
        <v>1</v>
      </c>
      <c r="W1466">
        <v>33.549999999999997</v>
      </c>
      <c r="X1466">
        <v>0</v>
      </c>
      <c r="Y1466">
        <v>0</v>
      </c>
      <c r="Z1466">
        <v>0</v>
      </c>
      <c r="AA1466">
        <v>0</v>
      </c>
      <c r="AB1466">
        <v>0</v>
      </c>
      <c r="AC1466">
        <v>0</v>
      </c>
      <c r="AD1466">
        <v>1</v>
      </c>
      <c r="AE1466">
        <v>0</v>
      </c>
      <c r="AF1466">
        <v>0</v>
      </c>
      <c r="AG1466">
        <v>0</v>
      </c>
      <c r="AH1466">
        <v>0</v>
      </c>
      <c r="AI1466">
        <v>0</v>
      </c>
      <c r="AJ1466">
        <v>0</v>
      </c>
      <c r="AK1466">
        <v>0</v>
      </c>
    </row>
    <row r="1467" spans="1:37" x14ac:dyDescent="0.3">
      <c r="A1467">
        <v>7979</v>
      </c>
      <c r="B1467" t="s">
        <v>219</v>
      </c>
      <c r="D1467" t="s">
        <v>327</v>
      </c>
      <c r="E1467">
        <v>99999999</v>
      </c>
      <c r="F1467">
        <v>11111111</v>
      </c>
      <c r="G1467">
        <v>1111111111</v>
      </c>
      <c r="H1467" t="s">
        <v>5036</v>
      </c>
      <c r="I1467">
        <v>99999999</v>
      </c>
      <c r="J1467" s="188">
        <v>45236</v>
      </c>
      <c r="K1467" t="s">
        <v>5036</v>
      </c>
      <c r="L1467" t="s">
        <v>5036</v>
      </c>
      <c r="M1467" t="s">
        <v>2086</v>
      </c>
      <c r="N1467" t="s">
        <v>97</v>
      </c>
      <c r="O1467" t="s">
        <v>2087</v>
      </c>
      <c r="P1467" t="s">
        <v>221</v>
      </c>
      <c r="Q1467" t="s">
        <v>82</v>
      </c>
      <c r="R1467">
        <v>2</v>
      </c>
      <c r="S1467">
        <v>11.5</v>
      </c>
      <c r="T1467">
        <v>0</v>
      </c>
      <c r="U1467">
        <v>1</v>
      </c>
      <c r="V1467">
        <v>2</v>
      </c>
      <c r="W1467">
        <v>33.090000000000003</v>
      </c>
      <c r="X1467">
        <v>0</v>
      </c>
      <c r="Y1467">
        <v>0</v>
      </c>
      <c r="Z1467">
        <v>0</v>
      </c>
      <c r="AA1467">
        <v>0</v>
      </c>
      <c r="AB1467">
        <v>0</v>
      </c>
      <c r="AC1467">
        <v>0</v>
      </c>
      <c r="AD1467">
        <v>2</v>
      </c>
      <c r="AE1467">
        <v>0</v>
      </c>
      <c r="AF1467">
        <v>0</v>
      </c>
      <c r="AG1467">
        <v>0</v>
      </c>
      <c r="AH1467">
        <v>0</v>
      </c>
      <c r="AI1467">
        <v>0</v>
      </c>
      <c r="AJ1467">
        <v>0</v>
      </c>
      <c r="AK1467">
        <v>0</v>
      </c>
    </row>
    <row r="1468" spans="1:37" x14ac:dyDescent="0.3">
      <c r="A1468">
        <v>7979</v>
      </c>
      <c r="B1468" t="s">
        <v>219</v>
      </c>
      <c r="D1468" t="s">
        <v>327</v>
      </c>
      <c r="E1468">
        <v>99999999</v>
      </c>
      <c r="F1468">
        <v>11111111</v>
      </c>
      <c r="G1468">
        <v>1111111111</v>
      </c>
      <c r="H1468" t="s">
        <v>5037</v>
      </c>
      <c r="I1468">
        <v>99999999</v>
      </c>
      <c r="J1468" s="188">
        <v>45236</v>
      </c>
      <c r="K1468" t="s">
        <v>5037</v>
      </c>
      <c r="L1468" t="s">
        <v>5037</v>
      </c>
      <c r="M1468" t="s">
        <v>649</v>
      </c>
      <c r="N1468" t="s">
        <v>97</v>
      </c>
      <c r="O1468" t="s">
        <v>2088</v>
      </c>
      <c r="P1468" t="s">
        <v>221</v>
      </c>
      <c r="Q1468" t="s">
        <v>82</v>
      </c>
      <c r="R1468">
        <v>1</v>
      </c>
      <c r="S1468">
        <v>8.64</v>
      </c>
      <c r="T1468">
        <v>0</v>
      </c>
      <c r="U1468">
        <v>1</v>
      </c>
      <c r="V1468">
        <v>1</v>
      </c>
      <c r="W1468">
        <v>30.53</v>
      </c>
      <c r="X1468">
        <v>0</v>
      </c>
      <c r="Y1468">
        <v>0</v>
      </c>
      <c r="Z1468">
        <v>0</v>
      </c>
      <c r="AA1468">
        <v>0</v>
      </c>
      <c r="AB1468">
        <v>0</v>
      </c>
      <c r="AC1468">
        <v>0</v>
      </c>
      <c r="AD1468">
        <v>1</v>
      </c>
      <c r="AE1468">
        <v>0</v>
      </c>
      <c r="AF1468">
        <v>0</v>
      </c>
      <c r="AG1468">
        <v>0</v>
      </c>
      <c r="AH1468">
        <v>0</v>
      </c>
      <c r="AI1468">
        <v>0</v>
      </c>
      <c r="AJ1468">
        <v>0</v>
      </c>
      <c r="AK1468">
        <v>0</v>
      </c>
    </row>
    <row r="1469" spans="1:37" x14ac:dyDescent="0.3">
      <c r="A1469">
        <v>7979</v>
      </c>
      <c r="B1469" t="s">
        <v>219</v>
      </c>
      <c r="D1469" t="s">
        <v>327</v>
      </c>
      <c r="E1469">
        <v>99999999</v>
      </c>
      <c r="F1469">
        <v>11111111</v>
      </c>
      <c r="G1469">
        <v>1111111111</v>
      </c>
      <c r="H1469" t="s">
        <v>5038</v>
      </c>
      <c r="I1469">
        <v>99999999</v>
      </c>
      <c r="J1469" s="188">
        <v>45236</v>
      </c>
      <c r="K1469" t="s">
        <v>5038</v>
      </c>
      <c r="L1469" t="s">
        <v>5038</v>
      </c>
      <c r="M1469" t="s">
        <v>2019</v>
      </c>
      <c r="N1469" t="s">
        <v>99</v>
      </c>
      <c r="O1469" t="s">
        <v>2089</v>
      </c>
      <c r="P1469" t="s">
        <v>221</v>
      </c>
      <c r="Q1469" t="s">
        <v>82</v>
      </c>
      <c r="R1469">
        <v>1</v>
      </c>
      <c r="S1469">
        <v>8.1999999999999993</v>
      </c>
      <c r="T1469">
        <v>0</v>
      </c>
      <c r="U1469">
        <v>1</v>
      </c>
      <c r="V1469">
        <v>1</v>
      </c>
      <c r="W1469">
        <v>32.479999999999997</v>
      </c>
      <c r="X1469">
        <v>0</v>
      </c>
      <c r="Y1469">
        <v>0</v>
      </c>
      <c r="Z1469">
        <v>0</v>
      </c>
      <c r="AA1469">
        <v>0</v>
      </c>
      <c r="AB1469">
        <v>0</v>
      </c>
      <c r="AC1469">
        <v>0</v>
      </c>
      <c r="AD1469">
        <v>1</v>
      </c>
      <c r="AE1469">
        <v>0</v>
      </c>
      <c r="AF1469">
        <v>0</v>
      </c>
      <c r="AG1469">
        <v>0</v>
      </c>
      <c r="AH1469">
        <v>0</v>
      </c>
      <c r="AI1469">
        <v>0</v>
      </c>
      <c r="AJ1469">
        <v>0</v>
      </c>
      <c r="AK1469">
        <v>0</v>
      </c>
    </row>
    <row r="1470" spans="1:37" x14ac:dyDescent="0.3">
      <c r="A1470">
        <v>7979</v>
      </c>
      <c r="B1470" t="s">
        <v>219</v>
      </c>
      <c r="D1470" t="s">
        <v>327</v>
      </c>
      <c r="E1470">
        <v>99999999</v>
      </c>
      <c r="F1470">
        <v>11111111</v>
      </c>
      <c r="G1470">
        <v>1111111111</v>
      </c>
      <c r="H1470" t="s">
        <v>5039</v>
      </c>
      <c r="I1470">
        <v>99999999</v>
      </c>
      <c r="J1470" s="188">
        <v>45236</v>
      </c>
      <c r="K1470" t="s">
        <v>5039</v>
      </c>
      <c r="L1470" t="s">
        <v>5039</v>
      </c>
      <c r="M1470" t="s">
        <v>550</v>
      </c>
      <c r="N1470" t="s">
        <v>551</v>
      </c>
      <c r="O1470">
        <v>82414</v>
      </c>
      <c r="P1470" t="s">
        <v>221</v>
      </c>
      <c r="Q1470" t="s">
        <v>82</v>
      </c>
      <c r="R1470">
        <v>1</v>
      </c>
      <c r="S1470">
        <v>5</v>
      </c>
      <c r="T1470">
        <v>0</v>
      </c>
      <c r="U1470">
        <v>1</v>
      </c>
      <c r="V1470">
        <v>1</v>
      </c>
      <c r="W1470">
        <v>30.56</v>
      </c>
      <c r="X1470">
        <v>0</v>
      </c>
      <c r="Y1470">
        <v>0</v>
      </c>
      <c r="Z1470">
        <v>0</v>
      </c>
      <c r="AA1470">
        <v>0</v>
      </c>
      <c r="AB1470">
        <v>0</v>
      </c>
      <c r="AC1470">
        <v>0</v>
      </c>
      <c r="AD1470">
        <v>1</v>
      </c>
      <c r="AE1470">
        <v>0</v>
      </c>
      <c r="AF1470">
        <v>0</v>
      </c>
      <c r="AG1470">
        <v>0</v>
      </c>
      <c r="AH1470">
        <v>0</v>
      </c>
      <c r="AI1470">
        <v>0</v>
      </c>
      <c r="AJ1470">
        <v>0</v>
      </c>
      <c r="AK1470">
        <v>0</v>
      </c>
    </row>
    <row r="1471" spans="1:37" x14ac:dyDescent="0.3">
      <c r="A1471">
        <v>7979</v>
      </c>
      <c r="B1471" t="s">
        <v>219</v>
      </c>
      <c r="D1471" t="s">
        <v>327</v>
      </c>
      <c r="E1471">
        <v>99999999</v>
      </c>
      <c r="F1471">
        <v>11111111</v>
      </c>
      <c r="G1471">
        <v>1111111111</v>
      </c>
      <c r="H1471" t="s">
        <v>5040</v>
      </c>
      <c r="I1471">
        <v>99999999</v>
      </c>
      <c r="J1471" s="188">
        <v>45236</v>
      </c>
      <c r="K1471" t="s">
        <v>5040</v>
      </c>
      <c r="L1471" t="s">
        <v>5040</v>
      </c>
      <c r="M1471" t="s">
        <v>1229</v>
      </c>
      <c r="N1471" t="s">
        <v>99</v>
      </c>
      <c r="O1471">
        <v>94066</v>
      </c>
      <c r="P1471" t="s">
        <v>221</v>
      </c>
      <c r="Q1471" t="s">
        <v>82</v>
      </c>
      <c r="R1471">
        <v>1</v>
      </c>
      <c r="S1471">
        <v>5</v>
      </c>
      <c r="T1471">
        <v>0</v>
      </c>
      <c r="U1471">
        <v>1</v>
      </c>
      <c r="V1471">
        <v>1</v>
      </c>
      <c r="W1471">
        <v>21.49</v>
      </c>
      <c r="X1471">
        <v>0</v>
      </c>
      <c r="Y1471">
        <v>0</v>
      </c>
      <c r="Z1471">
        <v>0</v>
      </c>
      <c r="AA1471">
        <v>0</v>
      </c>
      <c r="AB1471">
        <v>0</v>
      </c>
      <c r="AC1471">
        <v>0</v>
      </c>
      <c r="AD1471">
        <v>1</v>
      </c>
      <c r="AE1471">
        <v>0</v>
      </c>
      <c r="AF1471">
        <v>0</v>
      </c>
      <c r="AG1471">
        <v>0</v>
      </c>
      <c r="AH1471">
        <v>0</v>
      </c>
      <c r="AI1471">
        <v>0</v>
      </c>
      <c r="AJ1471">
        <v>0</v>
      </c>
      <c r="AK1471">
        <v>0</v>
      </c>
    </row>
    <row r="1472" spans="1:37" x14ac:dyDescent="0.3">
      <c r="A1472">
        <v>7979</v>
      </c>
      <c r="B1472" t="s">
        <v>219</v>
      </c>
      <c r="D1472" t="s">
        <v>327</v>
      </c>
      <c r="E1472">
        <v>99999999</v>
      </c>
      <c r="F1472">
        <v>11111111</v>
      </c>
      <c r="G1472">
        <v>1111111111</v>
      </c>
      <c r="H1472" t="s">
        <v>5041</v>
      </c>
      <c r="I1472">
        <v>99999999</v>
      </c>
      <c r="J1472" s="188">
        <v>45236</v>
      </c>
      <c r="K1472" t="s">
        <v>5041</v>
      </c>
      <c r="L1472" t="s">
        <v>5041</v>
      </c>
      <c r="M1472" t="s">
        <v>567</v>
      </c>
      <c r="N1472" t="s">
        <v>197</v>
      </c>
      <c r="O1472">
        <v>78130</v>
      </c>
      <c r="P1472" t="s">
        <v>221</v>
      </c>
      <c r="Q1472" t="s">
        <v>82</v>
      </c>
      <c r="R1472">
        <v>2</v>
      </c>
      <c r="S1472">
        <v>7.56</v>
      </c>
      <c r="T1472">
        <v>0</v>
      </c>
      <c r="U1472">
        <v>1</v>
      </c>
      <c r="V1472">
        <v>2</v>
      </c>
      <c r="W1472">
        <v>26.68</v>
      </c>
      <c r="X1472">
        <v>0</v>
      </c>
      <c r="Y1472">
        <v>0</v>
      </c>
      <c r="Z1472">
        <v>0</v>
      </c>
      <c r="AA1472">
        <v>0</v>
      </c>
      <c r="AB1472">
        <v>0</v>
      </c>
      <c r="AC1472">
        <v>0</v>
      </c>
      <c r="AD1472">
        <v>2</v>
      </c>
      <c r="AE1472">
        <v>0</v>
      </c>
      <c r="AF1472">
        <v>0</v>
      </c>
      <c r="AG1472">
        <v>0</v>
      </c>
      <c r="AH1472">
        <v>0</v>
      </c>
      <c r="AI1472">
        <v>0</v>
      </c>
      <c r="AJ1472">
        <v>0</v>
      </c>
      <c r="AK1472">
        <v>0</v>
      </c>
    </row>
    <row r="1473" spans="1:37" x14ac:dyDescent="0.3">
      <c r="A1473">
        <v>7979</v>
      </c>
      <c r="B1473" t="s">
        <v>219</v>
      </c>
      <c r="D1473" t="s">
        <v>327</v>
      </c>
      <c r="E1473">
        <v>99999999</v>
      </c>
      <c r="F1473">
        <v>11111111</v>
      </c>
      <c r="G1473">
        <v>1111111111</v>
      </c>
      <c r="H1473" t="s">
        <v>5042</v>
      </c>
      <c r="I1473">
        <v>99999999</v>
      </c>
      <c r="J1473" s="188">
        <v>45236</v>
      </c>
      <c r="K1473" t="s">
        <v>5042</v>
      </c>
      <c r="L1473" t="s">
        <v>5042</v>
      </c>
      <c r="M1473" t="s">
        <v>1454</v>
      </c>
      <c r="N1473" t="s">
        <v>197</v>
      </c>
      <c r="O1473" t="s">
        <v>2090</v>
      </c>
      <c r="P1473" t="s">
        <v>221</v>
      </c>
      <c r="Q1473" t="s">
        <v>82</v>
      </c>
      <c r="R1473">
        <v>1</v>
      </c>
      <c r="S1473">
        <v>11.07</v>
      </c>
      <c r="T1473">
        <v>0</v>
      </c>
      <c r="U1473">
        <v>1</v>
      </c>
      <c r="V1473">
        <v>1</v>
      </c>
      <c r="W1473">
        <v>28.19</v>
      </c>
      <c r="X1473">
        <v>0</v>
      </c>
      <c r="Y1473">
        <v>0</v>
      </c>
      <c r="Z1473">
        <v>0</v>
      </c>
      <c r="AA1473">
        <v>0</v>
      </c>
      <c r="AB1473">
        <v>0</v>
      </c>
      <c r="AC1473">
        <v>0</v>
      </c>
      <c r="AD1473">
        <v>1</v>
      </c>
      <c r="AE1473">
        <v>0</v>
      </c>
      <c r="AF1473">
        <v>0</v>
      </c>
      <c r="AG1473">
        <v>0</v>
      </c>
      <c r="AH1473">
        <v>0</v>
      </c>
      <c r="AI1473">
        <v>0</v>
      </c>
      <c r="AJ1473">
        <v>0</v>
      </c>
      <c r="AK1473">
        <v>0</v>
      </c>
    </row>
    <row r="1474" spans="1:37" x14ac:dyDescent="0.3">
      <c r="A1474">
        <v>7979</v>
      </c>
      <c r="B1474" t="s">
        <v>219</v>
      </c>
      <c r="D1474" t="s">
        <v>327</v>
      </c>
      <c r="E1474">
        <v>99999999</v>
      </c>
      <c r="F1474">
        <v>11111111</v>
      </c>
      <c r="G1474">
        <v>1111111111</v>
      </c>
      <c r="H1474" t="s">
        <v>5043</v>
      </c>
      <c r="I1474">
        <v>99999999</v>
      </c>
      <c r="J1474" s="188">
        <v>45236</v>
      </c>
      <c r="K1474" t="s">
        <v>5043</v>
      </c>
      <c r="L1474" t="s">
        <v>5043</v>
      </c>
      <c r="M1474" t="s">
        <v>343</v>
      </c>
      <c r="N1474" t="s">
        <v>164</v>
      </c>
      <c r="O1474" t="s">
        <v>2091</v>
      </c>
      <c r="P1474" t="s">
        <v>221</v>
      </c>
      <c r="Q1474" t="s">
        <v>82</v>
      </c>
      <c r="R1474">
        <v>1</v>
      </c>
      <c r="S1474">
        <v>15</v>
      </c>
      <c r="T1474">
        <v>0</v>
      </c>
      <c r="U1474">
        <v>1</v>
      </c>
      <c r="V1474">
        <v>1</v>
      </c>
      <c r="W1474">
        <v>25.86</v>
      </c>
      <c r="X1474">
        <v>0</v>
      </c>
      <c r="Y1474">
        <v>0</v>
      </c>
      <c r="Z1474">
        <v>0</v>
      </c>
      <c r="AA1474">
        <v>0</v>
      </c>
      <c r="AB1474">
        <v>0</v>
      </c>
      <c r="AC1474">
        <v>0</v>
      </c>
      <c r="AD1474">
        <v>1</v>
      </c>
      <c r="AE1474">
        <v>0</v>
      </c>
      <c r="AF1474">
        <v>0</v>
      </c>
      <c r="AG1474">
        <v>0</v>
      </c>
      <c r="AH1474">
        <v>0</v>
      </c>
      <c r="AI1474">
        <v>0</v>
      </c>
      <c r="AJ1474">
        <v>0</v>
      </c>
      <c r="AK1474">
        <v>0</v>
      </c>
    </row>
    <row r="1475" spans="1:37" x14ac:dyDescent="0.3">
      <c r="A1475">
        <v>7979</v>
      </c>
      <c r="B1475" t="s">
        <v>219</v>
      </c>
      <c r="D1475" t="s">
        <v>327</v>
      </c>
      <c r="E1475">
        <v>99999999</v>
      </c>
      <c r="F1475">
        <v>11111111</v>
      </c>
      <c r="G1475">
        <v>1111111111</v>
      </c>
      <c r="H1475" t="s">
        <v>5044</v>
      </c>
      <c r="I1475">
        <v>99999999</v>
      </c>
      <c r="J1475" s="188">
        <v>45236</v>
      </c>
      <c r="K1475" t="s">
        <v>5044</v>
      </c>
      <c r="L1475" t="s">
        <v>5044</v>
      </c>
      <c r="M1475" t="s">
        <v>2092</v>
      </c>
      <c r="N1475" t="s">
        <v>104</v>
      </c>
      <c r="O1475" t="s">
        <v>2093</v>
      </c>
      <c r="P1475" t="s">
        <v>221</v>
      </c>
      <c r="Q1475" t="s">
        <v>82</v>
      </c>
      <c r="R1475">
        <v>2</v>
      </c>
      <c r="S1475">
        <v>3.4</v>
      </c>
      <c r="T1475">
        <v>0</v>
      </c>
      <c r="U1475">
        <v>1</v>
      </c>
      <c r="V1475">
        <v>2</v>
      </c>
      <c r="W1475">
        <v>28.64</v>
      </c>
      <c r="X1475">
        <v>0</v>
      </c>
      <c r="Y1475">
        <v>0</v>
      </c>
      <c r="Z1475">
        <v>0</v>
      </c>
      <c r="AA1475">
        <v>0</v>
      </c>
      <c r="AB1475">
        <v>0</v>
      </c>
      <c r="AC1475">
        <v>0</v>
      </c>
      <c r="AD1475">
        <v>2</v>
      </c>
      <c r="AE1475">
        <v>0</v>
      </c>
      <c r="AF1475">
        <v>0</v>
      </c>
      <c r="AG1475">
        <v>0</v>
      </c>
      <c r="AH1475">
        <v>0</v>
      </c>
      <c r="AI1475">
        <v>0</v>
      </c>
      <c r="AJ1475">
        <v>0</v>
      </c>
      <c r="AK1475">
        <v>0</v>
      </c>
    </row>
    <row r="1476" spans="1:37" x14ac:dyDescent="0.3">
      <c r="A1476">
        <v>7979</v>
      </c>
      <c r="B1476" t="s">
        <v>219</v>
      </c>
      <c r="D1476" t="s">
        <v>327</v>
      </c>
      <c r="E1476">
        <v>99999999</v>
      </c>
      <c r="F1476">
        <v>11111111</v>
      </c>
      <c r="G1476">
        <v>1111111111</v>
      </c>
      <c r="H1476" t="s">
        <v>5045</v>
      </c>
      <c r="I1476">
        <v>99999999</v>
      </c>
      <c r="J1476" s="188">
        <v>45236</v>
      </c>
      <c r="K1476" t="s">
        <v>5045</v>
      </c>
      <c r="L1476" t="s">
        <v>5045</v>
      </c>
      <c r="M1476" t="s">
        <v>2094</v>
      </c>
      <c r="N1476" t="s">
        <v>99</v>
      </c>
      <c r="O1476" t="s">
        <v>2095</v>
      </c>
      <c r="P1476" t="s">
        <v>221</v>
      </c>
      <c r="Q1476" t="s">
        <v>82</v>
      </c>
      <c r="R1476">
        <v>19</v>
      </c>
      <c r="S1476">
        <v>17.733000000000001</v>
      </c>
      <c r="T1476">
        <v>0</v>
      </c>
      <c r="U1476">
        <v>1</v>
      </c>
      <c r="V1476">
        <v>19</v>
      </c>
      <c r="W1476">
        <v>27.32</v>
      </c>
      <c r="X1476">
        <v>0</v>
      </c>
      <c r="Y1476">
        <v>0</v>
      </c>
      <c r="Z1476">
        <v>0</v>
      </c>
      <c r="AA1476">
        <v>0</v>
      </c>
      <c r="AB1476">
        <v>0</v>
      </c>
      <c r="AC1476">
        <v>0</v>
      </c>
      <c r="AD1476">
        <v>19</v>
      </c>
      <c r="AE1476">
        <v>0</v>
      </c>
      <c r="AF1476">
        <v>0</v>
      </c>
      <c r="AG1476">
        <v>0</v>
      </c>
      <c r="AH1476">
        <v>0</v>
      </c>
      <c r="AI1476">
        <v>0</v>
      </c>
      <c r="AJ1476">
        <v>0</v>
      </c>
      <c r="AK1476">
        <v>0</v>
      </c>
    </row>
    <row r="1477" spans="1:37" x14ac:dyDescent="0.3">
      <c r="A1477">
        <v>7979</v>
      </c>
      <c r="B1477" t="s">
        <v>219</v>
      </c>
      <c r="D1477" t="s">
        <v>327</v>
      </c>
      <c r="E1477">
        <v>99999999</v>
      </c>
      <c r="F1477">
        <v>11111111</v>
      </c>
      <c r="G1477">
        <v>1111111111</v>
      </c>
      <c r="H1477" t="s">
        <v>5046</v>
      </c>
      <c r="I1477">
        <v>99999999</v>
      </c>
      <c r="J1477" s="188">
        <v>45236</v>
      </c>
      <c r="K1477" t="s">
        <v>5046</v>
      </c>
      <c r="L1477" t="s">
        <v>5046</v>
      </c>
      <c r="M1477" t="s">
        <v>1486</v>
      </c>
      <c r="N1477" t="s">
        <v>97</v>
      </c>
      <c r="O1477" t="s">
        <v>2096</v>
      </c>
      <c r="P1477" t="s">
        <v>221</v>
      </c>
      <c r="Q1477" t="s">
        <v>82</v>
      </c>
      <c r="R1477">
        <v>2</v>
      </c>
      <c r="S1477">
        <v>12.5</v>
      </c>
      <c r="T1477">
        <v>0</v>
      </c>
      <c r="U1477">
        <v>1</v>
      </c>
      <c r="V1477">
        <v>2</v>
      </c>
      <c r="W1477">
        <v>33.31</v>
      </c>
      <c r="X1477">
        <v>0</v>
      </c>
      <c r="Y1477">
        <v>0</v>
      </c>
      <c r="Z1477">
        <v>0</v>
      </c>
      <c r="AA1477">
        <v>0</v>
      </c>
      <c r="AB1477">
        <v>0</v>
      </c>
      <c r="AC1477">
        <v>0</v>
      </c>
      <c r="AD1477">
        <v>2</v>
      </c>
      <c r="AE1477">
        <v>0</v>
      </c>
      <c r="AF1477">
        <v>0</v>
      </c>
      <c r="AG1477">
        <v>0</v>
      </c>
      <c r="AH1477">
        <v>0</v>
      </c>
      <c r="AI1477">
        <v>0</v>
      </c>
      <c r="AJ1477">
        <v>0</v>
      </c>
      <c r="AK1477">
        <v>0</v>
      </c>
    </row>
    <row r="1478" spans="1:37" x14ac:dyDescent="0.3">
      <c r="A1478">
        <v>7979</v>
      </c>
      <c r="B1478" t="s">
        <v>219</v>
      </c>
      <c r="D1478" t="s">
        <v>327</v>
      </c>
      <c r="E1478">
        <v>99999999</v>
      </c>
      <c r="F1478">
        <v>11111111</v>
      </c>
      <c r="G1478">
        <v>1111111111</v>
      </c>
      <c r="H1478" t="s">
        <v>5047</v>
      </c>
      <c r="I1478">
        <v>99999999</v>
      </c>
      <c r="J1478" s="188">
        <v>45236</v>
      </c>
      <c r="K1478" t="s">
        <v>5047</v>
      </c>
      <c r="L1478" t="s">
        <v>5047</v>
      </c>
      <c r="M1478" t="s">
        <v>1558</v>
      </c>
      <c r="N1478" t="s">
        <v>97</v>
      </c>
      <c r="O1478" t="s">
        <v>1559</v>
      </c>
      <c r="P1478" t="s">
        <v>221</v>
      </c>
      <c r="Q1478" t="s">
        <v>82</v>
      </c>
      <c r="R1478">
        <v>2</v>
      </c>
      <c r="S1478">
        <v>11.41</v>
      </c>
      <c r="T1478">
        <v>0</v>
      </c>
      <c r="U1478">
        <v>1</v>
      </c>
      <c r="V1478">
        <v>2</v>
      </c>
      <c r="W1478">
        <v>33.090000000000003</v>
      </c>
      <c r="X1478">
        <v>0</v>
      </c>
      <c r="Y1478">
        <v>0</v>
      </c>
      <c r="Z1478">
        <v>0</v>
      </c>
      <c r="AA1478">
        <v>0</v>
      </c>
      <c r="AB1478">
        <v>0</v>
      </c>
      <c r="AC1478">
        <v>0</v>
      </c>
      <c r="AD1478">
        <v>2</v>
      </c>
      <c r="AE1478">
        <v>0</v>
      </c>
      <c r="AF1478">
        <v>0</v>
      </c>
      <c r="AG1478">
        <v>0</v>
      </c>
      <c r="AH1478">
        <v>0</v>
      </c>
      <c r="AI1478">
        <v>0</v>
      </c>
      <c r="AJ1478">
        <v>0</v>
      </c>
      <c r="AK1478">
        <v>0</v>
      </c>
    </row>
    <row r="1479" spans="1:37" x14ac:dyDescent="0.3">
      <c r="A1479">
        <v>7979</v>
      </c>
      <c r="B1479" t="s">
        <v>219</v>
      </c>
      <c r="D1479" t="s">
        <v>327</v>
      </c>
      <c r="E1479">
        <v>99999999</v>
      </c>
      <c r="F1479">
        <v>11111111</v>
      </c>
      <c r="G1479">
        <v>1111111111</v>
      </c>
      <c r="H1479" t="s">
        <v>5048</v>
      </c>
      <c r="I1479">
        <v>99999999</v>
      </c>
      <c r="J1479" s="188">
        <v>45236</v>
      </c>
      <c r="K1479" t="s">
        <v>5048</v>
      </c>
      <c r="L1479" t="s">
        <v>5048</v>
      </c>
      <c r="M1479" t="s">
        <v>1676</v>
      </c>
      <c r="N1479" t="s">
        <v>99</v>
      </c>
      <c r="O1479">
        <v>92067</v>
      </c>
      <c r="P1479" t="s">
        <v>221</v>
      </c>
      <c r="Q1479" t="s">
        <v>82</v>
      </c>
      <c r="R1479">
        <v>2</v>
      </c>
      <c r="S1479">
        <v>20.100000000000001</v>
      </c>
      <c r="T1479">
        <v>0</v>
      </c>
      <c r="U1479">
        <v>1</v>
      </c>
      <c r="V1479">
        <v>2</v>
      </c>
      <c r="W1479">
        <v>34.68</v>
      </c>
      <c r="X1479">
        <v>0</v>
      </c>
      <c r="Y1479">
        <v>0</v>
      </c>
      <c r="Z1479">
        <v>0</v>
      </c>
      <c r="AA1479">
        <v>0</v>
      </c>
      <c r="AB1479">
        <v>0</v>
      </c>
      <c r="AC1479">
        <v>0</v>
      </c>
      <c r="AD1479">
        <v>2</v>
      </c>
      <c r="AE1479">
        <v>0</v>
      </c>
      <c r="AF1479">
        <v>0</v>
      </c>
      <c r="AG1479">
        <v>0</v>
      </c>
      <c r="AH1479">
        <v>0</v>
      </c>
      <c r="AI1479">
        <v>0</v>
      </c>
      <c r="AJ1479">
        <v>0</v>
      </c>
      <c r="AK1479">
        <v>0</v>
      </c>
    </row>
    <row r="1480" spans="1:37" x14ac:dyDescent="0.3">
      <c r="A1480">
        <v>7979</v>
      </c>
      <c r="B1480" t="s">
        <v>219</v>
      </c>
      <c r="D1480" t="s">
        <v>327</v>
      </c>
      <c r="E1480">
        <v>99999999</v>
      </c>
      <c r="F1480">
        <v>11111111</v>
      </c>
      <c r="G1480">
        <v>1111111111</v>
      </c>
      <c r="H1480" t="s">
        <v>5049</v>
      </c>
      <c r="I1480">
        <v>99999999</v>
      </c>
      <c r="J1480" s="188">
        <v>45236</v>
      </c>
      <c r="K1480" t="s">
        <v>5049</v>
      </c>
      <c r="L1480" t="s">
        <v>5049</v>
      </c>
      <c r="M1480" t="s">
        <v>380</v>
      </c>
      <c r="N1480" t="s">
        <v>381</v>
      </c>
      <c r="O1480" t="s">
        <v>2097</v>
      </c>
      <c r="P1480" t="s">
        <v>221</v>
      </c>
      <c r="Q1480" t="s">
        <v>82</v>
      </c>
      <c r="R1480">
        <v>4</v>
      </c>
      <c r="S1480">
        <v>8.91</v>
      </c>
      <c r="T1480">
        <v>0</v>
      </c>
      <c r="U1480">
        <v>1</v>
      </c>
      <c r="V1480">
        <v>4</v>
      </c>
      <c r="W1480">
        <v>26.22</v>
      </c>
      <c r="X1480">
        <v>0</v>
      </c>
      <c r="Y1480">
        <v>0</v>
      </c>
      <c r="Z1480">
        <v>0</v>
      </c>
      <c r="AA1480">
        <v>0</v>
      </c>
      <c r="AB1480">
        <v>0</v>
      </c>
      <c r="AC1480">
        <v>0</v>
      </c>
      <c r="AD1480">
        <v>4</v>
      </c>
      <c r="AE1480">
        <v>0</v>
      </c>
      <c r="AF1480">
        <v>0</v>
      </c>
      <c r="AG1480">
        <v>0</v>
      </c>
      <c r="AH1480">
        <v>0</v>
      </c>
      <c r="AI1480">
        <v>0</v>
      </c>
      <c r="AJ1480">
        <v>0</v>
      </c>
      <c r="AK1480">
        <v>0</v>
      </c>
    </row>
    <row r="1481" spans="1:37" x14ac:dyDescent="0.3">
      <c r="A1481">
        <v>7979</v>
      </c>
      <c r="B1481" t="s">
        <v>219</v>
      </c>
      <c r="D1481" t="s">
        <v>327</v>
      </c>
      <c r="E1481">
        <v>99999999</v>
      </c>
      <c r="F1481">
        <v>11111111</v>
      </c>
      <c r="G1481">
        <v>1111111111</v>
      </c>
      <c r="H1481" t="s">
        <v>5050</v>
      </c>
      <c r="I1481">
        <v>99999999</v>
      </c>
      <c r="J1481" s="188">
        <v>45236</v>
      </c>
      <c r="K1481" t="s">
        <v>5050</v>
      </c>
      <c r="L1481" t="s">
        <v>5050</v>
      </c>
      <c r="M1481" t="s">
        <v>387</v>
      </c>
      <c r="N1481" t="s">
        <v>135</v>
      </c>
      <c r="O1481">
        <v>84334</v>
      </c>
      <c r="P1481" t="s">
        <v>221</v>
      </c>
      <c r="Q1481" t="s">
        <v>82</v>
      </c>
      <c r="R1481">
        <v>2</v>
      </c>
      <c r="S1481">
        <v>0.78800000000000003</v>
      </c>
      <c r="T1481">
        <v>0</v>
      </c>
      <c r="U1481">
        <v>1</v>
      </c>
      <c r="V1481">
        <v>2</v>
      </c>
      <c r="W1481">
        <v>29.46</v>
      </c>
      <c r="X1481">
        <v>0</v>
      </c>
      <c r="Y1481">
        <v>0</v>
      </c>
      <c r="Z1481">
        <v>0</v>
      </c>
      <c r="AA1481">
        <v>0</v>
      </c>
      <c r="AB1481">
        <v>0</v>
      </c>
      <c r="AC1481">
        <v>0</v>
      </c>
      <c r="AD1481">
        <v>2</v>
      </c>
      <c r="AE1481">
        <v>0</v>
      </c>
      <c r="AF1481">
        <v>0</v>
      </c>
      <c r="AG1481">
        <v>0</v>
      </c>
      <c r="AH1481">
        <v>0</v>
      </c>
      <c r="AI1481">
        <v>0</v>
      </c>
      <c r="AJ1481">
        <v>0</v>
      </c>
      <c r="AK1481">
        <v>0</v>
      </c>
    </row>
    <row r="1482" spans="1:37" x14ac:dyDescent="0.3">
      <c r="A1482">
        <v>7979</v>
      </c>
      <c r="B1482" t="s">
        <v>219</v>
      </c>
      <c r="D1482" t="s">
        <v>327</v>
      </c>
      <c r="E1482">
        <v>99999999</v>
      </c>
      <c r="F1482">
        <v>11111111</v>
      </c>
      <c r="G1482">
        <v>1111111111</v>
      </c>
      <c r="H1482" t="s">
        <v>5051</v>
      </c>
      <c r="I1482">
        <v>99999999</v>
      </c>
      <c r="J1482" s="188">
        <v>45236</v>
      </c>
      <c r="K1482" t="s">
        <v>5051</v>
      </c>
      <c r="L1482" t="s">
        <v>5051</v>
      </c>
      <c r="M1482" t="s">
        <v>771</v>
      </c>
      <c r="N1482" t="s">
        <v>97</v>
      </c>
      <c r="O1482" t="s">
        <v>2098</v>
      </c>
      <c r="P1482" t="s">
        <v>221</v>
      </c>
      <c r="Q1482" t="s">
        <v>82</v>
      </c>
      <c r="R1482">
        <v>3</v>
      </c>
      <c r="S1482">
        <v>31.64</v>
      </c>
      <c r="T1482">
        <v>0</v>
      </c>
      <c r="U1482">
        <v>1</v>
      </c>
      <c r="V1482">
        <v>2</v>
      </c>
      <c r="W1482">
        <v>37.1</v>
      </c>
      <c r="X1482">
        <v>0</v>
      </c>
      <c r="Y1482">
        <v>0</v>
      </c>
      <c r="Z1482">
        <v>0</v>
      </c>
      <c r="AA1482">
        <v>0</v>
      </c>
      <c r="AB1482">
        <v>0</v>
      </c>
      <c r="AC1482">
        <v>0</v>
      </c>
      <c r="AD1482">
        <v>3</v>
      </c>
      <c r="AE1482">
        <v>0</v>
      </c>
      <c r="AF1482">
        <v>0</v>
      </c>
      <c r="AG1482">
        <v>0</v>
      </c>
      <c r="AH1482">
        <v>0</v>
      </c>
      <c r="AI1482">
        <v>0</v>
      </c>
      <c r="AJ1482">
        <v>0</v>
      </c>
      <c r="AK1482">
        <v>0</v>
      </c>
    </row>
    <row r="1483" spans="1:37" x14ac:dyDescent="0.3">
      <c r="A1483">
        <v>7979</v>
      </c>
      <c r="B1483" t="s">
        <v>219</v>
      </c>
      <c r="D1483" t="s">
        <v>327</v>
      </c>
      <c r="E1483">
        <v>99999999</v>
      </c>
      <c r="F1483">
        <v>11111111</v>
      </c>
      <c r="G1483">
        <v>1111111111</v>
      </c>
      <c r="H1483" t="s">
        <v>5052</v>
      </c>
      <c r="I1483">
        <v>99999999</v>
      </c>
      <c r="J1483" s="188">
        <v>45236</v>
      </c>
      <c r="K1483" t="s">
        <v>5052</v>
      </c>
      <c r="L1483" t="s">
        <v>5052</v>
      </c>
      <c r="M1483" t="s">
        <v>448</v>
      </c>
      <c r="N1483" t="s">
        <v>197</v>
      </c>
      <c r="O1483" t="s">
        <v>1984</v>
      </c>
      <c r="P1483" t="s">
        <v>221</v>
      </c>
      <c r="Q1483" t="s">
        <v>82</v>
      </c>
      <c r="R1483">
        <v>2</v>
      </c>
      <c r="S1483">
        <v>5.23</v>
      </c>
      <c r="T1483">
        <v>0</v>
      </c>
      <c r="U1483">
        <v>1</v>
      </c>
      <c r="V1483">
        <v>2</v>
      </c>
      <c r="W1483">
        <v>26.15</v>
      </c>
      <c r="X1483">
        <v>0</v>
      </c>
      <c r="Y1483">
        <v>0</v>
      </c>
      <c r="Z1483">
        <v>0</v>
      </c>
      <c r="AA1483">
        <v>0</v>
      </c>
      <c r="AB1483">
        <v>0</v>
      </c>
      <c r="AC1483">
        <v>0</v>
      </c>
      <c r="AD1483">
        <v>2</v>
      </c>
      <c r="AE1483">
        <v>0</v>
      </c>
      <c r="AF1483">
        <v>0</v>
      </c>
      <c r="AG1483">
        <v>0</v>
      </c>
      <c r="AH1483">
        <v>0</v>
      </c>
      <c r="AI1483">
        <v>0</v>
      </c>
      <c r="AJ1483">
        <v>0</v>
      </c>
      <c r="AK1483">
        <v>0</v>
      </c>
    </row>
    <row r="1484" spans="1:37" x14ac:dyDescent="0.3">
      <c r="A1484">
        <v>7979</v>
      </c>
      <c r="B1484" t="s">
        <v>219</v>
      </c>
      <c r="D1484" t="s">
        <v>327</v>
      </c>
      <c r="E1484">
        <v>99999999</v>
      </c>
      <c r="F1484">
        <v>11111111</v>
      </c>
      <c r="G1484">
        <v>1111111111</v>
      </c>
      <c r="H1484" t="s">
        <v>5053</v>
      </c>
      <c r="I1484">
        <v>99999999</v>
      </c>
      <c r="J1484" s="188">
        <v>45236</v>
      </c>
      <c r="K1484" t="s">
        <v>5053</v>
      </c>
      <c r="L1484" t="s">
        <v>5053</v>
      </c>
      <c r="M1484" t="s">
        <v>173</v>
      </c>
      <c r="N1484" t="s">
        <v>164</v>
      </c>
      <c r="O1484" t="s">
        <v>2099</v>
      </c>
      <c r="P1484" t="s">
        <v>221</v>
      </c>
      <c r="Q1484" t="s">
        <v>82</v>
      </c>
      <c r="R1484">
        <v>2</v>
      </c>
      <c r="S1484">
        <v>14.5</v>
      </c>
      <c r="T1484">
        <v>0</v>
      </c>
      <c r="U1484">
        <v>1</v>
      </c>
      <c r="V1484">
        <v>2</v>
      </c>
      <c r="W1484">
        <v>25.51</v>
      </c>
      <c r="X1484">
        <v>0</v>
      </c>
      <c r="Y1484">
        <v>0</v>
      </c>
      <c r="Z1484">
        <v>0</v>
      </c>
      <c r="AA1484">
        <v>0</v>
      </c>
      <c r="AB1484">
        <v>0</v>
      </c>
      <c r="AC1484">
        <v>0</v>
      </c>
      <c r="AD1484">
        <v>2</v>
      </c>
      <c r="AE1484">
        <v>0</v>
      </c>
      <c r="AF1484">
        <v>0</v>
      </c>
      <c r="AG1484">
        <v>0</v>
      </c>
      <c r="AH1484">
        <v>0</v>
      </c>
      <c r="AI1484">
        <v>0</v>
      </c>
      <c r="AJ1484">
        <v>0</v>
      </c>
      <c r="AK1484">
        <v>0</v>
      </c>
    </row>
    <row r="1485" spans="1:37" x14ac:dyDescent="0.3">
      <c r="A1485">
        <v>7979</v>
      </c>
      <c r="B1485" t="s">
        <v>219</v>
      </c>
      <c r="D1485" t="s">
        <v>327</v>
      </c>
      <c r="E1485">
        <v>99999999</v>
      </c>
      <c r="F1485">
        <v>11111111</v>
      </c>
      <c r="G1485">
        <v>1111111111</v>
      </c>
      <c r="H1485" t="s">
        <v>5054</v>
      </c>
      <c r="I1485">
        <v>99999999</v>
      </c>
      <c r="J1485" s="188">
        <v>45236</v>
      </c>
      <c r="K1485" t="s">
        <v>5054</v>
      </c>
      <c r="L1485" t="s">
        <v>5054</v>
      </c>
      <c r="M1485" t="s">
        <v>149</v>
      </c>
      <c r="N1485" t="s">
        <v>99</v>
      </c>
      <c r="O1485" t="s">
        <v>2100</v>
      </c>
      <c r="P1485" t="s">
        <v>221</v>
      </c>
      <c r="Q1485" t="s">
        <v>82</v>
      </c>
      <c r="R1485">
        <v>4</v>
      </c>
      <c r="S1485">
        <v>4.47</v>
      </c>
      <c r="T1485">
        <v>0</v>
      </c>
      <c r="U1485">
        <v>1</v>
      </c>
      <c r="V1485">
        <v>3</v>
      </c>
      <c r="W1485">
        <v>21.44</v>
      </c>
      <c r="X1485">
        <v>0</v>
      </c>
      <c r="Y1485">
        <v>0</v>
      </c>
      <c r="Z1485">
        <v>0</v>
      </c>
      <c r="AA1485">
        <v>0</v>
      </c>
      <c r="AB1485">
        <v>0</v>
      </c>
      <c r="AC1485">
        <v>0</v>
      </c>
      <c r="AD1485">
        <v>4</v>
      </c>
      <c r="AE1485">
        <v>0</v>
      </c>
      <c r="AF1485">
        <v>0</v>
      </c>
      <c r="AG1485">
        <v>0</v>
      </c>
      <c r="AH1485">
        <v>0</v>
      </c>
      <c r="AI1485">
        <v>0</v>
      </c>
      <c r="AJ1485">
        <v>0</v>
      </c>
      <c r="AK1485">
        <v>0</v>
      </c>
    </row>
    <row r="1486" spans="1:37" x14ac:dyDescent="0.3">
      <c r="A1486">
        <v>7979</v>
      </c>
      <c r="B1486" t="s">
        <v>219</v>
      </c>
      <c r="D1486" t="s">
        <v>327</v>
      </c>
      <c r="E1486">
        <v>99999999</v>
      </c>
      <c r="F1486">
        <v>11111111</v>
      </c>
      <c r="G1486">
        <v>1111111111</v>
      </c>
      <c r="H1486" t="s">
        <v>5055</v>
      </c>
      <c r="I1486">
        <v>99999999</v>
      </c>
      <c r="J1486" s="188">
        <v>45236</v>
      </c>
      <c r="K1486" t="s">
        <v>5055</v>
      </c>
      <c r="L1486" t="s">
        <v>5055</v>
      </c>
      <c r="M1486" t="s">
        <v>2101</v>
      </c>
      <c r="N1486" t="s">
        <v>99</v>
      </c>
      <c r="O1486" t="s">
        <v>2102</v>
      </c>
      <c r="P1486" t="s">
        <v>221</v>
      </c>
      <c r="Q1486" t="s">
        <v>82</v>
      </c>
      <c r="R1486">
        <v>6</v>
      </c>
      <c r="S1486">
        <v>2.9279999999999999</v>
      </c>
      <c r="T1486">
        <v>0</v>
      </c>
      <c r="U1486">
        <v>1</v>
      </c>
      <c r="V1486">
        <v>6</v>
      </c>
      <c r="W1486">
        <v>22.52</v>
      </c>
      <c r="X1486">
        <v>0</v>
      </c>
      <c r="Y1486">
        <v>0</v>
      </c>
      <c r="Z1486">
        <v>0</v>
      </c>
      <c r="AA1486">
        <v>0</v>
      </c>
      <c r="AB1486">
        <v>0</v>
      </c>
      <c r="AC1486">
        <v>0</v>
      </c>
      <c r="AD1486">
        <v>6</v>
      </c>
      <c r="AE1486">
        <v>0</v>
      </c>
      <c r="AF1486">
        <v>0</v>
      </c>
      <c r="AG1486">
        <v>0</v>
      </c>
      <c r="AH1486">
        <v>0</v>
      </c>
      <c r="AI1486">
        <v>0</v>
      </c>
      <c r="AJ1486">
        <v>0</v>
      </c>
      <c r="AK1486">
        <v>0</v>
      </c>
    </row>
    <row r="1487" spans="1:37" x14ac:dyDescent="0.3">
      <c r="A1487">
        <v>7979</v>
      </c>
      <c r="B1487" t="s">
        <v>219</v>
      </c>
      <c r="D1487" t="s">
        <v>327</v>
      </c>
      <c r="E1487">
        <v>99999999</v>
      </c>
      <c r="F1487">
        <v>11111111</v>
      </c>
      <c r="G1487">
        <v>1111111111</v>
      </c>
      <c r="H1487" t="s">
        <v>5056</v>
      </c>
      <c r="I1487">
        <v>99999999</v>
      </c>
      <c r="J1487" s="188">
        <v>45236</v>
      </c>
      <c r="K1487" t="s">
        <v>5056</v>
      </c>
      <c r="L1487" t="s">
        <v>5056</v>
      </c>
      <c r="M1487" t="s">
        <v>2103</v>
      </c>
      <c r="N1487" t="s">
        <v>130</v>
      </c>
      <c r="O1487" t="s">
        <v>2104</v>
      </c>
      <c r="P1487" t="s">
        <v>221</v>
      </c>
      <c r="Q1487" t="s">
        <v>82</v>
      </c>
      <c r="R1487">
        <v>2</v>
      </c>
      <c r="S1487">
        <v>6.3</v>
      </c>
      <c r="T1487">
        <v>0</v>
      </c>
      <c r="U1487">
        <v>1</v>
      </c>
      <c r="V1487">
        <v>2</v>
      </c>
      <c r="W1487">
        <v>25.03</v>
      </c>
      <c r="X1487">
        <v>0</v>
      </c>
      <c r="Y1487">
        <v>0</v>
      </c>
      <c r="Z1487">
        <v>0</v>
      </c>
      <c r="AA1487">
        <v>0</v>
      </c>
      <c r="AB1487">
        <v>0</v>
      </c>
      <c r="AC1487">
        <v>0</v>
      </c>
      <c r="AD1487">
        <v>2</v>
      </c>
      <c r="AE1487">
        <v>0</v>
      </c>
      <c r="AF1487">
        <v>0</v>
      </c>
      <c r="AG1487">
        <v>0</v>
      </c>
      <c r="AH1487">
        <v>0</v>
      </c>
      <c r="AI1487">
        <v>0</v>
      </c>
      <c r="AJ1487">
        <v>0</v>
      </c>
      <c r="AK1487">
        <v>0</v>
      </c>
    </row>
    <row r="1488" spans="1:37" x14ac:dyDescent="0.3">
      <c r="A1488">
        <v>7979</v>
      </c>
      <c r="B1488" t="s">
        <v>219</v>
      </c>
      <c r="D1488" t="s">
        <v>327</v>
      </c>
      <c r="E1488">
        <v>99999999</v>
      </c>
      <c r="F1488">
        <v>11111111</v>
      </c>
      <c r="G1488">
        <v>1111111111</v>
      </c>
      <c r="H1488" t="s">
        <v>5057</v>
      </c>
      <c r="I1488">
        <v>99999999</v>
      </c>
      <c r="J1488" s="188">
        <v>45236</v>
      </c>
      <c r="K1488" t="s">
        <v>5057</v>
      </c>
      <c r="L1488" t="s">
        <v>5057</v>
      </c>
      <c r="M1488" t="s">
        <v>523</v>
      </c>
      <c r="N1488" t="s">
        <v>97</v>
      </c>
      <c r="O1488" t="s">
        <v>1316</v>
      </c>
      <c r="P1488" t="s">
        <v>221</v>
      </c>
      <c r="Q1488" t="s">
        <v>82</v>
      </c>
      <c r="R1488">
        <v>3</v>
      </c>
      <c r="S1488">
        <v>1.24</v>
      </c>
      <c r="T1488">
        <v>0</v>
      </c>
      <c r="U1488">
        <v>1</v>
      </c>
      <c r="V1488">
        <v>2</v>
      </c>
      <c r="W1488">
        <v>21.21</v>
      </c>
      <c r="X1488">
        <v>0</v>
      </c>
      <c r="Y1488">
        <v>0</v>
      </c>
      <c r="Z1488">
        <v>0</v>
      </c>
      <c r="AA1488">
        <v>0</v>
      </c>
      <c r="AB1488">
        <v>0</v>
      </c>
      <c r="AC1488">
        <v>0</v>
      </c>
      <c r="AD1488">
        <v>3</v>
      </c>
      <c r="AE1488">
        <v>0</v>
      </c>
      <c r="AF1488">
        <v>0</v>
      </c>
      <c r="AG1488">
        <v>0</v>
      </c>
      <c r="AH1488">
        <v>0</v>
      </c>
      <c r="AI1488">
        <v>0</v>
      </c>
      <c r="AJ1488">
        <v>0</v>
      </c>
      <c r="AK1488">
        <v>0</v>
      </c>
    </row>
    <row r="1489" spans="1:37" x14ac:dyDescent="0.3">
      <c r="A1489">
        <v>7979</v>
      </c>
      <c r="B1489" t="s">
        <v>219</v>
      </c>
      <c r="D1489" t="s">
        <v>327</v>
      </c>
      <c r="E1489">
        <v>99999999</v>
      </c>
      <c r="F1489">
        <v>11111111</v>
      </c>
      <c r="G1489">
        <v>1111111111</v>
      </c>
      <c r="H1489" t="s">
        <v>5058</v>
      </c>
      <c r="I1489">
        <v>99999999</v>
      </c>
      <c r="J1489" s="188">
        <v>45236</v>
      </c>
      <c r="K1489" t="s">
        <v>5058</v>
      </c>
      <c r="L1489" t="s">
        <v>5058</v>
      </c>
      <c r="M1489" t="s">
        <v>2105</v>
      </c>
      <c r="N1489" t="s">
        <v>104</v>
      </c>
      <c r="O1489" t="s">
        <v>2106</v>
      </c>
      <c r="P1489" t="s">
        <v>221</v>
      </c>
      <c r="Q1489" t="s">
        <v>82</v>
      </c>
      <c r="R1489">
        <v>3</v>
      </c>
      <c r="S1489">
        <v>4.8</v>
      </c>
      <c r="T1489">
        <v>0</v>
      </c>
      <c r="U1489">
        <v>1</v>
      </c>
      <c r="V1489">
        <v>2</v>
      </c>
      <c r="W1489">
        <v>29.21</v>
      </c>
      <c r="X1489">
        <v>0</v>
      </c>
      <c r="Y1489">
        <v>0</v>
      </c>
      <c r="Z1489">
        <v>0</v>
      </c>
      <c r="AA1489">
        <v>0</v>
      </c>
      <c r="AB1489">
        <v>0</v>
      </c>
      <c r="AC1489">
        <v>0</v>
      </c>
      <c r="AD1489">
        <v>3</v>
      </c>
      <c r="AE1489">
        <v>0</v>
      </c>
      <c r="AF1489">
        <v>0</v>
      </c>
      <c r="AG1489">
        <v>0</v>
      </c>
      <c r="AH1489">
        <v>0</v>
      </c>
      <c r="AI1489">
        <v>0</v>
      </c>
      <c r="AJ1489">
        <v>0</v>
      </c>
      <c r="AK1489">
        <v>0</v>
      </c>
    </row>
    <row r="1490" spans="1:37" x14ac:dyDescent="0.3">
      <c r="A1490">
        <v>7979</v>
      </c>
      <c r="B1490" t="s">
        <v>219</v>
      </c>
      <c r="D1490" t="s">
        <v>327</v>
      </c>
      <c r="E1490">
        <v>99999999</v>
      </c>
      <c r="F1490">
        <v>11111111</v>
      </c>
      <c r="G1490">
        <v>1111111111</v>
      </c>
      <c r="H1490" t="s">
        <v>5059</v>
      </c>
      <c r="I1490">
        <v>99999999</v>
      </c>
      <c r="J1490" s="188">
        <v>45236</v>
      </c>
      <c r="K1490" t="s">
        <v>5059</v>
      </c>
      <c r="L1490" t="s">
        <v>5059</v>
      </c>
      <c r="M1490" t="s">
        <v>2107</v>
      </c>
      <c r="N1490" t="s">
        <v>99</v>
      </c>
      <c r="O1490" t="s">
        <v>2108</v>
      </c>
      <c r="P1490" t="s">
        <v>221</v>
      </c>
      <c r="Q1490" t="s">
        <v>82</v>
      </c>
      <c r="R1490">
        <v>4</v>
      </c>
      <c r="S1490">
        <v>4.58</v>
      </c>
      <c r="T1490">
        <v>0</v>
      </c>
      <c r="U1490">
        <v>1</v>
      </c>
      <c r="V1490">
        <v>3</v>
      </c>
      <c r="W1490">
        <v>21.49</v>
      </c>
      <c r="X1490">
        <v>0</v>
      </c>
      <c r="Y1490">
        <v>0</v>
      </c>
      <c r="Z1490">
        <v>0</v>
      </c>
      <c r="AA1490">
        <v>0</v>
      </c>
      <c r="AB1490">
        <v>0</v>
      </c>
      <c r="AC1490">
        <v>0</v>
      </c>
      <c r="AD1490">
        <v>4</v>
      </c>
      <c r="AE1490">
        <v>0</v>
      </c>
      <c r="AF1490">
        <v>0</v>
      </c>
      <c r="AG1490">
        <v>0</v>
      </c>
      <c r="AH1490">
        <v>0</v>
      </c>
      <c r="AI1490">
        <v>0</v>
      </c>
      <c r="AJ1490">
        <v>0</v>
      </c>
      <c r="AK1490">
        <v>0</v>
      </c>
    </row>
    <row r="1491" spans="1:37" x14ac:dyDescent="0.3">
      <c r="A1491">
        <v>7979</v>
      </c>
      <c r="B1491" t="s">
        <v>219</v>
      </c>
      <c r="D1491" t="s">
        <v>327</v>
      </c>
      <c r="E1491">
        <v>99999999</v>
      </c>
      <c r="F1491">
        <v>11111111</v>
      </c>
      <c r="G1491">
        <v>1111111111</v>
      </c>
      <c r="H1491" t="s">
        <v>5060</v>
      </c>
      <c r="I1491">
        <v>99999999</v>
      </c>
      <c r="J1491" s="188">
        <v>45236</v>
      </c>
      <c r="K1491" t="s">
        <v>5060</v>
      </c>
      <c r="L1491" t="s">
        <v>5060</v>
      </c>
      <c r="M1491" t="s">
        <v>580</v>
      </c>
      <c r="N1491" t="s">
        <v>135</v>
      </c>
      <c r="O1491" t="s">
        <v>2109</v>
      </c>
      <c r="P1491" t="s">
        <v>221</v>
      </c>
      <c r="Q1491" t="s">
        <v>82</v>
      </c>
      <c r="R1491">
        <v>4</v>
      </c>
      <c r="S1491">
        <v>4.8899999999999997</v>
      </c>
      <c r="T1491">
        <v>0</v>
      </c>
      <c r="U1491">
        <v>1</v>
      </c>
      <c r="V1491">
        <v>4</v>
      </c>
      <c r="W1491">
        <v>23.09</v>
      </c>
      <c r="X1491">
        <v>0</v>
      </c>
      <c r="Y1491">
        <v>0</v>
      </c>
      <c r="Z1491">
        <v>0</v>
      </c>
      <c r="AA1491">
        <v>0</v>
      </c>
      <c r="AB1491">
        <v>0</v>
      </c>
      <c r="AC1491">
        <v>0</v>
      </c>
      <c r="AD1491">
        <v>4</v>
      </c>
      <c r="AE1491">
        <v>0</v>
      </c>
      <c r="AF1491">
        <v>0</v>
      </c>
      <c r="AG1491">
        <v>0</v>
      </c>
      <c r="AH1491">
        <v>0</v>
      </c>
      <c r="AI1491">
        <v>0</v>
      </c>
      <c r="AJ1491">
        <v>0</v>
      </c>
      <c r="AK1491">
        <v>0</v>
      </c>
    </row>
    <row r="1492" spans="1:37" x14ac:dyDescent="0.3">
      <c r="A1492">
        <v>7979</v>
      </c>
      <c r="B1492" t="s">
        <v>219</v>
      </c>
      <c r="D1492" t="s">
        <v>327</v>
      </c>
      <c r="E1492">
        <v>99999999</v>
      </c>
      <c r="F1492">
        <v>11111111</v>
      </c>
      <c r="G1492">
        <v>1111111111</v>
      </c>
      <c r="H1492" t="s">
        <v>5061</v>
      </c>
      <c r="I1492">
        <v>99999999</v>
      </c>
      <c r="J1492" s="188">
        <v>45236</v>
      </c>
      <c r="K1492" t="s">
        <v>5061</v>
      </c>
      <c r="L1492" t="s">
        <v>5061</v>
      </c>
      <c r="M1492" t="s">
        <v>677</v>
      </c>
      <c r="N1492" t="s">
        <v>85</v>
      </c>
      <c r="O1492" t="s">
        <v>2110</v>
      </c>
      <c r="P1492" t="s">
        <v>221</v>
      </c>
      <c r="Q1492" t="s">
        <v>82</v>
      </c>
      <c r="R1492">
        <v>5</v>
      </c>
      <c r="S1492">
        <v>6.76</v>
      </c>
      <c r="T1492">
        <v>0</v>
      </c>
      <c r="U1492">
        <v>1</v>
      </c>
      <c r="V1492">
        <v>4</v>
      </c>
      <c r="W1492">
        <v>24.15</v>
      </c>
      <c r="X1492">
        <v>0</v>
      </c>
      <c r="Y1492">
        <v>0</v>
      </c>
      <c r="Z1492">
        <v>0</v>
      </c>
      <c r="AA1492">
        <v>0</v>
      </c>
      <c r="AB1492">
        <v>0</v>
      </c>
      <c r="AC1492">
        <v>0</v>
      </c>
      <c r="AD1492">
        <v>5</v>
      </c>
      <c r="AE1492">
        <v>0</v>
      </c>
      <c r="AF1492">
        <v>0</v>
      </c>
      <c r="AG1492">
        <v>0</v>
      </c>
      <c r="AH1492">
        <v>0</v>
      </c>
      <c r="AI1492">
        <v>0</v>
      </c>
      <c r="AJ1492">
        <v>0</v>
      </c>
      <c r="AK1492">
        <v>0</v>
      </c>
    </row>
    <row r="1493" spans="1:37" x14ac:dyDescent="0.3">
      <c r="A1493">
        <v>7979</v>
      </c>
      <c r="B1493" t="s">
        <v>219</v>
      </c>
      <c r="D1493" t="s">
        <v>327</v>
      </c>
      <c r="E1493">
        <v>99999999</v>
      </c>
      <c r="F1493">
        <v>11111111</v>
      </c>
      <c r="G1493">
        <v>1111111111</v>
      </c>
      <c r="H1493" t="s">
        <v>5062</v>
      </c>
      <c r="I1493">
        <v>99999999</v>
      </c>
      <c r="J1493" s="188">
        <v>45236</v>
      </c>
      <c r="K1493" t="s">
        <v>5062</v>
      </c>
      <c r="L1493" t="s">
        <v>5062</v>
      </c>
      <c r="M1493" t="s">
        <v>2111</v>
      </c>
      <c r="N1493" t="s">
        <v>104</v>
      </c>
      <c r="O1493" t="s">
        <v>2112</v>
      </c>
      <c r="P1493" t="s">
        <v>221</v>
      </c>
      <c r="Q1493" t="s">
        <v>82</v>
      </c>
      <c r="R1493">
        <v>1</v>
      </c>
      <c r="S1493">
        <v>8.8000000000000007</v>
      </c>
      <c r="T1493">
        <v>0</v>
      </c>
      <c r="U1493">
        <v>1</v>
      </c>
      <c r="V1493">
        <v>1</v>
      </c>
      <c r="W1493">
        <v>24.41</v>
      </c>
      <c r="X1493">
        <v>0</v>
      </c>
      <c r="Y1493">
        <v>0</v>
      </c>
      <c r="Z1493">
        <v>0</v>
      </c>
      <c r="AA1493">
        <v>0</v>
      </c>
      <c r="AB1493">
        <v>0</v>
      </c>
      <c r="AC1493">
        <v>0</v>
      </c>
      <c r="AD1493">
        <v>1</v>
      </c>
      <c r="AE1493">
        <v>0</v>
      </c>
      <c r="AF1493">
        <v>0</v>
      </c>
      <c r="AG1493">
        <v>0</v>
      </c>
      <c r="AH1493">
        <v>0</v>
      </c>
      <c r="AI1493">
        <v>0</v>
      </c>
      <c r="AJ1493">
        <v>0</v>
      </c>
      <c r="AK1493">
        <v>0</v>
      </c>
    </row>
    <row r="1494" spans="1:37" x14ac:dyDescent="0.3">
      <c r="A1494">
        <v>7979</v>
      </c>
      <c r="B1494" t="s">
        <v>219</v>
      </c>
      <c r="D1494" t="s">
        <v>327</v>
      </c>
      <c r="E1494">
        <v>99999999</v>
      </c>
      <c r="F1494">
        <v>11111111</v>
      </c>
      <c r="G1494">
        <v>1111111111</v>
      </c>
      <c r="H1494" t="s">
        <v>5063</v>
      </c>
      <c r="I1494">
        <v>99999999</v>
      </c>
      <c r="J1494" s="188">
        <v>45236</v>
      </c>
      <c r="K1494" t="s">
        <v>5063</v>
      </c>
      <c r="L1494" t="s">
        <v>5063</v>
      </c>
      <c r="M1494" t="s">
        <v>2113</v>
      </c>
      <c r="N1494" t="s">
        <v>99</v>
      </c>
      <c r="O1494" t="s">
        <v>2114</v>
      </c>
      <c r="P1494" t="s">
        <v>221</v>
      </c>
      <c r="Q1494" t="s">
        <v>82</v>
      </c>
      <c r="R1494">
        <v>1</v>
      </c>
      <c r="S1494">
        <v>7.28</v>
      </c>
      <c r="T1494">
        <v>0</v>
      </c>
      <c r="U1494">
        <v>1</v>
      </c>
      <c r="V1494">
        <v>1</v>
      </c>
      <c r="W1494">
        <v>21.23</v>
      </c>
      <c r="X1494">
        <v>0</v>
      </c>
      <c r="Y1494">
        <v>0</v>
      </c>
      <c r="Z1494">
        <v>0</v>
      </c>
      <c r="AA1494">
        <v>0</v>
      </c>
      <c r="AB1494">
        <v>0</v>
      </c>
      <c r="AC1494">
        <v>0</v>
      </c>
      <c r="AD1494">
        <v>1</v>
      </c>
      <c r="AE1494">
        <v>0</v>
      </c>
      <c r="AF1494">
        <v>0</v>
      </c>
      <c r="AG1494">
        <v>0</v>
      </c>
      <c r="AH1494">
        <v>0</v>
      </c>
      <c r="AI1494">
        <v>0</v>
      </c>
      <c r="AJ1494">
        <v>0</v>
      </c>
      <c r="AK1494">
        <v>0</v>
      </c>
    </row>
    <row r="1495" spans="1:37" x14ac:dyDescent="0.3">
      <c r="A1495">
        <v>7979</v>
      </c>
      <c r="B1495" t="s">
        <v>219</v>
      </c>
      <c r="D1495" t="s">
        <v>327</v>
      </c>
      <c r="E1495">
        <v>99999999</v>
      </c>
      <c r="F1495">
        <v>11111111</v>
      </c>
      <c r="G1495">
        <v>1111111111</v>
      </c>
      <c r="H1495" t="s">
        <v>5064</v>
      </c>
      <c r="I1495">
        <v>99999999</v>
      </c>
      <c r="J1495" s="188">
        <v>45236</v>
      </c>
      <c r="K1495" t="s">
        <v>5064</v>
      </c>
      <c r="L1495" t="s">
        <v>5064</v>
      </c>
      <c r="M1495" t="s">
        <v>2115</v>
      </c>
      <c r="N1495" t="s">
        <v>99</v>
      </c>
      <c r="O1495" t="s">
        <v>2116</v>
      </c>
      <c r="P1495" t="s">
        <v>221</v>
      </c>
      <c r="Q1495" t="s">
        <v>82</v>
      </c>
      <c r="R1495">
        <v>1</v>
      </c>
      <c r="S1495">
        <v>8.8000000000000007</v>
      </c>
      <c r="T1495">
        <v>0</v>
      </c>
      <c r="U1495">
        <v>1</v>
      </c>
      <c r="V1495">
        <v>1</v>
      </c>
      <c r="W1495">
        <v>27.79</v>
      </c>
      <c r="X1495">
        <v>0</v>
      </c>
      <c r="Y1495">
        <v>0</v>
      </c>
      <c r="Z1495">
        <v>0</v>
      </c>
      <c r="AA1495">
        <v>0</v>
      </c>
      <c r="AB1495">
        <v>0</v>
      </c>
      <c r="AC1495">
        <v>0</v>
      </c>
      <c r="AD1495">
        <v>1</v>
      </c>
      <c r="AE1495">
        <v>0</v>
      </c>
      <c r="AF1495">
        <v>0</v>
      </c>
      <c r="AG1495">
        <v>0</v>
      </c>
      <c r="AH1495">
        <v>0</v>
      </c>
      <c r="AI1495">
        <v>0</v>
      </c>
      <c r="AJ1495">
        <v>0</v>
      </c>
      <c r="AK1495">
        <v>0</v>
      </c>
    </row>
    <row r="1496" spans="1:37" x14ac:dyDescent="0.3">
      <c r="A1496">
        <v>7979</v>
      </c>
      <c r="B1496" t="s">
        <v>219</v>
      </c>
      <c r="D1496" t="s">
        <v>327</v>
      </c>
      <c r="E1496">
        <v>99999999</v>
      </c>
      <c r="F1496">
        <v>11111111</v>
      </c>
      <c r="G1496">
        <v>1111111111</v>
      </c>
      <c r="H1496" t="s">
        <v>5065</v>
      </c>
      <c r="I1496">
        <v>99999999</v>
      </c>
      <c r="J1496" s="188">
        <v>45236</v>
      </c>
      <c r="K1496" t="s">
        <v>5065</v>
      </c>
      <c r="L1496" t="s">
        <v>5065</v>
      </c>
      <c r="M1496" t="s">
        <v>686</v>
      </c>
      <c r="N1496" t="s">
        <v>97</v>
      </c>
      <c r="O1496" t="s">
        <v>2117</v>
      </c>
      <c r="P1496" t="s">
        <v>221</v>
      </c>
      <c r="Q1496" t="s">
        <v>82</v>
      </c>
      <c r="R1496">
        <v>1</v>
      </c>
      <c r="S1496">
        <v>4.2</v>
      </c>
      <c r="T1496">
        <v>0</v>
      </c>
      <c r="U1496">
        <v>1</v>
      </c>
      <c r="V1496">
        <v>1</v>
      </c>
      <c r="W1496">
        <v>31.19</v>
      </c>
      <c r="X1496">
        <v>0</v>
      </c>
      <c r="Y1496">
        <v>0</v>
      </c>
      <c r="Z1496">
        <v>0</v>
      </c>
      <c r="AA1496">
        <v>0</v>
      </c>
      <c r="AB1496">
        <v>0</v>
      </c>
      <c r="AC1496">
        <v>0</v>
      </c>
      <c r="AD1496">
        <v>1</v>
      </c>
      <c r="AE1496">
        <v>0</v>
      </c>
      <c r="AF1496">
        <v>0</v>
      </c>
      <c r="AG1496">
        <v>0</v>
      </c>
      <c r="AH1496">
        <v>0</v>
      </c>
      <c r="AI1496">
        <v>0</v>
      </c>
      <c r="AJ1496">
        <v>0</v>
      </c>
      <c r="AK1496">
        <v>0</v>
      </c>
    </row>
    <row r="1497" spans="1:37" x14ac:dyDescent="0.3">
      <c r="A1497">
        <v>7979</v>
      </c>
      <c r="B1497" t="s">
        <v>219</v>
      </c>
      <c r="D1497" t="s">
        <v>327</v>
      </c>
      <c r="E1497">
        <v>99999999</v>
      </c>
      <c r="F1497">
        <v>11111111</v>
      </c>
      <c r="G1497">
        <v>1111111111</v>
      </c>
      <c r="H1497" t="s">
        <v>5066</v>
      </c>
      <c r="I1497">
        <v>99999999</v>
      </c>
      <c r="J1497" s="188">
        <v>45236</v>
      </c>
      <c r="K1497" t="s">
        <v>5066</v>
      </c>
      <c r="L1497" t="s">
        <v>5066</v>
      </c>
      <c r="M1497" t="s">
        <v>2118</v>
      </c>
      <c r="N1497" t="s">
        <v>104</v>
      </c>
      <c r="O1497" t="s">
        <v>2119</v>
      </c>
      <c r="P1497" t="s">
        <v>221</v>
      </c>
      <c r="Q1497" t="s">
        <v>82</v>
      </c>
      <c r="R1497">
        <v>2</v>
      </c>
      <c r="S1497">
        <v>17.600000000000001</v>
      </c>
      <c r="T1497">
        <v>0</v>
      </c>
      <c r="U1497">
        <v>1</v>
      </c>
      <c r="V1497">
        <v>2</v>
      </c>
      <c r="W1497">
        <v>35.57</v>
      </c>
      <c r="X1497">
        <v>0</v>
      </c>
      <c r="Y1497">
        <v>0</v>
      </c>
      <c r="Z1497">
        <v>0</v>
      </c>
      <c r="AA1497">
        <v>0</v>
      </c>
      <c r="AB1497">
        <v>0</v>
      </c>
      <c r="AC1497">
        <v>0</v>
      </c>
      <c r="AD1497">
        <v>2</v>
      </c>
      <c r="AE1497">
        <v>0</v>
      </c>
      <c r="AF1497">
        <v>0</v>
      </c>
      <c r="AG1497">
        <v>0</v>
      </c>
      <c r="AH1497">
        <v>0</v>
      </c>
      <c r="AI1497">
        <v>0</v>
      </c>
      <c r="AJ1497">
        <v>0</v>
      </c>
      <c r="AK1497">
        <v>0</v>
      </c>
    </row>
    <row r="1498" spans="1:37" x14ac:dyDescent="0.3">
      <c r="A1498">
        <v>7979</v>
      </c>
      <c r="B1498" t="s">
        <v>219</v>
      </c>
      <c r="D1498" t="s">
        <v>327</v>
      </c>
      <c r="E1498">
        <v>99999999</v>
      </c>
      <c r="F1498">
        <v>11111111</v>
      </c>
      <c r="G1498">
        <v>1111111111</v>
      </c>
      <c r="H1498" t="s">
        <v>5067</v>
      </c>
      <c r="I1498">
        <v>99999999</v>
      </c>
      <c r="J1498" s="188">
        <v>45236</v>
      </c>
      <c r="K1498" t="s">
        <v>5067</v>
      </c>
      <c r="L1498" t="s">
        <v>5067</v>
      </c>
      <c r="M1498" t="s">
        <v>2120</v>
      </c>
      <c r="N1498" t="s">
        <v>186</v>
      </c>
      <c r="O1498" t="s">
        <v>2121</v>
      </c>
      <c r="P1498" t="s">
        <v>221</v>
      </c>
      <c r="Q1498" t="s">
        <v>82</v>
      </c>
      <c r="R1498">
        <v>1</v>
      </c>
      <c r="S1498">
        <v>7.83</v>
      </c>
      <c r="T1498">
        <v>0</v>
      </c>
      <c r="U1498">
        <v>1</v>
      </c>
      <c r="V1498">
        <v>1</v>
      </c>
      <c r="W1498">
        <v>30.34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1</v>
      </c>
      <c r="AE1498">
        <v>0</v>
      </c>
      <c r="AF1498">
        <v>0</v>
      </c>
      <c r="AG1498">
        <v>0</v>
      </c>
      <c r="AH1498">
        <v>0</v>
      </c>
      <c r="AI1498">
        <v>0</v>
      </c>
      <c r="AJ1498">
        <v>0</v>
      </c>
      <c r="AK1498">
        <v>0</v>
      </c>
    </row>
    <row r="1499" spans="1:37" x14ac:dyDescent="0.3">
      <c r="A1499">
        <v>7979</v>
      </c>
      <c r="B1499" t="s">
        <v>219</v>
      </c>
      <c r="D1499" t="s">
        <v>327</v>
      </c>
      <c r="E1499">
        <v>99999999</v>
      </c>
      <c r="F1499">
        <v>11111111</v>
      </c>
      <c r="G1499">
        <v>1111111111</v>
      </c>
      <c r="H1499" t="s">
        <v>5068</v>
      </c>
      <c r="I1499">
        <v>99999999</v>
      </c>
      <c r="J1499" s="188">
        <v>45236</v>
      </c>
      <c r="K1499" t="s">
        <v>5068</v>
      </c>
      <c r="L1499" t="s">
        <v>5068</v>
      </c>
      <c r="M1499" t="s">
        <v>2122</v>
      </c>
      <c r="N1499" t="s">
        <v>983</v>
      </c>
      <c r="O1499" t="s">
        <v>2123</v>
      </c>
      <c r="P1499" t="s">
        <v>221</v>
      </c>
      <c r="Q1499" t="s">
        <v>82</v>
      </c>
      <c r="R1499">
        <v>1</v>
      </c>
      <c r="S1499">
        <v>6.97</v>
      </c>
      <c r="T1499">
        <v>0</v>
      </c>
      <c r="U1499">
        <v>1</v>
      </c>
      <c r="V1499">
        <v>1</v>
      </c>
      <c r="W1499">
        <v>35.229999999999997</v>
      </c>
      <c r="X1499">
        <v>0</v>
      </c>
      <c r="Y1499">
        <v>0</v>
      </c>
      <c r="Z1499">
        <v>0</v>
      </c>
      <c r="AA1499">
        <v>0</v>
      </c>
      <c r="AB1499">
        <v>0</v>
      </c>
      <c r="AC1499">
        <v>0</v>
      </c>
      <c r="AD1499">
        <v>1</v>
      </c>
      <c r="AE1499">
        <v>0</v>
      </c>
      <c r="AF1499">
        <v>0</v>
      </c>
      <c r="AG1499">
        <v>0</v>
      </c>
      <c r="AH1499">
        <v>0</v>
      </c>
      <c r="AI1499">
        <v>0</v>
      </c>
      <c r="AJ1499">
        <v>0</v>
      </c>
      <c r="AK1499">
        <v>0</v>
      </c>
    </row>
    <row r="1500" spans="1:37" x14ac:dyDescent="0.3">
      <c r="A1500">
        <v>7979</v>
      </c>
      <c r="B1500" t="s">
        <v>219</v>
      </c>
      <c r="D1500" t="s">
        <v>327</v>
      </c>
      <c r="E1500">
        <v>99999999</v>
      </c>
      <c r="F1500">
        <v>11111111</v>
      </c>
      <c r="G1500">
        <v>1111111111</v>
      </c>
      <c r="H1500" t="s">
        <v>5069</v>
      </c>
      <c r="I1500">
        <v>99999999</v>
      </c>
      <c r="J1500" s="188">
        <v>45236</v>
      </c>
      <c r="K1500" t="s">
        <v>5069</v>
      </c>
      <c r="L1500" t="s">
        <v>5069</v>
      </c>
      <c r="M1500" t="s">
        <v>2124</v>
      </c>
      <c r="N1500" t="s">
        <v>197</v>
      </c>
      <c r="O1500" t="s">
        <v>2125</v>
      </c>
      <c r="P1500" t="s">
        <v>221</v>
      </c>
      <c r="Q1500" t="s">
        <v>82</v>
      </c>
      <c r="R1500">
        <v>1</v>
      </c>
      <c r="S1500">
        <v>2</v>
      </c>
      <c r="T1500">
        <v>0</v>
      </c>
      <c r="U1500">
        <v>1</v>
      </c>
      <c r="V1500">
        <v>1</v>
      </c>
      <c r="W1500">
        <v>23.35</v>
      </c>
      <c r="X1500">
        <v>0</v>
      </c>
      <c r="Y1500">
        <v>0</v>
      </c>
      <c r="Z1500">
        <v>0</v>
      </c>
      <c r="AA1500">
        <v>0</v>
      </c>
      <c r="AB1500">
        <v>0</v>
      </c>
      <c r="AC1500">
        <v>0</v>
      </c>
      <c r="AD1500">
        <v>1</v>
      </c>
      <c r="AE1500">
        <v>0</v>
      </c>
      <c r="AF1500">
        <v>0</v>
      </c>
      <c r="AG1500">
        <v>0</v>
      </c>
      <c r="AH1500">
        <v>0</v>
      </c>
      <c r="AI1500">
        <v>0</v>
      </c>
      <c r="AJ1500">
        <v>0</v>
      </c>
      <c r="AK1500">
        <v>0</v>
      </c>
    </row>
    <row r="1501" spans="1:37" x14ac:dyDescent="0.3">
      <c r="A1501">
        <v>7979</v>
      </c>
      <c r="B1501" t="s">
        <v>219</v>
      </c>
      <c r="D1501" t="s">
        <v>327</v>
      </c>
      <c r="E1501">
        <v>99999999</v>
      </c>
      <c r="F1501">
        <v>11111111</v>
      </c>
      <c r="G1501">
        <v>1111111111</v>
      </c>
      <c r="H1501" t="s">
        <v>5070</v>
      </c>
      <c r="I1501">
        <v>99999999</v>
      </c>
      <c r="J1501" s="188">
        <v>45236</v>
      </c>
      <c r="K1501" t="s">
        <v>5070</v>
      </c>
      <c r="L1501" t="s">
        <v>5070</v>
      </c>
      <c r="M1501" t="s">
        <v>516</v>
      </c>
      <c r="N1501" t="s">
        <v>197</v>
      </c>
      <c r="O1501" t="s">
        <v>2126</v>
      </c>
      <c r="P1501" t="s">
        <v>221</v>
      </c>
      <c r="Q1501" t="s">
        <v>82</v>
      </c>
      <c r="R1501">
        <v>4</v>
      </c>
      <c r="S1501">
        <v>11.542</v>
      </c>
      <c r="T1501">
        <v>0</v>
      </c>
      <c r="U1501">
        <v>1</v>
      </c>
      <c r="V1501">
        <v>3</v>
      </c>
      <c r="W1501">
        <v>35.01</v>
      </c>
      <c r="X1501">
        <v>0</v>
      </c>
      <c r="Y1501">
        <v>0</v>
      </c>
      <c r="Z1501">
        <v>0</v>
      </c>
      <c r="AA1501">
        <v>0</v>
      </c>
      <c r="AB1501">
        <v>0</v>
      </c>
      <c r="AC1501">
        <v>0</v>
      </c>
      <c r="AD1501">
        <v>4</v>
      </c>
      <c r="AE1501">
        <v>0</v>
      </c>
      <c r="AF1501">
        <v>0</v>
      </c>
      <c r="AG1501">
        <v>0</v>
      </c>
      <c r="AH1501">
        <v>0</v>
      </c>
      <c r="AI1501">
        <v>0</v>
      </c>
      <c r="AJ1501">
        <v>0</v>
      </c>
      <c r="AK1501">
        <v>0</v>
      </c>
    </row>
    <row r="1502" spans="1:37" x14ac:dyDescent="0.3">
      <c r="A1502">
        <v>7979</v>
      </c>
      <c r="B1502" t="s">
        <v>219</v>
      </c>
      <c r="D1502" t="s">
        <v>327</v>
      </c>
      <c r="E1502">
        <v>99999999</v>
      </c>
      <c r="F1502">
        <v>11111111</v>
      </c>
      <c r="G1502">
        <v>1111111111</v>
      </c>
      <c r="H1502" t="s">
        <v>5071</v>
      </c>
      <c r="I1502">
        <v>99999999</v>
      </c>
      <c r="J1502" s="188">
        <v>45236</v>
      </c>
      <c r="K1502" t="s">
        <v>5071</v>
      </c>
      <c r="L1502" t="s">
        <v>5071</v>
      </c>
      <c r="M1502" t="s">
        <v>376</v>
      </c>
      <c r="N1502" t="s">
        <v>197</v>
      </c>
      <c r="O1502" t="s">
        <v>2127</v>
      </c>
      <c r="P1502" t="s">
        <v>221</v>
      </c>
      <c r="Q1502" t="s">
        <v>82</v>
      </c>
      <c r="R1502">
        <v>2</v>
      </c>
      <c r="S1502">
        <v>0.54</v>
      </c>
      <c r="T1502">
        <v>0</v>
      </c>
      <c r="U1502">
        <v>1</v>
      </c>
      <c r="V1502">
        <v>2</v>
      </c>
      <c r="W1502">
        <v>22.81</v>
      </c>
      <c r="X1502">
        <v>0</v>
      </c>
      <c r="Y1502">
        <v>0</v>
      </c>
      <c r="Z1502">
        <v>0</v>
      </c>
      <c r="AA1502">
        <v>0</v>
      </c>
      <c r="AB1502">
        <v>0</v>
      </c>
      <c r="AC1502">
        <v>0</v>
      </c>
      <c r="AD1502">
        <v>2</v>
      </c>
      <c r="AE1502">
        <v>0</v>
      </c>
      <c r="AF1502">
        <v>0</v>
      </c>
      <c r="AG1502">
        <v>0</v>
      </c>
      <c r="AH1502">
        <v>0</v>
      </c>
      <c r="AI1502">
        <v>0</v>
      </c>
      <c r="AJ1502">
        <v>0</v>
      </c>
      <c r="AK1502">
        <v>0</v>
      </c>
    </row>
    <row r="1503" spans="1:37" x14ac:dyDescent="0.3">
      <c r="A1503">
        <v>7979</v>
      </c>
      <c r="B1503" t="s">
        <v>219</v>
      </c>
      <c r="D1503" t="s">
        <v>327</v>
      </c>
      <c r="E1503">
        <v>99999999</v>
      </c>
      <c r="F1503">
        <v>11111111</v>
      </c>
      <c r="G1503">
        <v>1111111111</v>
      </c>
      <c r="H1503" t="s">
        <v>5072</v>
      </c>
      <c r="I1503">
        <v>99999999</v>
      </c>
      <c r="J1503" s="188">
        <v>45236</v>
      </c>
      <c r="K1503" t="s">
        <v>5072</v>
      </c>
      <c r="L1503" t="s">
        <v>5072</v>
      </c>
      <c r="M1503" t="s">
        <v>653</v>
      </c>
      <c r="N1503" t="s">
        <v>164</v>
      </c>
      <c r="O1503" t="s">
        <v>1869</v>
      </c>
      <c r="P1503" t="s">
        <v>221</v>
      </c>
      <c r="Q1503" t="s">
        <v>82</v>
      </c>
      <c r="R1503">
        <v>2</v>
      </c>
      <c r="S1503">
        <v>2.17</v>
      </c>
      <c r="T1503">
        <v>0</v>
      </c>
      <c r="U1503">
        <v>1</v>
      </c>
      <c r="V1503">
        <v>2</v>
      </c>
      <c r="W1503">
        <v>21.88</v>
      </c>
      <c r="X1503">
        <v>0</v>
      </c>
      <c r="Y1503">
        <v>0</v>
      </c>
      <c r="Z1503">
        <v>0</v>
      </c>
      <c r="AA1503">
        <v>0</v>
      </c>
      <c r="AB1503">
        <v>0</v>
      </c>
      <c r="AC1503">
        <v>0</v>
      </c>
      <c r="AD1503">
        <v>2</v>
      </c>
      <c r="AE1503">
        <v>0</v>
      </c>
      <c r="AF1503">
        <v>0</v>
      </c>
      <c r="AG1503">
        <v>0</v>
      </c>
      <c r="AH1503">
        <v>0</v>
      </c>
      <c r="AI1503">
        <v>0</v>
      </c>
      <c r="AJ1503">
        <v>0</v>
      </c>
      <c r="AK1503">
        <v>0</v>
      </c>
    </row>
    <row r="1504" spans="1:37" x14ac:dyDescent="0.3">
      <c r="A1504">
        <v>7979</v>
      </c>
      <c r="B1504" t="s">
        <v>219</v>
      </c>
      <c r="D1504" t="s">
        <v>327</v>
      </c>
      <c r="E1504">
        <v>99999999</v>
      </c>
      <c r="F1504">
        <v>11111111</v>
      </c>
      <c r="G1504">
        <v>1111111111</v>
      </c>
      <c r="H1504" t="s">
        <v>5073</v>
      </c>
      <c r="I1504">
        <v>99999999</v>
      </c>
      <c r="J1504" s="188">
        <v>45236</v>
      </c>
      <c r="K1504" t="s">
        <v>5073</v>
      </c>
      <c r="L1504" t="s">
        <v>5073</v>
      </c>
      <c r="M1504" t="s">
        <v>2128</v>
      </c>
      <c r="N1504" t="s">
        <v>85</v>
      </c>
      <c r="O1504" t="s">
        <v>2129</v>
      </c>
      <c r="P1504" t="s">
        <v>221</v>
      </c>
      <c r="Q1504" t="s">
        <v>82</v>
      </c>
      <c r="R1504">
        <v>1</v>
      </c>
      <c r="S1504">
        <v>44</v>
      </c>
      <c r="T1504">
        <v>0</v>
      </c>
      <c r="U1504">
        <v>1</v>
      </c>
      <c r="V1504">
        <v>1</v>
      </c>
      <c r="W1504">
        <v>41.85</v>
      </c>
      <c r="X1504">
        <v>0</v>
      </c>
      <c r="Y1504">
        <v>0</v>
      </c>
      <c r="Z1504">
        <v>0</v>
      </c>
      <c r="AA1504">
        <v>0</v>
      </c>
      <c r="AB1504">
        <v>0</v>
      </c>
      <c r="AC1504">
        <v>0</v>
      </c>
      <c r="AD1504">
        <v>1</v>
      </c>
      <c r="AE1504">
        <v>0</v>
      </c>
      <c r="AF1504">
        <v>0</v>
      </c>
      <c r="AG1504">
        <v>0</v>
      </c>
      <c r="AH1504">
        <v>0</v>
      </c>
      <c r="AI1504">
        <v>0</v>
      </c>
      <c r="AJ1504">
        <v>0</v>
      </c>
      <c r="AK1504">
        <v>0</v>
      </c>
    </row>
    <row r="1505" spans="1:37" x14ac:dyDescent="0.3">
      <c r="A1505">
        <v>7979</v>
      </c>
      <c r="B1505" t="s">
        <v>219</v>
      </c>
      <c r="D1505" t="s">
        <v>327</v>
      </c>
      <c r="E1505">
        <v>99999999</v>
      </c>
      <c r="F1505">
        <v>11111111</v>
      </c>
      <c r="G1505">
        <v>1111111111</v>
      </c>
      <c r="H1505" t="s">
        <v>5074</v>
      </c>
      <c r="I1505">
        <v>99999999</v>
      </c>
      <c r="J1505" s="188">
        <v>45236</v>
      </c>
      <c r="K1505" t="s">
        <v>5074</v>
      </c>
      <c r="L1505" t="s">
        <v>5074</v>
      </c>
      <c r="M1505" t="s">
        <v>1657</v>
      </c>
      <c r="N1505" t="s">
        <v>99</v>
      </c>
      <c r="O1505" t="s">
        <v>2130</v>
      </c>
      <c r="P1505" t="s">
        <v>221</v>
      </c>
      <c r="Q1505" t="s">
        <v>82</v>
      </c>
      <c r="R1505">
        <v>4</v>
      </c>
      <c r="S1505">
        <v>24</v>
      </c>
      <c r="T1505">
        <v>0</v>
      </c>
      <c r="U1505">
        <v>1</v>
      </c>
      <c r="V1505">
        <v>2</v>
      </c>
      <c r="W1505">
        <v>29.42</v>
      </c>
      <c r="X1505">
        <v>0</v>
      </c>
      <c r="Y1505">
        <v>0</v>
      </c>
      <c r="Z1505">
        <v>0</v>
      </c>
      <c r="AA1505">
        <v>0</v>
      </c>
      <c r="AB1505">
        <v>0</v>
      </c>
      <c r="AC1505">
        <v>0</v>
      </c>
      <c r="AD1505">
        <v>4</v>
      </c>
      <c r="AE1505">
        <v>0</v>
      </c>
      <c r="AF1505">
        <v>0</v>
      </c>
      <c r="AG1505">
        <v>0</v>
      </c>
      <c r="AH1505">
        <v>0</v>
      </c>
      <c r="AI1505">
        <v>0</v>
      </c>
      <c r="AJ1505">
        <v>0</v>
      </c>
      <c r="AK1505">
        <v>0</v>
      </c>
    </row>
    <row r="1506" spans="1:37" x14ac:dyDescent="0.3">
      <c r="A1506">
        <v>7979</v>
      </c>
      <c r="B1506" t="s">
        <v>219</v>
      </c>
      <c r="D1506" t="s">
        <v>327</v>
      </c>
      <c r="E1506">
        <v>99999999</v>
      </c>
      <c r="F1506">
        <v>11111111</v>
      </c>
      <c r="G1506">
        <v>1111111111</v>
      </c>
      <c r="H1506" t="s">
        <v>5075</v>
      </c>
      <c r="I1506">
        <v>99999999</v>
      </c>
      <c r="J1506" s="188">
        <v>45236</v>
      </c>
      <c r="K1506" t="s">
        <v>5075</v>
      </c>
      <c r="L1506" t="s">
        <v>5075</v>
      </c>
      <c r="M1506" t="s">
        <v>2131</v>
      </c>
      <c r="N1506" t="s">
        <v>99</v>
      </c>
      <c r="O1506" t="s">
        <v>2132</v>
      </c>
      <c r="P1506" t="s">
        <v>221</v>
      </c>
      <c r="Q1506" t="s">
        <v>82</v>
      </c>
      <c r="R1506">
        <v>1</v>
      </c>
      <c r="S1506">
        <v>4.4000000000000004</v>
      </c>
      <c r="T1506">
        <v>0</v>
      </c>
      <c r="U1506">
        <v>1</v>
      </c>
      <c r="V1506">
        <v>1</v>
      </c>
      <c r="W1506">
        <v>26.02</v>
      </c>
      <c r="X1506">
        <v>0</v>
      </c>
      <c r="Y1506">
        <v>0</v>
      </c>
      <c r="Z1506">
        <v>0</v>
      </c>
      <c r="AA1506">
        <v>0</v>
      </c>
      <c r="AB1506">
        <v>0</v>
      </c>
      <c r="AC1506">
        <v>0</v>
      </c>
      <c r="AD1506">
        <v>1</v>
      </c>
      <c r="AE1506">
        <v>0</v>
      </c>
      <c r="AF1506">
        <v>0</v>
      </c>
      <c r="AG1506">
        <v>0</v>
      </c>
      <c r="AH1506">
        <v>0</v>
      </c>
      <c r="AI1506">
        <v>0</v>
      </c>
      <c r="AJ1506">
        <v>0</v>
      </c>
      <c r="AK1506">
        <v>0</v>
      </c>
    </row>
    <row r="1507" spans="1:37" x14ac:dyDescent="0.3">
      <c r="A1507">
        <v>7979</v>
      </c>
      <c r="B1507" t="s">
        <v>219</v>
      </c>
      <c r="D1507" t="s">
        <v>327</v>
      </c>
      <c r="E1507">
        <v>99999999</v>
      </c>
      <c r="F1507">
        <v>11111111</v>
      </c>
      <c r="G1507">
        <v>1111111111</v>
      </c>
      <c r="H1507" t="s">
        <v>5076</v>
      </c>
      <c r="I1507">
        <v>99999999</v>
      </c>
      <c r="J1507" s="188">
        <v>45237</v>
      </c>
      <c r="K1507" t="s">
        <v>5076</v>
      </c>
      <c r="L1507" t="s">
        <v>5076</v>
      </c>
      <c r="M1507" t="s">
        <v>2133</v>
      </c>
      <c r="N1507" t="s">
        <v>118</v>
      </c>
      <c r="O1507">
        <v>19438</v>
      </c>
      <c r="P1507" t="s">
        <v>221</v>
      </c>
      <c r="Q1507" t="s">
        <v>82</v>
      </c>
      <c r="R1507">
        <v>1</v>
      </c>
      <c r="S1507">
        <v>1.25</v>
      </c>
      <c r="T1507">
        <v>0</v>
      </c>
      <c r="U1507">
        <v>1</v>
      </c>
      <c r="V1507">
        <v>1</v>
      </c>
      <c r="W1507">
        <v>23.1</v>
      </c>
      <c r="X1507">
        <v>0</v>
      </c>
      <c r="Y1507">
        <v>0</v>
      </c>
      <c r="Z1507">
        <v>0</v>
      </c>
      <c r="AA1507">
        <v>0</v>
      </c>
      <c r="AB1507">
        <v>0</v>
      </c>
      <c r="AC1507">
        <v>0</v>
      </c>
      <c r="AD1507">
        <v>1</v>
      </c>
      <c r="AE1507">
        <v>0</v>
      </c>
      <c r="AF1507">
        <v>0</v>
      </c>
      <c r="AG1507">
        <v>0</v>
      </c>
      <c r="AH1507">
        <v>0</v>
      </c>
      <c r="AI1507">
        <v>0</v>
      </c>
      <c r="AJ1507">
        <v>0</v>
      </c>
      <c r="AK1507">
        <v>0</v>
      </c>
    </row>
    <row r="1508" spans="1:37" x14ac:dyDescent="0.3">
      <c r="A1508">
        <v>7979</v>
      </c>
      <c r="B1508" t="s">
        <v>219</v>
      </c>
      <c r="D1508" t="s">
        <v>327</v>
      </c>
      <c r="E1508">
        <v>99999999</v>
      </c>
      <c r="F1508">
        <v>11111111</v>
      </c>
      <c r="G1508">
        <v>1111111111</v>
      </c>
      <c r="H1508" t="s">
        <v>5077</v>
      </c>
      <c r="I1508">
        <v>99999999</v>
      </c>
      <c r="J1508" s="188">
        <v>45236</v>
      </c>
      <c r="K1508" t="s">
        <v>5077</v>
      </c>
      <c r="L1508" t="s">
        <v>5077</v>
      </c>
      <c r="M1508" t="s">
        <v>2134</v>
      </c>
      <c r="N1508" t="s">
        <v>197</v>
      </c>
      <c r="O1508" t="s">
        <v>2135</v>
      </c>
      <c r="P1508" t="s">
        <v>221</v>
      </c>
      <c r="Q1508" t="s">
        <v>82</v>
      </c>
      <c r="R1508">
        <v>40</v>
      </c>
      <c r="S1508">
        <v>32</v>
      </c>
      <c r="T1508">
        <v>0</v>
      </c>
      <c r="U1508">
        <v>1</v>
      </c>
      <c r="V1508">
        <v>1</v>
      </c>
      <c r="W1508">
        <v>61.93</v>
      </c>
      <c r="X1508">
        <v>0</v>
      </c>
      <c r="Y1508">
        <v>0</v>
      </c>
      <c r="Z1508">
        <v>0</v>
      </c>
      <c r="AA1508">
        <v>0</v>
      </c>
      <c r="AB1508">
        <v>0</v>
      </c>
      <c r="AC1508">
        <v>0</v>
      </c>
      <c r="AD1508">
        <v>40</v>
      </c>
      <c r="AE1508">
        <v>0</v>
      </c>
      <c r="AF1508">
        <v>0</v>
      </c>
      <c r="AG1508">
        <v>0</v>
      </c>
      <c r="AH1508">
        <v>0</v>
      </c>
      <c r="AI1508">
        <v>0</v>
      </c>
      <c r="AJ1508">
        <v>0</v>
      </c>
      <c r="AK1508">
        <v>0</v>
      </c>
    </row>
    <row r="1509" spans="1:37" x14ac:dyDescent="0.3">
      <c r="A1509">
        <v>7979</v>
      </c>
      <c r="B1509" t="s">
        <v>219</v>
      </c>
      <c r="D1509" t="s">
        <v>327</v>
      </c>
      <c r="E1509">
        <v>99999999</v>
      </c>
      <c r="F1509">
        <v>11111111</v>
      </c>
      <c r="G1509">
        <v>1111111111</v>
      </c>
      <c r="H1509" t="s">
        <v>5078</v>
      </c>
      <c r="I1509">
        <v>99999999</v>
      </c>
      <c r="J1509" s="188">
        <v>45236</v>
      </c>
      <c r="K1509" t="s">
        <v>5078</v>
      </c>
      <c r="L1509" t="s">
        <v>5078</v>
      </c>
      <c r="M1509" t="s">
        <v>205</v>
      </c>
      <c r="N1509" t="s">
        <v>402</v>
      </c>
      <c r="O1509" t="s">
        <v>2136</v>
      </c>
      <c r="P1509" t="s">
        <v>221</v>
      </c>
      <c r="Q1509" t="s">
        <v>82</v>
      </c>
      <c r="R1509">
        <v>3</v>
      </c>
      <c r="S1509">
        <v>3</v>
      </c>
      <c r="T1509">
        <v>0</v>
      </c>
      <c r="U1509">
        <v>1</v>
      </c>
      <c r="V1509">
        <v>1</v>
      </c>
      <c r="W1509">
        <v>26.15</v>
      </c>
      <c r="X1509">
        <v>0</v>
      </c>
      <c r="Y1509">
        <v>0</v>
      </c>
      <c r="Z1509">
        <v>0</v>
      </c>
      <c r="AA1509">
        <v>0</v>
      </c>
      <c r="AB1509">
        <v>0</v>
      </c>
      <c r="AC1509">
        <v>0</v>
      </c>
      <c r="AD1509">
        <v>3</v>
      </c>
      <c r="AE1509">
        <v>0</v>
      </c>
      <c r="AF1509">
        <v>0</v>
      </c>
      <c r="AG1509">
        <v>0</v>
      </c>
      <c r="AH1509">
        <v>0</v>
      </c>
      <c r="AI1509">
        <v>0</v>
      </c>
      <c r="AJ1509">
        <v>0</v>
      </c>
      <c r="AK1509">
        <v>0</v>
      </c>
    </row>
    <row r="1510" spans="1:37" x14ac:dyDescent="0.3">
      <c r="A1510">
        <v>7979</v>
      </c>
      <c r="B1510" t="s">
        <v>219</v>
      </c>
      <c r="D1510" t="s">
        <v>327</v>
      </c>
      <c r="E1510">
        <v>99999999</v>
      </c>
      <c r="F1510">
        <v>11111111</v>
      </c>
      <c r="G1510">
        <v>1111111111</v>
      </c>
      <c r="H1510" t="s">
        <v>5079</v>
      </c>
      <c r="I1510">
        <v>99999999</v>
      </c>
      <c r="J1510" s="188">
        <v>45236</v>
      </c>
      <c r="K1510" t="s">
        <v>5079</v>
      </c>
      <c r="L1510" t="s">
        <v>5079</v>
      </c>
      <c r="M1510" t="s">
        <v>2137</v>
      </c>
      <c r="N1510" t="s">
        <v>197</v>
      </c>
      <c r="O1510">
        <v>79381</v>
      </c>
      <c r="P1510" t="s">
        <v>221</v>
      </c>
      <c r="Q1510" t="s">
        <v>82</v>
      </c>
      <c r="R1510">
        <v>1</v>
      </c>
      <c r="S1510">
        <v>0.56999999999999995</v>
      </c>
      <c r="T1510">
        <v>0</v>
      </c>
      <c r="U1510">
        <v>1</v>
      </c>
      <c r="V1510">
        <v>1</v>
      </c>
      <c r="W1510">
        <v>30.47</v>
      </c>
      <c r="X1510">
        <v>0</v>
      </c>
      <c r="Y1510">
        <v>0</v>
      </c>
      <c r="Z1510">
        <v>0</v>
      </c>
      <c r="AA1510">
        <v>0</v>
      </c>
      <c r="AB1510">
        <v>0</v>
      </c>
      <c r="AC1510">
        <v>0</v>
      </c>
      <c r="AD1510">
        <v>1</v>
      </c>
      <c r="AE1510">
        <v>0</v>
      </c>
      <c r="AF1510">
        <v>0</v>
      </c>
      <c r="AG1510">
        <v>0</v>
      </c>
      <c r="AH1510">
        <v>0</v>
      </c>
      <c r="AI1510">
        <v>0</v>
      </c>
      <c r="AJ1510">
        <v>0</v>
      </c>
      <c r="AK1510">
        <v>0</v>
      </c>
    </row>
    <row r="1511" spans="1:37" x14ac:dyDescent="0.3">
      <c r="A1511">
        <v>7979</v>
      </c>
      <c r="B1511" t="s">
        <v>219</v>
      </c>
      <c r="D1511" t="s">
        <v>327</v>
      </c>
      <c r="E1511">
        <v>99999999</v>
      </c>
      <c r="F1511">
        <v>11111111</v>
      </c>
      <c r="G1511">
        <v>1111111111</v>
      </c>
      <c r="H1511" t="s">
        <v>5080</v>
      </c>
      <c r="I1511">
        <v>99999999</v>
      </c>
      <c r="J1511" s="188">
        <v>45236</v>
      </c>
      <c r="K1511" t="s">
        <v>5080</v>
      </c>
      <c r="L1511" t="s">
        <v>5080</v>
      </c>
      <c r="M1511" t="s">
        <v>196</v>
      </c>
      <c r="N1511" t="s">
        <v>99</v>
      </c>
      <c r="O1511" t="s">
        <v>2138</v>
      </c>
      <c r="P1511" t="s">
        <v>221</v>
      </c>
      <c r="Q1511" t="s">
        <v>82</v>
      </c>
      <c r="R1511">
        <v>2</v>
      </c>
      <c r="S1511">
        <v>1.8</v>
      </c>
      <c r="T1511">
        <v>0</v>
      </c>
      <c r="U1511">
        <v>1</v>
      </c>
      <c r="V1511">
        <v>1</v>
      </c>
      <c r="W1511">
        <v>21.88</v>
      </c>
      <c r="X1511">
        <v>0</v>
      </c>
      <c r="Y1511">
        <v>0</v>
      </c>
      <c r="Z1511">
        <v>0</v>
      </c>
      <c r="AA1511">
        <v>0</v>
      </c>
      <c r="AB1511">
        <v>0</v>
      </c>
      <c r="AC1511">
        <v>0</v>
      </c>
      <c r="AD1511">
        <v>2</v>
      </c>
      <c r="AE1511">
        <v>0</v>
      </c>
      <c r="AF1511">
        <v>0</v>
      </c>
      <c r="AG1511">
        <v>0</v>
      </c>
      <c r="AH1511">
        <v>0</v>
      </c>
      <c r="AI1511">
        <v>0</v>
      </c>
      <c r="AJ1511">
        <v>0</v>
      </c>
      <c r="AK1511">
        <v>0</v>
      </c>
    </row>
    <row r="1512" spans="1:37" x14ac:dyDescent="0.3">
      <c r="A1512">
        <v>7979</v>
      </c>
      <c r="B1512" t="s">
        <v>219</v>
      </c>
      <c r="D1512" t="s">
        <v>327</v>
      </c>
      <c r="E1512">
        <v>99999999</v>
      </c>
      <c r="F1512">
        <v>11111111</v>
      </c>
      <c r="G1512">
        <v>1111111111</v>
      </c>
      <c r="H1512" t="s">
        <v>5081</v>
      </c>
      <c r="I1512">
        <v>99999999</v>
      </c>
      <c r="J1512" s="188">
        <v>45236</v>
      </c>
      <c r="K1512" t="s">
        <v>5081</v>
      </c>
      <c r="L1512" t="s">
        <v>5081</v>
      </c>
      <c r="M1512" t="s">
        <v>176</v>
      </c>
      <c r="N1512" t="s">
        <v>130</v>
      </c>
      <c r="O1512" t="s">
        <v>2139</v>
      </c>
      <c r="P1512" t="s">
        <v>221</v>
      </c>
      <c r="Q1512" t="s">
        <v>82</v>
      </c>
      <c r="R1512">
        <v>1</v>
      </c>
      <c r="S1512">
        <v>3.2</v>
      </c>
      <c r="T1512">
        <v>0</v>
      </c>
      <c r="U1512">
        <v>1</v>
      </c>
      <c r="V1512">
        <v>1</v>
      </c>
      <c r="W1512">
        <v>23.59</v>
      </c>
      <c r="X1512">
        <v>0</v>
      </c>
      <c r="Y1512">
        <v>0</v>
      </c>
      <c r="Z1512">
        <v>0</v>
      </c>
      <c r="AA1512">
        <v>0</v>
      </c>
      <c r="AB1512">
        <v>0</v>
      </c>
      <c r="AC1512">
        <v>0</v>
      </c>
      <c r="AD1512">
        <v>1</v>
      </c>
      <c r="AE1512">
        <v>0</v>
      </c>
      <c r="AF1512">
        <v>0</v>
      </c>
      <c r="AG1512">
        <v>0</v>
      </c>
      <c r="AH1512">
        <v>0</v>
      </c>
      <c r="AI1512">
        <v>0</v>
      </c>
      <c r="AJ1512">
        <v>0</v>
      </c>
      <c r="AK1512">
        <v>0</v>
      </c>
    </row>
    <row r="1513" spans="1:37" x14ac:dyDescent="0.3">
      <c r="A1513">
        <v>7979</v>
      </c>
      <c r="B1513" t="s">
        <v>219</v>
      </c>
      <c r="D1513" t="s">
        <v>327</v>
      </c>
      <c r="E1513">
        <v>99999999</v>
      </c>
      <c r="F1513">
        <v>11111111</v>
      </c>
      <c r="G1513">
        <v>1111111111</v>
      </c>
      <c r="H1513" t="s">
        <v>5082</v>
      </c>
      <c r="I1513">
        <v>99999999</v>
      </c>
      <c r="J1513" s="188">
        <v>45236</v>
      </c>
      <c r="K1513" t="s">
        <v>5082</v>
      </c>
      <c r="L1513" t="s">
        <v>5082</v>
      </c>
      <c r="M1513" t="s">
        <v>101</v>
      </c>
      <c r="N1513" t="s">
        <v>97</v>
      </c>
      <c r="O1513" t="s">
        <v>2140</v>
      </c>
      <c r="P1513" t="s">
        <v>221</v>
      </c>
      <c r="Q1513" t="s">
        <v>82</v>
      </c>
      <c r="R1513">
        <v>1</v>
      </c>
      <c r="S1513">
        <v>2</v>
      </c>
      <c r="T1513">
        <v>0</v>
      </c>
      <c r="U1513">
        <v>1</v>
      </c>
      <c r="V1513">
        <v>1</v>
      </c>
      <c r="W1513">
        <v>21.88</v>
      </c>
      <c r="X1513">
        <v>0</v>
      </c>
      <c r="Y1513">
        <v>0</v>
      </c>
      <c r="Z1513">
        <v>0</v>
      </c>
      <c r="AA1513">
        <v>0</v>
      </c>
      <c r="AB1513">
        <v>0</v>
      </c>
      <c r="AC1513">
        <v>0</v>
      </c>
      <c r="AD1513">
        <v>1</v>
      </c>
      <c r="AE1513">
        <v>0</v>
      </c>
      <c r="AF1513">
        <v>0</v>
      </c>
      <c r="AG1513">
        <v>0</v>
      </c>
      <c r="AH1513">
        <v>0</v>
      </c>
      <c r="AI1513">
        <v>0</v>
      </c>
      <c r="AJ1513">
        <v>0</v>
      </c>
      <c r="AK1513">
        <v>0</v>
      </c>
    </row>
    <row r="1514" spans="1:37" x14ac:dyDescent="0.3">
      <c r="A1514">
        <v>7979</v>
      </c>
      <c r="B1514" t="s">
        <v>219</v>
      </c>
      <c r="D1514" t="s">
        <v>327</v>
      </c>
      <c r="E1514">
        <v>99999999</v>
      </c>
      <c r="F1514">
        <v>11111111</v>
      </c>
      <c r="G1514">
        <v>1111111111</v>
      </c>
      <c r="H1514" t="s">
        <v>5083</v>
      </c>
      <c r="I1514">
        <v>99999999</v>
      </c>
      <c r="J1514" s="188">
        <v>45236</v>
      </c>
      <c r="K1514" t="s">
        <v>5083</v>
      </c>
      <c r="L1514" t="s">
        <v>5083</v>
      </c>
      <c r="M1514" t="s">
        <v>463</v>
      </c>
      <c r="N1514" t="s">
        <v>104</v>
      </c>
      <c r="O1514" t="s">
        <v>2141</v>
      </c>
      <c r="P1514" t="s">
        <v>221</v>
      </c>
      <c r="Q1514" t="s">
        <v>82</v>
      </c>
      <c r="R1514">
        <v>1</v>
      </c>
      <c r="S1514">
        <v>5.4</v>
      </c>
      <c r="T1514">
        <v>0</v>
      </c>
      <c r="U1514">
        <v>1</v>
      </c>
      <c r="V1514">
        <v>1</v>
      </c>
      <c r="W1514">
        <v>23.09</v>
      </c>
      <c r="X1514">
        <v>0</v>
      </c>
      <c r="Y1514">
        <v>0</v>
      </c>
      <c r="Z1514">
        <v>0</v>
      </c>
      <c r="AA1514">
        <v>0</v>
      </c>
      <c r="AB1514">
        <v>0</v>
      </c>
      <c r="AC1514">
        <v>0</v>
      </c>
      <c r="AD1514">
        <v>1</v>
      </c>
      <c r="AE1514">
        <v>0</v>
      </c>
      <c r="AF1514">
        <v>0</v>
      </c>
      <c r="AG1514">
        <v>0</v>
      </c>
      <c r="AH1514">
        <v>0</v>
      </c>
      <c r="AI1514">
        <v>0</v>
      </c>
      <c r="AJ1514">
        <v>0</v>
      </c>
      <c r="AK1514">
        <v>0</v>
      </c>
    </row>
    <row r="1515" spans="1:37" x14ac:dyDescent="0.3">
      <c r="A1515">
        <v>7979</v>
      </c>
      <c r="B1515" t="s">
        <v>219</v>
      </c>
      <c r="D1515" t="s">
        <v>327</v>
      </c>
      <c r="E1515">
        <v>99999999</v>
      </c>
      <c r="F1515">
        <v>11111111</v>
      </c>
      <c r="G1515">
        <v>1111111111</v>
      </c>
      <c r="H1515" t="s">
        <v>5084</v>
      </c>
      <c r="I1515">
        <v>99999999</v>
      </c>
      <c r="J1515" s="188">
        <v>45236</v>
      </c>
      <c r="K1515" t="s">
        <v>5084</v>
      </c>
      <c r="L1515" t="s">
        <v>5084</v>
      </c>
      <c r="M1515" t="s">
        <v>2142</v>
      </c>
      <c r="N1515" t="s">
        <v>197</v>
      </c>
      <c r="O1515" t="s">
        <v>2143</v>
      </c>
      <c r="P1515" t="s">
        <v>221</v>
      </c>
      <c r="Q1515" t="s">
        <v>82</v>
      </c>
      <c r="R1515">
        <v>3</v>
      </c>
      <c r="S1515">
        <v>3.6</v>
      </c>
      <c r="T1515">
        <v>0</v>
      </c>
      <c r="U1515">
        <v>1</v>
      </c>
      <c r="V1515">
        <v>1</v>
      </c>
      <c r="W1515">
        <v>31.23</v>
      </c>
      <c r="X1515">
        <v>0</v>
      </c>
      <c r="Y1515">
        <v>0</v>
      </c>
      <c r="Z1515">
        <v>0</v>
      </c>
      <c r="AA1515">
        <v>0</v>
      </c>
      <c r="AB1515">
        <v>0</v>
      </c>
      <c r="AC1515">
        <v>0</v>
      </c>
      <c r="AD1515">
        <v>3</v>
      </c>
      <c r="AE1515">
        <v>0</v>
      </c>
      <c r="AF1515">
        <v>0</v>
      </c>
      <c r="AG1515">
        <v>0</v>
      </c>
      <c r="AH1515">
        <v>0</v>
      </c>
      <c r="AI1515">
        <v>0</v>
      </c>
      <c r="AJ1515">
        <v>0</v>
      </c>
      <c r="AK1515">
        <v>0</v>
      </c>
    </row>
    <row r="1516" spans="1:37" x14ac:dyDescent="0.3">
      <c r="A1516">
        <v>7979</v>
      </c>
      <c r="B1516" t="s">
        <v>219</v>
      </c>
      <c r="D1516" t="s">
        <v>327</v>
      </c>
      <c r="E1516">
        <v>99999999</v>
      </c>
      <c r="F1516">
        <v>11111111</v>
      </c>
      <c r="G1516">
        <v>1111111111</v>
      </c>
      <c r="H1516" t="s">
        <v>5085</v>
      </c>
      <c r="I1516">
        <v>99999999</v>
      </c>
      <c r="J1516" s="188">
        <v>45236</v>
      </c>
      <c r="K1516" t="s">
        <v>5085</v>
      </c>
      <c r="L1516" t="s">
        <v>5085</v>
      </c>
      <c r="M1516" t="s">
        <v>694</v>
      </c>
      <c r="N1516" t="s">
        <v>97</v>
      </c>
      <c r="O1516" t="s">
        <v>2144</v>
      </c>
      <c r="P1516" t="s">
        <v>221</v>
      </c>
      <c r="Q1516" t="s">
        <v>82</v>
      </c>
      <c r="R1516">
        <v>2</v>
      </c>
      <c r="S1516">
        <v>6.5</v>
      </c>
      <c r="T1516">
        <v>0</v>
      </c>
      <c r="U1516">
        <v>1</v>
      </c>
      <c r="V1516">
        <v>2</v>
      </c>
      <c r="W1516">
        <v>31.8</v>
      </c>
      <c r="X1516">
        <v>0</v>
      </c>
      <c r="Y1516">
        <v>0</v>
      </c>
      <c r="Z1516">
        <v>0</v>
      </c>
      <c r="AA1516">
        <v>0</v>
      </c>
      <c r="AB1516">
        <v>0</v>
      </c>
      <c r="AC1516">
        <v>0</v>
      </c>
      <c r="AD1516">
        <v>2</v>
      </c>
      <c r="AE1516">
        <v>0</v>
      </c>
      <c r="AF1516">
        <v>0</v>
      </c>
      <c r="AG1516">
        <v>0</v>
      </c>
      <c r="AH1516">
        <v>0</v>
      </c>
      <c r="AI1516">
        <v>0</v>
      </c>
      <c r="AJ1516">
        <v>0</v>
      </c>
      <c r="AK1516">
        <v>0</v>
      </c>
    </row>
    <row r="1517" spans="1:37" x14ac:dyDescent="0.3">
      <c r="A1517">
        <v>7979</v>
      </c>
      <c r="B1517" t="s">
        <v>219</v>
      </c>
      <c r="D1517" t="s">
        <v>327</v>
      </c>
      <c r="E1517">
        <v>99999999</v>
      </c>
      <c r="F1517">
        <v>11111111</v>
      </c>
      <c r="G1517">
        <v>1111111111</v>
      </c>
      <c r="H1517" t="s">
        <v>5086</v>
      </c>
      <c r="I1517">
        <v>99999999</v>
      </c>
      <c r="J1517" s="188">
        <v>45236</v>
      </c>
      <c r="K1517" t="s">
        <v>5086</v>
      </c>
      <c r="L1517" t="s">
        <v>5086</v>
      </c>
      <c r="M1517" t="s">
        <v>2145</v>
      </c>
      <c r="N1517" t="s">
        <v>265</v>
      </c>
      <c r="O1517" t="s">
        <v>2146</v>
      </c>
      <c r="P1517" t="s">
        <v>221</v>
      </c>
      <c r="Q1517" t="s">
        <v>82</v>
      </c>
      <c r="R1517">
        <v>1</v>
      </c>
      <c r="S1517">
        <v>5</v>
      </c>
      <c r="T1517">
        <v>0</v>
      </c>
      <c r="U1517">
        <v>1</v>
      </c>
      <c r="V1517">
        <v>1</v>
      </c>
      <c r="W1517">
        <v>27.35</v>
      </c>
      <c r="X1517">
        <v>0</v>
      </c>
      <c r="Y1517">
        <v>0</v>
      </c>
      <c r="Z1517">
        <v>0</v>
      </c>
      <c r="AA1517">
        <v>0</v>
      </c>
      <c r="AB1517">
        <v>0</v>
      </c>
      <c r="AC1517">
        <v>0</v>
      </c>
      <c r="AD1517">
        <v>1</v>
      </c>
      <c r="AE1517">
        <v>0</v>
      </c>
      <c r="AF1517">
        <v>0</v>
      </c>
      <c r="AG1517">
        <v>0</v>
      </c>
      <c r="AH1517">
        <v>0</v>
      </c>
      <c r="AI1517">
        <v>0</v>
      </c>
      <c r="AJ1517">
        <v>0</v>
      </c>
      <c r="AK1517">
        <v>0</v>
      </c>
    </row>
    <row r="1518" spans="1:37" x14ac:dyDescent="0.3">
      <c r="A1518">
        <v>7979</v>
      </c>
      <c r="B1518" t="s">
        <v>219</v>
      </c>
      <c r="D1518" t="s">
        <v>327</v>
      </c>
      <c r="E1518">
        <v>99999999</v>
      </c>
      <c r="F1518">
        <v>11111111</v>
      </c>
      <c r="G1518">
        <v>1111111111</v>
      </c>
      <c r="H1518" t="s">
        <v>5087</v>
      </c>
      <c r="I1518">
        <v>99999999</v>
      </c>
      <c r="J1518" s="188">
        <v>45236</v>
      </c>
      <c r="K1518" t="s">
        <v>5087</v>
      </c>
      <c r="L1518" t="s">
        <v>5087</v>
      </c>
      <c r="M1518" t="s">
        <v>659</v>
      </c>
      <c r="N1518" t="s">
        <v>99</v>
      </c>
      <c r="O1518" t="s">
        <v>2147</v>
      </c>
      <c r="P1518" t="s">
        <v>221</v>
      </c>
      <c r="Q1518" t="s">
        <v>82</v>
      </c>
      <c r="R1518">
        <v>2</v>
      </c>
      <c r="S1518">
        <v>2</v>
      </c>
      <c r="T1518">
        <v>0</v>
      </c>
      <c r="U1518">
        <v>1</v>
      </c>
      <c r="V1518">
        <v>1</v>
      </c>
      <c r="W1518">
        <v>26.89</v>
      </c>
      <c r="X1518">
        <v>0</v>
      </c>
      <c r="Y1518">
        <v>0</v>
      </c>
      <c r="Z1518">
        <v>0</v>
      </c>
      <c r="AA1518">
        <v>0</v>
      </c>
      <c r="AB1518">
        <v>0</v>
      </c>
      <c r="AC1518">
        <v>0</v>
      </c>
      <c r="AD1518">
        <v>2</v>
      </c>
      <c r="AE1518">
        <v>0</v>
      </c>
      <c r="AF1518">
        <v>0</v>
      </c>
      <c r="AG1518">
        <v>0</v>
      </c>
      <c r="AH1518">
        <v>0</v>
      </c>
      <c r="AI1518">
        <v>0</v>
      </c>
      <c r="AJ1518">
        <v>0</v>
      </c>
      <c r="AK1518">
        <v>0</v>
      </c>
    </row>
    <row r="1519" spans="1:37" x14ac:dyDescent="0.3">
      <c r="A1519">
        <v>7979</v>
      </c>
      <c r="B1519" t="s">
        <v>219</v>
      </c>
      <c r="D1519" t="s">
        <v>327</v>
      </c>
      <c r="E1519">
        <v>99999999</v>
      </c>
      <c r="F1519">
        <v>11111111</v>
      </c>
      <c r="G1519">
        <v>1111111111</v>
      </c>
      <c r="H1519" t="s">
        <v>5088</v>
      </c>
      <c r="I1519">
        <v>99999999</v>
      </c>
      <c r="J1519" s="188">
        <v>45236</v>
      </c>
      <c r="K1519" t="s">
        <v>5088</v>
      </c>
      <c r="L1519" t="s">
        <v>5088</v>
      </c>
      <c r="M1519" t="s">
        <v>2148</v>
      </c>
      <c r="N1519" t="s">
        <v>99</v>
      </c>
      <c r="O1519" t="s">
        <v>2149</v>
      </c>
      <c r="P1519" t="s">
        <v>221</v>
      </c>
      <c r="Q1519" t="s">
        <v>82</v>
      </c>
      <c r="R1519">
        <v>1</v>
      </c>
      <c r="S1519">
        <v>2.11</v>
      </c>
      <c r="T1519">
        <v>0</v>
      </c>
      <c r="U1519">
        <v>1</v>
      </c>
      <c r="V1519">
        <v>1</v>
      </c>
      <c r="W1519">
        <v>27.42</v>
      </c>
      <c r="X1519">
        <v>0</v>
      </c>
      <c r="Y1519">
        <v>0</v>
      </c>
      <c r="Z1519">
        <v>0</v>
      </c>
      <c r="AA1519">
        <v>0</v>
      </c>
      <c r="AB1519">
        <v>0</v>
      </c>
      <c r="AC1519">
        <v>0</v>
      </c>
      <c r="AD1519">
        <v>1</v>
      </c>
      <c r="AE1519">
        <v>0</v>
      </c>
      <c r="AF1519">
        <v>0</v>
      </c>
      <c r="AG1519">
        <v>0</v>
      </c>
      <c r="AH1519">
        <v>0</v>
      </c>
      <c r="AI1519">
        <v>0</v>
      </c>
      <c r="AJ1519">
        <v>0</v>
      </c>
      <c r="AK1519">
        <v>0</v>
      </c>
    </row>
    <row r="1520" spans="1:37" x14ac:dyDescent="0.3">
      <c r="A1520">
        <v>7979</v>
      </c>
      <c r="B1520" t="s">
        <v>219</v>
      </c>
      <c r="D1520" t="s">
        <v>327</v>
      </c>
      <c r="E1520">
        <v>99999999</v>
      </c>
      <c r="F1520">
        <v>11111111</v>
      </c>
      <c r="G1520">
        <v>1111111111</v>
      </c>
      <c r="H1520" t="s">
        <v>5089</v>
      </c>
      <c r="I1520">
        <v>99999999</v>
      </c>
      <c r="J1520" s="188">
        <v>45236</v>
      </c>
      <c r="K1520" t="s">
        <v>5089</v>
      </c>
      <c r="L1520" t="s">
        <v>5089</v>
      </c>
      <c r="M1520" t="s">
        <v>2045</v>
      </c>
      <c r="N1520" t="s">
        <v>99</v>
      </c>
      <c r="O1520">
        <v>94513</v>
      </c>
      <c r="P1520" t="s">
        <v>221</v>
      </c>
      <c r="Q1520" t="s">
        <v>82</v>
      </c>
      <c r="R1520">
        <v>2</v>
      </c>
      <c r="S1520">
        <v>5</v>
      </c>
      <c r="T1520">
        <v>0</v>
      </c>
      <c r="U1520">
        <v>1</v>
      </c>
      <c r="V1520">
        <v>2</v>
      </c>
      <c r="W1520">
        <v>21.49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2</v>
      </c>
      <c r="AE1520">
        <v>0</v>
      </c>
      <c r="AF1520">
        <v>0</v>
      </c>
      <c r="AG1520">
        <v>0</v>
      </c>
      <c r="AH1520">
        <v>0</v>
      </c>
      <c r="AI1520">
        <v>0</v>
      </c>
      <c r="AJ1520">
        <v>0</v>
      </c>
      <c r="AK1520">
        <v>0</v>
      </c>
    </row>
    <row r="1521" spans="1:37" x14ac:dyDescent="0.3">
      <c r="A1521">
        <v>7979</v>
      </c>
      <c r="B1521" t="s">
        <v>219</v>
      </c>
      <c r="D1521" t="s">
        <v>327</v>
      </c>
      <c r="E1521">
        <v>99999999</v>
      </c>
      <c r="F1521">
        <v>11111111</v>
      </c>
      <c r="G1521">
        <v>1111111111</v>
      </c>
      <c r="H1521" t="s">
        <v>5090</v>
      </c>
      <c r="I1521">
        <v>99999999</v>
      </c>
      <c r="J1521" s="188">
        <v>45236</v>
      </c>
      <c r="K1521" t="s">
        <v>5090</v>
      </c>
      <c r="L1521" t="s">
        <v>5090</v>
      </c>
      <c r="M1521" t="s">
        <v>132</v>
      </c>
      <c r="N1521" t="s">
        <v>554</v>
      </c>
      <c r="O1521" t="s">
        <v>2150</v>
      </c>
      <c r="P1521" t="s">
        <v>221</v>
      </c>
      <c r="Q1521" t="s">
        <v>82</v>
      </c>
      <c r="R1521">
        <v>2</v>
      </c>
      <c r="S1521">
        <v>2.4</v>
      </c>
      <c r="T1521">
        <v>0</v>
      </c>
      <c r="U1521">
        <v>1</v>
      </c>
      <c r="V1521">
        <v>1</v>
      </c>
      <c r="W1521">
        <v>29.48</v>
      </c>
      <c r="X1521">
        <v>0</v>
      </c>
      <c r="Y1521">
        <v>0</v>
      </c>
      <c r="Z1521">
        <v>0</v>
      </c>
      <c r="AA1521">
        <v>0</v>
      </c>
      <c r="AB1521">
        <v>0</v>
      </c>
      <c r="AC1521">
        <v>0</v>
      </c>
      <c r="AD1521">
        <v>2</v>
      </c>
      <c r="AE1521">
        <v>0</v>
      </c>
      <c r="AF1521">
        <v>0</v>
      </c>
      <c r="AG1521">
        <v>0</v>
      </c>
      <c r="AH1521">
        <v>0</v>
      </c>
      <c r="AI1521">
        <v>0</v>
      </c>
      <c r="AJ1521">
        <v>0</v>
      </c>
      <c r="AK1521">
        <v>0</v>
      </c>
    </row>
    <row r="1522" spans="1:37" x14ac:dyDescent="0.3">
      <c r="A1522">
        <v>7979</v>
      </c>
      <c r="B1522" t="s">
        <v>219</v>
      </c>
      <c r="D1522" t="s">
        <v>327</v>
      </c>
      <c r="E1522">
        <v>99999999</v>
      </c>
      <c r="F1522">
        <v>11111111</v>
      </c>
      <c r="G1522">
        <v>1111111111</v>
      </c>
      <c r="H1522" t="s">
        <v>5091</v>
      </c>
      <c r="I1522">
        <v>99999999</v>
      </c>
      <c r="J1522" s="188">
        <v>45236</v>
      </c>
      <c r="K1522" t="s">
        <v>5091</v>
      </c>
      <c r="L1522" t="s">
        <v>5091</v>
      </c>
      <c r="M1522" t="s">
        <v>2151</v>
      </c>
      <c r="N1522" t="s">
        <v>99</v>
      </c>
      <c r="O1522" t="s">
        <v>2152</v>
      </c>
      <c r="P1522" t="s">
        <v>221</v>
      </c>
      <c r="Q1522" t="s">
        <v>82</v>
      </c>
      <c r="R1522">
        <v>1</v>
      </c>
      <c r="S1522">
        <v>2</v>
      </c>
      <c r="T1522">
        <v>0</v>
      </c>
      <c r="U1522">
        <v>1</v>
      </c>
      <c r="V1522">
        <v>1</v>
      </c>
      <c r="W1522">
        <v>25.28</v>
      </c>
      <c r="X1522">
        <v>0</v>
      </c>
      <c r="Y1522">
        <v>0</v>
      </c>
      <c r="Z1522">
        <v>0</v>
      </c>
      <c r="AA1522">
        <v>0</v>
      </c>
      <c r="AB1522">
        <v>0</v>
      </c>
      <c r="AC1522">
        <v>0</v>
      </c>
      <c r="AD1522">
        <v>1</v>
      </c>
      <c r="AE1522">
        <v>0</v>
      </c>
      <c r="AF1522">
        <v>0</v>
      </c>
      <c r="AG1522">
        <v>0</v>
      </c>
      <c r="AH1522">
        <v>0</v>
      </c>
      <c r="AI1522">
        <v>0</v>
      </c>
      <c r="AJ1522">
        <v>0</v>
      </c>
      <c r="AK1522">
        <v>0</v>
      </c>
    </row>
    <row r="1523" spans="1:37" x14ac:dyDescent="0.3">
      <c r="A1523">
        <v>7979</v>
      </c>
      <c r="B1523" t="s">
        <v>219</v>
      </c>
      <c r="D1523" t="s">
        <v>327</v>
      </c>
      <c r="E1523">
        <v>99999999</v>
      </c>
      <c r="F1523">
        <v>11111111</v>
      </c>
      <c r="G1523">
        <v>1111111111</v>
      </c>
      <c r="H1523" t="s">
        <v>5092</v>
      </c>
      <c r="I1523">
        <v>99999999</v>
      </c>
      <c r="J1523" s="188">
        <v>45236</v>
      </c>
      <c r="K1523" t="s">
        <v>5092</v>
      </c>
      <c r="L1523" t="s">
        <v>5092</v>
      </c>
      <c r="M1523" t="s">
        <v>1751</v>
      </c>
      <c r="N1523" t="s">
        <v>522</v>
      </c>
      <c r="O1523" t="s">
        <v>2153</v>
      </c>
      <c r="P1523" t="s">
        <v>221</v>
      </c>
      <c r="Q1523" t="s">
        <v>82</v>
      </c>
      <c r="R1523">
        <v>1</v>
      </c>
      <c r="S1523">
        <v>2.2000000000000002</v>
      </c>
      <c r="T1523">
        <v>0</v>
      </c>
      <c r="U1523">
        <v>1</v>
      </c>
      <c r="V1523">
        <v>1</v>
      </c>
      <c r="W1523">
        <v>30.93</v>
      </c>
      <c r="X1523">
        <v>0</v>
      </c>
      <c r="Y1523">
        <v>0</v>
      </c>
      <c r="Z1523">
        <v>0</v>
      </c>
      <c r="AA1523">
        <v>0</v>
      </c>
      <c r="AB1523">
        <v>0</v>
      </c>
      <c r="AC1523">
        <v>0</v>
      </c>
      <c r="AD1523">
        <v>1</v>
      </c>
      <c r="AE1523">
        <v>0</v>
      </c>
      <c r="AF1523">
        <v>0</v>
      </c>
      <c r="AG1523">
        <v>0</v>
      </c>
      <c r="AH1523">
        <v>0</v>
      </c>
      <c r="AI1523">
        <v>0</v>
      </c>
      <c r="AJ1523">
        <v>0</v>
      </c>
      <c r="AK1523">
        <v>0</v>
      </c>
    </row>
    <row r="1524" spans="1:37" x14ac:dyDescent="0.3">
      <c r="A1524">
        <v>7979</v>
      </c>
      <c r="B1524" t="s">
        <v>219</v>
      </c>
      <c r="D1524" t="s">
        <v>327</v>
      </c>
      <c r="E1524">
        <v>99999999</v>
      </c>
      <c r="F1524">
        <v>11111111</v>
      </c>
      <c r="G1524">
        <v>1111111111</v>
      </c>
      <c r="H1524" t="s">
        <v>5093</v>
      </c>
      <c r="I1524">
        <v>99999999</v>
      </c>
      <c r="J1524" s="188">
        <v>45236</v>
      </c>
      <c r="K1524" t="s">
        <v>5093</v>
      </c>
      <c r="L1524" t="s">
        <v>5093</v>
      </c>
      <c r="M1524" t="s">
        <v>2154</v>
      </c>
      <c r="N1524" t="s">
        <v>522</v>
      </c>
      <c r="O1524" t="s">
        <v>2155</v>
      </c>
      <c r="P1524" t="s">
        <v>221</v>
      </c>
      <c r="Q1524" t="s">
        <v>82</v>
      </c>
      <c r="R1524">
        <v>1</v>
      </c>
      <c r="S1524">
        <v>4</v>
      </c>
      <c r="T1524">
        <v>0</v>
      </c>
      <c r="U1524">
        <v>1</v>
      </c>
      <c r="V1524">
        <v>1</v>
      </c>
      <c r="W1524">
        <v>33.46</v>
      </c>
      <c r="X1524">
        <v>0</v>
      </c>
      <c r="Y1524">
        <v>0</v>
      </c>
      <c r="Z1524">
        <v>0</v>
      </c>
      <c r="AA1524">
        <v>0</v>
      </c>
      <c r="AB1524">
        <v>0</v>
      </c>
      <c r="AC1524">
        <v>0</v>
      </c>
      <c r="AD1524">
        <v>1</v>
      </c>
      <c r="AE1524">
        <v>0</v>
      </c>
      <c r="AF1524">
        <v>0</v>
      </c>
      <c r="AG1524">
        <v>0</v>
      </c>
      <c r="AH1524">
        <v>0</v>
      </c>
      <c r="AI1524">
        <v>0</v>
      </c>
      <c r="AJ1524">
        <v>0</v>
      </c>
      <c r="AK1524">
        <v>0</v>
      </c>
    </row>
    <row r="1525" spans="1:37" x14ac:dyDescent="0.3">
      <c r="A1525">
        <v>7979</v>
      </c>
      <c r="B1525" t="s">
        <v>219</v>
      </c>
      <c r="D1525" t="s">
        <v>327</v>
      </c>
      <c r="E1525">
        <v>99999999</v>
      </c>
      <c r="F1525">
        <v>11111111</v>
      </c>
      <c r="G1525">
        <v>1111111111</v>
      </c>
      <c r="H1525" t="s">
        <v>5094</v>
      </c>
      <c r="I1525">
        <v>99999999</v>
      </c>
      <c r="J1525" s="188">
        <v>45236</v>
      </c>
      <c r="K1525" t="s">
        <v>5094</v>
      </c>
      <c r="L1525" t="s">
        <v>5094</v>
      </c>
      <c r="M1525" t="s">
        <v>174</v>
      </c>
      <c r="N1525" t="s">
        <v>91</v>
      </c>
      <c r="O1525" t="s">
        <v>2156</v>
      </c>
      <c r="P1525" t="s">
        <v>221</v>
      </c>
      <c r="Q1525" t="s">
        <v>82</v>
      </c>
      <c r="R1525">
        <v>1</v>
      </c>
      <c r="S1525">
        <v>2</v>
      </c>
      <c r="T1525">
        <v>0</v>
      </c>
      <c r="U1525">
        <v>1</v>
      </c>
      <c r="V1525">
        <v>1</v>
      </c>
      <c r="W1525">
        <v>22.67</v>
      </c>
      <c r="X1525">
        <v>0</v>
      </c>
      <c r="Y1525">
        <v>0</v>
      </c>
      <c r="Z1525">
        <v>0</v>
      </c>
      <c r="AA1525">
        <v>0</v>
      </c>
      <c r="AB1525">
        <v>0</v>
      </c>
      <c r="AC1525">
        <v>0</v>
      </c>
      <c r="AD1525">
        <v>1</v>
      </c>
      <c r="AE1525">
        <v>0</v>
      </c>
      <c r="AF1525">
        <v>0</v>
      </c>
      <c r="AG1525">
        <v>0</v>
      </c>
      <c r="AH1525">
        <v>0</v>
      </c>
      <c r="AI1525">
        <v>0</v>
      </c>
      <c r="AJ1525">
        <v>0</v>
      </c>
      <c r="AK1525">
        <v>0</v>
      </c>
    </row>
    <row r="1526" spans="1:37" x14ac:dyDescent="0.3">
      <c r="A1526">
        <v>7979</v>
      </c>
      <c r="B1526" t="s">
        <v>219</v>
      </c>
      <c r="D1526" t="s">
        <v>327</v>
      </c>
      <c r="E1526">
        <v>99999999</v>
      </c>
      <c r="F1526">
        <v>11111111</v>
      </c>
      <c r="G1526">
        <v>1111111111</v>
      </c>
      <c r="H1526" t="s">
        <v>5095</v>
      </c>
      <c r="I1526">
        <v>99999999</v>
      </c>
      <c r="J1526" s="188">
        <v>45236</v>
      </c>
      <c r="K1526" t="s">
        <v>5095</v>
      </c>
      <c r="L1526" t="s">
        <v>5095</v>
      </c>
      <c r="M1526" t="s">
        <v>2157</v>
      </c>
      <c r="N1526" t="s">
        <v>1276</v>
      </c>
      <c r="O1526">
        <v>55388</v>
      </c>
      <c r="P1526" t="s">
        <v>221</v>
      </c>
      <c r="Q1526" t="s">
        <v>82</v>
      </c>
      <c r="R1526">
        <v>1</v>
      </c>
      <c r="S1526">
        <v>3</v>
      </c>
      <c r="T1526">
        <v>0</v>
      </c>
      <c r="U1526">
        <v>1</v>
      </c>
      <c r="V1526">
        <v>1</v>
      </c>
      <c r="W1526">
        <v>32.33</v>
      </c>
      <c r="X1526">
        <v>0</v>
      </c>
      <c r="Y1526">
        <v>0</v>
      </c>
      <c r="Z1526">
        <v>0</v>
      </c>
      <c r="AA1526">
        <v>0</v>
      </c>
      <c r="AB1526">
        <v>0</v>
      </c>
      <c r="AC1526">
        <v>0</v>
      </c>
      <c r="AD1526">
        <v>1</v>
      </c>
      <c r="AE1526">
        <v>0</v>
      </c>
      <c r="AF1526">
        <v>0</v>
      </c>
      <c r="AG1526">
        <v>0</v>
      </c>
      <c r="AH1526">
        <v>0</v>
      </c>
      <c r="AI1526">
        <v>0</v>
      </c>
      <c r="AJ1526">
        <v>0</v>
      </c>
      <c r="AK1526">
        <v>0</v>
      </c>
    </row>
    <row r="1527" spans="1:37" x14ac:dyDescent="0.3">
      <c r="A1527">
        <v>7979</v>
      </c>
      <c r="B1527" t="s">
        <v>219</v>
      </c>
      <c r="D1527" t="s">
        <v>327</v>
      </c>
      <c r="E1527">
        <v>99999999</v>
      </c>
      <c r="F1527">
        <v>11111111</v>
      </c>
      <c r="G1527">
        <v>1111111111</v>
      </c>
      <c r="H1527" t="s">
        <v>5096</v>
      </c>
      <c r="I1527">
        <v>99999999</v>
      </c>
      <c r="J1527" s="188">
        <v>45236</v>
      </c>
      <c r="K1527" t="s">
        <v>5096</v>
      </c>
      <c r="L1527" t="s">
        <v>5096</v>
      </c>
      <c r="M1527" t="s">
        <v>2158</v>
      </c>
      <c r="N1527" t="s">
        <v>97</v>
      </c>
      <c r="O1527" t="s">
        <v>2159</v>
      </c>
      <c r="P1527" t="s">
        <v>221</v>
      </c>
      <c r="Q1527" t="s">
        <v>82</v>
      </c>
      <c r="R1527">
        <v>2</v>
      </c>
      <c r="S1527">
        <v>3.35</v>
      </c>
      <c r="T1527">
        <v>0</v>
      </c>
      <c r="U1527">
        <v>1</v>
      </c>
      <c r="V1527">
        <v>2</v>
      </c>
      <c r="W1527">
        <v>22.52</v>
      </c>
      <c r="X1527">
        <v>0</v>
      </c>
      <c r="Y1527">
        <v>0</v>
      </c>
      <c r="Z1527">
        <v>0</v>
      </c>
      <c r="AA1527">
        <v>0</v>
      </c>
      <c r="AB1527">
        <v>0</v>
      </c>
      <c r="AC1527">
        <v>0</v>
      </c>
      <c r="AD1527">
        <v>2</v>
      </c>
      <c r="AE1527">
        <v>0</v>
      </c>
      <c r="AF1527">
        <v>0</v>
      </c>
      <c r="AG1527">
        <v>0</v>
      </c>
      <c r="AH1527">
        <v>0</v>
      </c>
      <c r="AI1527">
        <v>0</v>
      </c>
      <c r="AJ1527">
        <v>0</v>
      </c>
      <c r="AK1527">
        <v>0</v>
      </c>
    </row>
    <row r="1528" spans="1:37" x14ac:dyDescent="0.3">
      <c r="A1528">
        <v>7979</v>
      </c>
      <c r="B1528" t="s">
        <v>219</v>
      </c>
      <c r="D1528" t="s">
        <v>327</v>
      </c>
      <c r="E1528">
        <v>99999999</v>
      </c>
      <c r="F1528">
        <v>11111111</v>
      </c>
      <c r="G1528">
        <v>1111111111</v>
      </c>
      <c r="H1528" t="s">
        <v>5097</v>
      </c>
      <c r="I1528">
        <v>99999999</v>
      </c>
      <c r="J1528" s="188">
        <v>45236</v>
      </c>
      <c r="K1528" t="s">
        <v>5097</v>
      </c>
      <c r="L1528" t="s">
        <v>5097</v>
      </c>
      <c r="M1528" t="s">
        <v>2160</v>
      </c>
      <c r="N1528" t="s">
        <v>141</v>
      </c>
      <c r="O1528">
        <v>32503</v>
      </c>
      <c r="P1528" t="s">
        <v>221</v>
      </c>
      <c r="Q1528" t="s">
        <v>82</v>
      </c>
      <c r="R1528">
        <v>1</v>
      </c>
      <c r="S1528">
        <v>6</v>
      </c>
      <c r="T1528">
        <v>0</v>
      </c>
      <c r="U1528">
        <v>1</v>
      </c>
      <c r="V1528">
        <v>1</v>
      </c>
      <c r="W1528">
        <v>28.15</v>
      </c>
      <c r="X1528">
        <v>0</v>
      </c>
      <c r="Y1528">
        <v>0</v>
      </c>
      <c r="Z1528">
        <v>0</v>
      </c>
      <c r="AA1528">
        <v>0</v>
      </c>
      <c r="AB1528">
        <v>0</v>
      </c>
      <c r="AC1528">
        <v>0</v>
      </c>
      <c r="AD1528">
        <v>1</v>
      </c>
      <c r="AE1528">
        <v>0</v>
      </c>
      <c r="AF1528">
        <v>0</v>
      </c>
      <c r="AG1528">
        <v>0</v>
      </c>
      <c r="AH1528">
        <v>0</v>
      </c>
      <c r="AI1528">
        <v>0</v>
      </c>
      <c r="AJ1528">
        <v>0</v>
      </c>
      <c r="AK1528">
        <v>0</v>
      </c>
    </row>
    <row r="1529" spans="1:37" x14ac:dyDescent="0.3">
      <c r="A1529">
        <v>7979</v>
      </c>
      <c r="B1529" t="s">
        <v>219</v>
      </c>
      <c r="D1529" t="s">
        <v>327</v>
      </c>
      <c r="E1529">
        <v>99999999</v>
      </c>
      <c r="F1529">
        <v>11111111</v>
      </c>
      <c r="G1529">
        <v>1111111111</v>
      </c>
      <c r="H1529" t="s">
        <v>5098</v>
      </c>
      <c r="I1529">
        <v>99999999</v>
      </c>
      <c r="J1529" s="188">
        <v>45236</v>
      </c>
      <c r="K1529" t="s">
        <v>5098</v>
      </c>
      <c r="L1529" t="s">
        <v>5098</v>
      </c>
      <c r="M1529" t="s">
        <v>605</v>
      </c>
      <c r="N1529" t="s">
        <v>130</v>
      </c>
      <c r="O1529" t="s">
        <v>2161</v>
      </c>
      <c r="P1529" t="s">
        <v>221</v>
      </c>
      <c r="Q1529" t="s">
        <v>82</v>
      </c>
      <c r="R1529">
        <v>1</v>
      </c>
      <c r="S1529">
        <v>1.1399999999999999</v>
      </c>
      <c r="T1529">
        <v>0</v>
      </c>
      <c r="U1529">
        <v>1</v>
      </c>
      <c r="V1529">
        <v>1</v>
      </c>
      <c r="W1529">
        <v>27.66</v>
      </c>
      <c r="X1529">
        <v>0</v>
      </c>
      <c r="Y1529">
        <v>0</v>
      </c>
      <c r="Z1529">
        <v>0</v>
      </c>
      <c r="AA1529">
        <v>0</v>
      </c>
      <c r="AB1529">
        <v>0</v>
      </c>
      <c r="AC1529">
        <v>0</v>
      </c>
      <c r="AD1529">
        <v>1</v>
      </c>
      <c r="AE1529">
        <v>0</v>
      </c>
      <c r="AF1529">
        <v>0</v>
      </c>
      <c r="AG1529">
        <v>0</v>
      </c>
      <c r="AH1529">
        <v>0</v>
      </c>
      <c r="AI1529">
        <v>0</v>
      </c>
      <c r="AJ1529">
        <v>0</v>
      </c>
      <c r="AK1529">
        <v>0</v>
      </c>
    </row>
    <row r="1530" spans="1:37" x14ac:dyDescent="0.3">
      <c r="A1530">
        <v>7979</v>
      </c>
      <c r="B1530" t="s">
        <v>219</v>
      </c>
      <c r="D1530" t="s">
        <v>327</v>
      </c>
      <c r="E1530">
        <v>99999999</v>
      </c>
      <c r="F1530">
        <v>11111111</v>
      </c>
      <c r="G1530">
        <v>1111111111</v>
      </c>
      <c r="H1530" t="s">
        <v>5099</v>
      </c>
      <c r="I1530">
        <v>99999999</v>
      </c>
      <c r="J1530" s="188">
        <v>45236</v>
      </c>
      <c r="K1530" t="s">
        <v>5099</v>
      </c>
      <c r="L1530" t="s">
        <v>5099</v>
      </c>
      <c r="M1530" t="s">
        <v>1406</v>
      </c>
      <c r="N1530" t="s">
        <v>197</v>
      </c>
      <c r="O1530" t="s">
        <v>1407</v>
      </c>
      <c r="P1530" t="s">
        <v>221</v>
      </c>
      <c r="Q1530" t="s">
        <v>82</v>
      </c>
      <c r="R1530">
        <v>1</v>
      </c>
      <c r="S1530">
        <v>1.2</v>
      </c>
      <c r="T1530">
        <v>0</v>
      </c>
      <c r="U1530">
        <v>1</v>
      </c>
      <c r="V1530">
        <v>1</v>
      </c>
      <c r="W1530">
        <v>28.33</v>
      </c>
      <c r="X1530">
        <v>0</v>
      </c>
      <c r="Y1530">
        <v>0</v>
      </c>
      <c r="Z1530">
        <v>0</v>
      </c>
      <c r="AA1530">
        <v>0</v>
      </c>
      <c r="AB1530">
        <v>0</v>
      </c>
      <c r="AC1530">
        <v>0</v>
      </c>
      <c r="AD1530">
        <v>1</v>
      </c>
      <c r="AE1530">
        <v>0</v>
      </c>
      <c r="AF1530">
        <v>0</v>
      </c>
      <c r="AG1530">
        <v>0</v>
      </c>
      <c r="AH1530">
        <v>0</v>
      </c>
      <c r="AI1530">
        <v>0</v>
      </c>
      <c r="AJ1530">
        <v>0</v>
      </c>
      <c r="AK1530">
        <v>0</v>
      </c>
    </row>
    <row r="1531" spans="1:37" x14ac:dyDescent="0.3">
      <c r="A1531">
        <v>7979</v>
      </c>
      <c r="B1531" t="s">
        <v>219</v>
      </c>
      <c r="D1531" t="s">
        <v>327</v>
      </c>
      <c r="E1531">
        <v>99999999</v>
      </c>
      <c r="F1531">
        <v>11111111</v>
      </c>
      <c r="G1531">
        <v>1111111111</v>
      </c>
      <c r="H1531" t="s">
        <v>5100</v>
      </c>
      <c r="I1531">
        <v>99999999</v>
      </c>
      <c r="J1531" s="188">
        <v>45236</v>
      </c>
      <c r="K1531" t="s">
        <v>5100</v>
      </c>
      <c r="L1531" t="s">
        <v>5100</v>
      </c>
      <c r="M1531" t="s">
        <v>2162</v>
      </c>
      <c r="N1531" t="s">
        <v>402</v>
      </c>
      <c r="O1531" t="s">
        <v>2163</v>
      </c>
      <c r="P1531" t="s">
        <v>221</v>
      </c>
      <c r="Q1531" t="s">
        <v>82</v>
      </c>
      <c r="R1531">
        <v>1</v>
      </c>
      <c r="S1531">
        <v>1.55</v>
      </c>
      <c r="T1531">
        <v>0</v>
      </c>
      <c r="U1531">
        <v>1</v>
      </c>
      <c r="V1531">
        <v>1</v>
      </c>
      <c r="W1531">
        <v>30.93</v>
      </c>
      <c r="X1531">
        <v>0</v>
      </c>
      <c r="Y1531">
        <v>0</v>
      </c>
      <c r="Z1531">
        <v>0</v>
      </c>
      <c r="AA1531">
        <v>0</v>
      </c>
      <c r="AB1531">
        <v>0</v>
      </c>
      <c r="AC1531">
        <v>0</v>
      </c>
      <c r="AD1531">
        <v>1</v>
      </c>
      <c r="AE1531">
        <v>0</v>
      </c>
      <c r="AF1531">
        <v>0</v>
      </c>
      <c r="AG1531">
        <v>0</v>
      </c>
      <c r="AH1531">
        <v>0</v>
      </c>
      <c r="AI1531">
        <v>0</v>
      </c>
      <c r="AJ1531">
        <v>0</v>
      </c>
      <c r="AK1531">
        <v>0</v>
      </c>
    </row>
    <row r="1532" spans="1:37" x14ac:dyDescent="0.3">
      <c r="A1532">
        <v>7979</v>
      </c>
      <c r="B1532" t="s">
        <v>219</v>
      </c>
      <c r="D1532" t="s">
        <v>327</v>
      </c>
      <c r="E1532">
        <v>99999999</v>
      </c>
      <c r="F1532">
        <v>11111111</v>
      </c>
      <c r="G1532">
        <v>1111111111</v>
      </c>
      <c r="H1532" t="s">
        <v>5101</v>
      </c>
      <c r="I1532">
        <v>99999999</v>
      </c>
      <c r="J1532" s="188">
        <v>45236</v>
      </c>
      <c r="K1532" t="s">
        <v>5101</v>
      </c>
      <c r="L1532" t="s">
        <v>5101</v>
      </c>
      <c r="M1532" t="s">
        <v>2164</v>
      </c>
      <c r="N1532" t="s">
        <v>99</v>
      </c>
      <c r="O1532" t="s">
        <v>2165</v>
      </c>
      <c r="P1532" t="s">
        <v>221</v>
      </c>
      <c r="Q1532" t="s">
        <v>82</v>
      </c>
      <c r="R1532">
        <v>1</v>
      </c>
      <c r="S1532">
        <v>2.2000000000000002</v>
      </c>
      <c r="T1532">
        <v>0</v>
      </c>
      <c r="U1532">
        <v>1</v>
      </c>
      <c r="V1532">
        <v>1</v>
      </c>
      <c r="W1532">
        <v>28</v>
      </c>
      <c r="X1532">
        <v>0</v>
      </c>
      <c r="Y1532">
        <v>0</v>
      </c>
      <c r="Z1532">
        <v>0</v>
      </c>
      <c r="AA1532">
        <v>0</v>
      </c>
      <c r="AB1532">
        <v>0</v>
      </c>
      <c r="AC1532">
        <v>0</v>
      </c>
      <c r="AD1532">
        <v>1</v>
      </c>
      <c r="AE1532">
        <v>0</v>
      </c>
      <c r="AF1532">
        <v>0</v>
      </c>
      <c r="AG1532">
        <v>0</v>
      </c>
      <c r="AH1532">
        <v>0</v>
      </c>
      <c r="AI1532">
        <v>0</v>
      </c>
      <c r="AJ1532">
        <v>0</v>
      </c>
      <c r="AK1532">
        <v>0</v>
      </c>
    </row>
    <row r="1533" spans="1:37" x14ac:dyDescent="0.3">
      <c r="A1533">
        <v>7979</v>
      </c>
      <c r="B1533" t="s">
        <v>219</v>
      </c>
      <c r="D1533" t="s">
        <v>327</v>
      </c>
      <c r="E1533">
        <v>99999999</v>
      </c>
      <c r="F1533">
        <v>11111111</v>
      </c>
      <c r="G1533">
        <v>1111111111</v>
      </c>
      <c r="H1533" t="s">
        <v>5102</v>
      </c>
      <c r="I1533">
        <v>99999999</v>
      </c>
      <c r="J1533" s="188">
        <v>45236</v>
      </c>
      <c r="K1533" t="s">
        <v>5102</v>
      </c>
      <c r="L1533" t="s">
        <v>5102</v>
      </c>
      <c r="M1533" t="s">
        <v>502</v>
      </c>
      <c r="N1533" t="s">
        <v>91</v>
      </c>
      <c r="O1533">
        <v>85390</v>
      </c>
      <c r="P1533" t="s">
        <v>221</v>
      </c>
      <c r="Q1533" t="s">
        <v>82</v>
      </c>
      <c r="R1533">
        <v>1</v>
      </c>
      <c r="S1533">
        <v>3</v>
      </c>
      <c r="T1533">
        <v>0</v>
      </c>
      <c r="U1533">
        <v>1</v>
      </c>
      <c r="V1533">
        <v>1</v>
      </c>
      <c r="W1533">
        <v>31.84</v>
      </c>
      <c r="X1533">
        <v>0</v>
      </c>
      <c r="Y1533">
        <v>0</v>
      </c>
      <c r="Z1533">
        <v>0</v>
      </c>
      <c r="AA1533">
        <v>0</v>
      </c>
      <c r="AB1533">
        <v>0</v>
      </c>
      <c r="AC1533">
        <v>0</v>
      </c>
      <c r="AD1533">
        <v>1</v>
      </c>
      <c r="AE1533">
        <v>0</v>
      </c>
      <c r="AF1533">
        <v>0</v>
      </c>
      <c r="AG1533">
        <v>0</v>
      </c>
      <c r="AH1533">
        <v>0</v>
      </c>
      <c r="AI1533">
        <v>0</v>
      </c>
      <c r="AJ1533">
        <v>0</v>
      </c>
      <c r="AK1533">
        <v>0</v>
      </c>
    </row>
    <row r="1534" spans="1:37" x14ac:dyDescent="0.3">
      <c r="A1534">
        <v>7979</v>
      </c>
      <c r="B1534" t="s">
        <v>219</v>
      </c>
      <c r="D1534" t="s">
        <v>327</v>
      </c>
      <c r="E1534">
        <v>99999999</v>
      </c>
      <c r="F1534">
        <v>11111111</v>
      </c>
      <c r="G1534">
        <v>1111111111</v>
      </c>
      <c r="H1534" t="s">
        <v>5103</v>
      </c>
      <c r="I1534">
        <v>99999999</v>
      </c>
      <c r="J1534" s="188">
        <v>45236</v>
      </c>
      <c r="K1534" t="s">
        <v>5103</v>
      </c>
      <c r="L1534" t="s">
        <v>5103</v>
      </c>
      <c r="M1534" t="s">
        <v>474</v>
      </c>
      <c r="N1534" t="s">
        <v>164</v>
      </c>
      <c r="O1534" t="s">
        <v>2166</v>
      </c>
      <c r="P1534" t="s">
        <v>221</v>
      </c>
      <c r="Q1534" t="s">
        <v>82</v>
      </c>
      <c r="R1534">
        <v>1</v>
      </c>
      <c r="S1534">
        <v>2</v>
      </c>
      <c r="T1534">
        <v>0</v>
      </c>
      <c r="U1534">
        <v>1</v>
      </c>
      <c r="V1534">
        <v>1</v>
      </c>
      <c r="W1534">
        <v>28</v>
      </c>
      <c r="X1534">
        <v>0</v>
      </c>
      <c r="Y1534">
        <v>0</v>
      </c>
      <c r="Z1534">
        <v>0</v>
      </c>
      <c r="AA1534">
        <v>0</v>
      </c>
      <c r="AB1534">
        <v>0</v>
      </c>
      <c r="AC1534">
        <v>0</v>
      </c>
      <c r="AD1534">
        <v>1</v>
      </c>
      <c r="AE1534">
        <v>0</v>
      </c>
      <c r="AF1534">
        <v>0</v>
      </c>
      <c r="AG1534">
        <v>0</v>
      </c>
      <c r="AH1534">
        <v>0</v>
      </c>
      <c r="AI1534">
        <v>0</v>
      </c>
      <c r="AJ1534">
        <v>0</v>
      </c>
      <c r="AK1534">
        <v>0</v>
      </c>
    </row>
    <row r="1535" spans="1:37" x14ac:dyDescent="0.3">
      <c r="A1535">
        <v>7979</v>
      </c>
      <c r="B1535" t="s">
        <v>219</v>
      </c>
      <c r="D1535" t="s">
        <v>327</v>
      </c>
      <c r="E1535">
        <v>99999999</v>
      </c>
      <c r="F1535">
        <v>11111111</v>
      </c>
      <c r="G1535">
        <v>1111111111</v>
      </c>
      <c r="H1535" t="s">
        <v>5104</v>
      </c>
      <c r="I1535">
        <v>99999999</v>
      </c>
      <c r="J1535" s="188">
        <v>45236</v>
      </c>
      <c r="K1535" t="s">
        <v>5104</v>
      </c>
      <c r="L1535" t="s">
        <v>5104</v>
      </c>
      <c r="M1535" t="s">
        <v>731</v>
      </c>
      <c r="N1535" t="s">
        <v>99</v>
      </c>
      <c r="O1535" t="s">
        <v>2167</v>
      </c>
      <c r="P1535" t="s">
        <v>221</v>
      </c>
      <c r="Q1535" t="s">
        <v>82</v>
      </c>
      <c r="R1535">
        <v>1</v>
      </c>
      <c r="S1535">
        <v>1.8</v>
      </c>
      <c r="T1535">
        <v>0</v>
      </c>
      <c r="U1535">
        <v>1</v>
      </c>
      <c r="V1535">
        <v>1</v>
      </c>
      <c r="W1535">
        <v>21.88</v>
      </c>
      <c r="X1535">
        <v>0</v>
      </c>
      <c r="Y1535">
        <v>0</v>
      </c>
      <c r="Z1535">
        <v>0</v>
      </c>
      <c r="AA1535">
        <v>0</v>
      </c>
      <c r="AB1535">
        <v>0</v>
      </c>
      <c r="AC1535">
        <v>0</v>
      </c>
      <c r="AD1535">
        <v>1</v>
      </c>
      <c r="AE1535">
        <v>0</v>
      </c>
      <c r="AF1535">
        <v>0</v>
      </c>
      <c r="AG1535">
        <v>0</v>
      </c>
      <c r="AH1535">
        <v>0</v>
      </c>
      <c r="AI1535">
        <v>0</v>
      </c>
      <c r="AJ1535">
        <v>0</v>
      </c>
      <c r="AK1535">
        <v>0</v>
      </c>
    </row>
    <row r="1536" spans="1:37" x14ac:dyDescent="0.3">
      <c r="A1536">
        <v>7979</v>
      </c>
      <c r="B1536" t="s">
        <v>219</v>
      </c>
      <c r="D1536" t="s">
        <v>327</v>
      </c>
      <c r="E1536">
        <v>99999999</v>
      </c>
      <c r="F1536">
        <v>11111111</v>
      </c>
      <c r="G1536">
        <v>1111111111</v>
      </c>
      <c r="H1536" t="s">
        <v>5105</v>
      </c>
      <c r="I1536">
        <v>99999999</v>
      </c>
      <c r="J1536" s="188">
        <v>45236</v>
      </c>
      <c r="K1536" t="s">
        <v>5105</v>
      </c>
      <c r="L1536" t="s">
        <v>5105</v>
      </c>
      <c r="M1536" t="s">
        <v>1072</v>
      </c>
      <c r="N1536" t="s">
        <v>99</v>
      </c>
      <c r="O1536" t="s">
        <v>2168</v>
      </c>
      <c r="P1536" t="s">
        <v>221</v>
      </c>
      <c r="Q1536" t="s">
        <v>82</v>
      </c>
      <c r="R1536">
        <v>1</v>
      </c>
      <c r="S1536">
        <v>1.32</v>
      </c>
      <c r="T1536">
        <v>0</v>
      </c>
      <c r="U1536">
        <v>1</v>
      </c>
      <c r="V1536">
        <v>1</v>
      </c>
      <c r="W1536">
        <v>27.33</v>
      </c>
      <c r="X1536">
        <v>0</v>
      </c>
      <c r="Y1536">
        <v>0</v>
      </c>
      <c r="Z1536">
        <v>0</v>
      </c>
      <c r="AA1536">
        <v>0</v>
      </c>
      <c r="AB1536">
        <v>0</v>
      </c>
      <c r="AC1536">
        <v>0</v>
      </c>
      <c r="AD1536">
        <v>1</v>
      </c>
      <c r="AE1536">
        <v>0</v>
      </c>
      <c r="AF1536">
        <v>0</v>
      </c>
      <c r="AG1536">
        <v>0</v>
      </c>
      <c r="AH1536">
        <v>0</v>
      </c>
      <c r="AI1536">
        <v>0</v>
      </c>
      <c r="AJ1536">
        <v>0</v>
      </c>
      <c r="AK1536">
        <v>0</v>
      </c>
    </row>
    <row r="1537" spans="1:37" x14ac:dyDescent="0.3">
      <c r="A1537">
        <v>7979</v>
      </c>
      <c r="B1537" t="s">
        <v>219</v>
      </c>
      <c r="D1537" t="s">
        <v>327</v>
      </c>
      <c r="E1537">
        <v>99999999</v>
      </c>
      <c r="F1537">
        <v>11111111</v>
      </c>
      <c r="G1537">
        <v>1111111111</v>
      </c>
      <c r="H1537" t="s">
        <v>5106</v>
      </c>
      <c r="I1537">
        <v>99999999</v>
      </c>
      <c r="J1537" s="188">
        <v>45236</v>
      </c>
      <c r="K1537" t="s">
        <v>5106</v>
      </c>
      <c r="L1537" t="s">
        <v>5106</v>
      </c>
      <c r="M1537" t="s">
        <v>2049</v>
      </c>
      <c r="N1537" t="s">
        <v>99</v>
      </c>
      <c r="O1537" t="s">
        <v>2169</v>
      </c>
      <c r="P1537" t="s">
        <v>221</v>
      </c>
      <c r="Q1537" t="s">
        <v>82</v>
      </c>
      <c r="R1537">
        <v>1</v>
      </c>
      <c r="S1537">
        <v>5</v>
      </c>
      <c r="T1537">
        <v>0</v>
      </c>
      <c r="U1537">
        <v>1</v>
      </c>
      <c r="V1537">
        <v>1</v>
      </c>
      <c r="W1537">
        <v>29.21</v>
      </c>
      <c r="X1537">
        <v>0</v>
      </c>
      <c r="Y1537">
        <v>0</v>
      </c>
      <c r="Z1537">
        <v>0</v>
      </c>
      <c r="AA1537">
        <v>0</v>
      </c>
      <c r="AB1537">
        <v>0</v>
      </c>
      <c r="AC1537">
        <v>0</v>
      </c>
      <c r="AD1537">
        <v>1</v>
      </c>
      <c r="AE1537">
        <v>0</v>
      </c>
      <c r="AF1537">
        <v>0</v>
      </c>
      <c r="AG1537">
        <v>0</v>
      </c>
      <c r="AH1537">
        <v>0</v>
      </c>
      <c r="AI1537">
        <v>0</v>
      </c>
      <c r="AJ1537">
        <v>0</v>
      </c>
      <c r="AK1537">
        <v>0</v>
      </c>
    </row>
    <row r="1538" spans="1:37" x14ac:dyDescent="0.3">
      <c r="A1538">
        <v>7979</v>
      </c>
      <c r="B1538" t="s">
        <v>219</v>
      </c>
      <c r="D1538" t="s">
        <v>327</v>
      </c>
      <c r="E1538">
        <v>99999999</v>
      </c>
      <c r="F1538">
        <v>11111111</v>
      </c>
      <c r="G1538">
        <v>1111111111</v>
      </c>
      <c r="H1538" t="s">
        <v>5107</v>
      </c>
      <c r="I1538">
        <v>99999999</v>
      </c>
      <c r="J1538" s="188">
        <v>45236</v>
      </c>
      <c r="K1538" t="s">
        <v>5107</v>
      </c>
      <c r="L1538" t="s">
        <v>5107</v>
      </c>
      <c r="M1538" t="s">
        <v>919</v>
      </c>
      <c r="N1538" t="s">
        <v>1276</v>
      </c>
      <c r="O1538" t="s">
        <v>2170</v>
      </c>
      <c r="P1538" t="s">
        <v>221</v>
      </c>
      <c r="Q1538" t="s">
        <v>82</v>
      </c>
      <c r="R1538">
        <v>1</v>
      </c>
      <c r="S1538">
        <v>2.2000000000000002</v>
      </c>
      <c r="T1538">
        <v>0</v>
      </c>
      <c r="U1538">
        <v>1</v>
      </c>
      <c r="V1538">
        <v>1</v>
      </c>
      <c r="W1538">
        <v>29.48</v>
      </c>
      <c r="X1538">
        <v>0</v>
      </c>
      <c r="Y1538">
        <v>0</v>
      </c>
      <c r="Z1538">
        <v>0</v>
      </c>
      <c r="AA1538">
        <v>0</v>
      </c>
      <c r="AB1538">
        <v>0</v>
      </c>
      <c r="AC1538">
        <v>0</v>
      </c>
      <c r="AD1538">
        <v>1</v>
      </c>
      <c r="AE1538">
        <v>0</v>
      </c>
      <c r="AF1538">
        <v>0</v>
      </c>
      <c r="AG1538">
        <v>0</v>
      </c>
      <c r="AH1538">
        <v>0</v>
      </c>
      <c r="AI1538">
        <v>0</v>
      </c>
      <c r="AJ1538">
        <v>0</v>
      </c>
      <c r="AK1538">
        <v>0</v>
      </c>
    </row>
    <row r="1539" spans="1:37" x14ac:dyDescent="0.3">
      <c r="A1539">
        <v>7979</v>
      </c>
      <c r="B1539" t="s">
        <v>219</v>
      </c>
      <c r="D1539" t="s">
        <v>327</v>
      </c>
      <c r="E1539">
        <v>99999999</v>
      </c>
      <c r="F1539">
        <v>11111111</v>
      </c>
      <c r="G1539">
        <v>1111111111</v>
      </c>
      <c r="H1539" t="s">
        <v>5108</v>
      </c>
      <c r="I1539">
        <v>99999999</v>
      </c>
      <c r="J1539" s="188">
        <v>45236</v>
      </c>
      <c r="K1539" t="s">
        <v>5108</v>
      </c>
      <c r="L1539" t="s">
        <v>5108</v>
      </c>
      <c r="M1539" t="s">
        <v>2171</v>
      </c>
      <c r="N1539" t="s">
        <v>99</v>
      </c>
      <c r="O1539">
        <v>93427</v>
      </c>
      <c r="P1539" t="s">
        <v>221</v>
      </c>
      <c r="Q1539" t="s">
        <v>82</v>
      </c>
      <c r="R1539">
        <v>1</v>
      </c>
      <c r="S1539">
        <v>4</v>
      </c>
      <c r="T1539">
        <v>0</v>
      </c>
      <c r="U1539">
        <v>1</v>
      </c>
      <c r="V1539">
        <v>1</v>
      </c>
      <c r="W1539">
        <v>29.05</v>
      </c>
      <c r="X1539">
        <v>0</v>
      </c>
      <c r="Y1539">
        <v>0</v>
      </c>
      <c r="Z1539">
        <v>0</v>
      </c>
      <c r="AA1539">
        <v>0</v>
      </c>
      <c r="AB1539">
        <v>0</v>
      </c>
      <c r="AC1539">
        <v>0</v>
      </c>
      <c r="AD1539">
        <v>1</v>
      </c>
      <c r="AE1539">
        <v>0</v>
      </c>
      <c r="AF1539">
        <v>0</v>
      </c>
      <c r="AG1539">
        <v>0</v>
      </c>
      <c r="AH1539">
        <v>0</v>
      </c>
      <c r="AI1539">
        <v>0</v>
      </c>
      <c r="AJ1539">
        <v>0</v>
      </c>
      <c r="AK1539">
        <v>0</v>
      </c>
    </row>
    <row r="1540" spans="1:37" x14ac:dyDescent="0.3">
      <c r="A1540">
        <v>7979</v>
      </c>
      <c r="B1540" t="s">
        <v>219</v>
      </c>
      <c r="D1540" t="s">
        <v>327</v>
      </c>
      <c r="E1540">
        <v>99999999</v>
      </c>
      <c r="F1540">
        <v>11111111</v>
      </c>
      <c r="G1540">
        <v>1111111111</v>
      </c>
      <c r="H1540" t="s">
        <v>5109</v>
      </c>
      <c r="I1540">
        <v>99999999</v>
      </c>
      <c r="J1540" s="188">
        <v>45236</v>
      </c>
      <c r="K1540" t="s">
        <v>5109</v>
      </c>
      <c r="L1540" t="s">
        <v>5109</v>
      </c>
      <c r="M1540" t="s">
        <v>1301</v>
      </c>
      <c r="N1540" t="s">
        <v>99</v>
      </c>
      <c r="O1540" t="s">
        <v>2172</v>
      </c>
      <c r="P1540" t="s">
        <v>221</v>
      </c>
      <c r="Q1540" t="s">
        <v>82</v>
      </c>
      <c r="R1540">
        <v>1</v>
      </c>
      <c r="S1540">
        <v>6.2</v>
      </c>
      <c r="T1540">
        <v>0</v>
      </c>
      <c r="U1540">
        <v>1</v>
      </c>
      <c r="V1540">
        <v>1</v>
      </c>
      <c r="W1540">
        <v>26.92</v>
      </c>
      <c r="X1540">
        <v>0</v>
      </c>
      <c r="Y1540">
        <v>0</v>
      </c>
      <c r="Z1540">
        <v>0</v>
      </c>
      <c r="AA1540">
        <v>0</v>
      </c>
      <c r="AB1540">
        <v>0</v>
      </c>
      <c r="AC1540">
        <v>0</v>
      </c>
      <c r="AD1540">
        <v>1</v>
      </c>
      <c r="AE1540">
        <v>0</v>
      </c>
      <c r="AF1540">
        <v>0</v>
      </c>
      <c r="AG1540">
        <v>0</v>
      </c>
      <c r="AH1540">
        <v>0</v>
      </c>
      <c r="AI1540">
        <v>0</v>
      </c>
      <c r="AJ1540">
        <v>0</v>
      </c>
      <c r="AK1540">
        <v>0</v>
      </c>
    </row>
    <row r="1541" spans="1:37" x14ac:dyDescent="0.3">
      <c r="A1541">
        <v>7979</v>
      </c>
      <c r="B1541" t="s">
        <v>219</v>
      </c>
      <c r="D1541" t="s">
        <v>327</v>
      </c>
      <c r="E1541">
        <v>99999999</v>
      </c>
      <c r="F1541">
        <v>11111111</v>
      </c>
      <c r="G1541">
        <v>1111111111</v>
      </c>
      <c r="H1541" t="s">
        <v>5110</v>
      </c>
      <c r="I1541">
        <v>99999999</v>
      </c>
      <c r="J1541" s="188">
        <v>45236</v>
      </c>
      <c r="K1541" t="s">
        <v>5110</v>
      </c>
      <c r="L1541" t="s">
        <v>5110</v>
      </c>
      <c r="M1541" t="s">
        <v>677</v>
      </c>
      <c r="N1541" t="s">
        <v>85</v>
      </c>
      <c r="O1541">
        <v>89123</v>
      </c>
      <c r="P1541" t="s">
        <v>221</v>
      </c>
      <c r="Q1541" t="s">
        <v>82</v>
      </c>
      <c r="R1541">
        <v>2</v>
      </c>
      <c r="S1541">
        <v>22.14</v>
      </c>
      <c r="T1541">
        <v>0</v>
      </c>
      <c r="U1541">
        <v>1</v>
      </c>
      <c r="V1541">
        <v>1</v>
      </c>
      <c r="W1541">
        <v>29.85</v>
      </c>
      <c r="X1541">
        <v>0</v>
      </c>
      <c r="Y1541">
        <v>0</v>
      </c>
      <c r="Z1541">
        <v>0</v>
      </c>
      <c r="AA1541">
        <v>0</v>
      </c>
      <c r="AB1541">
        <v>0</v>
      </c>
      <c r="AC1541">
        <v>0</v>
      </c>
      <c r="AD1541">
        <v>2</v>
      </c>
      <c r="AE1541">
        <v>0</v>
      </c>
      <c r="AF1541">
        <v>0</v>
      </c>
      <c r="AG1541">
        <v>0</v>
      </c>
      <c r="AH1541">
        <v>0</v>
      </c>
      <c r="AI1541">
        <v>0</v>
      </c>
      <c r="AJ1541">
        <v>0</v>
      </c>
      <c r="AK1541">
        <v>0</v>
      </c>
    </row>
    <row r="1542" spans="1:37" x14ac:dyDescent="0.3">
      <c r="A1542">
        <v>7979</v>
      </c>
      <c r="B1542" t="s">
        <v>219</v>
      </c>
      <c r="D1542" t="s">
        <v>327</v>
      </c>
      <c r="E1542">
        <v>99999999</v>
      </c>
      <c r="F1542">
        <v>11111111</v>
      </c>
      <c r="G1542">
        <v>1111111111</v>
      </c>
      <c r="H1542" t="s">
        <v>5111</v>
      </c>
      <c r="I1542">
        <v>99999999</v>
      </c>
      <c r="J1542" s="188">
        <v>45236</v>
      </c>
      <c r="K1542" t="s">
        <v>5111</v>
      </c>
      <c r="L1542" t="s">
        <v>5111</v>
      </c>
      <c r="M1542" t="s">
        <v>2173</v>
      </c>
      <c r="N1542" t="s">
        <v>197</v>
      </c>
      <c r="O1542" t="s">
        <v>2174</v>
      </c>
      <c r="P1542" t="s">
        <v>221</v>
      </c>
      <c r="Q1542" t="s">
        <v>82</v>
      </c>
      <c r="R1542">
        <v>1</v>
      </c>
      <c r="S1542">
        <v>16.8</v>
      </c>
      <c r="T1542">
        <v>0</v>
      </c>
      <c r="U1542">
        <v>1</v>
      </c>
      <c r="V1542">
        <v>1</v>
      </c>
      <c r="W1542">
        <v>34.93</v>
      </c>
      <c r="X1542">
        <v>0</v>
      </c>
      <c r="Y1542">
        <v>0</v>
      </c>
      <c r="Z1542">
        <v>0</v>
      </c>
      <c r="AA1542">
        <v>0</v>
      </c>
      <c r="AB1542">
        <v>0</v>
      </c>
      <c r="AC1542">
        <v>0</v>
      </c>
      <c r="AD1542">
        <v>1</v>
      </c>
      <c r="AE1542">
        <v>0</v>
      </c>
      <c r="AF1542">
        <v>0</v>
      </c>
      <c r="AG1542">
        <v>0</v>
      </c>
      <c r="AH1542">
        <v>0</v>
      </c>
      <c r="AI1542">
        <v>0</v>
      </c>
      <c r="AJ1542">
        <v>0</v>
      </c>
      <c r="AK1542">
        <v>0</v>
      </c>
    </row>
    <row r="1543" spans="1:37" x14ac:dyDescent="0.3">
      <c r="A1543">
        <v>7979</v>
      </c>
      <c r="B1543" t="s">
        <v>219</v>
      </c>
      <c r="D1543" t="s">
        <v>327</v>
      </c>
      <c r="E1543">
        <v>99999999</v>
      </c>
      <c r="F1543">
        <v>11111111</v>
      </c>
      <c r="G1543">
        <v>1111111111</v>
      </c>
      <c r="H1543" t="s">
        <v>5112</v>
      </c>
      <c r="I1543">
        <v>99999999</v>
      </c>
      <c r="J1543" s="188">
        <v>45236</v>
      </c>
      <c r="K1543" t="s">
        <v>5112</v>
      </c>
      <c r="L1543" t="s">
        <v>5112</v>
      </c>
      <c r="M1543" t="s">
        <v>1007</v>
      </c>
      <c r="N1543" t="s">
        <v>381</v>
      </c>
      <c r="O1543" t="s">
        <v>2175</v>
      </c>
      <c r="P1543" t="s">
        <v>221</v>
      </c>
      <c r="Q1543" t="s">
        <v>82</v>
      </c>
      <c r="R1543">
        <v>1</v>
      </c>
      <c r="S1543">
        <v>4</v>
      </c>
      <c r="T1543">
        <v>0</v>
      </c>
      <c r="U1543">
        <v>1</v>
      </c>
      <c r="V1543">
        <v>1</v>
      </c>
      <c r="W1543">
        <v>29.05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1</v>
      </c>
      <c r="AE1543">
        <v>0</v>
      </c>
      <c r="AF1543">
        <v>0</v>
      </c>
      <c r="AG1543">
        <v>0</v>
      </c>
      <c r="AH1543">
        <v>0</v>
      </c>
      <c r="AI1543">
        <v>0</v>
      </c>
      <c r="AJ1543">
        <v>0</v>
      </c>
      <c r="AK1543">
        <v>0</v>
      </c>
    </row>
    <row r="1544" spans="1:37" x14ac:dyDescent="0.3">
      <c r="A1544">
        <v>7979</v>
      </c>
      <c r="B1544" t="s">
        <v>219</v>
      </c>
      <c r="D1544" t="s">
        <v>327</v>
      </c>
      <c r="E1544">
        <v>99999999</v>
      </c>
      <c r="F1544">
        <v>11111111</v>
      </c>
      <c r="G1544">
        <v>1111111111</v>
      </c>
      <c r="H1544" t="s">
        <v>5113</v>
      </c>
      <c r="I1544">
        <v>99999999</v>
      </c>
      <c r="J1544" s="188">
        <v>45236</v>
      </c>
      <c r="K1544" t="s">
        <v>5113</v>
      </c>
      <c r="L1544" t="s">
        <v>5113</v>
      </c>
      <c r="M1544" t="s">
        <v>582</v>
      </c>
      <c r="N1544" t="s">
        <v>104</v>
      </c>
      <c r="O1544" t="s">
        <v>2176</v>
      </c>
      <c r="P1544" t="s">
        <v>221</v>
      </c>
      <c r="Q1544" t="s">
        <v>82</v>
      </c>
      <c r="R1544">
        <v>1</v>
      </c>
      <c r="S1544">
        <v>3</v>
      </c>
      <c r="T1544">
        <v>0</v>
      </c>
      <c r="U1544">
        <v>1</v>
      </c>
      <c r="V1544">
        <v>1</v>
      </c>
      <c r="W1544">
        <v>28.64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1</v>
      </c>
      <c r="AE1544">
        <v>0</v>
      </c>
      <c r="AF1544">
        <v>0</v>
      </c>
      <c r="AG1544">
        <v>0</v>
      </c>
      <c r="AH1544">
        <v>0</v>
      </c>
      <c r="AI1544">
        <v>0</v>
      </c>
      <c r="AJ1544">
        <v>0</v>
      </c>
      <c r="AK1544">
        <v>0</v>
      </c>
    </row>
    <row r="1545" spans="1:37" x14ac:dyDescent="0.3">
      <c r="A1545">
        <v>7979</v>
      </c>
      <c r="B1545" t="s">
        <v>219</v>
      </c>
      <c r="D1545" t="s">
        <v>327</v>
      </c>
      <c r="E1545">
        <v>99999999</v>
      </c>
      <c r="F1545">
        <v>11111111</v>
      </c>
      <c r="G1545">
        <v>1111111111</v>
      </c>
      <c r="H1545" t="s">
        <v>5114</v>
      </c>
      <c r="I1545">
        <v>99999999</v>
      </c>
      <c r="J1545" s="188">
        <v>45236</v>
      </c>
      <c r="K1545" t="s">
        <v>5114</v>
      </c>
      <c r="L1545" t="s">
        <v>5114</v>
      </c>
      <c r="M1545" t="s">
        <v>2154</v>
      </c>
      <c r="N1545" t="s">
        <v>197</v>
      </c>
      <c r="O1545" t="s">
        <v>2177</v>
      </c>
      <c r="P1545" t="s">
        <v>221</v>
      </c>
      <c r="Q1545" t="s">
        <v>82</v>
      </c>
      <c r="R1545">
        <v>1</v>
      </c>
      <c r="S1545">
        <v>3.75</v>
      </c>
      <c r="T1545">
        <v>0</v>
      </c>
      <c r="U1545">
        <v>1</v>
      </c>
      <c r="V1545">
        <v>1</v>
      </c>
      <c r="W1545">
        <v>25.11</v>
      </c>
      <c r="X1545">
        <v>0</v>
      </c>
      <c r="Y1545">
        <v>0</v>
      </c>
      <c r="Z1545">
        <v>0</v>
      </c>
      <c r="AA1545">
        <v>0</v>
      </c>
      <c r="AB1545">
        <v>0</v>
      </c>
      <c r="AC1545">
        <v>0</v>
      </c>
      <c r="AD1545">
        <v>1</v>
      </c>
      <c r="AE1545">
        <v>0</v>
      </c>
      <c r="AF1545">
        <v>0</v>
      </c>
      <c r="AG1545">
        <v>0</v>
      </c>
      <c r="AH1545">
        <v>0</v>
      </c>
      <c r="AI1545">
        <v>0</v>
      </c>
      <c r="AJ1545">
        <v>0</v>
      </c>
      <c r="AK1545">
        <v>0</v>
      </c>
    </row>
    <row r="1546" spans="1:37" x14ac:dyDescent="0.3">
      <c r="A1546">
        <v>7979</v>
      </c>
      <c r="B1546" t="s">
        <v>219</v>
      </c>
      <c r="D1546" t="s">
        <v>327</v>
      </c>
      <c r="E1546">
        <v>99999999</v>
      </c>
      <c r="F1546">
        <v>11111111</v>
      </c>
      <c r="G1546">
        <v>1111111111</v>
      </c>
      <c r="H1546" t="s">
        <v>5115</v>
      </c>
      <c r="I1546">
        <v>99999999</v>
      </c>
      <c r="J1546" s="188">
        <v>45236</v>
      </c>
      <c r="K1546" t="s">
        <v>5115</v>
      </c>
      <c r="L1546" t="s">
        <v>5115</v>
      </c>
      <c r="M1546" t="s">
        <v>1187</v>
      </c>
      <c r="N1546" t="s">
        <v>99</v>
      </c>
      <c r="O1546" t="s">
        <v>2178</v>
      </c>
      <c r="P1546" t="s">
        <v>221</v>
      </c>
      <c r="Q1546" t="s">
        <v>82</v>
      </c>
      <c r="R1546">
        <v>1</v>
      </c>
      <c r="S1546">
        <v>8</v>
      </c>
      <c r="T1546">
        <v>0</v>
      </c>
      <c r="U1546">
        <v>1</v>
      </c>
      <c r="V1546">
        <v>1</v>
      </c>
      <c r="W1546">
        <v>27.58</v>
      </c>
      <c r="X1546">
        <v>0</v>
      </c>
      <c r="Y1546">
        <v>0</v>
      </c>
      <c r="Z1546">
        <v>0</v>
      </c>
      <c r="AA1546">
        <v>0</v>
      </c>
      <c r="AB1546">
        <v>0</v>
      </c>
      <c r="AC1546">
        <v>0</v>
      </c>
      <c r="AD1546">
        <v>1</v>
      </c>
      <c r="AE1546">
        <v>0</v>
      </c>
      <c r="AF1546">
        <v>0</v>
      </c>
      <c r="AG1546">
        <v>0</v>
      </c>
      <c r="AH1546">
        <v>0</v>
      </c>
      <c r="AI1546">
        <v>0</v>
      </c>
      <c r="AJ1546">
        <v>0</v>
      </c>
      <c r="AK1546">
        <v>0</v>
      </c>
    </row>
    <row r="1547" spans="1:37" x14ac:dyDescent="0.3">
      <c r="A1547">
        <v>7979</v>
      </c>
      <c r="B1547" t="s">
        <v>219</v>
      </c>
      <c r="D1547" t="s">
        <v>327</v>
      </c>
      <c r="E1547">
        <v>99999999</v>
      </c>
      <c r="F1547">
        <v>11111111</v>
      </c>
      <c r="G1547">
        <v>1111111111</v>
      </c>
      <c r="H1547" t="s">
        <v>5116</v>
      </c>
      <c r="I1547">
        <v>99999999</v>
      </c>
      <c r="J1547" s="188">
        <v>45236</v>
      </c>
      <c r="K1547" t="s">
        <v>5116</v>
      </c>
      <c r="L1547" t="s">
        <v>5116</v>
      </c>
      <c r="M1547" t="s">
        <v>2179</v>
      </c>
      <c r="N1547" t="s">
        <v>99</v>
      </c>
      <c r="O1547" t="s">
        <v>2180</v>
      </c>
      <c r="P1547" t="s">
        <v>221</v>
      </c>
      <c r="Q1547" t="s">
        <v>82</v>
      </c>
      <c r="R1547">
        <v>2</v>
      </c>
      <c r="S1547">
        <v>25.15</v>
      </c>
      <c r="T1547">
        <v>0</v>
      </c>
      <c r="U1547">
        <v>1</v>
      </c>
      <c r="V1547">
        <v>2</v>
      </c>
      <c r="W1547">
        <v>40.32</v>
      </c>
      <c r="X1547">
        <v>0</v>
      </c>
      <c r="Y1547">
        <v>0</v>
      </c>
      <c r="Z1547">
        <v>0</v>
      </c>
      <c r="AA1547">
        <v>0</v>
      </c>
      <c r="AB1547">
        <v>0</v>
      </c>
      <c r="AC1547">
        <v>0</v>
      </c>
      <c r="AD1547">
        <v>2</v>
      </c>
      <c r="AE1547">
        <v>0</v>
      </c>
      <c r="AF1547">
        <v>0</v>
      </c>
      <c r="AG1547">
        <v>0</v>
      </c>
      <c r="AH1547">
        <v>0</v>
      </c>
      <c r="AI1547">
        <v>0</v>
      </c>
      <c r="AJ1547">
        <v>0</v>
      </c>
      <c r="AK1547">
        <v>0</v>
      </c>
    </row>
    <row r="1548" spans="1:37" x14ac:dyDescent="0.3">
      <c r="A1548">
        <v>7979</v>
      </c>
      <c r="B1548" t="s">
        <v>219</v>
      </c>
      <c r="D1548" t="s">
        <v>327</v>
      </c>
      <c r="E1548">
        <v>99999999</v>
      </c>
      <c r="F1548">
        <v>11111111</v>
      </c>
      <c r="G1548">
        <v>1111111111</v>
      </c>
      <c r="H1548" t="s">
        <v>5117</v>
      </c>
      <c r="I1548">
        <v>99999999</v>
      </c>
      <c r="J1548" s="188">
        <v>45236</v>
      </c>
      <c r="K1548" t="s">
        <v>5117</v>
      </c>
      <c r="L1548" t="s">
        <v>5117</v>
      </c>
      <c r="M1548" t="s">
        <v>618</v>
      </c>
      <c r="N1548" t="s">
        <v>99</v>
      </c>
      <c r="O1548" t="s">
        <v>2181</v>
      </c>
      <c r="P1548" t="s">
        <v>221</v>
      </c>
      <c r="Q1548" t="s">
        <v>82</v>
      </c>
      <c r="R1548">
        <v>1</v>
      </c>
      <c r="S1548">
        <v>15</v>
      </c>
      <c r="T1548">
        <v>0</v>
      </c>
      <c r="U1548">
        <v>1</v>
      </c>
      <c r="V1548">
        <v>1</v>
      </c>
      <c r="W1548">
        <v>25.23</v>
      </c>
      <c r="X1548">
        <v>0</v>
      </c>
      <c r="Y1548">
        <v>0</v>
      </c>
      <c r="Z1548">
        <v>0</v>
      </c>
      <c r="AA1548">
        <v>0</v>
      </c>
      <c r="AB1548">
        <v>0</v>
      </c>
      <c r="AC1548">
        <v>0</v>
      </c>
      <c r="AD1548">
        <v>1</v>
      </c>
      <c r="AE1548">
        <v>0</v>
      </c>
      <c r="AF1548">
        <v>0</v>
      </c>
      <c r="AG1548">
        <v>0</v>
      </c>
      <c r="AH1548">
        <v>0</v>
      </c>
      <c r="AI1548">
        <v>0</v>
      </c>
      <c r="AJ1548">
        <v>0</v>
      </c>
      <c r="AK1548">
        <v>0</v>
      </c>
    </row>
    <row r="1549" spans="1:37" x14ac:dyDescent="0.3">
      <c r="A1549">
        <v>7979</v>
      </c>
      <c r="B1549" t="s">
        <v>219</v>
      </c>
      <c r="D1549" t="s">
        <v>327</v>
      </c>
      <c r="E1549">
        <v>99999999</v>
      </c>
      <c r="F1549">
        <v>11111111</v>
      </c>
      <c r="G1549">
        <v>1111111111</v>
      </c>
      <c r="H1549" t="s">
        <v>5118</v>
      </c>
      <c r="I1549">
        <v>99999999</v>
      </c>
      <c r="J1549" s="188">
        <v>45236</v>
      </c>
      <c r="K1549" t="s">
        <v>5118</v>
      </c>
      <c r="L1549" t="s">
        <v>5118</v>
      </c>
      <c r="M1549" t="s">
        <v>1198</v>
      </c>
      <c r="N1549" t="s">
        <v>99</v>
      </c>
      <c r="O1549" t="s">
        <v>2182</v>
      </c>
      <c r="P1549" t="s">
        <v>221</v>
      </c>
      <c r="Q1549" t="s">
        <v>82</v>
      </c>
      <c r="R1549">
        <v>1</v>
      </c>
      <c r="S1549">
        <v>1</v>
      </c>
      <c r="T1549">
        <v>0</v>
      </c>
      <c r="U1549">
        <v>1</v>
      </c>
      <c r="V1549">
        <v>1</v>
      </c>
      <c r="W1549">
        <v>26.91</v>
      </c>
      <c r="X1549">
        <v>0</v>
      </c>
      <c r="Y1549">
        <v>0</v>
      </c>
      <c r="Z1549">
        <v>0</v>
      </c>
      <c r="AA1549">
        <v>0</v>
      </c>
      <c r="AB1549">
        <v>0</v>
      </c>
      <c r="AC1549">
        <v>0</v>
      </c>
      <c r="AD1549">
        <v>1</v>
      </c>
      <c r="AE1549">
        <v>0</v>
      </c>
      <c r="AF1549">
        <v>0</v>
      </c>
      <c r="AG1549">
        <v>0</v>
      </c>
      <c r="AH1549">
        <v>0</v>
      </c>
      <c r="AI1549">
        <v>0</v>
      </c>
      <c r="AJ1549">
        <v>0</v>
      </c>
      <c r="AK1549">
        <v>0</v>
      </c>
    </row>
    <row r="1550" spans="1:37" x14ac:dyDescent="0.3">
      <c r="A1550">
        <v>7979</v>
      </c>
      <c r="B1550" t="s">
        <v>219</v>
      </c>
      <c r="D1550" t="s">
        <v>327</v>
      </c>
      <c r="E1550">
        <v>99999999</v>
      </c>
      <c r="F1550">
        <v>11111111</v>
      </c>
      <c r="G1550">
        <v>1111111111</v>
      </c>
      <c r="H1550" t="s">
        <v>5119</v>
      </c>
      <c r="I1550">
        <v>99999999</v>
      </c>
      <c r="J1550" s="188">
        <v>45236</v>
      </c>
      <c r="K1550" t="s">
        <v>5119</v>
      </c>
      <c r="L1550" t="s">
        <v>5119</v>
      </c>
      <c r="M1550" t="s">
        <v>2183</v>
      </c>
      <c r="N1550" t="s">
        <v>164</v>
      </c>
      <c r="O1550">
        <v>97383</v>
      </c>
      <c r="P1550" t="s">
        <v>221</v>
      </c>
      <c r="Q1550" t="s">
        <v>82</v>
      </c>
      <c r="R1550">
        <v>1</v>
      </c>
      <c r="S1550">
        <v>10.6</v>
      </c>
      <c r="T1550">
        <v>0</v>
      </c>
      <c r="U1550">
        <v>1</v>
      </c>
      <c r="V1550">
        <v>1</v>
      </c>
      <c r="W1550">
        <v>30.95</v>
      </c>
      <c r="X1550">
        <v>0</v>
      </c>
      <c r="Y1550">
        <v>0</v>
      </c>
      <c r="Z1550">
        <v>0</v>
      </c>
      <c r="AA1550">
        <v>0</v>
      </c>
      <c r="AB1550">
        <v>0</v>
      </c>
      <c r="AC1550">
        <v>0</v>
      </c>
      <c r="AD1550">
        <v>1</v>
      </c>
      <c r="AE1550">
        <v>0</v>
      </c>
      <c r="AF1550">
        <v>0</v>
      </c>
      <c r="AG1550">
        <v>0</v>
      </c>
      <c r="AH1550">
        <v>0</v>
      </c>
      <c r="AI1550">
        <v>0</v>
      </c>
      <c r="AJ1550">
        <v>0</v>
      </c>
      <c r="AK1550">
        <v>0</v>
      </c>
    </row>
    <row r="1551" spans="1:37" x14ac:dyDescent="0.3">
      <c r="A1551">
        <v>7979</v>
      </c>
      <c r="B1551" t="s">
        <v>219</v>
      </c>
      <c r="D1551" t="s">
        <v>327</v>
      </c>
      <c r="E1551">
        <v>99999999</v>
      </c>
      <c r="F1551">
        <v>11111111</v>
      </c>
      <c r="G1551">
        <v>1111111111</v>
      </c>
      <c r="H1551" t="s">
        <v>5120</v>
      </c>
      <c r="I1551">
        <v>99999999</v>
      </c>
      <c r="J1551" s="188">
        <v>45236</v>
      </c>
      <c r="K1551" t="s">
        <v>5120</v>
      </c>
      <c r="L1551" t="s">
        <v>5120</v>
      </c>
      <c r="M1551" t="s">
        <v>1187</v>
      </c>
      <c r="N1551" t="s">
        <v>99</v>
      </c>
      <c r="O1551" t="s">
        <v>2178</v>
      </c>
      <c r="P1551" t="s">
        <v>221</v>
      </c>
      <c r="Q1551" t="s">
        <v>82</v>
      </c>
      <c r="R1551">
        <v>1</v>
      </c>
      <c r="S1551">
        <v>8</v>
      </c>
      <c r="T1551">
        <v>0</v>
      </c>
      <c r="U1551">
        <v>1</v>
      </c>
      <c r="V1551">
        <v>1</v>
      </c>
      <c r="W1551">
        <v>27.58</v>
      </c>
      <c r="X1551">
        <v>0</v>
      </c>
      <c r="Y1551">
        <v>0</v>
      </c>
      <c r="Z1551">
        <v>0</v>
      </c>
      <c r="AA1551">
        <v>0</v>
      </c>
      <c r="AB1551">
        <v>0</v>
      </c>
      <c r="AC1551">
        <v>0</v>
      </c>
      <c r="AD1551">
        <v>1</v>
      </c>
      <c r="AE1551">
        <v>0</v>
      </c>
      <c r="AF1551">
        <v>0</v>
      </c>
      <c r="AG1551">
        <v>0</v>
      </c>
      <c r="AH1551">
        <v>0</v>
      </c>
      <c r="AI1551">
        <v>0</v>
      </c>
      <c r="AJ1551">
        <v>0</v>
      </c>
      <c r="AK1551">
        <v>0</v>
      </c>
    </row>
    <row r="1552" spans="1:37" x14ac:dyDescent="0.3">
      <c r="A1552">
        <v>7979</v>
      </c>
      <c r="B1552" t="s">
        <v>219</v>
      </c>
      <c r="D1552" t="s">
        <v>327</v>
      </c>
      <c r="E1552">
        <v>99999999</v>
      </c>
      <c r="F1552">
        <v>11111111</v>
      </c>
      <c r="G1552">
        <v>1111111111</v>
      </c>
      <c r="H1552" t="s">
        <v>5121</v>
      </c>
      <c r="I1552">
        <v>99999999</v>
      </c>
      <c r="J1552" s="188">
        <v>45236</v>
      </c>
      <c r="K1552" t="s">
        <v>5121</v>
      </c>
      <c r="L1552" t="s">
        <v>5121</v>
      </c>
      <c r="M1552" t="s">
        <v>2184</v>
      </c>
      <c r="N1552" t="s">
        <v>97</v>
      </c>
      <c r="O1552" t="s">
        <v>2185</v>
      </c>
      <c r="P1552" t="s">
        <v>221</v>
      </c>
      <c r="Q1552" t="s">
        <v>82</v>
      </c>
      <c r="R1552">
        <v>3</v>
      </c>
      <c r="S1552">
        <v>1.55</v>
      </c>
      <c r="T1552">
        <v>0</v>
      </c>
      <c r="U1552">
        <v>1</v>
      </c>
      <c r="V1552">
        <v>3</v>
      </c>
      <c r="W1552">
        <v>28</v>
      </c>
      <c r="X1552">
        <v>0</v>
      </c>
      <c r="Y1552">
        <v>0</v>
      </c>
      <c r="Z1552">
        <v>0</v>
      </c>
      <c r="AA1552">
        <v>0</v>
      </c>
      <c r="AB1552">
        <v>0</v>
      </c>
      <c r="AC1552">
        <v>0</v>
      </c>
      <c r="AD1552">
        <v>3</v>
      </c>
      <c r="AE1552">
        <v>0</v>
      </c>
      <c r="AF1552">
        <v>0</v>
      </c>
      <c r="AG1552">
        <v>0</v>
      </c>
      <c r="AH1552">
        <v>0</v>
      </c>
      <c r="AI1552">
        <v>0</v>
      </c>
      <c r="AJ1552">
        <v>0</v>
      </c>
      <c r="AK1552">
        <v>0</v>
      </c>
    </row>
    <row r="1553" spans="1:37" x14ac:dyDescent="0.3">
      <c r="A1553">
        <v>7979</v>
      </c>
      <c r="B1553" t="s">
        <v>219</v>
      </c>
      <c r="D1553" t="s">
        <v>327</v>
      </c>
      <c r="E1553">
        <v>99999999</v>
      </c>
      <c r="F1553">
        <v>11111111</v>
      </c>
      <c r="G1553">
        <v>1111111111</v>
      </c>
      <c r="H1553" t="s">
        <v>5122</v>
      </c>
      <c r="I1553">
        <v>99999999</v>
      </c>
      <c r="J1553" s="188">
        <v>45236</v>
      </c>
      <c r="K1553" t="s">
        <v>5122</v>
      </c>
      <c r="L1553" t="s">
        <v>5122</v>
      </c>
      <c r="M1553" t="s">
        <v>2186</v>
      </c>
      <c r="N1553" t="s">
        <v>99</v>
      </c>
      <c r="O1553" t="s">
        <v>2187</v>
      </c>
      <c r="P1553" t="s">
        <v>221</v>
      </c>
      <c r="Q1553" t="s">
        <v>82</v>
      </c>
      <c r="R1553">
        <v>4</v>
      </c>
      <c r="S1553">
        <v>5.95</v>
      </c>
      <c r="T1553">
        <v>0</v>
      </c>
      <c r="U1553">
        <v>1</v>
      </c>
      <c r="V1553">
        <v>4</v>
      </c>
      <c r="W1553">
        <v>29.66</v>
      </c>
      <c r="X1553">
        <v>0</v>
      </c>
      <c r="Y1553">
        <v>0</v>
      </c>
      <c r="Z1553">
        <v>0</v>
      </c>
      <c r="AA1553">
        <v>0</v>
      </c>
      <c r="AB1553">
        <v>0</v>
      </c>
      <c r="AC1553">
        <v>0</v>
      </c>
      <c r="AD1553">
        <v>4</v>
      </c>
      <c r="AE1553">
        <v>0</v>
      </c>
      <c r="AF1553">
        <v>0</v>
      </c>
      <c r="AG1553">
        <v>0</v>
      </c>
      <c r="AH1553">
        <v>0</v>
      </c>
      <c r="AI1553">
        <v>0</v>
      </c>
      <c r="AJ1553">
        <v>0</v>
      </c>
      <c r="AK1553">
        <v>0</v>
      </c>
    </row>
    <row r="1554" spans="1:37" x14ac:dyDescent="0.3">
      <c r="A1554">
        <v>7979</v>
      </c>
      <c r="B1554" t="s">
        <v>219</v>
      </c>
      <c r="D1554" t="s">
        <v>327</v>
      </c>
      <c r="E1554">
        <v>99999999</v>
      </c>
      <c r="F1554">
        <v>11111111</v>
      </c>
      <c r="G1554">
        <v>1111111111</v>
      </c>
      <c r="H1554" t="s">
        <v>5123</v>
      </c>
      <c r="I1554">
        <v>99999999</v>
      </c>
      <c r="J1554" s="188">
        <v>45236</v>
      </c>
      <c r="K1554" t="s">
        <v>5123</v>
      </c>
      <c r="L1554" t="s">
        <v>5123</v>
      </c>
      <c r="M1554" t="s">
        <v>1885</v>
      </c>
      <c r="N1554" t="s">
        <v>99</v>
      </c>
      <c r="O1554" t="s">
        <v>2188</v>
      </c>
      <c r="P1554" t="s">
        <v>221</v>
      </c>
      <c r="Q1554" t="s">
        <v>82</v>
      </c>
      <c r="R1554">
        <v>4</v>
      </c>
      <c r="S1554">
        <v>26.065999999999999</v>
      </c>
      <c r="T1554">
        <v>0</v>
      </c>
      <c r="U1554">
        <v>1</v>
      </c>
      <c r="V1554">
        <v>3</v>
      </c>
      <c r="W1554">
        <v>32.58</v>
      </c>
      <c r="X1554">
        <v>0</v>
      </c>
      <c r="Y1554">
        <v>0</v>
      </c>
      <c r="Z1554">
        <v>0</v>
      </c>
      <c r="AA1554">
        <v>0</v>
      </c>
      <c r="AB1554">
        <v>0</v>
      </c>
      <c r="AC1554">
        <v>0</v>
      </c>
      <c r="AD1554">
        <v>4</v>
      </c>
      <c r="AE1554">
        <v>0</v>
      </c>
      <c r="AF1554">
        <v>0</v>
      </c>
      <c r="AG1554">
        <v>0</v>
      </c>
      <c r="AH1554">
        <v>0</v>
      </c>
      <c r="AI1554">
        <v>0</v>
      </c>
      <c r="AJ1554">
        <v>0</v>
      </c>
      <c r="AK1554">
        <v>0</v>
      </c>
    </row>
    <row r="1555" spans="1:37" x14ac:dyDescent="0.3">
      <c r="A1555">
        <v>7979</v>
      </c>
      <c r="B1555" t="s">
        <v>219</v>
      </c>
      <c r="D1555" t="s">
        <v>327</v>
      </c>
      <c r="E1555">
        <v>99999999</v>
      </c>
      <c r="F1555">
        <v>11111111</v>
      </c>
      <c r="G1555">
        <v>1111111111</v>
      </c>
      <c r="H1555" t="s">
        <v>5124</v>
      </c>
      <c r="I1555">
        <v>99999999</v>
      </c>
      <c r="J1555" s="188">
        <v>45236</v>
      </c>
      <c r="K1555" t="s">
        <v>5124</v>
      </c>
      <c r="L1555" t="s">
        <v>5124</v>
      </c>
      <c r="M1555" t="s">
        <v>1072</v>
      </c>
      <c r="N1555" t="s">
        <v>99</v>
      </c>
      <c r="O1555" t="s">
        <v>2189</v>
      </c>
      <c r="P1555" t="s">
        <v>221</v>
      </c>
      <c r="Q1555" t="s">
        <v>82</v>
      </c>
      <c r="R1555">
        <v>3</v>
      </c>
      <c r="S1555">
        <v>10.25</v>
      </c>
      <c r="T1555">
        <v>0</v>
      </c>
      <c r="U1555">
        <v>1</v>
      </c>
      <c r="V1555">
        <v>3</v>
      </c>
      <c r="W1555">
        <v>30.77</v>
      </c>
      <c r="X1555">
        <v>0</v>
      </c>
      <c r="Y1555">
        <v>0</v>
      </c>
      <c r="Z1555">
        <v>0</v>
      </c>
      <c r="AA1555">
        <v>0</v>
      </c>
      <c r="AB1555">
        <v>0</v>
      </c>
      <c r="AC1555">
        <v>0</v>
      </c>
      <c r="AD1555">
        <v>3</v>
      </c>
      <c r="AE1555">
        <v>0</v>
      </c>
      <c r="AF1555">
        <v>0</v>
      </c>
      <c r="AG1555">
        <v>0</v>
      </c>
      <c r="AH1555">
        <v>0</v>
      </c>
      <c r="AI1555">
        <v>0</v>
      </c>
      <c r="AJ1555">
        <v>0</v>
      </c>
      <c r="AK1555">
        <v>0</v>
      </c>
    </row>
    <row r="1556" spans="1:37" x14ac:dyDescent="0.3">
      <c r="A1556">
        <v>7979</v>
      </c>
      <c r="B1556" t="s">
        <v>219</v>
      </c>
      <c r="D1556" t="s">
        <v>327</v>
      </c>
      <c r="E1556">
        <v>99999999</v>
      </c>
      <c r="F1556">
        <v>11111111</v>
      </c>
      <c r="G1556">
        <v>1111111111</v>
      </c>
      <c r="H1556" t="s">
        <v>5125</v>
      </c>
      <c r="I1556">
        <v>99999999</v>
      </c>
      <c r="J1556" s="188">
        <v>45236</v>
      </c>
      <c r="K1556" t="s">
        <v>5125</v>
      </c>
      <c r="L1556" t="s">
        <v>5125</v>
      </c>
      <c r="M1556" t="s">
        <v>2190</v>
      </c>
      <c r="N1556" t="s">
        <v>228</v>
      </c>
      <c r="O1556" t="s">
        <v>2191</v>
      </c>
      <c r="P1556" t="s">
        <v>221</v>
      </c>
      <c r="Q1556" t="s">
        <v>82</v>
      </c>
      <c r="R1556">
        <v>2</v>
      </c>
      <c r="S1556">
        <v>6</v>
      </c>
      <c r="T1556">
        <v>0</v>
      </c>
      <c r="U1556">
        <v>1</v>
      </c>
      <c r="V1556">
        <v>2</v>
      </c>
      <c r="W1556">
        <v>28.15</v>
      </c>
      <c r="X1556">
        <v>0</v>
      </c>
      <c r="Y1556">
        <v>0</v>
      </c>
      <c r="Z1556">
        <v>0</v>
      </c>
      <c r="AA1556">
        <v>0</v>
      </c>
      <c r="AB1556">
        <v>0</v>
      </c>
      <c r="AC1556">
        <v>0</v>
      </c>
      <c r="AD1556">
        <v>2</v>
      </c>
      <c r="AE1556">
        <v>0</v>
      </c>
      <c r="AF1556">
        <v>0</v>
      </c>
      <c r="AG1556">
        <v>0</v>
      </c>
      <c r="AH1556">
        <v>0</v>
      </c>
      <c r="AI1556">
        <v>0</v>
      </c>
      <c r="AJ1556">
        <v>0</v>
      </c>
      <c r="AK1556">
        <v>0</v>
      </c>
    </row>
    <row r="1557" spans="1:37" x14ac:dyDescent="0.3">
      <c r="A1557">
        <v>7979</v>
      </c>
      <c r="B1557" t="s">
        <v>219</v>
      </c>
      <c r="D1557" t="s">
        <v>327</v>
      </c>
      <c r="E1557">
        <v>99999999</v>
      </c>
      <c r="F1557">
        <v>11111111</v>
      </c>
      <c r="G1557">
        <v>1111111111</v>
      </c>
      <c r="H1557" t="s">
        <v>5126</v>
      </c>
      <c r="I1557">
        <v>99999999</v>
      </c>
      <c r="J1557" s="188">
        <v>45237</v>
      </c>
      <c r="K1557" t="s">
        <v>5126</v>
      </c>
      <c r="L1557" t="s">
        <v>5126</v>
      </c>
      <c r="M1557" t="s">
        <v>514</v>
      </c>
      <c r="N1557" t="s">
        <v>99</v>
      </c>
      <c r="O1557" t="s">
        <v>2192</v>
      </c>
      <c r="P1557" t="s">
        <v>221</v>
      </c>
      <c r="Q1557" t="s">
        <v>82</v>
      </c>
      <c r="R1557">
        <v>29</v>
      </c>
      <c r="S1557">
        <v>39.869999999999997</v>
      </c>
      <c r="T1557">
        <v>0</v>
      </c>
      <c r="U1557">
        <v>1</v>
      </c>
      <c r="V1557">
        <v>11</v>
      </c>
      <c r="W1557">
        <v>32.659999999999997</v>
      </c>
      <c r="X1557">
        <v>0</v>
      </c>
      <c r="Y1557">
        <v>0</v>
      </c>
      <c r="Z1557">
        <v>0</v>
      </c>
      <c r="AA1557">
        <v>0</v>
      </c>
      <c r="AB1557">
        <v>0</v>
      </c>
      <c r="AC1557">
        <v>0</v>
      </c>
      <c r="AD1557">
        <v>29</v>
      </c>
      <c r="AE1557">
        <v>0</v>
      </c>
      <c r="AF1557">
        <v>0</v>
      </c>
      <c r="AG1557">
        <v>0</v>
      </c>
      <c r="AH1557">
        <v>0</v>
      </c>
      <c r="AI1557">
        <v>0</v>
      </c>
      <c r="AJ1557">
        <v>0</v>
      </c>
      <c r="AK1557">
        <v>0</v>
      </c>
    </row>
    <row r="1558" spans="1:37" x14ac:dyDescent="0.3">
      <c r="A1558">
        <v>7979</v>
      </c>
      <c r="B1558" t="s">
        <v>219</v>
      </c>
      <c r="D1558" t="s">
        <v>327</v>
      </c>
      <c r="E1558">
        <v>99999999</v>
      </c>
      <c r="F1558">
        <v>11111111</v>
      </c>
      <c r="G1558">
        <v>1111111111</v>
      </c>
      <c r="H1558" t="s">
        <v>5127</v>
      </c>
      <c r="I1558">
        <v>99999999</v>
      </c>
      <c r="J1558" s="188">
        <v>45236</v>
      </c>
      <c r="K1558" t="s">
        <v>5127</v>
      </c>
      <c r="L1558" t="s">
        <v>5127</v>
      </c>
      <c r="M1558" t="s">
        <v>2131</v>
      </c>
      <c r="N1558" t="s">
        <v>99</v>
      </c>
      <c r="O1558">
        <v>95361</v>
      </c>
      <c r="P1558" t="s">
        <v>221</v>
      </c>
      <c r="Q1558" t="s">
        <v>82</v>
      </c>
      <c r="R1558">
        <v>4</v>
      </c>
      <c r="S1558">
        <v>4.4130000000000003</v>
      </c>
      <c r="T1558">
        <v>0</v>
      </c>
      <c r="U1558">
        <v>1</v>
      </c>
      <c r="V1558">
        <v>3</v>
      </c>
      <c r="W1558">
        <v>26.02</v>
      </c>
      <c r="X1558">
        <v>0</v>
      </c>
      <c r="Y1558">
        <v>0</v>
      </c>
      <c r="Z1558">
        <v>0</v>
      </c>
      <c r="AA1558">
        <v>0</v>
      </c>
      <c r="AB1558">
        <v>0</v>
      </c>
      <c r="AC1558">
        <v>0</v>
      </c>
      <c r="AD1558">
        <v>4</v>
      </c>
      <c r="AE1558">
        <v>0</v>
      </c>
      <c r="AF1558">
        <v>0</v>
      </c>
      <c r="AG1558">
        <v>0</v>
      </c>
      <c r="AH1558">
        <v>0</v>
      </c>
      <c r="AI1558">
        <v>0</v>
      </c>
      <c r="AJ1558">
        <v>0</v>
      </c>
      <c r="AK1558">
        <v>0</v>
      </c>
    </row>
    <row r="1559" spans="1:37" x14ac:dyDescent="0.3">
      <c r="A1559">
        <v>7979</v>
      </c>
      <c r="B1559" t="s">
        <v>219</v>
      </c>
      <c r="D1559" t="s">
        <v>327</v>
      </c>
      <c r="E1559">
        <v>99999999</v>
      </c>
      <c r="F1559">
        <v>11111111</v>
      </c>
      <c r="G1559">
        <v>1111111111</v>
      </c>
      <c r="H1559" t="s">
        <v>5128</v>
      </c>
      <c r="I1559">
        <v>99999999</v>
      </c>
      <c r="J1559" s="188">
        <v>45236</v>
      </c>
      <c r="K1559" t="s">
        <v>5128</v>
      </c>
      <c r="L1559" t="s">
        <v>5128</v>
      </c>
      <c r="M1559" t="s">
        <v>1445</v>
      </c>
      <c r="N1559" t="s">
        <v>99</v>
      </c>
      <c r="O1559">
        <v>95065</v>
      </c>
      <c r="P1559" t="s">
        <v>221</v>
      </c>
      <c r="Q1559" t="s">
        <v>82</v>
      </c>
      <c r="R1559">
        <v>2</v>
      </c>
      <c r="S1559">
        <v>0.53</v>
      </c>
      <c r="T1559">
        <v>0</v>
      </c>
      <c r="U1559">
        <v>1</v>
      </c>
      <c r="V1559">
        <v>2</v>
      </c>
      <c r="W1559">
        <v>19.940000000000001</v>
      </c>
      <c r="X1559">
        <v>0</v>
      </c>
      <c r="Y1559">
        <v>0</v>
      </c>
      <c r="Z1559">
        <v>0</v>
      </c>
      <c r="AA1559">
        <v>0</v>
      </c>
      <c r="AB1559">
        <v>0</v>
      </c>
      <c r="AC1559">
        <v>0</v>
      </c>
      <c r="AD1559">
        <v>2</v>
      </c>
      <c r="AE1559">
        <v>0</v>
      </c>
      <c r="AF1559">
        <v>0</v>
      </c>
      <c r="AG1559">
        <v>0</v>
      </c>
      <c r="AH1559">
        <v>0</v>
      </c>
      <c r="AI1559">
        <v>0</v>
      </c>
      <c r="AJ1559">
        <v>0</v>
      </c>
      <c r="AK1559">
        <v>0</v>
      </c>
    </row>
    <row r="1560" spans="1:37" x14ac:dyDescent="0.3">
      <c r="A1560">
        <v>7979</v>
      </c>
      <c r="B1560" t="s">
        <v>219</v>
      </c>
      <c r="D1560" t="s">
        <v>327</v>
      </c>
      <c r="E1560">
        <v>99999999</v>
      </c>
      <c r="F1560">
        <v>11111111</v>
      </c>
      <c r="G1560">
        <v>1111111111</v>
      </c>
      <c r="H1560" t="s">
        <v>5129</v>
      </c>
      <c r="I1560">
        <v>99999999</v>
      </c>
      <c r="J1560" s="188">
        <v>45236</v>
      </c>
      <c r="K1560" t="s">
        <v>5129</v>
      </c>
      <c r="L1560" t="s">
        <v>5129</v>
      </c>
      <c r="M1560" t="s">
        <v>668</v>
      </c>
      <c r="N1560" t="s">
        <v>197</v>
      </c>
      <c r="O1560" t="s">
        <v>669</v>
      </c>
      <c r="P1560" t="s">
        <v>221</v>
      </c>
      <c r="Q1560" t="s">
        <v>82</v>
      </c>
      <c r="R1560">
        <v>1</v>
      </c>
      <c r="S1560">
        <v>0.25</v>
      </c>
      <c r="T1560">
        <v>0</v>
      </c>
      <c r="U1560">
        <v>1</v>
      </c>
      <c r="V1560">
        <v>1</v>
      </c>
      <c r="W1560">
        <v>26.65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1</v>
      </c>
      <c r="AE1560">
        <v>0</v>
      </c>
      <c r="AF1560">
        <v>0</v>
      </c>
      <c r="AG1560">
        <v>0</v>
      </c>
      <c r="AH1560">
        <v>0</v>
      </c>
      <c r="AI1560">
        <v>0</v>
      </c>
      <c r="AJ1560">
        <v>0</v>
      </c>
      <c r="AK1560">
        <v>0</v>
      </c>
    </row>
    <row r="1561" spans="1:37" x14ac:dyDescent="0.3">
      <c r="A1561">
        <v>7979</v>
      </c>
      <c r="B1561" t="s">
        <v>219</v>
      </c>
      <c r="D1561" t="s">
        <v>327</v>
      </c>
      <c r="E1561">
        <v>99999999</v>
      </c>
      <c r="F1561">
        <v>11111111</v>
      </c>
      <c r="G1561">
        <v>1111111111</v>
      </c>
      <c r="H1561" t="s">
        <v>5130</v>
      </c>
      <c r="I1561">
        <v>99999999</v>
      </c>
      <c r="J1561" s="188">
        <v>45236</v>
      </c>
      <c r="K1561" t="s">
        <v>5130</v>
      </c>
      <c r="L1561" t="s">
        <v>5130</v>
      </c>
      <c r="M1561" t="s">
        <v>309</v>
      </c>
      <c r="N1561" t="s">
        <v>97</v>
      </c>
      <c r="O1561" t="s">
        <v>628</v>
      </c>
      <c r="P1561" t="s">
        <v>221</v>
      </c>
      <c r="Q1561" t="s">
        <v>82</v>
      </c>
      <c r="R1561">
        <v>4</v>
      </c>
      <c r="S1561">
        <v>1.2</v>
      </c>
      <c r="T1561">
        <v>0</v>
      </c>
      <c r="U1561">
        <v>1</v>
      </c>
      <c r="V1561">
        <v>1</v>
      </c>
      <c r="W1561">
        <v>21.21</v>
      </c>
      <c r="X1561">
        <v>0</v>
      </c>
      <c r="Y1561">
        <v>0</v>
      </c>
      <c r="Z1561">
        <v>0</v>
      </c>
      <c r="AA1561">
        <v>0</v>
      </c>
      <c r="AB1561">
        <v>0</v>
      </c>
      <c r="AC1561">
        <v>0</v>
      </c>
      <c r="AD1561">
        <v>4</v>
      </c>
      <c r="AE1561">
        <v>0</v>
      </c>
      <c r="AF1561">
        <v>0</v>
      </c>
      <c r="AG1561">
        <v>0</v>
      </c>
      <c r="AH1561">
        <v>0</v>
      </c>
      <c r="AI1561">
        <v>0</v>
      </c>
      <c r="AJ1561">
        <v>0</v>
      </c>
      <c r="AK1561">
        <v>0</v>
      </c>
    </row>
    <row r="1562" spans="1:37" x14ac:dyDescent="0.3">
      <c r="A1562">
        <v>7979</v>
      </c>
      <c r="B1562" t="s">
        <v>219</v>
      </c>
      <c r="D1562" t="s">
        <v>327</v>
      </c>
      <c r="E1562">
        <v>99999999</v>
      </c>
      <c r="F1562">
        <v>11111111</v>
      </c>
      <c r="G1562">
        <v>1111111111</v>
      </c>
      <c r="H1562" t="s">
        <v>5131</v>
      </c>
      <c r="I1562">
        <v>99999999</v>
      </c>
      <c r="J1562" s="188">
        <v>45236</v>
      </c>
      <c r="K1562" t="s">
        <v>5131</v>
      </c>
      <c r="L1562" t="s">
        <v>5131</v>
      </c>
      <c r="M1562" t="s">
        <v>1937</v>
      </c>
      <c r="N1562" t="s">
        <v>99</v>
      </c>
      <c r="O1562" t="s">
        <v>2193</v>
      </c>
      <c r="P1562" t="s">
        <v>221</v>
      </c>
      <c r="Q1562" t="s">
        <v>82</v>
      </c>
      <c r="R1562">
        <v>1</v>
      </c>
      <c r="S1562">
        <v>4</v>
      </c>
      <c r="T1562">
        <v>0</v>
      </c>
      <c r="U1562">
        <v>1</v>
      </c>
      <c r="V1562">
        <v>1</v>
      </c>
      <c r="W1562">
        <v>31.19</v>
      </c>
      <c r="X1562">
        <v>0</v>
      </c>
      <c r="Y1562">
        <v>0</v>
      </c>
      <c r="Z1562">
        <v>0</v>
      </c>
      <c r="AA1562">
        <v>0</v>
      </c>
      <c r="AB1562">
        <v>0</v>
      </c>
      <c r="AC1562">
        <v>0</v>
      </c>
      <c r="AD1562">
        <v>1</v>
      </c>
      <c r="AE1562">
        <v>0</v>
      </c>
      <c r="AF1562">
        <v>0</v>
      </c>
      <c r="AG1562">
        <v>0</v>
      </c>
      <c r="AH1562">
        <v>0</v>
      </c>
      <c r="AI1562">
        <v>0</v>
      </c>
      <c r="AJ1562">
        <v>0</v>
      </c>
      <c r="AK1562">
        <v>0</v>
      </c>
    </row>
    <row r="1563" spans="1:37" x14ac:dyDescent="0.3">
      <c r="A1563">
        <v>7979</v>
      </c>
      <c r="B1563" t="s">
        <v>219</v>
      </c>
      <c r="D1563" t="s">
        <v>327</v>
      </c>
      <c r="E1563">
        <v>99999999</v>
      </c>
      <c r="F1563">
        <v>11111111</v>
      </c>
      <c r="G1563">
        <v>1111111111</v>
      </c>
      <c r="H1563" t="s">
        <v>5132</v>
      </c>
      <c r="I1563">
        <v>99999999</v>
      </c>
      <c r="J1563" s="188">
        <v>45236</v>
      </c>
      <c r="K1563" t="s">
        <v>5132</v>
      </c>
      <c r="L1563" t="s">
        <v>5132</v>
      </c>
      <c r="M1563" t="s">
        <v>718</v>
      </c>
      <c r="N1563" t="s">
        <v>122</v>
      </c>
      <c r="O1563" t="s">
        <v>2194</v>
      </c>
      <c r="P1563" t="s">
        <v>221</v>
      </c>
      <c r="Q1563" t="s">
        <v>82</v>
      </c>
      <c r="R1563">
        <v>1</v>
      </c>
      <c r="S1563">
        <v>35</v>
      </c>
      <c r="T1563">
        <v>0</v>
      </c>
      <c r="U1563">
        <v>1</v>
      </c>
      <c r="V1563">
        <v>1</v>
      </c>
      <c r="W1563">
        <v>52.55</v>
      </c>
      <c r="X1563">
        <v>0</v>
      </c>
      <c r="Y1563">
        <v>0</v>
      </c>
      <c r="Z1563">
        <v>0</v>
      </c>
      <c r="AA1563">
        <v>0</v>
      </c>
      <c r="AB1563">
        <v>0</v>
      </c>
      <c r="AC1563">
        <v>0</v>
      </c>
      <c r="AD1563">
        <v>1</v>
      </c>
      <c r="AE1563">
        <v>0</v>
      </c>
      <c r="AF1563">
        <v>0</v>
      </c>
      <c r="AG1563">
        <v>0</v>
      </c>
      <c r="AH1563">
        <v>0</v>
      </c>
      <c r="AI1563">
        <v>0</v>
      </c>
      <c r="AJ1563">
        <v>0</v>
      </c>
      <c r="AK1563">
        <v>0</v>
      </c>
    </row>
    <row r="1564" spans="1:37" x14ac:dyDescent="0.3">
      <c r="A1564">
        <v>7979</v>
      </c>
      <c r="B1564" t="s">
        <v>219</v>
      </c>
      <c r="D1564" t="s">
        <v>327</v>
      </c>
      <c r="E1564">
        <v>99999999</v>
      </c>
      <c r="F1564">
        <v>11111111</v>
      </c>
      <c r="G1564">
        <v>1111111111</v>
      </c>
      <c r="H1564" t="s">
        <v>5133</v>
      </c>
      <c r="I1564">
        <v>99999999</v>
      </c>
      <c r="J1564" s="188">
        <v>45236</v>
      </c>
      <c r="K1564" t="s">
        <v>5133</v>
      </c>
      <c r="L1564" t="s">
        <v>5133</v>
      </c>
      <c r="M1564" t="s">
        <v>2195</v>
      </c>
      <c r="N1564" t="s">
        <v>130</v>
      </c>
      <c r="O1564" t="s">
        <v>2196</v>
      </c>
      <c r="P1564" t="s">
        <v>221</v>
      </c>
      <c r="Q1564" t="s">
        <v>82</v>
      </c>
      <c r="R1564">
        <v>1</v>
      </c>
      <c r="S1564">
        <v>1.02</v>
      </c>
      <c r="T1564">
        <v>0</v>
      </c>
      <c r="U1564">
        <v>1</v>
      </c>
      <c r="V1564">
        <v>1</v>
      </c>
      <c r="W1564">
        <v>29.8</v>
      </c>
      <c r="X1564">
        <v>0</v>
      </c>
      <c r="Y1564">
        <v>0</v>
      </c>
      <c r="Z1564">
        <v>0</v>
      </c>
      <c r="AA1564">
        <v>0</v>
      </c>
      <c r="AB1564">
        <v>0</v>
      </c>
      <c r="AC1564">
        <v>0</v>
      </c>
      <c r="AD1564">
        <v>1</v>
      </c>
      <c r="AE1564">
        <v>0</v>
      </c>
      <c r="AF1564">
        <v>0</v>
      </c>
      <c r="AG1564">
        <v>0</v>
      </c>
      <c r="AH1564">
        <v>0</v>
      </c>
      <c r="AI1564">
        <v>0</v>
      </c>
      <c r="AJ1564">
        <v>0</v>
      </c>
      <c r="AK1564">
        <v>0</v>
      </c>
    </row>
    <row r="1565" spans="1:37" x14ac:dyDescent="0.3">
      <c r="A1565">
        <v>7979</v>
      </c>
      <c r="B1565" t="s">
        <v>219</v>
      </c>
      <c r="D1565" t="s">
        <v>327</v>
      </c>
      <c r="E1565">
        <v>99999999</v>
      </c>
      <c r="F1565">
        <v>11111111</v>
      </c>
      <c r="G1565">
        <v>1111111111</v>
      </c>
      <c r="H1565" t="s">
        <v>5134</v>
      </c>
      <c r="I1565">
        <v>99999999</v>
      </c>
      <c r="J1565" s="188">
        <v>45236</v>
      </c>
      <c r="K1565" t="s">
        <v>5134</v>
      </c>
      <c r="L1565" t="s">
        <v>5134</v>
      </c>
      <c r="M1565" t="s">
        <v>189</v>
      </c>
      <c r="N1565" t="s">
        <v>99</v>
      </c>
      <c r="O1565" t="s">
        <v>2197</v>
      </c>
      <c r="P1565" t="s">
        <v>221</v>
      </c>
      <c r="Q1565" t="s">
        <v>82</v>
      </c>
      <c r="R1565">
        <v>1</v>
      </c>
      <c r="S1565">
        <v>1.2</v>
      </c>
      <c r="T1565">
        <v>0</v>
      </c>
      <c r="U1565">
        <v>1</v>
      </c>
      <c r="V1565">
        <v>1</v>
      </c>
      <c r="W1565">
        <v>19.940000000000001</v>
      </c>
      <c r="X1565">
        <v>0</v>
      </c>
      <c r="Y1565">
        <v>0</v>
      </c>
      <c r="Z1565">
        <v>0</v>
      </c>
      <c r="AA1565">
        <v>0</v>
      </c>
      <c r="AB1565">
        <v>0</v>
      </c>
      <c r="AC1565">
        <v>0</v>
      </c>
      <c r="AD1565">
        <v>1</v>
      </c>
      <c r="AE1565">
        <v>0</v>
      </c>
      <c r="AF1565">
        <v>0</v>
      </c>
      <c r="AG1565">
        <v>0</v>
      </c>
      <c r="AH1565">
        <v>0</v>
      </c>
      <c r="AI1565">
        <v>0</v>
      </c>
      <c r="AJ1565">
        <v>0</v>
      </c>
      <c r="AK1565">
        <v>0</v>
      </c>
    </row>
    <row r="1566" spans="1:37" x14ac:dyDescent="0.3">
      <c r="A1566">
        <v>7979</v>
      </c>
      <c r="B1566" t="s">
        <v>219</v>
      </c>
      <c r="D1566" t="s">
        <v>327</v>
      </c>
      <c r="E1566">
        <v>99999999</v>
      </c>
      <c r="F1566">
        <v>11111111</v>
      </c>
      <c r="G1566">
        <v>1111111111</v>
      </c>
      <c r="H1566" t="s">
        <v>5135</v>
      </c>
      <c r="I1566">
        <v>99999999</v>
      </c>
      <c r="J1566" s="188">
        <v>45236</v>
      </c>
      <c r="K1566" t="s">
        <v>5135</v>
      </c>
      <c r="L1566" t="s">
        <v>5135</v>
      </c>
      <c r="M1566" t="s">
        <v>2198</v>
      </c>
      <c r="N1566" t="s">
        <v>99</v>
      </c>
      <c r="O1566" t="s">
        <v>2199</v>
      </c>
      <c r="P1566" t="s">
        <v>221</v>
      </c>
      <c r="Q1566" t="s">
        <v>82</v>
      </c>
      <c r="R1566">
        <v>1</v>
      </c>
      <c r="S1566">
        <v>11.666</v>
      </c>
      <c r="T1566">
        <v>0</v>
      </c>
      <c r="U1566">
        <v>1</v>
      </c>
      <c r="V1566">
        <v>1</v>
      </c>
      <c r="W1566">
        <v>33.31</v>
      </c>
      <c r="X1566">
        <v>0</v>
      </c>
      <c r="Y1566">
        <v>0</v>
      </c>
      <c r="Z1566">
        <v>0</v>
      </c>
      <c r="AA1566">
        <v>0</v>
      </c>
      <c r="AB1566">
        <v>0</v>
      </c>
      <c r="AC1566">
        <v>0</v>
      </c>
      <c r="AD1566">
        <v>1</v>
      </c>
      <c r="AE1566">
        <v>0</v>
      </c>
      <c r="AF1566">
        <v>0</v>
      </c>
      <c r="AG1566">
        <v>0</v>
      </c>
      <c r="AH1566">
        <v>0</v>
      </c>
      <c r="AI1566">
        <v>0</v>
      </c>
      <c r="AJ1566">
        <v>0</v>
      </c>
      <c r="AK1566">
        <v>0</v>
      </c>
    </row>
    <row r="1567" spans="1:37" x14ac:dyDescent="0.3">
      <c r="A1567">
        <v>7979</v>
      </c>
      <c r="B1567" t="s">
        <v>219</v>
      </c>
      <c r="D1567" t="s">
        <v>327</v>
      </c>
      <c r="E1567">
        <v>99999999</v>
      </c>
      <c r="F1567">
        <v>11111111</v>
      </c>
      <c r="G1567">
        <v>1111111111</v>
      </c>
      <c r="H1567" t="s">
        <v>5136</v>
      </c>
      <c r="I1567">
        <v>99999999</v>
      </c>
      <c r="J1567" s="188">
        <v>45236</v>
      </c>
      <c r="K1567" t="s">
        <v>5136</v>
      </c>
      <c r="L1567" t="s">
        <v>5136</v>
      </c>
      <c r="M1567" t="s">
        <v>258</v>
      </c>
      <c r="N1567" t="s">
        <v>91</v>
      </c>
      <c r="O1567" t="s">
        <v>2200</v>
      </c>
      <c r="P1567" t="s">
        <v>221</v>
      </c>
      <c r="Q1567" t="s">
        <v>82</v>
      </c>
      <c r="R1567">
        <v>2</v>
      </c>
      <c r="S1567">
        <v>2.25</v>
      </c>
      <c r="T1567">
        <v>0</v>
      </c>
      <c r="U1567">
        <v>1</v>
      </c>
      <c r="V1567">
        <v>1</v>
      </c>
      <c r="W1567">
        <v>22.67</v>
      </c>
      <c r="X1567">
        <v>0</v>
      </c>
      <c r="Y1567">
        <v>0</v>
      </c>
      <c r="Z1567">
        <v>0</v>
      </c>
      <c r="AA1567">
        <v>0</v>
      </c>
      <c r="AB1567">
        <v>0</v>
      </c>
      <c r="AC1567">
        <v>0</v>
      </c>
      <c r="AD1567">
        <v>2</v>
      </c>
      <c r="AE1567">
        <v>0</v>
      </c>
      <c r="AF1567">
        <v>0</v>
      </c>
      <c r="AG1567">
        <v>0</v>
      </c>
      <c r="AH1567">
        <v>0</v>
      </c>
      <c r="AI1567">
        <v>0</v>
      </c>
      <c r="AJ1567">
        <v>0</v>
      </c>
      <c r="AK1567">
        <v>0</v>
      </c>
    </row>
    <row r="1568" spans="1:37" x14ac:dyDescent="0.3">
      <c r="A1568">
        <v>7979</v>
      </c>
      <c r="B1568" t="s">
        <v>219</v>
      </c>
      <c r="D1568" t="s">
        <v>327</v>
      </c>
      <c r="E1568">
        <v>99999999</v>
      </c>
      <c r="F1568">
        <v>11111111</v>
      </c>
      <c r="G1568">
        <v>1111111111</v>
      </c>
      <c r="H1568" t="s">
        <v>5137</v>
      </c>
      <c r="I1568">
        <v>99999999</v>
      </c>
      <c r="J1568" s="188">
        <v>45236</v>
      </c>
      <c r="K1568" t="s">
        <v>5137</v>
      </c>
      <c r="L1568" t="s">
        <v>5137</v>
      </c>
      <c r="M1568" t="s">
        <v>2201</v>
      </c>
      <c r="N1568" t="s">
        <v>164</v>
      </c>
      <c r="O1568">
        <v>97113</v>
      </c>
      <c r="P1568" t="s">
        <v>221</v>
      </c>
      <c r="Q1568" t="s">
        <v>82</v>
      </c>
      <c r="R1568">
        <v>1</v>
      </c>
      <c r="S1568">
        <v>0.49</v>
      </c>
      <c r="T1568">
        <v>0</v>
      </c>
      <c r="U1568">
        <v>1</v>
      </c>
      <c r="V1568">
        <v>1</v>
      </c>
      <c r="W1568">
        <v>25.42</v>
      </c>
      <c r="X1568">
        <v>0</v>
      </c>
      <c r="Y1568">
        <v>0</v>
      </c>
      <c r="Z1568">
        <v>0</v>
      </c>
      <c r="AA1568">
        <v>0</v>
      </c>
      <c r="AB1568">
        <v>0</v>
      </c>
      <c r="AC1568">
        <v>0</v>
      </c>
      <c r="AD1568">
        <v>1</v>
      </c>
      <c r="AE1568">
        <v>0</v>
      </c>
      <c r="AF1568">
        <v>0</v>
      </c>
      <c r="AG1568">
        <v>0</v>
      </c>
      <c r="AH1568">
        <v>0</v>
      </c>
      <c r="AI1568">
        <v>0</v>
      </c>
      <c r="AJ1568">
        <v>0</v>
      </c>
      <c r="AK1568">
        <v>0</v>
      </c>
    </row>
    <row r="1569" spans="1:37" x14ac:dyDescent="0.3">
      <c r="A1569">
        <v>7979</v>
      </c>
      <c r="B1569" t="s">
        <v>219</v>
      </c>
      <c r="D1569" t="s">
        <v>327</v>
      </c>
      <c r="E1569">
        <v>99999999</v>
      </c>
      <c r="F1569">
        <v>11111111</v>
      </c>
      <c r="G1569">
        <v>1111111111</v>
      </c>
      <c r="H1569" t="s">
        <v>5138</v>
      </c>
      <c r="I1569">
        <v>99999999</v>
      </c>
      <c r="J1569" s="188">
        <v>45236</v>
      </c>
      <c r="K1569" t="s">
        <v>5138</v>
      </c>
      <c r="L1569" t="s">
        <v>5138</v>
      </c>
      <c r="M1569" t="s">
        <v>1377</v>
      </c>
      <c r="N1569" t="s">
        <v>164</v>
      </c>
      <c r="O1569">
        <v>97411</v>
      </c>
      <c r="P1569" t="s">
        <v>221</v>
      </c>
      <c r="Q1569" t="s">
        <v>82</v>
      </c>
      <c r="R1569">
        <v>1</v>
      </c>
      <c r="S1569">
        <v>15</v>
      </c>
      <c r="T1569">
        <v>0</v>
      </c>
      <c r="U1569">
        <v>1</v>
      </c>
      <c r="V1569">
        <v>1</v>
      </c>
      <c r="W1569">
        <v>31.98</v>
      </c>
      <c r="X1569">
        <v>0</v>
      </c>
      <c r="Y1569">
        <v>0</v>
      </c>
      <c r="Z1569">
        <v>0</v>
      </c>
      <c r="AA1569">
        <v>0</v>
      </c>
      <c r="AB1569">
        <v>0</v>
      </c>
      <c r="AC1569">
        <v>0</v>
      </c>
      <c r="AD1569">
        <v>1</v>
      </c>
      <c r="AE1569">
        <v>0</v>
      </c>
      <c r="AF1569">
        <v>0</v>
      </c>
      <c r="AG1569">
        <v>0</v>
      </c>
      <c r="AH1569">
        <v>0</v>
      </c>
      <c r="AI1569">
        <v>0</v>
      </c>
      <c r="AJ1569">
        <v>0</v>
      </c>
      <c r="AK1569">
        <v>0</v>
      </c>
    </row>
    <row r="1570" spans="1:37" x14ac:dyDescent="0.3">
      <c r="A1570">
        <v>7979</v>
      </c>
      <c r="B1570" t="s">
        <v>219</v>
      </c>
      <c r="D1570" t="s">
        <v>327</v>
      </c>
      <c r="E1570">
        <v>99999999</v>
      </c>
      <c r="F1570">
        <v>11111111</v>
      </c>
      <c r="G1570">
        <v>1111111111</v>
      </c>
      <c r="H1570" t="s">
        <v>5139</v>
      </c>
      <c r="I1570">
        <v>99999999</v>
      </c>
      <c r="J1570" s="188">
        <v>45236</v>
      </c>
      <c r="K1570" t="s">
        <v>5139</v>
      </c>
      <c r="L1570" t="s">
        <v>5139</v>
      </c>
      <c r="M1570" t="s">
        <v>2202</v>
      </c>
      <c r="N1570" t="s">
        <v>125</v>
      </c>
      <c r="O1570">
        <v>48073</v>
      </c>
      <c r="P1570" t="s">
        <v>221</v>
      </c>
      <c r="Q1570" t="s">
        <v>82</v>
      </c>
      <c r="R1570">
        <v>1</v>
      </c>
      <c r="S1570">
        <v>0.88</v>
      </c>
      <c r="T1570">
        <v>0</v>
      </c>
      <c r="U1570">
        <v>1</v>
      </c>
      <c r="V1570">
        <v>1</v>
      </c>
      <c r="W1570">
        <v>23.1</v>
      </c>
      <c r="X1570">
        <v>0</v>
      </c>
      <c r="Y1570">
        <v>0</v>
      </c>
      <c r="Z1570">
        <v>0</v>
      </c>
      <c r="AA1570">
        <v>0</v>
      </c>
      <c r="AB1570">
        <v>0</v>
      </c>
      <c r="AC1570">
        <v>0</v>
      </c>
      <c r="AD1570">
        <v>1</v>
      </c>
      <c r="AE1570">
        <v>0</v>
      </c>
      <c r="AF1570">
        <v>0</v>
      </c>
      <c r="AG1570">
        <v>0</v>
      </c>
      <c r="AH1570">
        <v>0</v>
      </c>
      <c r="AI1570">
        <v>0</v>
      </c>
      <c r="AJ1570">
        <v>0</v>
      </c>
      <c r="AK1570">
        <v>0</v>
      </c>
    </row>
    <row r="1571" spans="1:37" x14ac:dyDescent="0.3">
      <c r="A1571">
        <v>7979</v>
      </c>
      <c r="B1571" t="s">
        <v>219</v>
      </c>
      <c r="D1571" t="s">
        <v>327</v>
      </c>
      <c r="E1571">
        <v>99999999</v>
      </c>
      <c r="F1571">
        <v>11111111</v>
      </c>
      <c r="G1571">
        <v>1111111111</v>
      </c>
      <c r="H1571" t="s">
        <v>5140</v>
      </c>
      <c r="I1571">
        <v>99999999</v>
      </c>
      <c r="J1571" s="188">
        <v>45236</v>
      </c>
      <c r="K1571" t="s">
        <v>5140</v>
      </c>
      <c r="L1571" t="s">
        <v>5140</v>
      </c>
      <c r="M1571" t="s">
        <v>285</v>
      </c>
      <c r="N1571" t="s">
        <v>99</v>
      </c>
      <c r="O1571" t="s">
        <v>2203</v>
      </c>
      <c r="P1571" t="s">
        <v>221</v>
      </c>
      <c r="Q1571" t="s">
        <v>82</v>
      </c>
      <c r="R1571">
        <v>1</v>
      </c>
      <c r="S1571">
        <v>2</v>
      </c>
      <c r="T1571">
        <v>0</v>
      </c>
      <c r="U1571">
        <v>1</v>
      </c>
      <c r="V1571">
        <v>1</v>
      </c>
      <c r="W1571">
        <v>28</v>
      </c>
      <c r="X1571">
        <v>0</v>
      </c>
      <c r="Y1571">
        <v>0</v>
      </c>
      <c r="Z1571">
        <v>0</v>
      </c>
      <c r="AA1571">
        <v>0</v>
      </c>
      <c r="AB1571">
        <v>0</v>
      </c>
      <c r="AC1571">
        <v>0</v>
      </c>
      <c r="AD1571">
        <v>1</v>
      </c>
      <c r="AE1571">
        <v>0</v>
      </c>
      <c r="AF1571">
        <v>0</v>
      </c>
      <c r="AG1571">
        <v>0</v>
      </c>
      <c r="AH1571">
        <v>0</v>
      </c>
      <c r="AI1571">
        <v>0</v>
      </c>
      <c r="AJ1571">
        <v>0</v>
      </c>
      <c r="AK1571">
        <v>0</v>
      </c>
    </row>
    <row r="1572" spans="1:37" x14ac:dyDescent="0.3">
      <c r="A1572">
        <v>7979</v>
      </c>
      <c r="B1572" t="s">
        <v>219</v>
      </c>
      <c r="D1572" t="s">
        <v>327</v>
      </c>
      <c r="E1572">
        <v>99999999</v>
      </c>
      <c r="F1572">
        <v>11111111</v>
      </c>
      <c r="G1572">
        <v>1111111111</v>
      </c>
      <c r="H1572" t="s">
        <v>5141</v>
      </c>
      <c r="I1572">
        <v>99999999</v>
      </c>
      <c r="J1572" s="188">
        <v>45236</v>
      </c>
      <c r="K1572" t="s">
        <v>5141</v>
      </c>
      <c r="L1572" t="s">
        <v>5141</v>
      </c>
      <c r="M1572" t="s">
        <v>565</v>
      </c>
      <c r="N1572" t="s">
        <v>381</v>
      </c>
      <c r="O1572" t="s">
        <v>2204</v>
      </c>
      <c r="P1572" t="s">
        <v>221</v>
      </c>
      <c r="Q1572" t="s">
        <v>82</v>
      </c>
      <c r="R1572">
        <v>1</v>
      </c>
      <c r="S1572">
        <v>0.15</v>
      </c>
      <c r="T1572">
        <v>0</v>
      </c>
      <c r="U1572">
        <v>1</v>
      </c>
      <c r="V1572">
        <v>1</v>
      </c>
      <c r="W1572">
        <v>26.02</v>
      </c>
      <c r="X1572">
        <v>0</v>
      </c>
      <c r="Y1572">
        <v>0</v>
      </c>
      <c r="Z1572">
        <v>0</v>
      </c>
      <c r="AA1572">
        <v>0</v>
      </c>
      <c r="AB1572">
        <v>0</v>
      </c>
      <c r="AC1572">
        <v>0</v>
      </c>
      <c r="AD1572">
        <v>1</v>
      </c>
      <c r="AE1572">
        <v>0</v>
      </c>
      <c r="AF1572">
        <v>0</v>
      </c>
      <c r="AG1572">
        <v>0</v>
      </c>
      <c r="AH1572">
        <v>0</v>
      </c>
      <c r="AI1572">
        <v>0</v>
      </c>
      <c r="AJ1572">
        <v>0</v>
      </c>
      <c r="AK1572">
        <v>0</v>
      </c>
    </row>
    <row r="1573" spans="1:37" x14ac:dyDescent="0.3">
      <c r="A1573">
        <v>7979</v>
      </c>
      <c r="B1573" t="s">
        <v>219</v>
      </c>
      <c r="D1573" t="s">
        <v>327</v>
      </c>
      <c r="E1573">
        <v>99999999</v>
      </c>
      <c r="F1573">
        <v>11111111</v>
      </c>
      <c r="G1573">
        <v>1111111111</v>
      </c>
      <c r="H1573" t="s">
        <v>5142</v>
      </c>
      <c r="I1573">
        <v>99999999</v>
      </c>
      <c r="J1573" s="188">
        <v>45236</v>
      </c>
      <c r="K1573" t="s">
        <v>5142</v>
      </c>
      <c r="L1573" t="s">
        <v>5142</v>
      </c>
      <c r="M1573" t="s">
        <v>396</v>
      </c>
      <c r="N1573" t="s">
        <v>99</v>
      </c>
      <c r="O1573" t="s">
        <v>2205</v>
      </c>
      <c r="P1573" t="s">
        <v>221</v>
      </c>
      <c r="Q1573" t="s">
        <v>82</v>
      </c>
      <c r="R1573">
        <v>1</v>
      </c>
      <c r="S1573">
        <v>4.4000000000000004</v>
      </c>
      <c r="T1573">
        <v>0</v>
      </c>
      <c r="U1573">
        <v>1</v>
      </c>
      <c r="V1573">
        <v>1</v>
      </c>
      <c r="W1573">
        <v>21.44</v>
      </c>
      <c r="X1573">
        <v>0</v>
      </c>
      <c r="Y1573">
        <v>0</v>
      </c>
      <c r="Z1573">
        <v>0</v>
      </c>
      <c r="AA1573">
        <v>0</v>
      </c>
      <c r="AB1573">
        <v>0</v>
      </c>
      <c r="AC1573">
        <v>0</v>
      </c>
      <c r="AD1573">
        <v>1</v>
      </c>
      <c r="AE1573">
        <v>0</v>
      </c>
      <c r="AF1573">
        <v>0</v>
      </c>
      <c r="AG1573">
        <v>0</v>
      </c>
      <c r="AH1573">
        <v>0</v>
      </c>
      <c r="AI1573">
        <v>0</v>
      </c>
      <c r="AJ1573">
        <v>0</v>
      </c>
      <c r="AK1573">
        <v>0</v>
      </c>
    </row>
    <row r="1574" spans="1:37" x14ac:dyDescent="0.3">
      <c r="A1574">
        <v>7979</v>
      </c>
      <c r="B1574" t="s">
        <v>219</v>
      </c>
      <c r="D1574" t="s">
        <v>327</v>
      </c>
      <c r="E1574">
        <v>99999999</v>
      </c>
      <c r="F1574">
        <v>11111111</v>
      </c>
      <c r="G1574">
        <v>1111111111</v>
      </c>
      <c r="H1574" t="s">
        <v>5143</v>
      </c>
      <c r="I1574">
        <v>99999999</v>
      </c>
      <c r="J1574" s="188">
        <v>45236</v>
      </c>
      <c r="K1574" t="s">
        <v>5143</v>
      </c>
      <c r="L1574" t="s">
        <v>5143</v>
      </c>
      <c r="M1574" t="s">
        <v>358</v>
      </c>
      <c r="N1574" t="s">
        <v>197</v>
      </c>
      <c r="O1574" t="s">
        <v>2206</v>
      </c>
      <c r="P1574" t="s">
        <v>221</v>
      </c>
      <c r="Q1574" t="s">
        <v>82</v>
      </c>
      <c r="R1574">
        <v>2</v>
      </c>
      <c r="S1574">
        <v>15</v>
      </c>
      <c r="T1574">
        <v>0</v>
      </c>
      <c r="U1574">
        <v>1</v>
      </c>
      <c r="V1574">
        <v>1</v>
      </c>
      <c r="W1574">
        <v>32.369999999999997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2</v>
      </c>
      <c r="AE1574">
        <v>0</v>
      </c>
      <c r="AF1574">
        <v>0</v>
      </c>
      <c r="AG1574">
        <v>0</v>
      </c>
      <c r="AH1574">
        <v>0</v>
      </c>
      <c r="AI1574">
        <v>0</v>
      </c>
      <c r="AJ1574">
        <v>0</v>
      </c>
      <c r="AK1574">
        <v>0</v>
      </c>
    </row>
    <row r="1575" spans="1:37" x14ac:dyDescent="0.3">
      <c r="A1575">
        <v>7979</v>
      </c>
      <c r="B1575" t="s">
        <v>219</v>
      </c>
      <c r="D1575" t="s">
        <v>327</v>
      </c>
      <c r="E1575">
        <v>99999999</v>
      </c>
      <c r="F1575">
        <v>11111111</v>
      </c>
      <c r="G1575">
        <v>1111111111</v>
      </c>
      <c r="H1575" t="s">
        <v>5144</v>
      </c>
      <c r="I1575">
        <v>99999999</v>
      </c>
      <c r="J1575" s="188">
        <v>45236</v>
      </c>
      <c r="K1575" t="s">
        <v>5144</v>
      </c>
      <c r="L1575" t="s">
        <v>5144</v>
      </c>
      <c r="M1575" t="s">
        <v>2207</v>
      </c>
      <c r="N1575" t="s">
        <v>118</v>
      </c>
      <c r="O1575" t="s">
        <v>2208</v>
      </c>
      <c r="P1575" t="s">
        <v>221</v>
      </c>
      <c r="Q1575" t="s">
        <v>82</v>
      </c>
      <c r="R1575">
        <v>1</v>
      </c>
      <c r="S1575">
        <v>0.19</v>
      </c>
      <c r="T1575">
        <v>0</v>
      </c>
      <c r="U1575">
        <v>1</v>
      </c>
      <c r="V1575">
        <v>1</v>
      </c>
      <c r="W1575">
        <v>20.78</v>
      </c>
      <c r="X1575">
        <v>0</v>
      </c>
      <c r="Y1575">
        <v>0</v>
      </c>
      <c r="Z1575">
        <v>0</v>
      </c>
      <c r="AA1575">
        <v>0</v>
      </c>
      <c r="AB1575">
        <v>0</v>
      </c>
      <c r="AC1575">
        <v>0</v>
      </c>
      <c r="AD1575">
        <v>1</v>
      </c>
      <c r="AE1575">
        <v>0</v>
      </c>
      <c r="AF1575">
        <v>0</v>
      </c>
      <c r="AG1575">
        <v>0</v>
      </c>
      <c r="AH1575">
        <v>0</v>
      </c>
      <c r="AI1575">
        <v>0</v>
      </c>
      <c r="AJ1575">
        <v>0</v>
      </c>
      <c r="AK1575">
        <v>0</v>
      </c>
    </row>
    <row r="1576" spans="1:37" x14ac:dyDescent="0.3">
      <c r="A1576">
        <v>7979</v>
      </c>
      <c r="B1576" t="s">
        <v>219</v>
      </c>
      <c r="D1576" t="s">
        <v>327</v>
      </c>
      <c r="E1576">
        <v>99999999</v>
      </c>
      <c r="F1576">
        <v>11111111</v>
      </c>
      <c r="G1576">
        <v>1111111111</v>
      </c>
      <c r="H1576" t="s">
        <v>5145</v>
      </c>
      <c r="I1576">
        <v>99999999</v>
      </c>
      <c r="J1576" s="188">
        <v>45236</v>
      </c>
      <c r="K1576" t="s">
        <v>5145</v>
      </c>
      <c r="L1576" t="s">
        <v>5145</v>
      </c>
      <c r="M1576" t="s">
        <v>1062</v>
      </c>
      <c r="N1576" t="s">
        <v>97</v>
      </c>
      <c r="O1576" t="s">
        <v>2209</v>
      </c>
      <c r="P1576" t="s">
        <v>221</v>
      </c>
      <c r="Q1576" t="s">
        <v>82</v>
      </c>
      <c r="R1576">
        <v>1</v>
      </c>
      <c r="S1576">
        <v>2</v>
      </c>
      <c r="T1576">
        <v>0</v>
      </c>
      <c r="U1576">
        <v>1</v>
      </c>
      <c r="V1576">
        <v>1</v>
      </c>
      <c r="W1576">
        <v>21.88</v>
      </c>
      <c r="X1576">
        <v>0</v>
      </c>
      <c r="Y1576">
        <v>0</v>
      </c>
      <c r="Z1576">
        <v>0</v>
      </c>
      <c r="AA1576">
        <v>0</v>
      </c>
      <c r="AB1576">
        <v>0</v>
      </c>
      <c r="AC1576">
        <v>0</v>
      </c>
      <c r="AD1576">
        <v>1</v>
      </c>
      <c r="AE1576">
        <v>0</v>
      </c>
      <c r="AF1576">
        <v>0</v>
      </c>
      <c r="AG1576">
        <v>0</v>
      </c>
      <c r="AH1576">
        <v>0</v>
      </c>
      <c r="AI1576">
        <v>0</v>
      </c>
      <c r="AJ1576">
        <v>0</v>
      </c>
      <c r="AK1576">
        <v>0</v>
      </c>
    </row>
    <row r="1577" spans="1:37" x14ac:dyDescent="0.3">
      <c r="A1577">
        <v>7979</v>
      </c>
      <c r="B1577" t="s">
        <v>219</v>
      </c>
      <c r="D1577" t="s">
        <v>327</v>
      </c>
      <c r="E1577">
        <v>99999999</v>
      </c>
      <c r="F1577">
        <v>11111111</v>
      </c>
      <c r="G1577">
        <v>1111111111</v>
      </c>
      <c r="H1577" t="s">
        <v>5146</v>
      </c>
      <c r="I1577">
        <v>99999999</v>
      </c>
      <c r="J1577" s="188">
        <v>45236</v>
      </c>
      <c r="K1577" t="s">
        <v>5146</v>
      </c>
      <c r="L1577" t="s">
        <v>5146</v>
      </c>
      <c r="M1577" t="s">
        <v>337</v>
      </c>
      <c r="N1577" t="s">
        <v>99</v>
      </c>
      <c r="O1577" t="s">
        <v>2210</v>
      </c>
      <c r="P1577" t="s">
        <v>221</v>
      </c>
      <c r="Q1577" t="s">
        <v>82</v>
      </c>
      <c r="R1577">
        <v>1</v>
      </c>
      <c r="S1577">
        <v>0.11</v>
      </c>
      <c r="T1577">
        <v>0</v>
      </c>
      <c r="U1577">
        <v>1</v>
      </c>
      <c r="V1577">
        <v>1</v>
      </c>
      <c r="W1577">
        <v>17.73</v>
      </c>
      <c r="X1577">
        <v>0</v>
      </c>
      <c r="Y1577">
        <v>0</v>
      </c>
      <c r="Z1577">
        <v>0</v>
      </c>
      <c r="AA1577">
        <v>0</v>
      </c>
      <c r="AB1577">
        <v>0</v>
      </c>
      <c r="AC1577">
        <v>0</v>
      </c>
      <c r="AD1577">
        <v>1</v>
      </c>
      <c r="AE1577">
        <v>0</v>
      </c>
      <c r="AF1577">
        <v>0</v>
      </c>
      <c r="AG1577">
        <v>0</v>
      </c>
      <c r="AH1577">
        <v>0</v>
      </c>
      <c r="AI1577">
        <v>0</v>
      </c>
      <c r="AJ1577">
        <v>0</v>
      </c>
      <c r="AK1577">
        <v>0</v>
      </c>
    </row>
    <row r="1578" spans="1:37" x14ac:dyDescent="0.3">
      <c r="A1578">
        <v>7979</v>
      </c>
      <c r="B1578" t="s">
        <v>219</v>
      </c>
      <c r="D1578" t="s">
        <v>327</v>
      </c>
      <c r="E1578">
        <v>99999999</v>
      </c>
      <c r="F1578">
        <v>11111111</v>
      </c>
      <c r="G1578">
        <v>1111111111</v>
      </c>
      <c r="H1578" t="s">
        <v>5147</v>
      </c>
      <c r="I1578">
        <v>99999999</v>
      </c>
      <c r="J1578" s="188">
        <v>45236</v>
      </c>
      <c r="K1578" t="s">
        <v>5147</v>
      </c>
      <c r="L1578" t="s">
        <v>5147</v>
      </c>
      <c r="M1578" t="s">
        <v>2211</v>
      </c>
      <c r="N1578" t="s">
        <v>164</v>
      </c>
      <c r="O1578" t="s">
        <v>2212</v>
      </c>
      <c r="P1578" t="s">
        <v>221</v>
      </c>
      <c r="Q1578" t="s">
        <v>82</v>
      </c>
      <c r="R1578">
        <v>1</v>
      </c>
      <c r="S1578">
        <v>4.5</v>
      </c>
      <c r="T1578">
        <v>0</v>
      </c>
      <c r="U1578">
        <v>1</v>
      </c>
      <c r="V1578">
        <v>1</v>
      </c>
      <c r="W1578">
        <v>22.93</v>
      </c>
      <c r="X1578">
        <v>0</v>
      </c>
      <c r="Y1578">
        <v>0</v>
      </c>
      <c r="Z1578">
        <v>0</v>
      </c>
      <c r="AA1578">
        <v>0</v>
      </c>
      <c r="AB1578">
        <v>0</v>
      </c>
      <c r="AC1578">
        <v>0</v>
      </c>
      <c r="AD1578">
        <v>1</v>
      </c>
      <c r="AE1578">
        <v>0</v>
      </c>
      <c r="AF1578">
        <v>0</v>
      </c>
      <c r="AG1578">
        <v>0</v>
      </c>
      <c r="AH1578">
        <v>0</v>
      </c>
      <c r="AI1578">
        <v>0</v>
      </c>
      <c r="AJ1578">
        <v>0</v>
      </c>
      <c r="AK1578">
        <v>0</v>
      </c>
    </row>
    <row r="1579" spans="1:37" x14ac:dyDescent="0.3">
      <c r="A1579">
        <v>7979</v>
      </c>
      <c r="B1579" t="s">
        <v>219</v>
      </c>
      <c r="D1579" t="s">
        <v>327</v>
      </c>
      <c r="E1579">
        <v>99999999</v>
      </c>
      <c r="F1579">
        <v>11111111</v>
      </c>
      <c r="G1579">
        <v>1111111111</v>
      </c>
      <c r="H1579" t="s">
        <v>5148</v>
      </c>
      <c r="I1579">
        <v>99999999</v>
      </c>
      <c r="J1579" s="188">
        <v>45236</v>
      </c>
      <c r="K1579" t="s">
        <v>5148</v>
      </c>
      <c r="L1579" t="s">
        <v>5148</v>
      </c>
      <c r="M1579" t="s">
        <v>2213</v>
      </c>
      <c r="N1579" t="s">
        <v>241</v>
      </c>
      <c r="O1579" t="s">
        <v>2214</v>
      </c>
      <c r="P1579" t="s">
        <v>221</v>
      </c>
      <c r="Q1579" t="s">
        <v>82</v>
      </c>
      <c r="R1579">
        <v>1</v>
      </c>
      <c r="S1579">
        <v>1.55</v>
      </c>
      <c r="T1579">
        <v>0</v>
      </c>
      <c r="U1579">
        <v>1</v>
      </c>
      <c r="V1579">
        <v>1</v>
      </c>
      <c r="W1579">
        <v>23.93</v>
      </c>
      <c r="X1579">
        <v>0</v>
      </c>
      <c r="Y1579">
        <v>0</v>
      </c>
      <c r="Z1579">
        <v>0</v>
      </c>
      <c r="AA1579">
        <v>0</v>
      </c>
      <c r="AB1579">
        <v>0</v>
      </c>
      <c r="AC1579">
        <v>0</v>
      </c>
      <c r="AD1579">
        <v>1</v>
      </c>
      <c r="AE1579">
        <v>0</v>
      </c>
      <c r="AF1579">
        <v>0</v>
      </c>
      <c r="AG1579">
        <v>0</v>
      </c>
      <c r="AH1579">
        <v>0</v>
      </c>
      <c r="AI1579">
        <v>0</v>
      </c>
      <c r="AJ1579">
        <v>0</v>
      </c>
      <c r="AK1579">
        <v>0</v>
      </c>
    </row>
    <row r="1580" spans="1:37" x14ac:dyDescent="0.3">
      <c r="A1580">
        <v>7979</v>
      </c>
      <c r="B1580" t="s">
        <v>219</v>
      </c>
      <c r="D1580" t="s">
        <v>327</v>
      </c>
      <c r="E1580">
        <v>99999999</v>
      </c>
      <c r="F1580">
        <v>11111111</v>
      </c>
      <c r="G1580">
        <v>1111111111</v>
      </c>
      <c r="H1580" t="s">
        <v>5149</v>
      </c>
      <c r="I1580">
        <v>99999999</v>
      </c>
      <c r="J1580" s="188">
        <v>45236</v>
      </c>
      <c r="K1580" t="s">
        <v>5149</v>
      </c>
      <c r="L1580" t="s">
        <v>5149</v>
      </c>
      <c r="M1580" t="s">
        <v>173</v>
      </c>
      <c r="N1580" t="s">
        <v>164</v>
      </c>
      <c r="O1580" t="s">
        <v>2215</v>
      </c>
      <c r="P1580" t="s">
        <v>221</v>
      </c>
      <c r="Q1580" t="s">
        <v>82</v>
      </c>
      <c r="R1580">
        <v>1</v>
      </c>
      <c r="S1580">
        <v>12.5</v>
      </c>
      <c r="T1580">
        <v>0</v>
      </c>
      <c r="U1580">
        <v>1</v>
      </c>
      <c r="V1580">
        <v>1</v>
      </c>
      <c r="W1580">
        <v>25.05</v>
      </c>
      <c r="X1580">
        <v>0</v>
      </c>
      <c r="Y1580">
        <v>0</v>
      </c>
      <c r="Z1580">
        <v>0</v>
      </c>
      <c r="AA1580">
        <v>0</v>
      </c>
      <c r="AB1580">
        <v>0</v>
      </c>
      <c r="AC1580">
        <v>0</v>
      </c>
      <c r="AD1580">
        <v>1</v>
      </c>
      <c r="AE1580">
        <v>0</v>
      </c>
      <c r="AF1580">
        <v>0</v>
      </c>
      <c r="AG1580">
        <v>0</v>
      </c>
      <c r="AH1580">
        <v>0</v>
      </c>
      <c r="AI1580">
        <v>0</v>
      </c>
      <c r="AJ1580">
        <v>0</v>
      </c>
      <c r="AK1580">
        <v>0</v>
      </c>
    </row>
    <row r="1581" spans="1:37" x14ac:dyDescent="0.3">
      <c r="A1581">
        <v>7979</v>
      </c>
      <c r="B1581" t="s">
        <v>219</v>
      </c>
      <c r="D1581" t="s">
        <v>327</v>
      </c>
      <c r="E1581">
        <v>99999999</v>
      </c>
      <c r="F1581">
        <v>11111111</v>
      </c>
      <c r="G1581">
        <v>1111111111</v>
      </c>
      <c r="H1581" t="s">
        <v>5150</v>
      </c>
      <c r="I1581">
        <v>99999999</v>
      </c>
      <c r="J1581" s="188">
        <v>45236</v>
      </c>
      <c r="K1581" t="s">
        <v>5150</v>
      </c>
      <c r="L1581" t="s">
        <v>5150</v>
      </c>
      <c r="M1581" t="s">
        <v>101</v>
      </c>
      <c r="N1581" t="s">
        <v>97</v>
      </c>
      <c r="O1581" t="s">
        <v>2216</v>
      </c>
      <c r="P1581" t="s">
        <v>221</v>
      </c>
      <c r="Q1581" t="s">
        <v>82</v>
      </c>
      <c r="R1581">
        <v>1</v>
      </c>
      <c r="S1581">
        <v>7.3</v>
      </c>
      <c r="T1581">
        <v>0</v>
      </c>
      <c r="U1581">
        <v>1</v>
      </c>
      <c r="V1581">
        <v>1</v>
      </c>
      <c r="W1581">
        <v>24.15</v>
      </c>
      <c r="X1581">
        <v>0</v>
      </c>
      <c r="Y1581">
        <v>0</v>
      </c>
      <c r="Z1581">
        <v>0</v>
      </c>
      <c r="AA1581">
        <v>0</v>
      </c>
      <c r="AB1581">
        <v>0</v>
      </c>
      <c r="AC1581">
        <v>0</v>
      </c>
      <c r="AD1581">
        <v>1</v>
      </c>
      <c r="AE1581">
        <v>0</v>
      </c>
      <c r="AF1581">
        <v>0</v>
      </c>
      <c r="AG1581">
        <v>0</v>
      </c>
      <c r="AH1581">
        <v>0</v>
      </c>
      <c r="AI1581">
        <v>0</v>
      </c>
      <c r="AJ1581">
        <v>0</v>
      </c>
      <c r="AK1581">
        <v>0</v>
      </c>
    </row>
    <row r="1582" spans="1:37" x14ac:dyDescent="0.3">
      <c r="A1582">
        <v>7979</v>
      </c>
      <c r="B1582" t="s">
        <v>219</v>
      </c>
      <c r="D1582" t="s">
        <v>327</v>
      </c>
      <c r="E1582">
        <v>99999999</v>
      </c>
      <c r="F1582">
        <v>11111111</v>
      </c>
      <c r="G1582">
        <v>1111111111</v>
      </c>
      <c r="H1582" t="s">
        <v>5151</v>
      </c>
      <c r="I1582">
        <v>99999999</v>
      </c>
      <c r="J1582" s="188">
        <v>45236</v>
      </c>
      <c r="K1582" t="s">
        <v>5151</v>
      </c>
      <c r="L1582" t="s">
        <v>5151</v>
      </c>
      <c r="M1582" t="s">
        <v>2023</v>
      </c>
      <c r="N1582" t="s">
        <v>99</v>
      </c>
      <c r="O1582" t="s">
        <v>2217</v>
      </c>
      <c r="P1582" t="s">
        <v>221</v>
      </c>
      <c r="Q1582" t="s">
        <v>82</v>
      </c>
      <c r="R1582">
        <v>6</v>
      </c>
      <c r="S1582">
        <v>26.46</v>
      </c>
      <c r="T1582">
        <v>0</v>
      </c>
      <c r="U1582">
        <v>1</v>
      </c>
      <c r="V1582">
        <v>6</v>
      </c>
      <c r="W1582">
        <v>36.93</v>
      </c>
      <c r="X1582">
        <v>0</v>
      </c>
      <c r="Y1582">
        <v>0</v>
      </c>
      <c r="Z1582">
        <v>0</v>
      </c>
      <c r="AA1582">
        <v>0</v>
      </c>
      <c r="AB1582">
        <v>0</v>
      </c>
      <c r="AC1582">
        <v>0</v>
      </c>
      <c r="AD1582">
        <v>6</v>
      </c>
      <c r="AE1582">
        <v>0</v>
      </c>
      <c r="AF1582">
        <v>0</v>
      </c>
      <c r="AG1582">
        <v>0</v>
      </c>
      <c r="AH1582">
        <v>0</v>
      </c>
      <c r="AI1582">
        <v>0</v>
      </c>
      <c r="AJ1582">
        <v>0</v>
      </c>
      <c r="AK1582">
        <v>0</v>
      </c>
    </row>
    <row r="1583" spans="1:37" x14ac:dyDescent="0.3">
      <c r="A1583">
        <v>7979</v>
      </c>
      <c r="B1583" t="s">
        <v>219</v>
      </c>
      <c r="D1583" t="s">
        <v>327</v>
      </c>
      <c r="E1583">
        <v>99999999</v>
      </c>
      <c r="F1583">
        <v>11111111</v>
      </c>
      <c r="G1583">
        <v>1111111111</v>
      </c>
      <c r="H1583" t="s">
        <v>5152</v>
      </c>
      <c r="I1583">
        <v>99999999</v>
      </c>
      <c r="J1583" s="188">
        <v>45236</v>
      </c>
      <c r="K1583" t="s">
        <v>5152</v>
      </c>
      <c r="L1583" t="s">
        <v>5152</v>
      </c>
      <c r="M1583" t="s">
        <v>1755</v>
      </c>
      <c r="N1583" t="s">
        <v>104</v>
      </c>
      <c r="O1583" t="s">
        <v>2218</v>
      </c>
      <c r="P1583" t="s">
        <v>221</v>
      </c>
      <c r="Q1583" t="s">
        <v>82</v>
      </c>
      <c r="R1583">
        <v>3</v>
      </c>
      <c r="S1583">
        <v>12.1</v>
      </c>
      <c r="T1583">
        <v>0</v>
      </c>
      <c r="U1583">
        <v>1</v>
      </c>
      <c r="V1583">
        <v>3</v>
      </c>
      <c r="W1583">
        <v>31.17</v>
      </c>
      <c r="X1583">
        <v>0</v>
      </c>
      <c r="Y1583">
        <v>0</v>
      </c>
      <c r="Z1583">
        <v>0</v>
      </c>
      <c r="AA1583">
        <v>0</v>
      </c>
      <c r="AB1583">
        <v>0</v>
      </c>
      <c r="AC1583">
        <v>0</v>
      </c>
      <c r="AD1583">
        <v>3</v>
      </c>
      <c r="AE1583">
        <v>0</v>
      </c>
      <c r="AF1583">
        <v>0</v>
      </c>
      <c r="AG1583">
        <v>0</v>
      </c>
      <c r="AH1583">
        <v>0</v>
      </c>
      <c r="AI1583">
        <v>0</v>
      </c>
      <c r="AJ1583">
        <v>0</v>
      </c>
      <c r="AK1583">
        <v>0</v>
      </c>
    </row>
    <row r="1584" spans="1:37" x14ac:dyDescent="0.3">
      <c r="A1584">
        <v>7979</v>
      </c>
      <c r="B1584" t="s">
        <v>219</v>
      </c>
      <c r="D1584" t="s">
        <v>327</v>
      </c>
      <c r="E1584">
        <v>99999999</v>
      </c>
      <c r="F1584">
        <v>11111111</v>
      </c>
      <c r="G1584">
        <v>1111111111</v>
      </c>
      <c r="H1584" t="s">
        <v>5153</v>
      </c>
      <c r="I1584">
        <v>99999999</v>
      </c>
      <c r="J1584" s="188">
        <v>45236</v>
      </c>
      <c r="K1584" t="s">
        <v>5153</v>
      </c>
      <c r="L1584" t="s">
        <v>5153</v>
      </c>
      <c r="M1584" t="s">
        <v>2219</v>
      </c>
      <c r="N1584" t="s">
        <v>91</v>
      </c>
      <c r="O1584" t="s">
        <v>2220</v>
      </c>
      <c r="P1584" t="s">
        <v>221</v>
      </c>
      <c r="Q1584" t="s">
        <v>82</v>
      </c>
      <c r="R1584">
        <v>1</v>
      </c>
      <c r="S1584">
        <v>7.41</v>
      </c>
      <c r="T1584">
        <v>0</v>
      </c>
      <c r="U1584">
        <v>1</v>
      </c>
      <c r="V1584">
        <v>1</v>
      </c>
      <c r="W1584">
        <v>25.57</v>
      </c>
      <c r="X1584">
        <v>0</v>
      </c>
      <c r="Y1584">
        <v>0</v>
      </c>
      <c r="Z1584">
        <v>0</v>
      </c>
      <c r="AA1584">
        <v>0</v>
      </c>
      <c r="AB1584">
        <v>0</v>
      </c>
      <c r="AC1584">
        <v>0</v>
      </c>
      <c r="AD1584">
        <v>1</v>
      </c>
      <c r="AE1584">
        <v>0</v>
      </c>
      <c r="AF1584">
        <v>0</v>
      </c>
      <c r="AG1584">
        <v>0</v>
      </c>
      <c r="AH1584">
        <v>0</v>
      </c>
      <c r="AI1584">
        <v>0</v>
      </c>
      <c r="AJ1584">
        <v>0</v>
      </c>
      <c r="AK1584">
        <v>0</v>
      </c>
    </row>
    <row r="1585" spans="1:37" x14ac:dyDescent="0.3">
      <c r="A1585">
        <v>7979</v>
      </c>
      <c r="B1585" t="s">
        <v>219</v>
      </c>
      <c r="D1585" t="s">
        <v>327</v>
      </c>
      <c r="E1585">
        <v>99999999</v>
      </c>
      <c r="F1585">
        <v>11111111</v>
      </c>
      <c r="G1585">
        <v>1111111111</v>
      </c>
      <c r="H1585" t="s">
        <v>5154</v>
      </c>
      <c r="I1585">
        <v>99999999</v>
      </c>
      <c r="J1585" s="188">
        <v>45236</v>
      </c>
      <c r="K1585" t="s">
        <v>5154</v>
      </c>
      <c r="L1585" t="s">
        <v>5154</v>
      </c>
      <c r="M1585" t="s">
        <v>2221</v>
      </c>
      <c r="N1585" t="s">
        <v>307</v>
      </c>
      <c r="O1585" t="s">
        <v>2222</v>
      </c>
      <c r="P1585" t="s">
        <v>221</v>
      </c>
      <c r="Q1585" t="s">
        <v>82</v>
      </c>
      <c r="R1585">
        <v>5</v>
      </c>
      <c r="S1585">
        <v>14.45</v>
      </c>
      <c r="T1585">
        <v>0</v>
      </c>
      <c r="U1585">
        <v>2</v>
      </c>
      <c r="V1585">
        <v>5</v>
      </c>
      <c r="W1585">
        <v>63.96</v>
      </c>
      <c r="X1585">
        <v>0</v>
      </c>
      <c r="Y1585">
        <v>0</v>
      </c>
      <c r="Z1585">
        <v>0</v>
      </c>
      <c r="AA1585">
        <v>0</v>
      </c>
      <c r="AB1585">
        <v>0</v>
      </c>
      <c r="AC1585">
        <v>0</v>
      </c>
      <c r="AD1585">
        <v>5</v>
      </c>
      <c r="AE1585">
        <v>0</v>
      </c>
      <c r="AF1585">
        <v>0</v>
      </c>
      <c r="AG1585">
        <v>0</v>
      </c>
      <c r="AH1585">
        <v>0</v>
      </c>
      <c r="AI1585">
        <v>0</v>
      </c>
      <c r="AJ1585">
        <v>0</v>
      </c>
      <c r="AK1585">
        <v>0</v>
      </c>
    </row>
    <row r="1586" spans="1:37" x14ac:dyDescent="0.3">
      <c r="A1586">
        <v>7979</v>
      </c>
      <c r="B1586" t="s">
        <v>219</v>
      </c>
      <c r="D1586" t="s">
        <v>327</v>
      </c>
      <c r="E1586">
        <v>99999999</v>
      </c>
      <c r="F1586">
        <v>11111111</v>
      </c>
      <c r="G1586">
        <v>1111111111</v>
      </c>
      <c r="H1586" t="s">
        <v>5155</v>
      </c>
      <c r="I1586">
        <v>99999999</v>
      </c>
      <c r="J1586" s="188">
        <v>45236</v>
      </c>
      <c r="K1586" t="s">
        <v>5155</v>
      </c>
      <c r="L1586" t="s">
        <v>5155</v>
      </c>
      <c r="M1586" t="s">
        <v>500</v>
      </c>
      <c r="N1586" t="s">
        <v>99</v>
      </c>
      <c r="O1586">
        <v>94947</v>
      </c>
      <c r="P1586" t="s">
        <v>221</v>
      </c>
      <c r="Q1586" t="s">
        <v>82</v>
      </c>
      <c r="R1586">
        <v>1</v>
      </c>
      <c r="S1586">
        <v>3.48</v>
      </c>
      <c r="T1586">
        <v>0</v>
      </c>
      <c r="U1586">
        <v>1</v>
      </c>
      <c r="V1586">
        <v>1</v>
      </c>
      <c r="W1586">
        <v>0</v>
      </c>
      <c r="X1586">
        <v>0</v>
      </c>
      <c r="Y1586">
        <v>0</v>
      </c>
      <c r="Z1586">
        <v>0</v>
      </c>
      <c r="AA1586">
        <v>0</v>
      </c>
      <c r="AB1586">
        <v>0</v>
      </c>
      <c r="AC1586">
        <v>0</v>
      </c>
      <c r="AD1586">
        <v>1</v>
      </c>
      <c r="AE1586">
        <v>0</v>
      </c>
      <c r="AF1586">
        <v>0</v>
      </c>
      <c r="AG1586">
        <v>0</v>
      </c>
      <c r="AH1586">
        <v>0</v>
      </c>
      <c r="AI1586">
        <v>0</v>
      </c>
      <c r="AJ1586">
        <v>0</v>
      </c>
      <c r="AK1586">
        <v>0</v>
      </c>
    </row>
    <row r="1587" spans="1:37" x14ac:dyDescent="0.3">
      <c r="A1587">
        <v>7979</v>
      </c>
      <c r="B1587" t="s">
        <v>219</v>
      </c>
      <c r="D1587" t="s">
        <v>327</v>
      </c>
      <c r="E1587">
        <v>99999999</v>
      </c>
      <c r="F1587">
        <v>11111111</v>
      </c>
      <c r="G1587">
        <v>1111111111</v>
      </c>
      <c r="H1587" t="s">
        <v>5156</v>
      </c>
      <c r="I1587">
        <v>99999999</v>
      </c>
      <c r="J1587" s="188">
        <v>45237</v>
      </c>
      <c r="K1587" t="s">
        <v>5156</v>
      </c>
      <c r="L1587" t="s">
        <v>5156</v>
      </c>
      <c r="M1587" t="s">
        <v>2223</v>
      </c>
      <c r="N1587" t="s">
        <v>99</v>
      </c>
      <c r="O1587" t="s">
        <v>2224</v>
      </c>
      <c r="P1587" t="s">
        <v>221</v>
      </c>
      <c r="Q1587" t="s">
        <v>82</v>
      </c>
      <c r="R1587">
        <v>1</v>
      </c>
      <c r="S1587">
        <v>11</v>
      </c>
      <c r="T1587">
        <v>0</v>
      </c>
      <c r="U1587">
        <v>1</v>
      </c>
      <c r="V1587">
        <v>1</v>
      </c>
      <c r="W1587">
        <v>30.88</v>
      </c>
      <c r="X1587">
        <v>0</v>
      </c>
      <c r="Y1587">
        <v>0</v>
      </c>
      <c r="Z1587">
        <v>0</v>
      </c>
      <c r="AA1587">
        <v>0</v>
      </c>
      <c r="AB1587">
        <v>0</v>
      </c>
      <c r="AC1587">
        <v>0</v>
      </c>
      <c r="AD1587">
        <v>1</v>
      </c>
      <c r="AE1587">
        <v>0</v>
      </c>
      <c r="AF1587">
        <v>0</v>
      </c>
      <c r="AG1587">
        <v>0</v>
      </c>
      <c r="AH1587">
        <v>0</v>
      </c>
      <c r="AI1587">
        <v>0</v>
      </c>
      <c r="AJ1587">
        <v>0</v>
      </c>
      <c r="AK1587">
        <v>0</v>
      </c>
    </row>
    <row r="1588" spans="1:37" x14ac:dyDescent="0.3">
      <c r="A1588">
        <v>7979</v>
      </c>
      <c r="B1588" t="s">
        <v>219</v>
      </c>
      <c r="D1588" t="s">
        <v>327</v>
      </c>
      <c r="E1588">
        <v>99999999</v>
      </c>
      <c r="F1588">
        <v>11111111</v>
      </c>
      <c r="G1588">
        <v>1111111111</v>
      </c>
      <c r="H1588" t="s">
        <v>5157</v>
      </c>
      <c r="I1588">
        <v>99999999</v>
      </c>
      <c r="J1588" s="188">
        <v>45237</v>
      </c>
      <c r="K1588" t="s">
        <v>5157</v>
      </c>
      <c r="L1588" t="s">
        <v>5157</v>
      </c>
      <c r="M1588" t="s">
        <v>2225</v>
      </c>
      <c r="N1588" t="s">
        <v>164</v>
      </c>
      <c r="O1588">
        <v>97106</v>
      </c>
      <c r="P1588" t="s">
        <v>221</v>
      </c>
      <c r="Q1588" t="s">
        <v>82</v>
      </c>
      <c r="R1588">
        <v>3</v>
      </c>
      <c r="S1588">
        <v>26.4</v>
      </c>
      <c r="T1588">
        <v>0</v>
      </c>
      <c r="U1588">
        <v>1</v>
      </c>
      <c r="V1588">
        <v>3</v>
      </c>
      <c r="W1588">
        <v>40.840000000000003</v>
      </c>
      <c r="X1588">
        <v>0</v>
      </c>
      <c r="Y1588">
        <v>0</v>
      </c>
      <c r="Z1588">
        <v>0</v>
      </c>
      <c r="AA1588">
        <v>0</v>
      </c>
      <c r="AB1588">
        <v>0</v>
      </c>
      <c r="AC1588">
        <v>0</v>
      </c>
      <c r="AD1588">
        <v>3</v>
      </c>
      <c r="AE1588">
        <v>0</v>
      </c>
      <c r="AF1588">
        <v>0</v>
      </c>
      <c r="AG1588">
        <v>0</v>
      </c>
      <c r="AH1588">
        <v>0</v>
      </c>
      <c r="AI1588">
        <v>0</v>
      </c>
      <c r="AJ1588">
        <v>0</v>
      </c>
      <c r="AK1588">
        <v>0</v>
      </c>
    </row>
    <row r="1589" spans="1:37" x14ac:dyDescent="0.3">
      <c r="A1589">
        <v>7979</v>
      </c>
      <c r="B1589" t="s">
        <v>219</v>
      </c>
      <c r="D1589" t="s">
        <v>327</v>
      </c>
      <c r="E1589">
        <v>99999999</v>
      </c>
      <c r="F1589">
        <v>11111111</v>
      </c>
      <c r="G1589">
        <v>1111111111</v>
      </c>
      <c r="H1589" t="s">
        <v>5158</v>
      </c>
      <c r="I1589">
        <v>99999999</v>
      </c>
      <c r="J1589" s="188">
        <v>45237</v>
      </c>
      <c r="K1589" t="s">
        <v>5158</v>
      </c>
      <c r="L1589" t="s">
        <v>5158</v>
      </c>
      <c r="M1589" t="s">
        <v>423</v>
      </c>
      <c r="N1589" t="s">
        <v>130</v>
      </c>
      <c r="O1589" t="s">
        <v>424</v>
      </c>
      <c r="P1589" t="s">
        <v>221</v>
      </c>
      <c r="Q1589" t="s">
        <v>82</v>
      </c>
      <c r="R1589">
        <v>1</v>
      </c>
      <c r="S1589">
        <v>6.62</v>
      </c>
      <c r="T1589">
        <v>0</v>
      </c>
      <c r="U1589">
        <v>1</v>
      </c>
      <c r="V1589">
        <v>1</v>
      </c>
      <c r="W1589">
        <v>25.57</v>
      </c>
      <c r="X1589">
        <v>0</v>
      </c>
      <c r="Y1589">
        <v>0</v>
      </c>
      <c r="Z1589">
        <v>0</v>
      </c>
      <c r="AA1589">
        <v>0</v>
      </c>
      <c r="AB1589">
        <v>0</v>
      </c>
      <c r="AC1589">
        <v>0</v>
      </c>
      <c r="AD1589">
        <v>1</v>
      </c>
      <c r="AE1589">
        <v>0</v>
      </c>
      <c r="AF1589">
        <v>0</v>
      </c>
      <c r="AG1589">
        <v>0</v>
      </c>
      <c r="AH1589">
        <v>0</v>
      </c>
      <c r="AI1589">
        <v>0</v>
      </c>
      <c r="AJ1589">
        <v>0</v>
      </c>
      <c r="AK1589">
        <v>0</v>
      </c>
    </row>
    <row r="1590" spans="1:37" x14ac:dyDescent="0.3">
      <c r="A1590">
        <v>7979</v>
      </c>
      <c r="B1590" t="s">
        <v>219</v>
      </c>
      <c r="D1590" t="s">
        <v>327</v>
      </c>
      <c r="E1590">
        <v>99999999</v>
      </c>
      <c r="F1590">
        <v>11111111</v>
      </c>
      <c r="G1590">
        <v>1111111111</v>
      </c>
      <c r="H1590" t="s">
        <v>5159</v>
      </c>
      <c r="I1590">
        <v>99999999</v>
      </c>
      <c r="J1590" s="188">
        <v>45237</v>
      </c>
      <c r="K1590" t="s">
        <v>5159</v>
      </c>
      <c r="L1590" t="s">
        <v>5159</v>
      </c>
      <c r="M1590" t="s">
        <v>2226</v>
      </c>
      <c r="N1590" t="s">
        <v>99</v>
      </c>
      <c r="O1590" t="s">
        <v>2227</v>
      </c>
      <c r="P1590" t="s">
        <v>221</v>
      </c>
      <c r="Q1590" t="s">
        <v>82</v>
      </c>
      <c r="R1590">
        <v>1</v>
      </c>
      <c r="S1590">
        <v>7.21</v>
      </c>
      <c r="T1590">
        <v>0</v>
      </c>
      <c r="U1590">
        <v>1</v>
      </c>
      <c r="V1590">
        <v>1</v>
      </c>
      <c r="W1590">
        <v>32.409999999999997</v>
      </c>
      <c r="X1590">
        <v>0</v>
      </c>
      <c r="Y1590">
        <v>0</v>
      </c>
      <c r="Z1590">
        <v>0</v>
      </c>
      <c r="AA1590">
        <v>0</v>
      </c>
      <c r="AB1590">
        <v>0</v>
      </c>
      <c r="AC1590">
        <v>0</v>
      </c>
      <c r="AD1590">
        <v>1</v>
      </c>
      <c r="AE1590">
        <v>0</v>
      </c>
      <c r="AF1590">
        <v>0</v>
      </c>
      <c r="AG1590">
        <v>0</v>
      </c>
      <c r="AH1590">
        <v>0</v>
      </c>
      <c r="AI1590">
        <v>0</v>
      </c>
      <c r="AJ1590">
        <v>0</v>
      </c>
      <c r="AK1590">
        <v>0</v>
      </c>
    </row>
    <row r="1591" spans="1:37" x14ac:dyDescent="0.3">
      <c r="A1591">
        <v>7979</v>
      </c>
      <c r="B1591" t="s">
        <v>219</v>
      </c>
      <c r="D1591" t="s">
        <v>327</v>
      </c>
      <c r="E1591">
        <v>99999999</v>
      </c>
      <c r="F1591">
        <v>11111111</v>
      </c>
      <c r="G1591">
        <v>1111111111</v>
      </c>
      <c r="H1591" t="s">
        <v>5160</v>
      </c>
      <c r="I1591">
        <v>99999999</v>
      </c>
      <c r="J1591" s="188">
        <v>45237</v>
      </c>
      <c r="K1591" t="s">
        <v>5160</v>
      </c>
      <c r="L1591" t="s">
        <v>5160</v>
      </c>
      <c r="M1591" t="s">
        <v>2228</v>
      </c>
      <c r="N1591" t="s">
        <v>125</v>
      </c>
      <c r="O1591" t="s">
        <v>2229</v>
      </c>
      <c r="P1591" t="s">
        <v>221</v>
      </c>
      <c r="Q1591" t="s">
        <v>82</v>
      </c>
      <c r="R1591">
        <v>1</v>
      </c>
      <c r="S1591">
        <v>0.6</v>
      </c>
      <c r="T1591">
        <v>0</v>
      </c>
      <c r="U1591">
        <v>1</v>
      </c>
      <c r="V1591">
        <v>1</v>
      </c>
      <c r="W1591">
        <v>28.93</v>
      </c>
      <c r="X1591">
        <v>0</v>
      </c>
      <c r="Y1591">
        <v>0</v>
      </c>
      <c r="Z1591">
        <v>0</v>
      </c>
      <c r="AA1591">
        <v>0</v>
      </c>
      <c r="AB1591">
        <v>0</v>
      </c>
      <c r="AC1591">
        <v>0</v>
      </c>
      <c r="AD1591">
        <v>1</v>
      </c>
      <c r="AE1591">
        <v>0</v>
      </c>
      <c r="AF1591">
        <v>0</v>
      </c>
      <c r="AG1591">
        <v>0</v>
      </c>
      <c r="AH1591">
        <v>0</v>
      </c>
      <c r="AI1591">
        <v>0</v>
      </c>
      <c r="AJ1591">
        <v>0</v>
      </c>
      <c r="AK1591">
        <v>0</v>
      </c>
    </row>
    <row r="1592" spans="1:37" x14ac:dyDescent="0.3">
      <c r="A1592">
        <v>7979</v>
      </c>
      <c r="B1592" t="s">
        <v>219</v>
      </c>
      <c r="D1592" t="s">
        <v>327</v>
      </c>
      <c r="E1592">
        <v>99999999</v>
      </c>
      <c r="F1592">
        <v>11111111</v>
      </c>
      <c r="G1592">
        <v>1111111111</v>
      </c>
      <c r="H1592" t="s">
        <v>5161</v>
      </c>
      <c r="I1592">
        <v>99999999</v>
      </c>
      <c r="J1592" s="188">
        <v>45237</v>
      </c>
      <c r="K1592" t="s">
        <v>5161</v>
      </c>
      <c r="L1592" t="s">
        <v>5161</v>
      </c>
      <c r="M1592" t="s">
        <v>1286</v>
      </c>
      <c r="N1592" t="s">
        <v>99</v>
      </c>
      <c r="O1592" t="s">
        <v>2230</v>
      </c>
      <c r="P1592" t="s">
        <v>221</v>
      </c>
      <c r="Q1592" t="s">
        <v>82</v>
      </c>
      <c r="R1592">
        <v>5</v>
      </c>
      <c r="S1592">
        <v>21.68</v>
      </c>
      <c r="T1592">
        <v>0</v>
      </c>
      <c r="U1592">
        <v>1</v>
      </c>
      <c r="V1592">
        <v>4</v>
      </c>
      <c r="W1592">
        <v>34.56</v>
      </c>
      <c r="X1592">
        <v>0</v>
      </c>
      <c r="Y1592">
        <v>0</v>
      </c>
      <c r="Z1592">
        <v>0</v>
      </c>
      <c r="AA1592">
        <v>0</v>
      </c>
      <c r="AB1592">
        <v>0</v>
      </c>
      <c r="AC1592">
        <v>0</v>
      </c>
      <c r="AD1592">
        <v>5</v>
      </c>
      <c r="AE1592">
        <v>0</v>
      </c>
      <c r="AF1592">
        <v>0</v>
      </c>
      <c r="AG1592">
        <v>0</v>
      </c>
      <c r="AH1592">
        <v>0</v>
      </c>
      <c r="AI1592">
        <v>0</v>
      </c>
      <c r="AJ1592">
        <v>0</v>
      </c>
      <c r="AK1592">
        <v>0</v>
      </c>
    </row>
    <row r="1593" spans="1:37" x14ac:dyDescent="0.3">
      <c r="A1593">
        <v>7979</v>
      </c>
      <c r="B1593" t="s">
        <v>219</v>
      </c>
      <c r="D1593" t="s">
        <v>327</v>
      </c>
      <c r="E1593">
        <v>99999999</v>
      </c>
      <c r="F1593">
        <v>11111111</v>
      </c>
      <c r="G1593">
        <v>1111111111</v>
      </c>
      <c r="H1593" t="s">
        <v>5162</v>
      </c>
      <c r="I1593">
        <v>99999999</v>
      </c>
      <c r="J1593" s="188">
        <v>45237</v>
      </c>
      <c r="K1593" t="s">
        <v>5162</v>
      </c>
      <c r="L1593" t="s">
        <v>5162</v>
      </c>
      <c r="M1593" t="s">
        <v>2231</v>
      </c>
      <c r="N1593" t="s">
        <v>125</v>
      </c>
      <c r="O1593" t="s">
        <v>2232</v>
      </c>
      <c r="P1593" t="s">
        <v>221</v>
      </c>
      <c r="Q1593" t="s">
        <v>82</v>
      </c>
      <c r="R1593">
        <v>2</v>
      </c>
      <c r="S1593">
        <v>1.2</v>
      </c>
      <c r="T1593">
        <v>0</v>
      </c>
      <c r="U1593">
        <v>1</v>
      </c>
      <c r="V1593">
        <v>1</v>
      </c>
      <c r="W1593">
        <v>28.93</v>
      </c>
      <c r="X1593">
        <v>0</v>
      </c>
      <c r="Y1593">
        <v>0</v>
      </c>
      <c r="Z1593">
        <v>0</v>
      </c>
      <c r="AA1593">
        <v>0</v>
      </c>
      <c r="AB1593">
        <v>0</v>
      </c>
      <c r="AC1593">
        <v>0</v>
      </c>
      <c r="AD1593">
        <v>2</v>
      </c>
      <c r="AE1593">
        <v>0</v>
      </c>
      <c r="AF1593">
        <v>0</v>
      </c>
      <c r="AG1593">
        <v>0</v>
      </c>
      <c r="AH1593">
        <v>0</v>
      </c>
      <c r="AI1593">
        <v>0</v>
      </c>
      <c r="AJ1593">
        <v>0</v>
      </c>
      <c r="AK1593">
        <v>0</v>
      </c>
    </row>
    <row r="1594" spans="1:37" x14ac:dyDescent="0.3">
      <c r="A1594">
        <v>7979</v>
      </c>
      <c r="B1594" t="s">
        <v>219</v>
      </c>
      <c r="D1594" t="s">
        <v>327</v>
      </c>
      <c r="E1594">
        <v>99999999</v>
      </c>
      <c r="F1594">
        <v>11111111</v>
      </c>
      <c r="G1594">
        <v>1111111111</v>
      </c>
      <c r="H1594" t="s">
        <v>5163</v>
      </c>
      <c r="I1594">
        <v>99999999</v>
      </c>
      <c r="J1594" s="188">
        <v>45237</v>
      </c>
      <c r="K1594" t="s">
        <v>5163</v>
      </c>
      <c r="L1594" t="s">
        <v>5163</v>
      </c>
      <c r="M1594" t="s">
        <v>2233</v>
      </c>
      <c r="N1594" t="s">
        <v>125</v>
      </c>
      <c r="O1594" t="s">
        <v>2234</v>
      </c>
      <c r="P1594" t="s">
        <v>221</v>
      </c>
      <c r="Q1594" t="s">
        <v>82</v>
      </c>
      <c r="R1594">
        <v>1</v>
      </c>
      <c r="S1594">
        <v>4.2</v>
      </c>
      <c r="T1594">
        <v>0</v>
      </c>
      <c r="U1594">
        <v>1</v>
      </c>
      <c r="V1594">
        <v>1</v>
      </c>
      <c r="W1594">
        <v>33.46</v>
      </c>
      <c r="X1594">
        <v>0</v>
      </c>
      <c r="Y1594">
        <v>0</v>
      </c>
      <c r="Z1594">
        <v>0</v>
      </c>
      <c r="AA1594">
        <v>0</v>
      </c>
      <c r="AB1594">
        <v>0</v>
      </c>
      <c r="AC1594">
        <v>0</v>
      </c>
      <c r="AD1594">
        <v>1</v>
      </c>
      <c r="AE1594">
        <v>0</v>
      </c>
      <c r="AF1594">
        <v>0</v>
      </c>
      <c r="AG1594">
        <v>0</v>
      </c>
      <c r="AH1594">
        <v>0</v>
      </c>
      <c r="AI1594">
        <v>0</v>
      </c>
      <c r="AJ1594">
        <v>0</v>
      </c>
      <c r="AK1594">
        <v>0</v>
      </c>
    </row>
    <row r="1595" spans="1:37" x14ac:dyDescent="0.3">
      <c r="A1595">
        <v>7979</v>
      </c>
      <c r="B1595" t="s">
        <v>219</v>
      </c>
      <c r="D1595" t="s">
        <v>327</v>
      </c>
      <c r="E1595">
        <v>99999999</v>
      </c>
      <c r="F1595">
        <v>11111111</v>
      </c>
      <c r="G1595">
        <v>1111111111</v>
      </c>
      <c r="H1595" t="s">
        <v>5164</v>
      </c>
      <c r="I1595">
        <v>99999999</v>
      </c>
      <c r="J1595" s="188">
        <v>45237</v>
      </c>
      <c r="K1595" t="s">
        <v>5164</v>
      </c>
      <c r="L1595" t="s">
        <v>5164</v>
      </c>
      <c r="M1595" t="s">
        <v>262</v>
      </c>
      <c r="N1595" t="s">
        <v>130</v>
      </c>
      <c r="O1595" t="s">
        <v>398</v>
      </c>
      <c r="P1595" t="s">
        <v>221</v>
      </c>
      <c r="Q1595" t="s">
        <v>82</v>
      </c>
      <c r="R1595">
        <v>1</v>
      </c>
      <c r="S1595">
        <v>0.38</v>
      </c>
      <c r="T1595">
        <v>0</v>
      </c>
      <c r="U1595">
        <v>1</v>
      </c>
      <c r="V1595">
        <v>1</v>
      </c>
      <c r="W1595">
        <v>28.16</v>
      </c>
      <c r="X1595">
        <v>0</v>
      </c>
      <c r="Y1595">
        <v>0</v>
      </c>
      <c r="Z1595">
        <v>0</v>
      </c>
      <c r="AA1595">
        <v>0</v>
      </c>
      <c r="AB1595">
        <v>0</v>
      </c>
      <c r="AC1595">
        <v>0</v>
      </c>
      <c r="AD1595">
        <v>1</v>
      </c>
      <c r="AE1595">
        <v>0</v>
      </c>
      <c r="AF1595">
        <v>0</v>
      </c>
      <c r="AG1595">
        <v>0</v>
      </c>
      <c r="AH1595">
        <v>0</v>
      </c>
      <c r="AI1595">
        <v>0</v>
      </c>
      <c r="AJ1595">
        <v>0</v>
      </c>
      <c r="AK1595">
        <v>0</v>
      </c>
    </row>
    <row r="1596" spans="1:37" x14ac:dyDescent="0.3">
      <c r="A1596">
        <v>7979</v>
      </c>
      <c r="B1596" t="s">
        <v>219</v>
      </c>
      <c r="D1596" t="s">
        <v>327</v>
      </c>
      <c r="E1596">
        <v>99999999</v>
      </c>
      <c r="F1596">
        <v>11111111</v>
      </c>
      <c r="G1596">
        <v>1111111111</v>
      </c>
      <c r="H1596" t="s">
        <v>5165</v>
      </c>
      <c r="I1596">
        <v>99999999</v>
      </c>
      <c r="J1596" s="188">
        <v>45237</v>
      </c>
      <c r="K1596" t="s">
        <v>5165</v>
      </c>
      <c r="L1596" t="s">
        <v>5165</v>
      </c>
      <c r="M1596" t="s">
        <v>2235</v>
      </c>
      <c r="N1596" t="s">
        <v>381</v>
      </c>
      <c r="O1596" t="s">
        <v>2236</v>
      </c>
      <c r="P1596" t="s">
        <v>221</v>
      </c>
      <c r="Q1596" t="s">
        <v>82</v>
      </c>
      <c r="R1596">
        <v>1</v>
      </c>
      <c r="S1596">
        <v>3.5</v>
      </c>
      <c r="T1596">
        <v>0</v>
      </c>
      <c r="U1596">
        <v>1</v>
      </c>
      <c r="V1596">
        <v>1</v>
      </c>
      <c r="W1596">
        <v>29.71</v>
      </c>
      <c r="X1596">
        <v>0</v>
      </c>
      <c r="Y1596">
        <v>0</v>
      </c>
      <c r="Z1596">
        <v>0</v>
      </c>
      <c r="AA1596">
        <v>0</v>
      </c>
      <c r="AB1596">
        <v>0</v>
      </c>
      <c r="AC1596">
        <v>0</v>
      </c>
      <c r="AD1596">
        <v>1</v>
      </c>
      <c r="AE1596">
        <v>0</v>
      </c>
      <c r="AF1596">
        <v>0</v>
      </c>
      <c r="AG1596">
        <v>0</v>
      </c>
      <c r="AH1596">
        <v>0</v>
      </c>
      <c r="AI1596">
        <v>0</v>
      </c>
      <c r="AJ1596">
        <v>0</v>
      </c>
      <c r="AK1596">
        <v>0</v>
      </c>
    </row>
    <row r="1597" spans="1:37" x14ac:dyDescent="0.3">
      <c r="A1597">
        <v>7979</v>
      </c>
      <c r="B1597" t="s">
        <v>219</v>
      </c>
      <c r="D1597" t="s">
        <v>327</v>
      </c>
      <c r="E1597">
        <v>99999999</v>
      </c>
      <c r="F1597">
        <v>11111111</v>
      </c>
      <c r="G1597">
        <v>1111111111</v>
      </c>
      <c r="H1597" t="s">
        <v>5166</v>
      </c>
      <c r="I1597">
        <v>99999999</v>
      </c>
      <c r="J1597" s="188">
        <v>45237</v>
      </c>
      <c r="K1597" t="s">
        <v>5166</v>
      </c>
      <c r="L1597" t="s">
        <v>5166</v>
      </c>
      <c r="M1597" t="s">
        <v>1903</v>
      </c>
      <c r="N1597" t="s">
        <v>265</v>
      </c>
      <c r="O1597" t="s">
        <v>1904</v>
      </c>
      <c r="P1597" t="s">
        <v>221</v>
      </c>
      <c r="Q1597" t="s">
        <v>82</v>
      </c>
      <c r="R1597">
        <v>1</v>
      </c>
      <c r="S1597">
        <v>7.5</v>
      </c>
      <c r="T1597">
        <v>0</v>
      </c>
      <c r="U1597">
        <v>1</v>
      </c>
      <c r="V1597">
        <v>1</v>
      </c>
      <c r="W1597">
        <v>37.36</v>
      </c>
      <c r="X1597">
        <v>0</v>
      </c>
      <c r="Y1597">
        <v>0</v>
      </c>
      <c r="Z1597">
        <v>0</v>
      </c>
      <c r="AA1597">
        <v>0</v>
      </c>
      <c r="AB1597">
        <v>0</v>
      </c>
      <c r="AC1597">
        <v>0</v>
      </c>
      <c r="AD1597">
        <v>1</v>
      </c>
      <c r="AE1597">
        <v>0</v>
      </c>
      <c r="AF1597">
        <v>0</v>
      </c>
      <c r="AG1597">
        <v>0</v>
      </c>
      <c r="AH1597">
        <v>0</v>
      </c>
      <c r="AI1597">
        <v>0</v>
      </c>
      <c r="AJ1597">
        <v>0</v>
      </c>
      <c r="AK1597">
        <v>0</v>
      </c>
    </row>
    <row r="1598" spans="1:37" x14ac:dyDescent="0.3">
      <c r="A1598">
        <v>7979</v>
      </c>
      <c r="B1598" t="s">
        <v>219</v>
      </c>
      <c r="D1598" t="s">
        <v>327</v>
      </c>
      <c r="E1598">
        <v>99999999</v>
      </c>
      <c r="F1598">
        <v>11111111</v>
      </c>
      <c r="G1598">
        <v>1111111111</v>
      </c>
      <c r="H1598" t="s">
        <v>5167</v>
      </c>
      <c r="I1598">
        <v>99999999</v>
      </c>
      <c r="J1598" s="188">
        <v>45237</v>
      </c>
      <c r="K1598" t="s">
        <v>5167</v>
      </c>
      <c r="L1598" t="s">
        <v>5167</v>
      </c>
      <c r="M1598" t="s">
        <v>2237</v>
      </c>
      <c r="N1598" t="s">
        <v>1276</v>
      </c>
      <c r="O1598" t="s">
        <v>2238</v>
      </c>
      <c r="P1598" t="s">
        <v>221</v>
      </c>
      <c r="Q1598" t="s">
        <v>82</v>
      </c>
      <c r="R1598">
        <v>2</v>
      </c>
      <c r="S1598">
        <v>2.42</v>
      </c>
      <c r="T1598">
        <v>0</v>
      </c>
      <c r="U1598">
        <v>1</v>
      </c>
      <c r="V1598">
        <v>1</v>
      </c>
      <c r="W1598">
        <v>29.48</v>
      </c>
      <c r="X1598">
        <v>0</v>
      </c>
      <c r="Y1598">
        <v>0</v>
      </c>
      <c r="Z1598">
        <v>0</v>
      </c>
      <c r="AA1598">
        <v>0</v>
      </c>
      <c r="AB1598">
        <v>0</v>
      </c>
      <c r="AC1598">
        <v>0</v>
      </c>
      <c r="AD1598">
        <v>2</v>
      </c>
      <c r="AE1598">
        <v>0</v>
      </c>
      <c r="AF1598">
        <v>0</v>
      </c>
      <c r="AG1598">
        <v>0</v>
      </c>
      <c r="AH1598">
        <v>0</v>
      </c>
      <c r="AI1598">
        <v>0</v>
      </c>
      <c r="AJ1598">
        <v>0</v>
      </c>
      <c r="AK1598">
        <v>0</v>
      </c>
    </row>
    <row r="1599" spans="1:37" x14ac:dyDescent="0.3">
      <c r="A1599">
        <v>7979</v>
      </c>
      <c r="B1599" t="s">
        <v>219</v>
      </c>
      <c r="D1599" t="s">
        <v>327</v>
      </c>
      <c r="E1599">
        <v>99999999</v>
      </c>
      <c r="F1599">
        <v>11111111</v>
      </c>
      <c r="G1599">
        <v>1111111111</v>
      </c>
      <c r="H1599" t="s">
        <v>5168</v>
      </c>
      <c r="I1599">
        <v>99999999</v>
      </c>
      <c r="J1599" s="188">
        <v>45237</v>
      </c>
      <c r="K1599" t="s">
        <v>5168</v>
      </c>
      <c r="L1599" t="s">
        <v>5168</v>
      </c>
      <c r="M1599" t="s">
        <v>865</v>
      </c>
      <c r="N1599" t="s">
        <v>91</v>
      </c>
      <c r="O1599" t="s">
        <v>2239</v>
      </c>
      <c r="P1599" t="s">
        <v>221</v>
      </c>
      <c r="Q1599" t="s">
        <v>82</v>
      </c>
      <c r="R1599">
        <v>6</v>
      </c>
      <c r="S1599">
        <v>1.08</v>
      </c>
      <c r="T1599">
        <v>0</v>
      </c>
      <c r="U1599">
        <v>1</v>
      </c>
      <c r="V1599">
        <v>1</v>
      </c>
      <c r="W1599">
        <v>21.54</v>
      </c>
      <c r="X1599">
        <v>0</v>
      </c>
      <c r="Y1599">
        <v>0</v>
      </c>
      <c r="Z1599">
        <v>0</v>
      </c>
      <c r="AA1599">
        <v>0</v>
      </c>
      <c r="AB1599">
        <v>0</v>
      </c>
      <c r="AC1599">
        <v>0</v>
      </c>
      <c r="AD1599">
        <v>6</v>
      </c>
      <c r="AE1599">
        <v>0</v>
      </c>
      <c r="AF1599">
        <v>0</v>
      </c>
      <c r="AG1599">
        <v>0</v>
      </c>
      <c r="AH1599">
        <v>0</v>
      </c>
      <c r="AI1599">
        <v>0</v>
      </c>
      <c r="AJ1599">
        <v>0</v>
      </c>
      <c r="AK1599">
        <v>0</v>
      </c>
    </row>
    <row r="1600" spans="1:37" x14ac:dyDescent="0.3">
      <c r="A1600">
        <v>7979</v>
      </c>
      <c r="B1600" t="s">
        <v>219</v>
      </c>
      <c r="D1600" t="s">
        <v>327</v>
      </c>
      <c r="E1600">
        <v>99999999</v>
      </c>
      <c r="F1600">
        <v>11111111</v>
      </c>
      <c r="G1600">
        <v>1111111111</v>
      </c>
      <c r="H1600" t="s">
        <v>5169</v>
      </c>
      <c r="I1600">
        <v>99999999</v>
      </c>
      <c r="J1600" s="188">
        <v>45237</v>
      </c>
      <c r="K1600" t="s">
        <v>5169</v>
      </c>
      <c r="L1600" t="s">
        <v>5169</v>
      </c>
      <c r="M1600" t="s">
        <v>2240</v>
      </c>
      <c r="N1600" t="s">
        <v>130</v>
      </c>
      <c r="O1600" t="s">
        <v>2241</v>
      </c>
      <c r="P1600" t="s">
        <v>221</v>
      </c>
      <c r="Q1600" t="s">
        <v>82</v>
      </c>
      <c r="R1600">
        <v>1</v>
      </c>
      <c r="S1600">
        <v>11.666</v>
      </c>
      <c r="T1600">
        <v>0</v>
      </c>
      <c r="U1600">
        <v>1</v>
      </c>
      <c r="V1600">
        <v>1</v>
      </c>
      <c r="W1600">
        <v>35.159999999999997</v>
      </c>
      <c r="X1600">
        <v>0</v>
      </c>
      <c r="Y1600">
        <v>0</v>
      </c>
      <c r="Z1600">
        <v>0</v>
      </c>
      <c r="AA1600">
        <v>0</v>
      </c>
      <c r="AB1600">
        <v>0</v>
      </c>
      <c r="AC1600">
        <v>0</v>
      </c>
      <c r="AD1600">
        <v>1</v>
      </c>
      <c r="AE1600">
        <v>0</v>
      </c>
      <c r="AF1600">
        <v>0</v>
      </c>
      <c r="AG1600">
        <v>0</v>
      </c>
      <c r="AH1600">
        <v>0</v>
      </c>
      <c r="AI1600">
        <v>0</v>
      </c>
      <c r="AJ1600">
        <v>0</v>
      </c>
      <c r="AK1600">
        <v>0</v>
      </c>
    </row>
    <row r="1601" spans="1:37" x14ac:dyDescent="0.3">
      <c r="A1601">
        <v>7979</v>
      </c>
      <c r="B1601" t="s">
        <v>219</v>
      </c>
      <c r="D1601" t="s">
        <v>327</v>
      </c>
      <c r="E1601">
        <v>99999999</v>
      </c>
      <c r="F1601">
        <v>11111111</v>
      </c>
      <c r="G1601">
        <v>1111111111</v>
      </c>
      <c r="H1601" t="s">
        <v>5170</v>
      </c>
      <c r="I1601">
        <v>99999999</v>
      </c>
      <c r="J1601" s="188">
        <v>45237</v>
      </c>
      <c r="K1601" t="s">
        <v>5170</v>
      </c>
      <c r="L1601" t="s">
        <v>5170</v>
      </c>
      <c r="M1601" t="s">
        <v>2158</v>
      </c>
      <c r="N1601" t="s">
        <v>97</v>
      </c>
      <c r="O1601" t="s">
        <v>2242</v>
      </c>
      <c r="P1601" t="s">
        <v>221</v>
      </c>
      <c r="Q1601" t="s">
        <v>82</v>
      </c>
      <c r="R1601">
        <v>8</v>
      </c>
      <c r="S1601">
        <v>7.68</v>
      </c>
      <c r="T1601">
        <v>0</v>
      </c>
      <c r="U1601">
        <v>1</v>
      </c>
      <c r="V1601">
        <v>6</v>
      </c>
      <c r="W1601">
        <v>24.22</v>
      </c>
      <c r="X1601">
        <v>0</v>
      </c>
      <c r="Y1601">
        <v>0</v>
      </c>
      <c r="Z1601">
        <v>0</v>
      </c>
      <c r="AA1601">
        <v>0</v>
      </c>
      <c r="AB1601">
        <v>0</v>
      </c>
      <c r="AC1601">
        <v>0</v>
      </c>
      <c r="AD1601">
        <v>8</v>
      </c>
      <c r="AE1601">
        <v>0</v>
      </c>
      <c r="AF1601">
        <v>0</v>
      </c>
      <c r="AG1601">
        <v>0</v>
      </c>
      <c r="AH1601">
        <v>0</v>
      </c>
      <c r="AI1601">
        <v>0</v>
      </c>
      <c r="AJ1601">
        <v>0</v>
      </c>
      <c r="AK1601">
        <v>0</v>
      </c>
    </row>
    <row r="1602" spans="1:37" x14ac:dyDescent="0.3">
      <c r="A1602">
        <v>7979</v>
      </c>
      <c r="B1602" t="s">
        <v>219</v>
      </c>
      <c r="D1602" t="s">
        <v>327</v>
      </c>
      <c r="E1602">
        <v>99999999</v>
      </c>
      <c r="F1602">
        <v>11111111</v>
      </c>
      <c r="G1602">
        <v>1111111111</v>
      </c>
      <c r="H1602" t="s">
        <v>5171</v>
      </c>
      <c r="I1602">
        <v>99999999</v>
      </c>
      <c r="J1602" s="188">
        <v>45237</v>
      </c>
      <c r="K1602" t="s">
        <v>5171</v>
      </c>
      <c r="L1602" t="s">
        <v>5171</v>
      </c>
      <c r="M1602" t="s">
        <v>2243</v>
      </c>
      <c r="N1602" t="s">
        <v>197</v>
      </c>
      <c r="O1602" t="s">
        <v>2244</v>
      </c>
      <c r="P1602" t="s">
        <v>221</v>
      </c>
      <c r="Q1602" t="s">
        <v>82</v>
      </c>
      <c r="R1602">
        <v>1</v>
      </c>
      <c r="S1602">
        <v>0.65</v>
      </c>
      <c r="T1602">
        <v>0</v>
      </c>
      <c r="U1602">
        <v>1</v>
      </c>
      <c r="V1602">
        <v>1</v>
      </c>
      <c r="W1602">
        <v>30.47</v>
      </c>
      <c r="X1602">
        <v>0</v>
      </c>
      <c r="Y1602">
        <v>0</v>
      </c>
      <c r="Z1602">
        <v>0</v>
      </c>
      <c r="AA1602">
        <v>0</v>
      </c>
      <c r="AB1602">
        <v>0</v>
      </c>
      <c r="AC1602">
        <v>0</v>
      </c>
      <c r="AD1602">
        <v>1</v>
      </c>
      <c r="AE1602">
        <v>0</v>
      </c>
      <c r="AF1602">
        <v>0</v>
      </c>
      <c r="AG1602">
        <v>0</v>
      </c>
      <c r="AH1602">
        <v>0</v>
      </c>
      <c r="AI1602">
        <v>0</v>
      </c>
      <c r="AJ1602">
        <v>0</v>
      </c>
      <c r="AK1602">
        <v>0</v>
      </c>
    </row>
    <row r="1603" spans="1:37" x14ac:dyDescent="0.3">
      <c r="A1603">
        <v>7979</v>
      </c>
      <c r="B1603" t="s">
        <v>219</v>
      </c>
      <c r="D1603" t="s">
        <v>327</v>
      </c>
      <c r="E1603">
        <v>99999999</v>
      </c>
      <c r="F1603">
        <v>11111111</v>
      </c>
      <c r="G1603">
        <v>1111111111</v>
      </c>
      <c r="H1603" t="s">
        <v>5172</v>
      </c>
      <c r="I1603">
        <v>99999999</v>
      </c>
      <c r="J1603" s="188">
        <v>45237</v>
      </c>
      <c r="K1603" t="s">
        <v>5172</v>
      </c>
      <c r="L1603" t="s">
        <v>5172</v>
      </c>
      <c r="M1603" t="s">
        <v>2245</v>
      </c>
      <c r="N1603" t="s">
        <v>99</v>
      </c>
      <c r="O1603" t="s">
        <v>2246</v>
      </c>
      <c r="P1603" t="s">
        <v>221</v>
      </c>
      <c r="Q1603" t="s">
        <v>82</v>
      </c>
      <c r="R1603">
        <v>2</v>
      </c>
      <c r="S1603">
        <v>9.1999999999999993</v>
      </c>
      <c r="T1603">
        <v>0</v>
      </c>
      <c r="U1603">
        <v>1</v>
      </c>
      <c r="V1603">
        <v>2</v>
      </c>
      <c r="W1603">
        <v>28.94</v>
      </c>
      <c r="X1603">
        <v>0</v>
      </c>
      <c r="Y1603">
        <v>0</v>
      </c>
      <c r="Z1603">
        <v>0</v>
      </c>
      <c r="AA1603">
        <v>0</v>
      </c>
      <c r="AB1603">
        <v>0</v>
      </c>
      <c r="AC1603">
        <v>0</v>
      </c>
      <c r="AD1603">
        <v>2</v>
      </c>
      <c r="AE1603">
        <v>0</v>
      </c>
      <c r="AF1603">
        <v>0</v>
      </c>
      <c r="AG1603">
        <v>0</v>
      </c>
      <c r="AH1603">
        <v>0</v>
      </c>
      <c r="AI1603">
        <v>0</v>
      </c>
      <c r="AJ1603">
        <v>0</v>
      </c>
      <c r="AK1603">
        <v>0</v>
      </c>
    </row>
    <row r="1604" spans="1:37" x14ac:dyDescent="0.3">
      <c r="A1604">
        <v>7979</v>
      </c>
      <c r="B1604" t="s">
        <v>219</v>
      </c>
      <c r="D1604" t="s">
        <v>327</v>
      </c>
      <c r="E1604">
        <v>99999999</v>
      </c>
      <c r="F1604">
        <v>11111111</v>
      </c>
      <c r="G1604">
        <v>1111111111</v>
      </c>
      <c r="H1604" t="s">
        <v>5173</v>
      </c>
      <c r="I1604">
        <v>99999999</v>
      </c>
      <c r="J1604" s="188">
        <v>45237</v>
      </c>
      <c r="K1604" t="s">
        <v>5173</v>
      </c>
      <c r="L1604" t="s">
        <v>5173</v>
      </c>
      <c r="M1604" t="s">
        <v>630</v>
      </c>
      <c r="N1604" t="s">
        <v>104</v>
      </c>
      <c r="O1604" t="s">
        <v>2247</v>
      </c>
      <c r="P1604" t="s">
        <v>221</v>
      </c>
      <c r="Q1604" t="s">
        <v>82</v>
      </c>
      <c r="R1604">
        <v>2</v>
      </c>
      <c r="S1604">
        <v>2.31</v>
      </c>
      <c r="T1604">
        <v>0</v>
      </c>
      <c r="U1604">
        <v>1</v>
      </c>
      <c r="V1604">
        <v>2</v>
      </c>
      <c r="W1604">
        <v>21.88</v>
      </c>
      <c r="X1604">
        <v>0</v>
      </c>
      <c r="Y1604">
        <v>0</v>
      </c>
      <c r="Z1604">
        <v>0</v>
      </c>
      <c r="AA1604">
        <v>0</v>
      </c>
      <c r="AB1604">
        <v>0</v>
      </c>
      <c r="AC1604">
        <v>0</v>
      </c>
      <c r="AD1604">
        <v>2</v>
      </c>
      <c r="AE1604">
        <v>0</v>
      </c>
      <c r="AF1604">
        <v>0</v>
      </c>
      <c r="AG1604">
        <v>0</v>
      </c>
      <c r="AH1604">
        <v>0</v>
      </c>
      <c r="AI1604">
        <v>0</v>
      </c>
      <c r="AJ1604">
        <v>0</v>
      </c>
      <c r="AK1604">
        <v>0</v>
      </c>
    </row>
    <row r="1605" spans="1:37" x14ac:dyDescent="0.3">
      <c r="A1605">
        <v>7979</v>
      </c>
      <c r="B1605" t="s">
        <v>219</v>
      </c>
      <c r="D1605" t="s">
        <v>327</v>
      </c>
      <c r="E1605">
        <v>99999999</v>
      </c>
      <c r="F1605">
        <v>11111111</v>
      </c>
      <c r="G1605">
        <v>1111111111</v>
      </c>
      <c r="H1605" t="s">
        <v>5174</v>
      </c>
      <c r="I1605">
        <v>99999999</v>
      </c>
      <c r="J1605" s="188">
        <v>45237</v>
      </c>
      <c r="K1605" t="s">
        <v>5174</v>
      </c>
      <c r="L1605" t="s">
        <v>5174</v>
      </c>
      <c r="M1605" t="s">
        <v>2248</v>
      </c>
      <c r="N1605" t="s">
        <v>1276</v>
      </c>
      <c r="O1605" t="s">
        <v>2249</v>
      </c>
      <c r="P1605" t="s">
        <v>221</v>
      </c>
      <c r="Q1605" t="s">
        <v>82</v>
      </c>
      <c r="R1605">
        <v>1</v>
      </c>
      <c r="S1605">
        <v>1.4</v>
      </c>
      <c r="T1605">
        <v>0</v>
      </c>
      <c r="U1605">
        <v>1</v>
      </c>
      <c r="V1605">
        <v>1</v>
      </c>
      <c r="W1605">
        <v>24.07</v>
      </c>
      <c r="X1605">
        <v>0</v>
      </c>
      <c r="Y1605">
        <v>0</v>
      </c>
      <c r="Z1605">
        <v>0</v>
      </c>
      <c r="AA1605">
        <v>0</v>
      </c>
      <c r="AB1605">
        <v>0</v>
      </c>
      <c r="AC1605">
        <v>0</v>
      </c>
      <c r="AD1605">
        <v>1</v>
      </c>
      <c r="AE1605">
        <v>0</v>
      </c>
      <c r="AF1605">
        <v>0</v>
      </c>
      <c r="AG1605">
        <v>0</v>
      </c>
      <c r="AH1605">
        <v>0</v>
      </c>
      <c r="AI1605">
        <v>0</v>
      </c>
      <c r="AJ1605">
        <v>0</v>
      </c>
      <c r="AK1605">
        <v>0</v>
      </c>
    </row>
    <row r="1606" spans="1:37" x14ac:dyDescent="0.3">
      <c r="A1606">
        <v>7979</v>
      </c>
      <c r="B1606" t="s">
        <v>219</v>
      </c>
      <c r="D1606" t="s">
        <v>327</v>
      </c>
      <c r="E1606">
        <v>99999999</v>
      </c>
      <c r="F1606">
        <v>11111111</v>
      </c>
      <c r="G1606">
        <v>1111111111</v>
      </c>
      <c r="H1606" t="s">
        <v>5175</v>
      </c>
      <c r="I1606">
        <v>99999999</v>
      </c>
      <c r="J1606" s="188">
        <v>45237</v>
      </c>
      <c r="K1606" t="s">
        <v>5175</v>
      </c>
      <c r="L1606" t="s">
        <v>5175</v>
      </c>
      <c r="M1606" t="s">
        <v>703</v>
      </c>
      <c r="N1606" t="s">
        <v>130</v>
      </c>
      <c r="O1606" t="s">
        <v>2250</v>
      </c>
      <c r="P1606" t="s">
        <v>221</v>
      </c>
      <c r="Q1606" t="s">
        <v>82</v>
      </c>
      <c r="R1606">
        <v>1</v>
      </c>
      <c r="S1606">
        <v>5</v>
      </c>
      <c r="T1606">
        <v>0</v>
      </c>
      <c r="U1606">
        <v>1</v>
      </c>
      <c r="V1606">
        <v>1</v>
      </c>
      <c r="W1606">
        <v>32.700000000000003</v>
      </c>
      <c r="X1606">
        <v>0</v>
      </c>
      <c r="Y1606">
        <v>0</v>
      </c>
      <c r="Z1606">
        <v>0</v>
      </c>
      <c r="AA1606">
        <v>0</v>
      </c>
      <c r="AB1606">
        <v>0</v>
      </c>
      <c r="AC1606">
        <v>0</v>
      </c>
      <c r="AD1606">
        <v>1</v>
      </c>
      <c r="AE1606">
        <v>0</v>
      </c>
      <c r="AF1606">
        <v>0</v>
      </c>
      <c r="AG1606">
        <v>0</v>
      </c>
      <c r="AH1606">
        <v>0</v>
      </c>
      <c r="AI1606">
        <v>0</v>
      </c>
      <c r="AJ1606">
        <v>0</v>
      </c>
      <c r="AK1606">
        <v>0</v>
      </c>
    </row>
    <row r="1607" spans="1:37" x14ac:dyDescent="0.3">
      <c r="A1607">
        <v>7979</v>
      </c>
      <c r="B1607" t="s">
        <v>219</v>
      </c>
      <c r="D1607" t="s">
        <v>327</v>
      </c>
      <c r="E1607">
        <v>99999999</v>
      </c>
      <c r="F1607">
        <v>11111111</v>
      </c>
      <c r="G1607">
        <v>1111111111</v>
      </c>
      <c r="H1607" t="s">
        <v>5176</v>
      </c>
      <c r="I1607">
        <v>99999999</v>
      </c>
      <c r="J1607" s="188">
        <v>45237</v>
      </c>
      <c r="K1607" t="s">
        <v>5176</v>
      </c>
      <c r="L1607" t="s">
        <v>5176</v>
      </c>
      <c r="M1607" t="s">
        <v>540</v>
      </c>
      <c r="N1607" t="s">
        <v>97</v>
      </c>
      <c r="O1607" t="s">
        <v>2251</v>
      </c>
      <c r="P1607" t="s">
        <v>221</v>
      </c>
      <c r="Q1607" t="s">
        <v>82</v>
      </c>
      <c r="R1607">
        <v>1</v>
      </c>
      <c r="S1607">
        <v>3.48</v>
      </c>
      <c r="T1607">
        <v>0</v>
      </c>
      <c r="U1607">
        <v>1</v>
      </c>
      <c r="V1607">
        <v>1</v>
      </c>
      <c r="W1607">
        <v>22.52</v>
      </c>
      <c r="X1607">
        <v>0</v>
      </c>
      <c r="Y1607">
        <v>0</v>
      </c>
      <c r="Z1607">
        <v>0</v>
      </c>
      <c r="AA1607">
        <v>0</v>
      </c>
      <c r="AB1607">
        <v>0</v>
      </c>
      <c r="AC1607">
        <v>0</v>
      </c>
      <c r="AD1607">
        <v>1</v>
      </c>
      <c r="AE1607">
        <v>0</v>
      </c>
      <c r="AF1607">
        <v>0</v>
      </c>
      <c r="AG1607">
        <v>0</v>
      </c>
      <c r="AH1607">
        <v>0</v>
      </c>
      <c r="AI1607">
        <v>0</v>
      </c>
      <c r="AJ1607">
        <v>0</v>
      </c>
      <c r="AK1607">
        <v>0</v>
      </c>
    </row>
    <row r="1608" spans="1:37" x14ac:dyDescent="0.3">
      <c r="A1608">
        <v>7979</v>
      </c>
      <c r="B1608" t="s">
        <v>219</v>
      </c>
      <c r="D1608" t="s">
        <v>327</v>
      </c>
      <c r="E1608">
        <v>99999999</v>
      </c>
      <c r="F1608">
        <v>11111111</v>
      </c>
      <c r="G1608">
        <v>1111111111</v>
      </c>
      <c r="H1608" t="s">
        <v>5177</v>
      </c>
      <c r="I1608">
        <v>99999999</v>
      </c>
      <c r="J1608" s="188">
        <v>45237</v>
      </c>
      <c r="K1608" t="s">
        <v>5177</v>
      </c>
      <c r="L1608" t="s">
        <v>5177</v>
      </c>
      <c r="M1608" t="s">
        <v>564</v>
      </c>
      <c r="N1608" t="s">
        <v>307</v>
      </c>
      <c r="O1608" t="s">
        <v>2252</v>
      </c>
      <c r="P1608" t="s">
        <v>221</v>
      </c>
      <c r="Q1608" t="s">
        <v>82</v>
      </c>
      <c r="R1608">
        <v>2</v>
      </c>
      <c r="S1608">
        <v>2.15</v>
      </c>
      <c r="T1608">
        <v>0</v>
      </c>
      <c r="U1608">
        <v>1</v>
      </c>
      <c r="V1608">
        <v>2</v>
      </c>
      <c r="W1608">
        <v>23.35</v>
      </c>
      <c r="X1608">
        <v>0</v>
      </c>
      <c r="Y1608">
        <v>0</v>
      </c>
      <c r="Z1608">
        <v>0</v>
      </c>
      <c r="AA1608">
        <v>0</v>
      </c>
      <c r="AB1608">
        <v>0</v>
      </c>
      <c r="AC1608">
        <v>0</v>
      </c>
      <c r="AD1608">
        <v>2</v>
      </c>
      <c r="AE1608">
        <v>0</v>
      </c>
      <c r="AF1608">
        <v>0</v>
      </c>
      <c r="AG1608">
        <v>0</v>
      </c>
      <c r="AH1608">
        <v>0</v>
      </c>
      <c r="AI1608">
        <v>0</v>
      </c>
      <c r="AJ1608">
        <v>0</v>
      </c>
      <c r="AK1608">
        <v>0</v>
      </c>
    </row>
    <row r="1609" spans="1:37" x14ac:dyDescent="0.3">
      <c r="A1609">
        <v>7979</v>
      </c>
      <c r="B1609" t="s">
        <v>219</v>
      </c>
      <c r="D1609" t="s">
        <v>327</v>
      </c>
      <c r="E1609">
        <v>99999999</v>
      </c>
      <c r="F1609">
        <v>11111111</v>
      </c>
      <c r="G1609">
        <v>1111111111</v>
      </c>
      <c r="H1609" t="s">
        <v>5178</v>
      </c>
      <c r="I1609">
        <v>99999999</v>
      </c>
      <c r="J1609" s="188">
        <v>45237</v>
      </c>
      <c r="K1609" t="s">
        <v>5178</v>
      </c>
      <c r="L1609" t="s">
        <v>5178</v>
      </c>
      <c r="M1609" t="s">
        <v>2253</v>
      </c>
      <c r="N1609" t="s">
        <v>164</v>
      </c>
      <c r="O1609" t="s">
        <v>2254</v>
      </c>
      <c r="P1609" t="s">
        <v>221</v>
      </c>
      <c r="Q1609" t="s">
        <v>82</v>
      </c>
      <c r="R1609">
        <v>1</v>
      </c>
      <c r="S1609">
        <v>15</v>
      </c>
      <c r="T1609">
        <v>0</v>
      </c>
      <c r="U1609">
        <v>1</v>
      </c>
      <c r="V1609">
        <v>1</v>
      </c>
      <c r="W1609">
        <v>25.23</v>
      </c>
      <c r="X1609">
        <v>0</v>
      </c>
      <c r="Y1609">
        <v>0</v>
      </c>
      <c r="Z1609">
        <v>0</v>
      </c>
      <c r="AA1609">
        <v>0</v>
      </c>
      <c r="AB1609">
        <v>0</v>
      </c>
      <c r="AC1609">
        <v>0</v>
      </c>
      <c r="AD1609">
        <v>1</v>
      </c>
      <c r="AE1609">
        <v>0</v>
      </c>
      <c r="AF1609">
        <v>0</v>
      </c>
      <c r="AG1609">
        <v>0</v>
      </c>
      <c r="AH1609">
        <v>0</v>
      </c>
      <c r="AI1609">
        <v>0</v>
      </c>
      <c r="AJ1609">
        <v>0</v>
      </c>
      <c r="AK1609">
        <v>0</v>
      </c>
    </row>
    <row r="1610" spans="1:37" x14ac:dyDescent="0.3">
      <c r="A1610">
        <v>7979</v>
      </c>
      <c r="B1610" t="s">
        <v>219</v>
      </c>
      <c r="D1610" t="s">
        <v>327</v>
      </c>
      <c r="E1610">
        <v>99999999</v>
      </c>
      <c r="F1610">
        <v>11111111</v>
      </c>
      <c r="G1610">
        <v>1111111111</v>
      </c>
      <c r="H1610" t="s">
        <v>5179</v>
      </c>
      <c r="I1610">
        <v>99999999</v>
      </c>
      <c r="J1610" s="188">
        <v>45237</v>
      </c>
      <c r="K1610" t="s">
        <v>5179</v>
      </c>
      <c r="L1610" t="s">
        <v>5179</v>
      </c>
      <c r="M1610" t="s">
        <v>209</v>
      </c>
      <c r="N1610" t="s">
        <v>197</v>
      </c>
      <c r="O1610" t="s">
        <v>2255</v>
      </c>
      <c r="P1610" t="s">
        <v>221</v>
      </c>
      <c r="Q1610" t="s">
        <v>82</v>
      </c>
      <c r="R1610">
        <v>8</v>
      </c>
      <c r="S1610">
        <v>14</v>
      </c>
      <c r="T1610">
        <v>0</v>
      </c>
      <c r="U1610">
        <v>1</v>
      </c>
      <c r="V1610">
        <v>5</v>
      </c>
      <c r="W1610">
        <v>36.75</v>
      </c>
      <c r="X1610">
        <v>0</v>
      </c>
      <c r="Y1610">
        <v>0</v>
      </c>
      <c r="Z1610">
        <v>0</v>
      </c>
      <c r="AA1610">
        <v>0</v>
      </c>
      <c r="AB1610">
        <v>0</v>
      </c>
      <c r="AC1610">
        <v>0</v>
      </c>
      <c r="AD1610">
        <v>8</v>
      </c>
      <c r="AE1610">
        <v>0</v>
      </c>
      <c r="AF1610">
        <v>0</v>
      </c>
      <c r="AG1610">
        <v>0</v>
      </c>
      <c r="AH1610">
        <v>0</v>
      </c>
      <c r="AI1610">
        <v>0</v>
      </c>
      <c r="AJ1610">
        <v>0</v>
      </c>
      <c r="AK1610">
        <v>0</v>
      </c>
    </row>
    <row r="1611" spans="1:37" x14ac:dyDescent="0.3">
      <c r="A1611">
        <v>7979</v>
      </c>
      <c r="B1611" t="s">
        <v>219</v>
      </c>
      <c r="D1611" t="s">
        <v>327</v>
      </c>
      <c r="E1611">
        <v>99999999</v>
      </c>
      <c r="F1611">
        <v>11111111</v>
      </c>
      <c r="G1611">
        <v>1111111111</v>
      </c>
      <c r="H1611" t="s">
        <v>5180</v>
      </c>
      <c r="I1611">
        <v>99999999</v>
      </c>
      <c r="J1611" s="188">
        <v>45237</v>
      </c>
      <c r="K1611" t="s">
        <v>5180</v>
      </c>
      <c r="L1611" t="s">
        <v>5180</v>
      </c>
      <c r="M1611" t="s">
        <v>2256</v>
      </c>
      <c r="N1611" t="s">
        <v>99</v>
      </c>
      <c r="O1611" t="s">
        <v>2257</v>
      </c>
      <c r="P1611" t="s">
        <v>221</v>
      </c>
      <c r="Q1611" t="s">
        <v>82</v>
      </c>
      <c r="R1611">
        <v>1</v>
      </c>
      <c r="S1611">
        <v>40</v>
      </c>
      <c r="T1611">
        <v>0</v>
      </c>
      <c r="U1611">
        <v>1</v>
      </c>
      <c r="V1611">
        <v>1</v>
      </c>
      <c r="W1611">
        <v>54.25</v>
      </c>
      <c r="X1611">
        <v>0</v>
      </c>
      <c r="Y1611">
        <v>0</v>
      </c>
      <c r="Z1611">
        <v>0</v>
      </c>
      <c r="AA1611">
        <v>0</v>
      </c>
      <c r="AB1611">
        <v>0</v>
      </c>
      <c r="AC1611">
        <v>0</v>
      </c>
      <c r="AD1611">
        <v>1</v>
      </c>
      <c r="AE1611">
        <v>0</v>
      </c>
      <c r="AF1611">
        <v>0</v>
      </c>
      <c r="AG1611">
        <v>0</v>
      </c>
      <c r="AH1611">
        <v>0</v>
      </c>
      <c r="AI1611">
        <v>0</v>
      </c>
      <c r="AJ1611">
        <v>0</v>
      </c>
      <c r="AK1611">
        <v>0</v>
      </c>
    </row>
    <row r="1612" spans="1:37" x14ac:dyDescent="0.3">
      <c r="A1612">
        <v>7979</v>
      </c>
      <c r="B1612" t="s">
        <v>219</v>
      </c>
      <c r="D1612" t="s">
        <v>327</v>
      </c>
      <c r="E1612">
        <v>99999999</v>
      </c>
      <c r="F1612">
        <v>11111111</v>
      </c>
      <c r="G1612">
        <v>1111111111</v>
      </c>
      <c r="H1612" t="s">
        <v>5181</v>
      </c>
      <c r="I1612">
        <v>99999999</v>
      </c>
      <c r="J1612" s="188">
        <v>45237</v>
      </c>
      <c r="K1612" t="s">
        <v>5181</v>
      </c>
      <c r="L1612" t="s">
        <v>5181</v>
      </c>
      <c r="M1612" t="s">
        <v>2258</v>
      </c>
      <c r="N1612" t="s">
        <v>130</v>
      </c>
      <c r="O1612" t="s">
        <v>2259</v>
      </c>
      <c r="P1612" t="s">
        <v>221</v>
      </c>
      <c r="Q1612" t="s">
        <v>82</v>
      </c>
      <c r="R1612">
        <v>1</v>
      </c>
      <c r="S1612">
        <v>22</v>
      </c>
      <c r="T1612">
        <v>0</v>
      </c>
      <c r="U1612">
        <v>1</v>
      </c>
      <c r="V1612">
        <v>1</v>
      </c>
      <c r="W1612">
        <v>40.21</v>
      </c>
      <c r="X1612">
        <v>0</v>
      </c>
      <c r="Y1612">
        <v>0</v>
      </c>
      <c r="Z1612">
        <v>0</v>
      </c>
      <c r="AA1612">
        <v>0</v>
      </c>
      <c r="AB1612">
        <v>0</v>
      </c>
      <c r="AC1612">
        <v>0</v>
      </c>
      <c r="AD1612">
        <v>1</v>
      </c>
      <c r="AE1612">
        <v>0</v>
      </c>
      <c r="AF1612">
        <v>0</v>
      </c>
      <c r="AG1612">
        <v>0</v>
      </c>
      <c r="AH1612">
        <v>0</v>
      </c>
      <c r="AI1612">
        <v>0</v>
      </c>
      <c r="AJ1612">
        <v>0</v>
      </c>
      <c r="AK1612">
        <v>0</v>
      </c>
    </row>
    <row r="1613" spans="1:37" x14ac:dyDescent="0.3">
      <c r="A1613">
        <v>7979</v>
      </c>
      <c r="B1613" t="s">
        <v>219</v>
      </c>
      <c r="D1613" t="s">
        <v>327</v>
      </c>
      <c r="E1613">
        <v>99999999</v>
      </c>
      <c r="F1613">
        <v>11111111</v>
      </c>
      <c r="G1613">
        <v>1111111111</v>
      </c>
      <c r="H1613" t="s">
        <v>5182</v>
      </c>
      <c r="I1613">
        <v>99999999</v>
      </c>
      <c r="J1613" s="188">
        <v>45237</v>
      </c>
      <c r="K1613" t="s">
        <v>5182</v>
      </c>
      <c r="L1613" t="s">
        <v>5182</v>
      </c>
      <c r="M1613" t="s">
        <v>2260</v>
      </c>
      <c r="N1613" t="s">
        <v>680</v>
      </c>
      <c r="O1613" t="s">
        <v>2261</v>
      </c>
      <c r="P1613" t="s">
        <v>221</v>
      </c>
      <c r="Q1613" t="s">
        <v>82</v>
      </c>
      <c r="R1613">
        <v>1</v>
      </c>
      <c r="S1613">
        <v>25</v>
      </c>
      <c r="T1613">
        <v>0</v>
      </c>
      <c r="U1613">
        <v>1</v>
      </c>
      <c r="V1613">
        <v>1</v>
      </c>
      <c r="W1613">
        <v>65.209999999999994</v>
      </c>
      <c r="X1613">
        <v>0</v>
      </c>
      <c r="Y1613">
        <v>0</v>
      </c>
      <c r="Z1613">
        <v>0</v>
      </c>
      <c r="AA1613">
        <v>0</v>
      </c>
      <c r="AB1613">
        <v>0</v>
      </c>
      <c r="AC1613">
        <v>0</v>
      </c>
      <c r="AD1613">
        <v>1</v>
      </c>
      <c r="AE1613">
        <v>0</v>
      </c>
      <c r="AF1613">
        <v>0</v>
      </c>
      <c r="AG1613">
        <v>0</v>
      </c>
      <c r="AH1613">
        <v>0</v>
      </c>
      <c r="AI1613">
        <v>0</v>
      </c>
      <c r="AJ1613">
        <v>0</v>
      </c>
      <c r="AK1613">
        <v>0</v>
      </c>
    </row>
    <row r="1614" spans="1:37" x14ac:dyDescent="0.3">
      <c r="A1614">
        <v>7979</v>
      </c>
      <c r="B1614" t="s">
        <v>219</v>
      </c>
      <c r="D1614" t="s">
        <v>327</v>
      </c>
      <c r="E1614">
        <v>99999999</v>
      </c>
      <c r="F1614">
        <v>11111111</v>
      </c>
      <c r="G1614">
        <v>1111111111</v>
      </c>
      <c r="H1614" t="s">
        <v>5183</v>
      </c>
      <c r="I1614">
        <v>99999999</v>
      </c>
      <c r="J1614" s="188">
        <v>45237</v>
      </c>
      <c r="K1614" t="s">
        <v>5183</v>
      </c>
      <c r="L1614" t="s">
        <v>5183</v>
      </c>
      <c r="M1614" t="s">
        <v>176</v>
      </c>
      <c r="N1614" t="s">
        <v>130</v>
      </c>
      <c r="O1614" t="s">
        <v>2262</v>
      </c>
      <c r="P1614" t="s">
        <v>221</v>
      </c>
      <c r="Q1614" t="s">
        <v>82</v>
      </c>
      <c r="R1614">
        <v>7</v>
      </c>
      <c r="S1614">
        <v>38.56</v>
      </c>
      <c r="T1614">
        <v>0</v>
      </c>
      <c r="U1614">
        <v>1</v>
      </c>
      <c r="V1614">
        <v>5</v>
      </c>
      <c r="W1614">
        <v>49.47</v>
      </c>
      <c r="X1614">
        <v>0</v>
      </c>
      <c r="Y1614">
        <v>0</v>
      </c>
      <c r="Z1614">
        <v>0</v>
      </c>
      <c r="AA1614">
        <v>0</v>
      </c>
      <c r="AB1614">
        <v>0</v>
      </c>
      <c r="AC1614">
        <v>0</v>
      </c>
      <c r="AD1614">
        <v>7</v>
      </c>
      <c r="AE1614">
        <v>0</v>
      </c>
      <c r="AF1614">
        <v>0</v>
      </c>
      <c r="AG1614">
        <v>0</v>
      </c>
      <c r="AH1614">
        <v>0</v>
      </c>
      <c r="AI1614">
        <v>0</v>
      </c>
      <c r="AJ1614">
        <v>0</v>
      </c>
      <c r="AK1614">
        <v>0</v>
      </c>
    </row>
    <row r="1615" spans="1:37" x14ac:dyDescent="0.3">
      <c r="A1615">
        <v>7979</v>
      </c>
      <c r="B1615" t="s">
        <v>219</v>
      </c>
      <c r="D1615" t="s">
        <v>327</v>
      </c>
      <c r="E1615">
        <v>99999999</v>
      </c>
      <c r="F1615">
        <v>11111111</v>
      </c>
      <c r="G1615">
        <v>1111111111</v>
      </c>
      <c r="H1615" t="s">
        <v>5184</v>
      </c>
      <c r="I1615">
        <v>99999999</v>
      </c>
      <c r="J1615" s="188">
        <v>45237</v>
      </c>
      <c r="K1615" t="s">
        <v>5184</v>
      </c>
      <c r="L1615" t="s">
        <v>5184</v>
      </c>
      <c r="M1615" t="s">
        <v>471</v>
      </c>
      <c r="N1615" t="s">
        <v>99</v>
      </c>
      <c r="O1615" t="s">
        <v>2263</v>
      </c>
      <c r="P1615" t="s">
        <v>221</v>
      </c>
      <c r="Q1615" t="s">
        <v>82</v>
      </c>
      <c r="R1615">
        <v>1</v>
      </c>
      <c r="S1615">
        <v>1.6</v>
      </c>
      <c r="T1615">
        <v>0</v>
      </c>
      <c r="U1615">
        <v>1</v>
      </c>
      <c r="V1615">
        <v>1</v>
      </c>
      <c r="W1615">
        <v>25.28</v>
      </c>
      <c r="X1615">
        <v>0</v>
      </c>
      <c r="Y1615">
        <v>0</v>
      </c>
      <c r="Z1615">
        <v>0</v>
      </c>
      <c r="AA1615">
        <v>0</v>
      </c>
      <c r="AB1615">
        <v>0</v>
      </c>
      <c r="AC1615">
        <v>0</v>
      </c>
      <c r="AD1615">
        <v>1</v>
      </c>
      <c r="AE1615">
        <v>0</v>
      </c>
      <c r="AF1615">
        <v>0</v>
      </c>
      <c r="AG1615">
        <v>0</v>
      </c>
      <c r="AH1615">
        <v>0</v>
      </c>
      <c r="AI1615">
        <v>0</v>
      </c>
      <c r="AJ1615">
        <v>0</v>
      </c>
      <c r="AK1615">
        <v>0</v>
      </c>
    </row>
    <row r="1616" spans="1:37" x14ac:dyDescent="0.3">
      <c r="A1616">
        <v>7979</v>
      </c>
      <c r="B1616" t="s">
        <v>219</v>
      </c>
      <c r="D1616" t="s">
        <v>327</v>
      </c>
      <c r="E1616">
        <v>99999999</v>
      </c>
      <c r="F1616">
        <v>11111111</v>
      </c>
      <c r="G1616">
        <v>1111111111</v>
      </c>
      <c r="H1616" t="s">
        <v>5185</v>
      </c>
      <c r="I1616">
        <v>99999999</v>
      </c>
      <c r="J1616" s="188">
        <v>45237</v>
      </c>
      <c r="K1616" t="s">
        <v>5185</v>
      </c>
      <c r="L1616" t="s">
        <v>5185</v>
      </c>
      <c r="M1616" t="s">
        <v>2264</v>
      </c>
      <c r="N1616" t="s">
        <v>241</v>
      </c>
      <c r="O1616" t="s">
        <v>2265</v>
      </c>
      <c r="P1616" t="s">
        <v>221</v>
      </c>
      <c r="Q1616" t="s">
        <v>82</v>
      </c>
      <c r="R1616">
        <v>1</v>
      </c>
      <c r="S1616">
        <v>1.55</v>
      </c>
      <c r="T1616">
        <v>0</v>
      </c>
      <c r="U1616">
        <v>1</v>
      </c>
      <c r="V1616">
        <v>1</v>
      </c>
      <c r="W1616">
        <v>30.05</v>
      </c>
      <c r="X1616">
        <v>0</v>
      </c>
      <c r="Y1616">
        <v>0</v>
      </c>
      <c r="Z1616">
        <v>0</v>
      </c>
      <c r="AA1616">
        <v>0</v>
      </c>
      <c r="AB1616">
        <v>0</v>
      </c>
      <c r="AC1616">
        <v>0</v>
      </c>
      <c r="AD1616">
        <v>1</v>
      </c>
      <c r="AE1616">
        <v>0</v>
      </c>
      <c r="AF1616">
        <v>0</v>
      </c>
      <c r="AG1616">
        <v>0</v>
      </c>
      <c r="AH1616">
        <v>0</v>
      </c>
      <c r="AI1616">
        <v>0</v>
      </c>
      <c r="AJ1616">
        <v>0</v>
      </c>
      <c r="AK1616">
        <v>0</v>
      </c>
    </row>
    <row r="1617" spans="1:37" x14ac:dyDescent="0.3">
      <c r="A1617">
        <v>7979</v>
      </c>
      <c r="B1617" t="s">
        <v>219</v>
      </c>
      <c r="D1617" t="s">
        <v>327</v>
      </c>
      <c r="E1617">
        <v>99999999</v>
      </c>
      <c r="F1617">
        <v>11111111</v>
      </c>
      <c r="G1617">
        <v>1111111111</v>
      </c>
      <c r="H1617" t="s">
        <v>5186</v>
      </c>
      <c r="I1617">
        <v>99999999</v>
      </c>
      <c r="J1617" s="188">
        <v>45237</v>
      </c>
      <c r="K1617" t="s">
        <v>5186</v>
      </c>
      <c r="L1617" t="s">
        <v>5186</v>
      </c>
      <c r="M1617" t="s">
        <v>204</v>
      </c>
      <c r="N1617" t="s">
        <v>99</v>
      </c>
      <c r="O1617" t="s">
        <v>2266</v>
      </c>
      <c r="P1617" t="s">
        <v>221</v>
      </c>
      <c r="Q1617" t="s">
        <v>82</v>
      </c>
      <c r="R1617">
        <v>1</v>
      </c>
      <c r="S1617">
        <v>0.53</v>
      </c>
      <c r="T1617">
        <v>0</v>
      </c>
      <c r="U1617">
        <v>1</v>
      </c>
      <c r="V1617">
        <v>1</v>
      </c>
      <c r="W1617">
        <v>21.21</v>
      </c>
      <c r="X1617">
        <v>0</v>
      </c>
      <c r="Y1617">
        <v>0</v>
      </c>
      <c r="Z1617">
        <v>0</v>
      </c>
      <c r="AA1617">
        <v>0</v>
      </c>
      <c r="AB1617">
        <v>0</v>
      </c>
      <c r="AC1617">
        <v>0</v>
      </c>
      <c r="AD1617">
        <v>1</v>
      </c>
      <c r="AE1617">
        <v>0</v>
      </c>
      <c r="AF1617">
        <v>0</v>
      </c>
      <c r="AG1617">
        <v>0</v>
      </c>
      <c r="AH1617">
        <v>0</v>
      </c>
      <c r="AI1617">
        <v>0</v>
      </c>
      <c r="AJ1617">
        <v>0</v>
      </c>
      <c r="AK1617">
        <v>0</v>
      </c>
    </row>
    <row r="1618" spans="1:37" x14ac:dyDescent="0.3">
      <c r="A1618">
        <v>7979</v>
      </c>
      <c r="B1618" t="s">
        <v>219</v>
      </c>
      <c r="D1618" t="s">
        <v>327</v>
      </c>
      <c r="E1618">
        <v>99999999</v>
      </c>
      <c r="F1618">
        <v>11111111</v>
      </c>
      <c r="G1618">
        <v>1111111111</v>
      </c>
      <c r="H1618" t="s">
        <v>5187</v>
      </c>
      <c r="I1618">
        <v>99999999</v>
      </c>
      <c r="J1618" s="188">
        <v>45237</v>
      </c>
      <c r="K1618" t="s">
        <v>5187</v>
      </c>
      <c r="L1618" t="s">
        <v>5187</v>
      </c>
      <c r="M1618" t="s">
        <v>1655</v>
      </c>
      <c r="N1618" t="s">
        <v>99</v>
      </c>
      <c r="O1618" t="s">
        <v>2267</v>
      </c>
      <c r="P1618" t="s">
        <v>221</v>
      </c>
      <c r="Q1618" t="s">
        <v>82</v>
      </c>
      <c r="R1618">
        <v>1</v>
      </c>
      <c r="S1618">
        <v>0.7</v>
      </c>
      <c r="T1618">
        <v>0</v>
      </c>
      <c r="U1618">
        <v>1</v>
      </c>
      <c r="V1618">
        <v>1</v>
      </c>
      <c r="W1618">
        <v>21.21</v>
      </c>
      <c r="X1618">
        <v>0</v>
      </c>
      <c r="Y1618">
        <v>0</v>
      </c>
      <c r="Z1618">
        <v>0</v>
      </c>
      <c r="AA1618">
        <v>0</v>
      </c>
      <c r="AB1618">
        <v>0</v>
      </c>
      <c r="AC1618">
        <v>0</v>
      </c>
      <c r="AD1618">
        <v>1</v>
      </c>
      <c r="AE1618">
        <v>0</v>
      </c>
      <c r="AF1618">
        <v>0</v>
      </c>
      <c r="AG1618">
        <v>0</v>
      </c>
      <c r="AH1618">
        <v>0</v>
      </c>
      <c r="AI1618">
        <v>0</v>
      </c>
      <c r="AJ1618">
        <v>0</v>
      </c>
      <c r="AK1618">
        <v>0</v>
      </c>
    </row>
    <row r="1619" spans="1:37" x14ac:dyDescent="0.3">
      <c r="A1619">
        <v>7979</v>
      </c>
      <c r="B1619" t="s">
        <v>219</v>
      </c>
      <c r="D1619" t="s">
        <v>327</v>
      </c>
      <c r="E1619">
        <v>99999999</v>
      </c>
      <c r="F1619">
        <v>11111111</v>
      </c>
      <c r="G1619">
        <v>1111111111</v>
      </c>
      <c r="H1619" t="s">
        <v>5188</v>
      </c>
      <c r="I1619">
        <v>99999999</v>
      </c>
      <c r="J1619" s="188">
        <v>45237</v>
      </c>
      <c r="K1619" t="s">
        <v>5188</v>
      </c>
      <c r="L1619" t="s">
        <v>5188</v>
      </c>
      <c r="M1619" t="s">
        <v>863</v>
      </c>
      <c r="N1619" t="s">
        <v>381</v>
      </c>
      <c r="O1619" t="s">
        <v>2268</v>
      </c>
      <c r="P1619" t="s">
        <v>221</v>
      </c>
      <c r="Q1619" t="s">
        <v>82</v>
      </c>
      <c r="R1619">
        <v>3</v>
      </c>
      <c r="S1619">
        <v>3</v>
      </c>
      <c r="T1619">
        <v>0</v>
      </c>
      <c r="U1619">
        <v>1</v>
      </c>
      <c r="V1619">
        <v>2</v>
      </c>
      <c r="W1619">
        <v>23.59</v>
      </c>
      <c r="X1619">
        <v>0</v>
      </c>
      <c r="Y1619">
        <v>0</v>
      </c>
      <c r="Z1619">
        <v>0</v>
      </c>
      <c r="AA1619">
        <v>0</v>
      </c>
      <c r="AB1619">
        <v>0</v>
      </c>
      <c r="AC1619">
        <v>0</v>
      </c>
      <c r="AD1619">
        <v>3</v>
      </c>
      <c r="AE1619">
        <v>0</v>
      </c>
      <c r="AF1619">
        <v>0</v>
      </c>
      <c r="AG1619">
        <v>0</v>
      </c>
      <c r="AH1619">
        <v>0</v>
      </c>
      <c r="AI1619">
        <v>0</v>
      </c>
      <c r="AJ1619">
        <v>0</v>
      </c>
      <c r="AK1619">
        <v>0</v>
      </c>
    </row>
    <row r="1620" spans="1:37" x14ac:dyDescent="0.3">
      <c r="A1620">
        <v>7979</v>
      </c>
      <c r="B1620" t="s">
        <v>219</v>
      </c>
      <c r="D1620" t="s">
        <v>327</v>
      </c>
      <c r="E1620">
        <v>99999999</v>
      </c>
      <c r="F1620">
        <v>11111111</v>
      </c>
      <c r="G1620">
        <v>1111111111</v>
      </c>
      <c r="H1620" t="s">
        <v>5189</v>
      </c>
      <c r="I1620">
        <v>99999999</v>
      </c>
      <c r="J1620" s="188">
        <v>45237</v>
      </c>
      <c r="K1620" t="s">
        <v>5189</v>
      </c>
      <c r="L1620" t="s">
        <v>5189</v>
      </c>
      <c r="M1620" t="s">
        <v>677</v>
      </c>
      <c r="N1620" t="s">
        <v>85</v>
      </c>
      <c r="O1620" t="s">
        <v>2269</v>
      </c>
      <c r="P1620" t="s">
        <v>221</v>
      </c>
      <c r="Q1620" t="s">
        <v>82</v>
      </c>
      <c r="R1620">
        <v>1</v>
      </c>
      <c r="S1620">
        <v>1</v>
      </c>
      <c r="T1620">
        <v>0</v>
      </c>
      <c r="U1620">
        <v>1</v>
      </c>
      <c r="V1620">
        <v>1</v>
      </c>
      <c r="W1620">
        <v>21.21</v>
      </c>
      <c r="X1620">
        <v>0</v>
      </c>
      <c r="Y1620">
        <v>0</v>
      </c>
      <c r="Z1620">
        <v>0</v>
      </c>
      <c r="AA1620">
        <v>0</v>
      </c>
      <c r="AB1620">
        <v>0</v>
      </c>
      <c r="AC1620">
        <v>0</v>
      </c>
      <c r="AD1620">
        <v>1</v>
      </c>
      <c r="AE1620">
        <v>0</v>
      </c>
      <c r="AF1620">
        <v>0</v>
      </c>
      <c r="AG1620">
        <v>0</v>
      </c>
      <c r="AH1620">
        <v>0</v>
      </c>
      <c r="AI1620">
        <v>0</v>
      </c>
      <c r="AJ1620">
        <v>0</v>
      </c>
      <c r="AK1620">
        <v>0</v>
      </c>
    </row>
    <row r="1621" spans="1:37" x14ac:dyDescent="0.3">
      <c r="A1621">
        <v>7979</v>
      </c>
      <c r="B1621" t="s">
        <v>219</v>
      </c>
      <c r="D1621" t="s">
        <v>327</v>
      </c>
      <c r="E1621">
        <v>99999999</v>
      </c>
      <c r="F1621">
        <v>11111111</v>
      </c>
      <c r="G1621">
        <v>1111111111</v>
      </c>
      <c r="H1621" t="s">
        <v>5190</v>
      </c>
      <c r="I1621">
        <v>99999999</v>
      </c>
      <c r="J1621" s="188">
        <v>45237</v>
      </c>
      <c r="K1621" t="s">
        <v>5190</v>
      </c>
      <c r="L1621" t="s">
        <v>5190</v>
      </c>
      <c r="M1621" t="s">
        <v>877</v>
      </c>
      <c r="N1621" t="s">
        <v>197</v>
      </c>
      <c r="O1621" t="s">
        <v>2270</v>
      </c>
      <c r="P1621" t="s">
        <v>221</v>
      </c>
      <c r="Q1621" t="s">
        <v>82</v>
      </c>
      <c r="R1621">
        <v>2</v>
      </c>
      <c r="S1621">
        <v>0.2</v>
      </c>
      <c r="T1621">
        <v>0</v>
      </c>
      <c r="U1621">
        <v>1</v>
      </c>
      <c r="V1621">
        <v>1</v>
      </c>
      <c r="W1621">
        <v>20.52</v>
      </c>
      <c r="X1621">
        <v>0</v>
      </c>
      <c r="Y1621">
        <v>0</v>
      </c>
      <c r="Z1621">
        <v>0</v>
      </c>
      <c r="AA1621">
        <v>0</v>
      </c>
      <c r="AB1621">
        <v>0</v>
      </c>
      <c r="AC1621">
        <v>0</v>
      </c>
      <c r="AD1621">
        <v>2</v>
      </c>
      <c r="AE1621">
        <v>0</v>
      </c>
      <c r="AF1621">
        <v>0</v>
      </c>
      <c r="AG1621">
        <v>0</v>
      </c>
      <c r="AH1621">
        <v>0</v>
      </c>
      <c r="AI1621">
        <v>0</v>
      </c>
      <c r="AJ1621">
        <v>0</v>
      </c>
      <c r="AK1621">
        <v>0</v>
      </c>
    </row>
    <row r="1622" spans="1:37" x14ac:dyDescent="0.3">
      <c r="A1622">
        <v>7979</v>
      </c>
      <c r="B1622" t="s">
        <v>219</v>
      </c>
      <c r="D1622" t="s">
        <v>327</v>
      </c>
      <c r="E1622">
        <v>99999999</v>
      </c>
      <c r="F1622">
        <v>11111111</v>
      </c>
      <c r="G1622">
        <v>1111111111</v>
      </c>
      <c r="H1622" t="s">
        <v>5191</v>
      </c>
      <c r="I1622">
        <v>99999999</v>
      </c>
      <c r="J1622" s="188">
        <v>45237</v>
      </c>
      <c r="K1622" t="s">
        <v>5191</v>
      </c>
      <c r="L1622" t="s">
        <v>5191</v>
      </c>
      <c r="M1622" t="s">
        <v>657</v>
      </c>
      <c r="N1622" t="s">
        <v>99</v>
      </c>
      <c r="O1622">
        <v>95658</v>
      </c>
      <c r="P1622" t="s">
        <v>221</v>
      </c>
      <c r="Q1622" t="s">
        <v>82</v>
      </c>
      <c r="R1622">
        <v>2</v>
      </c>
      <c r="S1622">
        <v>2</v>
      </c>
      <c r="T1622">
        <v>0</v>
      </c>
      <c r="U1622">
        <v>1</v>
      </c>
      <c r="V1622">
        <v>2</v>
      </c>
      <c r="W1622">
        <v>25.28</v>
      </c>
      <c r="X1622">
        <v>0</v>
      </c>
      <c r="Y1622">
        <v>0</v>
      </c>
      <c r="Z1622">
        <v>0</v>
      </c>
      <c r="AA1622">
        <v>0</v>
      </c>
      <c r="AB1622">
        <v>0</v>
      </c>
      <c r="AC1622">
        <v>0</v>
      </c>
      <c r="AD1622">
        <v>2</v>
      </c>
      <c r="AE1622">
        <v>0</v>
      </c>
      <c r="AF1622">
        <v>0</v>
      </c>
      <c r="AG1622">
        <v>0</v>
      </c>
      <c r="AH1622">
        <v>0</v>
      </c>
      <c r="AI1622">
        <v>0</v>
      </c>
      <c r="AJ1622">
        <v>0</v>
      </c>
      <c r="AK1622">
        <v>0</v>
      </c>
    </row>
    <row r="1623" spans="1:37" x14ac:dyDescent="0.3">
      <c r="A1623">
        <v>7979</v>
      </c>
      <c r="B1623" t="s">
        <v>219</v>
      </c>
      <c r="D1623" t="s">
        <v>327</v>
      </c>
      <c r="E1623">
        <v>99999999</v>
      </c>
      <c r="F1623">
        <v>11111111</v>
      </c>
      <c r="G1623">
        <v>1111111111</v>
      </c>
      <c r="H1623" t="s">
        <v>5192</v>
      </c>
      <c r="I1623">
        <v>99999999</v>
      </c>
      <c r="J1623" s="188">
        <v>45237</v>
      </c>
      <c r="K1623" t="s">
        <v>5192</v>
      </c>
      <c r="L1623" t="s">
        <v>5192</v>
      </c>
      <c r="M1623" t="s">
        <v>2271</v>
      </c>
      <c r="N1623" t="s">
        <v>130</v>
      </c>
      <c r="O1623">
        <v>80134</v>
      </c>
      <c r="P1623" t="s">
        <v>221</v>
      </c>
      <c r="Q1623" t="s">
        <v>82</v>
      </c>
      <c r="R1623">
        <v>1</v>
      </c>
      <c r="S1623">
        <v>0.17</v>
      </c>
      <c r="T1623">
        <v>0</v>
      </c>
      <c r="U1623">
        <v>1</v>
      </c>
      <c r="V1623">
        <v>1</v>
      </c>
      <c r="W1623">
        <v>19.899999999999999</v>
      </c>
      <c r="X1623">
        <v>0</v>
      </c>
      <c r="Y1623">
        <v>0</v>
      </c>
      <c r="Z1623">
        <v>0</v>
      </c>
      <c r="AA1623">
        <v>0</v>
      </c>
      <c r="AB1623">
        <v>0</v>
      </c>
      <c r="AC1623">
        <v>0</v>
      </c>
      <c r="AD1623">
        <v>1</v>
      </c>
      <c r="AE1623">
        <v>0</v>
      </c>
      <c r="AF1623">
        <v>0</v>
      </c>
      <c r="AG1623">
        <v>0</v>
      </c>
      <c r="AH1623">
        <v>0</v>
      </c>
      <c r="AI1623">
        <v>0</v>
      </c>
      <c r="AJ1623">
        <v>0</v>
      </c>
      <c r="AK1623">
        <v>0</v>
      </c>
    </row>
    <row r="1624" spans="1:37" x14ac:dyDescent="0.3">
      <c r="A1624">
        <v>7979</v>
      </c>
      <c r="B1624" t="s">
        <v>219</v>
      </c>
      <c r="D1624" t="s">
        <v>327</v>
      </c>
      <c r="E1624">
        <v>99999999</v>
      </c>
      <c r="F1624">
        <v>11111111</v>
      </c>
      <c r="G1624">
        <v>1111111111</v>
      </c>
      <c r="H1624" t="s">
        <v>5193</v>
      </c>
      <c r="I1624">
        <v>99999999</v>
      </c>
      <c r="J1624" s="188">
        <v>45237</v>
      </c>
      <c r="K1624" t="s">
        <v>5193</v>
      </c>
      <c r="L1624" t="s">
        <v>5193</v>
      </c>
      <c r="M1624" t="s">
        <v>2272</v>
      </c>
      <c r="N1624" t="s">
        <v>99</v>
      </c>
      <c r="O1624" t="s">
        <v>2273</v>
      </c>
      <c r="P1624" t="s">
        <v>221</v>
      </c>
      <c r="Q1624" t="s">
        <v>82</v>
      </c>
      <c r="R1624">
        <v>4</v>
      </c>
      <c r="S1624">
        <v>2.12</v>
      </c>
      <c r="T1624">
        <v>0</v>
      </c>
      <c r="U1624">
        <v>1</v>
      </c>
      <c r="V1624">
        <v>2</v>
      </c>
      <c r="W1624">
        <v>28</v>
      </c>
      <c r="X1624">
        <v>0</v>
      </c>
      <c r="Y1624">
        <v>0</v>
      </c>
      <c r="Z1624">
        <v>0</v>
      </c>
      <c r="AA1624">
        <v>0</v>
      </c>
      <c r="AB1624">
        <v>0</v>
      </c>
      <c r="AC1624">
        <v>0</v>
      </c>
      <c r="AD1624">
        <v>4</v>
      </c>
      <c r="AE1624">
        <v>0</v>
      </c>
      <c r="AF1624">
        <v>0</v>
      </c>
      <c r="AG1624">
        <v>0</v>
      </c>
      <c r="AH1624">
        <v>0</v>
      </c>
      <c r="AI1624">
        <v>0</v>
      </c>
      <c r="AJ1624">
        <v>0</v>
      </c>
      <c r="AK1624">
        <v>0</v>
      </c>
    </row>
    <row r="1625" spans="1:37" x14ac:dyDescent="0.3">
      <c r="A1625">
        <v>7979</v>
      </c>
      <c r="B1625" t="s">
        <v>219</v>
      </c>
      <c r="D1625" t="s">
        <v>327</v>
      </c>
      <c r="E1625">
        <v>99999999</v>
      </c>
      <c r="F1625">
        <v>11111111</v>
      </c>
      <c r="G1625">
        <v>1111111111</v>
      </c>
      <c r="H1625" t="s">
        <v>5194</v>
      </c>
      <c r="I1625">
        <v>99999999</v>
      </c>
      <c r="J1625" s="188">
        <v>45237</v>
      </c>
      <c r="K1625" t="s">
        <v>5194</v>
      </c>
      <c r="L1625" t="s">
        <v>5194</v>
      </c>
      <c r="M1625" t="s">
        <v>1574</v>
      </c>
      <c r="N1625" t="s">
        <v>99</v>
      </c>
      <c r="O1625">
        <v>94526</v>
      </c>
      <c r="P1625" t="s">
        <v>221</v>
      </c>
      <c r="Q1625" t="s">
        <v>82</v>
      </c>
      <c r="R1625">
        <v>1</v>
      </c>
      <c r="S1625">
        <v>0.77</v>
      </c>
      <c r="T1625">
        <v>0</v>
      </c>
      <c r="U1625">
        <v>1</v>
      </c>
      <c r="V1625">
        <v>1</v>
      </c>
      <c r="W1625">
        <v>19.940000000000001</v>
      </c>
      <c r="X1625">
        <v>0</v>
      </c>
      <c r="Y1625">
        <v>0</v>
      </c>
      <c r="Z1625">
        <v>0</v>
      </c>
      <c r="AA1625">
        <v>0</v>
      </c>
      <c r="AB1625">
        <v>0</v>
      </c>
      <c r="AC1625">
        <v>0</v>
      </c>
      <c r="AD1625">
        <v>1</v>
      </c>
      <c r="AE1625">
        <v>0</v>
      </c>
      <c r="AF1625">
        <v>0</v>
      </c>
      <c r="AG1625">
        <v>0</v>
      </c>
      <c r="AH1625">
        <v>0</v>
      </c>
      <c r="AI1625">
        <v>0</v>
      </c>
      <c r="AJ1625">
        <v>0</v>
      </c>
      <c r="AK1625">
        <v>0</v>
      </c>
    </row>
    <row r="1626" spans="1:37" x14ac:dyDescent="0.3">
      <c r="A1626">
        <v>7979</v>
      </c>
      <c r="B1626" t="s">
        <v>219</v>
      </c>
      <c r="D1626" t="s">
        <v>327</v>
      </c>
      <c r="E1626">
        <v>99999999</v>
      </c>
      <c r="F1626">
        <v>11111111</v>
      </c>
      <c r="G1626">
        <v>1111111111</v>
      </c>
      <c r="H1626" t="s">
        <v>5195</v>
      </c>
      <c r="I1626">
        <v>99999999</v>
      </c>
      <c r="J1626" s="188">
        <v>45237</v>
      </c>
      <c r="K1626" t="s">
        <v>5195</v>
      </c>
      <c r="L1626" t="s">
        <v>5195</v>
      </c>
      <c r="M1626" t="s">
        <v>2274</v>
      </c>
      <c r="N1626" t="s">
        <v>130</v>
      </c>
      <c r="O1626" t="s">
        <v>2275</v>
      </c>
      <c r="P1626" t="s">
        <v>221</v>
      </c>
      <c r="Q1626" t="s">
        <v>82</v>
      </c>
      <c r="R1626">
        <v>1</v>
      </c>
      <c r="S1626">
        <v>0.6</v>
      </c>
      <c r="T1626">
        <v>0</v>
      </c>
      <c r="U1626">
        <v>1</v>
      </c>
      <c r="V1626">
        <v>1</v>
      </c>
      <c r="W1626">
        <v>21.54</v>
      </c>
      <c r="X1626">
        <v>0</v>
      </c>
      <c r="Y1626">
        <v>0</v>
      </c>
      <c r="Z1626">
        <v>0</v>
      </c>
      <c r="AA1626">
        <v>0</v>
      </c>
      <c r="AB1626">
        <v>0</v>
      </c>
      <c r="AC1626">
        <v>0</v>
      </c>
      <c r="AD1626">
        <v>1</v>
      </c>
      <c r="AE1626">
        <v>0</v>
      </c>
      <c r="AF1626">
        <v>0</v>
      </c>
      <c r="AG1626">
        <v>0</v>
      </c>
      <c r="AH1626">
        <v>0</v>
      </c>
      <c r="AI1626">
        <v>0</v>
      </c>
      <c r="AJ1626">
        <v>0</v>
      </c>
      <c r="AK1626">
        <v>0</v>
      </c>
    </row>
    <row r="1627" spans="1:37" x14ac:dyDescent="0.3">
      <c r="A1627">
        <v>7979</v>
      </c>
      <c r="B1627" t="s">
        <v>219</v>
      </c>
      <c r="D1627" t="s">
        <v>327</v>
      </c>
      <c r="E1627">
        <v>99999999</v>
      </c>
      <c r="F1627">
        <v>11111111</v>
      </c>
      <c r="G1627">
        <v>1111111111</v>
      </c>
      <c r="H1627" t="s">
        <v>5196</v>
      </c>
      <c r="I1627">
        <v>99999999</v>
      </c>
      <c r="J1627" s="188">
        <v>45237</v>
      </c>
      <c r="K1627" t="s">
        <v>5196</v>
      </c>
      <c r="L1627" t="s">
        <v>5196</v>
      </c>
      <c r="M1627" t="s">
        <v>150</v>
      </c>
      <c r="N1627" t="s">
        <v>151</v>
      </c>
      <c r="O1627">
        <v>27614</v>
      </c>
      <c r="P1627" t="s">
        <v>221</v>
      </c>
      <c r="Q1627" t="s">
        <v>82</v>
      </c>
      <c r="R1627">
        <v>1</v>
      </c>
      <c r="S1627">
        <v>1.21</v>
      </c>
      <c r="T1627">
        <v>0</v>
      </c>
      <c r="U1627">
        <v>1</v>
      </c>
      <c r="V1627">
        <v>1</v>
      </c>
      <c r="W1627">
        <v>23.1</v>
      </c>
      <c r="X1627">
        <v>0</v>
      </c>
      <c r="Y1627">
        <v>0</v>
      </c>
      <c r="Z1627">
        <v>0</v>
      </c>
      <c r="AA1627">
        <v>0</v>
      </c>
      <c r="AB1627">
        <v>0</v>
      </c>
      <c r="AC1627">
        <v>0</v>
      </c>
      <c r="AD1627">
        <v>1</v>
      </c>
      <c r="AE1627">
        <v>0</v>
      </c>
      <c r="AF1627">
        <v>0</v>
      </c>
      <c r="AG1627">
        <v>0</v>
      </c>
      <c r="AH1627">
        <v>0</v>
      </c>
      <c r="AI1627">
        <v>0</v>
      </c>
      <c r="AJ1627">
        <v>0</v>
      </c>
      <c r="AK1627">
        <v>0</v>
      </c>
    </row>
    <row r="1628" spans="1:37" x14ac:dyDescent="0.3">
      <c r="A1628">
        <v>7979</v>
      </c>
      <c r="B1628" t="s">
        <v>219</v>
      </c>
      <c r="D1628" t="s">
        <v>327</v>
      </c>
      <c r="E1628">
        <v>99999999</v>
      </c>
      <c r="F1628">
        <v>11111111</v>
      </c>
      <c r="G1628">
        <v>1111111111</v>
      </c>
      <c r="H1628" t="s">
        <v>5197</v>
      </c>
      <c r="I1628">
        <v>99999999</v>
      </c>
      <c r="J1628" s="188">
        <v>45237</v>
      </c>
      <c r="K1628" t="s">
        <v>5197</v>
      </c>
      <c r="L1628" t="s">
        <v>5197</v>
      </c>
      <c r="M1628" t="s">
        <v>863</v>
      </c>
      <c r="N1628" t="s">
        <v>381</v>
      </c>
      <c r="O1628" t="s">
        <v>2276</v>
      </c>
      <c r="P1628" t="s">
        <v>221</v>
      </c>
      <c r="Q1628" t="s">
        <v>82</v>
      </c>
      <c r="R1628">
        <v>1</v>
      </c>
      <c r="S1628">
        <v>1.54</v>
      </c>
      <c r="T1628">
        <v>0</v>
      </c>
      <c r="U1628">
        <v>1</v>
      </c>
      <c r="V1628">
        <v>1</v>
      </c>
      <c r="W1628">
        <v>28.79</v>
      </c>
      <c r="X1628">
        <v>0</v>
      </c>
      <c r="Y1628">
        <v>0</v>
      </c>
      <c r="Z1628">
        <v>0</v>
      </c>
      <c r="AA1628">
        <v>0</v>
      </c>
      <c r="AB1628">
        <v>0</v>
      </c>
      <c r="AC1628">
        <v>0</v>
      </c>
      <c r="AD1628">
        <v>1</v>
      </c>
      <c r="AE1628">
        <v>0</v>
      </c>
      <c r="AF1628">
        <v>0</v>
      </c>
      <c r="AG1628">
        <v>0</v>
      </c>
      <c r="AH1628">
        <v>0</v>
      </c>
      <c r="AI1628">
        <v>0</v>
      </c>
      <c r="AJ1628">
        <v>0</v>
      </c>
      <c r="AK1628">
        <v>0</v>
      </c>
    </row>
    <row r="1629" spans="1:37" x14ac:dyDescent="0.3">
      <c r="A1629">
        <v>7979</v>
      </c>
      <c r="B1629" t="s">
        <v>219</v>
      </c>
      <c r="D1629" t="s">
        <v>327</v>
      </c>
      <c r="E1629">
        <v>99999999</v>
      </c>
      <c r="F1629">
        <v>11111111</v>
      </c>
      <c r="G1629">
        <v>1111111111</v>
      </c>
      <c r="H1629" t="s">
        <v>5198</v>
      </c>
      <c r="I1629">
        <v>99999999</v>
      </c>
      <c r="J1629" s="188">
        <v>45237</v>
      </c>
      <c r="K1629" t="s">
        <v>5198</v>
      </c>
      <c r="L1629" t="s">
        <v>5198</v>
      </c>
      <c r="M1629" t="s">
        <v>95</v>
      </c>
      <c r="N1629" t="s">
        <v>91</v>
      </c>
      <c r="O1629">
        <v>85086</v>
      </c>
      <c r="P1629" t="s">
        <v>221</v>
      </c>
      <c r="Q1629" t="s">
        <v>82</v>
      </c>
      <c r="R1629">
        <v>1</v>
      </c>
      <c r="S1629">
        <v>1</v>
      </c>
      <c r="T1629">
        <v>0</v>
      </c>
      <c r="U1629">
        <v>1</v>
      </c>
      <c r="V1629">
        <v>1</v>
      </c>
      <c r="W1629">
        <v>21.54</v>
      </c>
      <c r="X1629">
        <v>0</v>
      </c>
      <c r="Y1629">
        <v>0</v>
      </c>
      <c r="Z1629">
        <v>0</v>
      </c>
      <c r="AA1629">
        <v>0</v>
      </c>
      <c r="AB1629">
        <v>0</v>
      </c>
      <c r="AC1629">
        <v>0</v>
      </c>
      <c r="AD1629">
        <v>1</v>
      </c>
      <c r="AE1629">
        <v>0</v>
      </c>
      <c r="AF1629">
        <v>0</v>
      </c>
      <c r="AG1629">
        <v>0</v>
      </c>
      <c r="AH1629">
        <v>0</v>
      </c>
      <c r="AI1629">
        <v>0</v>
      </c>
      <c r="AJ1629">
        <v>0</v>
      </c>
      <c r="AK1629">
        <v>0</v>
      </c>
    </row>
    <row r="1630" spans="1:37" x14ac:dyDescent="0.3">
      <c r="A1630">
        <v>7979</v>
      </c>
      <c r="B1630" t="s">
        <v>219</v>
      </c>
      <c r="D1630" t="s">
        <v>327</v>
      </c>
      <c r="E1630">
        <v>99999999</v>
      </c>
      <c r="F1630">
        <v>11111111</v>
      </c>
      <c r="G1630">
        <v>1111111111</v>
      </c>
      <c r="H1630" t="s">
        <v>5199</v>
      </c>
      <c r="I1630">
        <v>99999999</v>
      </c>
      <c r="J1630" s="188">
        <v>45237</v>
      </c>
      <c r="K1630" t="s">
        <v>5199</v>
      </c>
      <c r="L1630" t="s">
        <v>5199</v>
      </c>
      <c r="M1630" t="s">
        <v>1269</v>
      </c>
      <c r="N1630" t="s">
        <v>91</v>
      </c>
      <c r="O1630" t="s">
        <v>2277</v>
      </c>
      <c r="P1630" t="s">
        <v>221</v>
      </c>
      <c r="Q1630" t="s">
        <v>82</v>
      </c>
      <c r="R1630">
        <v>2</v>
      </c>
      <c r="S1630">
        <v>0.36</v>
      </c>
      <c r="T1630">
        <v>0</v>
      </c>
      <c r="U1630">
        <v>1</v>
      </c>
      <c r="V1630">
        <v>2</v>
      </c>
      <c r="W1630">
        <v>26.02</v>
      </c>
      <c r="X1630">
        <v>0</v>
      </c>
      <c r="Y1630">
        <v>0</v>
      </c>
      <c r="Z1630">
        <v>0</v>
      </c>
      <c r="AA1630">
        <v>0</v>
      </c>
      <c r="AB1630">
        <v>0</v>
      </c>
      <c r="AC1630">
        <v>0</v>
      </c>
      <c r="AD1630">
        <v>2</v>
      </c>
      <c r="AE1630">
        <v>0</v>
      </c>
      <c r="AF1630">
        <v>0</v>
      </c>
      <c r="AG1630">
        <v>0</v>
      </c>
      <c r="AH1630">
        <v>0</v>
      </c>
      <c r="AI1630">
        <v>0</v>
      </c>
      <c r="AJ1630">
        <v>0</v>
      </c>
      <c r="AK1630">
        <v>0</v>
      </c>
    </row>
    <row r="1631" spans="1:37" x14ac:dyDescent="0.3">
      <c r="A1631">
        <v>7979</v>
      </c>
      <c r="B1631" t="s">
        <v>219</v>
      </c>
      <c r="D1631" t="s">
        <v>327</v>
      </c>
      <c r="E1631">
        <v>99999999</v>
      </c>
      <c r="F1631">
        <v>11111111</v>
      </c>
      <c r="G1631">
        <v>1111111111</v>
      </c>
      <c r="H1631" t="s">
        <v>5200</v>
      </c>
      <c r="I1631">
        <v>99999999</v>
      </c>
      <c r="J1631" s="188">
        <v>45237</v>
      </c>
      <c r="K1631" t="s">
        <v>5200</v>
      </c>
      <c r="L1631" t="s">
        <v>5200</v>
      </c>
      <c r="M1631" t="s">
        <v>2278</v>
      </c>
      <c r="N1631" t="s">
        <v>99</v>
      </c>
      <c r="O1631">
        <v>92201</v>
      </c>
      <c r="P1631" t="s">
        <v>221</v>
      </c>
      <c r="Q1631" t="s">
        <v>82</v>
      </c>
      <c r="R1631">
        <v>1</v>
      </c>
      <c r="S1631">
        <v>1.5</v>
      </c>
      <c r="T1631">
        <v>0</v>
      </c>
      <c r="U1631">
        <v>1</v>
      </c>
      <c r="V1631">
        <v>1</v>
      </c>
      <c r="W1631">
        <v>21.54</v>
      </c>
      <c r="X1631">
        <v>0</v>
      </c>
      <c r="Y1631">
        <v>0</v>
      </c>
      <c r="Z1631">
        <v>0</v>
      </c>
      <c r="AA1631">
        <v>0</v>
      </c>
      <c r="AB1631">
        <v>0</v>
      </c>
      <c r="AC1631">
        <v>0</v>
      </c>
      <c r="AD1631">
        <v>1</v>
      </c>
      <c r="AE1631">
        <v>0</v>
      </c>
      <c r="AF1631">
        <v>0</v>
      </c>
      <c r="AG1631">
        <v>0</v>
      </c>
      <c r="AH1631">
        <v>0</v>
      </c>
      <c r="AI1631">
        <v>0</v>
      </c>
      <c r="AJ1631">
        <v>0</v>
      </c>
      <c r="AK1631">
        <v>0</v>
      </c>
    </row>
    <row r="1632" spans="1:37" x14ac:dyDescent="0.3">
      <c r="A1632">
        <v>7979</v>
      </c>
      <c r="B1632" t="s">
        <v>219</v>
      </c>
      <c r="D1632" t="s">
        <v>327</v>
      </c>
      <c r="E1632">
        <v>99999999</v>
      </c>
      <c r="F1632">
        <v>11111111</v>
      </c>
      <c r="G1632">
        <v>1111111111</v>
      </c>
      <c r="H1632" t="s">
        <v>5201</v>
      </c>
      <c r="I1632">
        <v>99999999</v>
      </c>
      <c r="J1632" s="188">
        <v>45237</v>
      </c>
      <c r="K1632" t="s">
        <v>5201</v>
      </c>
      <c r="L1632" t="s">
        <v>5201</v>
      </c>
      <c r="M1632" t="s">
        <v>605</v>
      </c>
      <c r="N1632" t="s">
        <v>130</v>
      </c>
      <c r="O1632" t="s">
        <v>2161</v>
      </c>
      <c r="P1632" t="s">
        <v>221</v>
      </c>
      <c r="Q1632" t="s">
        <v>82</v>
      </c>
      <c r="R1632">
        <v>1</v>
      </c>
      <c r="S1632">
        <v>0.6</v>
      </c>
      <c r="T1632">
        <v>0</v>
      </c>
      <c r="U1632">
        <v>1</v>
      </c>
      <c r="V1632">
        <v>1</v>
      </c>
      <c r="W1632">
        <v>27.66</v>
      </c>
      <c r="X1632">
        <v>0</v>
      </c>
      <c r="Y1632">
        <v>0</v>
      </c>
      <c r="Z1632">
        <v>0</v>
      </c>
      <c r="AA1632">
        <v>0</v>
      </c>
      <c r="AB1632">
        <v>0</v>
      </c>
      <c r="AC1632">
        <v>0</v>
      </c>
      <c r="AD1632">
        <v>1</v>
      </c>
      <c r="AE1632">
        <v>0</v>
      </c>
      <c r="AF1632">
        <v>0</v>
      </c>
      <c r="AG1632">
        <v>0</v>
      </c>
      <c r="AH1632">
        <v>0</v>
      </c>
      <c r="AI1632">
        <v>0</v>
      </c>
      <c r="AJ1632">
        <v>0</v>
      </c>
      <c r="AK1632">
        <v>0</v>
      </c>
    </row>
    <row r="1633" spans="1:37" x14ac:dyDescent="0.3">
      <c r="A1633">
        <v>7979</v>
      </c>
      <c r="B1633" t="s">
        <v>219</v>
      </c>
      <c r="D1633" t="s">
        <v>327</v>
      </c>
      <c r="E1633">
        <v>99999999</v>
      </c>
      <c r="F1633">
        <v>11111111</v>
      </c>
      <c r="G1633">
        <v>1111111111</v>
      </c>
      <c r="H1633" t="s">
        <v>5202</v>
      </c>
      <c r="I1633">
        <v>99999999</v>
      </c>
      <c r="J1633" s="188">
        <v>45237</v>
      </c>
      <c r="K1633" t="s">
        <v>5202</v>
      </c>
      <c r="L1633" t="s">
        <v>5202</v>
      </c>
      <c r="M1633" t="s">
        <v>369</v>
      </c>
      <c r="N1633" t="s">
        <v>99</v>
      </c>
      <c r="O1633">
        <v>90066</v>
      </c>
      <c r="P1633" t="s">
        <v>221</v>
      </c>
      <c r="Q1633" t="s">
        <v>82</v>
      </c>
      <c r="R1633">
        <v>1</v>
      </c>
      <c r="S1633">
        <v>0.65</v>
      </c>
      <c r="T1633">
        <v>0</v>
      </c>
      <c r="U1633">
        <v>1</v>
      </c>
      <c r="V1633">
        <v>1</v>
      </c>
      <c r="W1633">
        <v>21.21</v>
      </c>
      <c r="X1633">
        <v>0</v>
      </c>
      <c r="Y1633">
        <v>0</v>
      </c>
      <c r="Z1633">
        <v>0</v>
      </c>
      <c r="AA1633">
        <v>0</v>
      </c>
      <c r="AB1633">
        <v>0</v>
      </c>
      <c r="AC1633">
        <v>0</v>
      </c>
      <c r="AD1633">
        <v>1</v>
      </c>
      <c r="AE1633">
        <v>0</v>
      </c>
      <c r="AF1633">
        <v>0</v>
      </c>
      <c r="AG1633">
        <v>0</v>
      </c>
      <c r="AH1633">
        <v>0</v>
      </c>
      <c r="AI1633">
        <v>0</v>
      </c>
      <c r="AJ1633">
        <v>0</v>
      </c>
      <c r="AK1633">
        <v>0</v>
      </c>
    </row>
    <row r="1634" spans="1:37" x14ac:dyDescent="0.3">
      <c r="A1634">
        <v>7979</v>
      </c>
      <c r="B1634" t="s">
        <v>219</v>
      </c>
      <c r="D1634" t="s">
        <v>327</v>
      </c>
      <c r="E1634">
        <v>99999999</v>
      </c>
      <c r="F1634">
        <v>11111111</v>
      </c>
      <c r="G1634">
        <v>1111111111</v>
      </c>
      <c r="H1634" t="s">
        <v>5203</v>
      </c>
      <c r="I1634">
        <v>99999999</v>
      </c>
      <c r="J1634" s="188">
        <v>45237</v>
      </c>
      <c r="K1634" t="s">
        <v>5203</v>
      </c>
      <c r="L1634" t="s">
        <v>5203</v>
      </c>
      <c r="M1634" t="s">
        <v>2171</v>
      </c>
      <c r="N1634" t="s">
        <v>99</v>
      </c>
      <c r="O1634" t="s">
        <v>2279</v>
      </c>
      <c r="P1634" t="s">
        <v>221</v>
      </c>
      <c r="Q1634" t="s">
        <v>82</v>
      </c>
      <c r="R1634">
        <v>4</v>
      </c>
      <c r="S1634">
        <v>2</v>
      </c>
      <c r="T1634">
        <v>0</v>
      </c>
      <c r="U1634">
        <v>1</v>
      </c>
      <c r="V1634">
        <v>1</v>
      </c>
      <c r="W1634">
        <v>28</v>
      </c>
      <c r="X1634">
        <v>0</v>
      </c>
      <c r="Y1634">
        <v>0</v>
      </c>
      <c r="Z1634">
        <v>0</v>
      </c>
      <c r="AA1634">
        <v>0</v>
      </c>
      <c r="AB1634">
        <v>0</v>
      </c>
      <c r="AC1634">
        <v>0</v>
      </c>
      <c r="AD1634">
        <v>4</v>
      </c>
      <c r="AE1634">
        <v>0</v>
      </c>
      <c r="AF1634">
        <v>0</v>
      </c>
      <c r="AG1634">
        <v>0</v>
      </c>
      <c r="AH1634">
        <v>0</v>
      </c>
      <c r="AI1634">
        <v>0</v>
      </c>
      <c r="AJ1634">
        <v>0</v>
      </c>
      <c r="AK1634">
        <v>0</v>
      </c>
    </row>
    <row r="1635" spans="1:37" x14ac:dyDescent="0.3">
      <c r="A1635">
        <v>7979</v>
      </c>
      <c r="B1635" t="s">
        <v>219</v>
      </c>
      <c r="D1635" t="s">
        <v>327</v>
      </c>
      <c r="E1635">
        <v>99999999</v>
      </c>
      <c r="F1635">
        <v>11111111</v>
      </c>
      <c r="G1635">
        <v>1111111111</v>
      </c>
      <c r="H1635" t="s">
        <v>5204</v>
      </c>
      <c r="I1635">
        <v>99999999</v>
      </c>
      <c r="J1635" s="188">
        <v>45237</v>
      </c>
      <c r="K1635" t="s">
        <v>5204</v>
      </c>
      <c r="L1635" t="s">
        <v>5204</v>
      </c>
      <c r="M1635" t="s">
        <v>2280</v>
      </c>
      <c r="N1635" t="s">
        <v>226</v>
      </c>
      <c r="O1635" t="s">
        <v>2281</v>
      </c>
      <c r="P1635" t="s">
        <v>221</v>
      </c>
      <c r="Q1635" t="s">
        <v>82</v>
      </c>
      <c r="R1635">
        <v>1</v>
      </c>
      <c r="S1635">
        <v>1.1299999999999999</v>
      </c>
      <c r="T1635">
        <v>0</v>
      </c>
      <c r="U1635">
        <v>1</v>
      </c>
      <c r="V1635">
        <v>1</v>
      </c>
      <c r="W1635">
        <v>31.36</v>
      </c>
      <c r="X1635">
        <v>0</v>
      </c>
      <c r="Y1635">
        <v>0</v>
      </c>
      <c r="Z1635">
        <v>0</v>
      </c>
      <c r="AA1635">
        <v>0</v>
      </c>
      <c r="AB1635">
        <v>0</v>
      </c>
      <c r="AC1635">
        <v>0</v>
      </c>
      <c r="AD1635">
        <v>1</v>
      </c>
      <c r="AE1635">
        <v>0</v>
      </c>
      <c r="AF1635">
        <v>0</v>
      </c>
      <c r="AG1635">
        <v>0</v>
      </c>
      <c r="AH1635">
        <v>0</v>
      </c>
      <c r="AI1635">
        <v>0</v>
      </c>
      <c r="AJ1635">
        <v>0</v>
      </c>
      <c r="AK1635">
        <v>0</v>
      </c>
    </row>
    <row r="1636" spans="1:37" x14ac:dyDescent="0.3">
      <c r="A1636">
        <v>7979</v>
      </c>
      <c r="B1636" t="s">
        <v>219</v>
      </c>
      <c r="D1636" t="s">
        <v>327</v>
      </c>
      <c r="E1636">
        <v>99999999</v>
      </c>
      <c r="F1636">
        <v>11111111</v>
      </c>
      <c r="G1636">
        <v>1111111111</v>
      </c>
      <c r="H1636" t="s">
        <v>5205</v>
      </c>
      <c r="I1636">
        <v>99999999</v>
      </c>
      <c r="J1636" s="188">
        <v>45237</v>
      </c>
      <c r="K1636" t="s">
        <v>5205</v>
      </c>
      <c r="L1636" t="s">
        <v>5205</v>
      </c>
      <c r="M1636" t="s">
        <v>343</v>
      </c>
      <c r="N1636" t="s">
        <v>164</v>
      </c>
      <c r="O1636">
        <v>97402</v>
      </c>
      <c r="P1636" t="s">
        <v>221</v>
      </c>
      <c r="Q1636" t="s">
        <v>82</v>
      </c>
      <c r="R1636">
        <v>1</v>
      </c>
      <c r="S1636">
        <v>0.75</v>
      </c>
      <c r="T1636">
        <v>0</v>
      </c>
      <c r="U1636">
        <v>1</v>
      </c>
      <c r="V1636">
        <v>1</v>
      </c>
      <c r="W1636">
        <v>21.21</v>
      </c>
      <c r="X1636">
        <v>0</v>
      </c>
      <c r="Y1636">
        <v>0</v>
      </c>
      <c r="Z1636">
        <v>0</v>
      </c>
      <c r="AA1636">
        <v>0</v>
      </c>
      <c r="AB1636">
        <v>0</v>
      </c>
      <c r="AC1636">
        <v>0</v>
      </c>
      <c r="AD1636">
        <v>1</v>
      </c>
      <c r="AE1636">
        <v>0</v>
      </c>
      <c r="AF1636">
        <v>0</v>
      </c>
      <c r="AG1636">
        <v>0</v>
      </c>
      <c r="AH1636">
        <v>0</v>
      </c>
      <c r="AI1636">
        <v>0</v>
      </c>
      <c r="AJ1636">
        <v>0</v>
      </c>
      <c r="AK1636">
        <v>0</v>
      </c>
    </row>
    <row r="1637" spans="1:37" x14ac:dyDescent="0.3">
      <c r="A1637">
        <v>7979</v>
      </c>
      <c r="B1637" t="s">
        <v>219</v>
      </c>
      <c r="D1637" t="s">
        <v>327</v>
      </c>
      <c r="E1637">
        <v>99999999</v>
      </c>
      <c r="F1637">
        <v>11111111</v>
      </c>
      <c r="G1637">
        <v>1111111111</v>
      </c>
      <c r="H1637" t="s">
        <v>5206</v>
      </c>
      <c r="I1637">
        <v>99999999</v>
      </c>
      <c r="J1637" s="188">
        <v>45237</v>
      </c>
      <c r="K1637" t="s">
        <v>5206</v>
      </c>
      <c r="L1637" t="s">
        <v>5206</v>
      </c>
      <c r="M1637" t="s">
        <v>95</v>
      </c>
      <c r="N1637" t="s">
        <v>233</v>
      </c>
      <c r="O1637" t="s">
        <v>2282</v>
      </c>
      <c r="P1637" t="s">
        <v>221</v>
      </c>
      <c r="Q1637" t="s">
        <v>82</v>
      </c>
      <c r="R1637">
        <v>1</v>
      </c>
      <c r="S1637">
        <v>0.03</v>
      </c>
      <c r="T1637">
        <v>0</v>
      </c>
      <c r="U1637">
        <v>1</v>
      </c>
      <c r="V1637">
        <v>1</v>
      </c>
      <c r="W1637">
        <v>26.9</v>
      </c>
      <c r="X1637">
        <v>0</v>
      </c>
      <c r="Y1637">
        <v>0</v>
      </c>
      <c r="Z1637">
        <v>0</v>
      </c>
      <c r="AA1637">
        <v>0</v>
      </c>
      <c r="AB1637">
        <v>0</v>
      </c>
      <c r="AC1637">
        <v>0</v>
      </c>
      <c r="AD1637">
        <v>1</v>
      </c>
      <c r="AE1637">
        <v>0</v>
      </c>
      <c r="AF1637">
        <v>0</v>
      </c>
      <c r="AG1637">
        <v>0</v>
      </c>
      <c r="AH1637">
        <v>0</v>
      </c>
      <c r="AI1637">
        <v>0</v>
      </c>
      <c r="AJ1637">
        <v>0</v>
      </c>
      <c r="AK1637">
        <v>0</v>
      </c>
    </row>
    <row r="1638" spans="1:37" x14ac:dyDescent="0.3">
      <c r="A1638">
        <v>7979</v>
      </c>
      <c r="B1638" t="s">
        <v>219</v>
      </c>
      <c r="D1638" t="s">
        <v>327</v>
      </c>
      <c r="E1638">
        <v>99999999</v>
      </c>
      <c r="F1638">
        <v>11111111</v>
      </c>
      <c r="G1638">
        <v>1111111111</v>
      </c>
      <c r="H1638" t="s">
        <v>5207</v>
      </c>
      <c r="I1638">
        <v>99999999</v>
      </c>
      <c r="J1638" s="188">
        <v>45237</v>
      </c>
      <c r="K1638" t="s">
        <v>5207</v>
      </c>
      <c r="L1638" t="s">
        <v>5207</v>
      </c>
      <c r="M1638" t="s">
        <v>2283</v>
      </c>
      <c r="N1638" t="s">
        <v>522</v>
      </c>
      <c r="O1638" t="s">
        <v>2284</v>
      </c>
      <c r="P1638" t="s">
        <v>221</v>
      </c>
      <c r="Q1638" t="s">
        <v>82</v>
      </c>
      <c r="R1638">
        <v>1</v>
      </c>
      <c r="S1638">
        <v>0.31</v>
      </c>
      <c r="T1638">
        <v>0</v>
      </c>
      <c r="U1638">
        <v>1</v>
      </c>
      <c r="V1638">
        <v>1</v>
      </c>
      <c r="W1638">
        <v>20.78</v>
      </c>
      <c r="X1638">
        <v>0</v>
      </c>
      <c r="Y1638">
        <v>0</v>
      </c>
      <c r="Z1638">
        <v>0</v>
      </c>
      <c r="AA1638">
        <v>0</v>
      </c>
      <c r="AB1638">
        <v>0</v>
      </c>
      <c r="AC1638">
        <v>0</v>
      </c>
      <c r="AD1638">
        <v>1</v>
      </c>
      <c r="AE1638">
        <v>0</v>
      </c>
      <c r="AF1638">
        <v>0</v>
      </c>
      <c r="AG1638">
        <v>0</v>
      </c>
      <c r="AH1638">
        <v>0</v>
      </c>
      <c r="AI1638">
        <v>0</v>
      </c>
      <c r="AJ1638">
        <v>0</v>
      </c>
      <c r="AK1638">
        <v>0</v>
      </c>
    </row>
    <row r="1639" spans="1:37" x14ac:dyDescent="0.3">
      <c r="A1639">
        <v>7979</v>
      </c>
      <c r="B1639" t="s">
        <v>219</v>
      </c>
      <c r="D1639" t="s">
        <v>327</v>
      </c>
      <c r="E1639">
        <v>99999999</v>
      </c>
      <c r="F1639">
        <v>11111111</v>
      </c>
      <c r="G1639">
        <v>1111111111</v>
      </c>
      <c r="H1639" t="s">
        <v>5208</v>
      </c>
      <c r="I1639">
        <v>99999999</v>
      </c>
      <c r="J1639" s="188">
        <v>45237</v>
      </c>
      <c r="K1639" t="s">
        <v>5208</v>
      </c>
      <c r="L1639" t="s">
        <v>5208</v>
      </c>
      <c r="M1639" t="s">
        <v>2285</v>
      </c>
      <c r="N1639" t="s">
        <v>99</v>
      </c>
      <c r="O1639" t="s">
        <v>2286</v>
      </c>
      <c r="P1639" t="s">
        <v>221</v>
      </c>
      <c r="Q1639" t="s">
        <v>82</v>
      </c>
      <c r="R1639">
        <v>2</v>
      </c>
      <c r="S1639">
        <v>2</v>
      </c>
      <c r="T1639">
        <v>0</v>
      </c>
      <c r="U1639">
        <v>1</v>
      </c>
      <c r="V1639">
        <v>2</v>
      </c>
      <c r="W1639">
        <v>25.28</v>
      </c>
      <c r="X1639">
        <v>0</v>
      </c>
      <c r="Y1639">
        <v>0</v>
      </c>
      <c r="Z1639">
        <v>0</v>
      </c>
      <c r="AA1639">
        <v>0</v>
      </c>
      <c r="AB1639">
        <v>0</v>
      </c>
      <c r="AC1639">
        <v>0</v>
      </c>
      <c r="AD1639">
        <v>2</v>
      </c>
      <c r="AE1639">
        <v>0</v>
      </c>
      <c r="AF1639">
        <v>0</v>
      </c>
      <c r="AG1639">
        <v>0</v>
      </c>
      <c r="AH1639">
        <v>0</v>
      </c>
      <c r="AI1639">
        <v>0</v>
      </c>
      <c r="AJ1639">
        <v>0</v>
      </c>
      <c r="AK1639">
        <v>0</v>
      </c>
    </row>
    <row r="1640" spans="1:37" x14ac:dyDescent="0.3">
      <c r="A1640">
        <v>7979</v>
      </c>
      <c r="B1640" t="s">
        <v>219</v>
      </c>
      <c r="D1640" t="s">
        <v>327</v>
      </c>
      <c r="E1640">
        <v>99999999</v>
      </c>
      <c r="F1640">
        <v>11111111</v>
      </c>
      <c r="G1640">
        <v>1111111111</v>
      </c>
      <c r="H1640" t="s">
        <v>5209</v>
      </c>
      <c r="I1640">
        <v>99999999</v>
      </c>
      <c r="J1640" s="188">
        <v>45237</v>
      </c>
      <c r="K1640" t="s">
        <v>5209</v>
      </c>
      <c r="L1640" t="s">
        <v>5209</v>
      </c>
      <c r="M1640" t="s">
        <v>2287</v>
      </c>
      <c r="N1640" t="s">
        <v>402</v>
      </c>
      <c r="O1640" t="s">
        <v>2288</v>
      </c>
      <c r="P1640" t="s">
        <v>221</v>
      </c>
      <c r="Q1640" t="s">
        <v>82</v>
      </c>
      <c r="R1640">
        <v>1</v>
      </c>
      <c r="S1640">
        <v>0.6</v>
      </c>
      <c r="T1640">
        <v>0</v>
      </c>
      <c r="U1640">
        <v>1</v>
      </c>
      <c r="V1640">
        <v>1</v>
      </c>
      <c r="W1640">
        <v>23.1</v>
      </c>
      <c r="X1640">
        <v>0</v>
      </c>
      <c r="Y1640">
        <v>0</v>
      </c>
      <c r="Z1640">
        <v>0</v>
      </c>
      <c r="AA1640">
        <v>0</v>
      </c>
      <c r="AB1640">
        <v>0</v>
      </c>
      <c r="AC1640">
        <v>0</v>
      </c>
      <c r="AD1640">
        <v>1</v>
      </c>
      <c r="AE1640">
        <v>0</v>
      </c>
      <c r="AF1640">
        <v>0</v>
      </c>
      <c r="AG1640">
        <v>0</v>
      </c>
      <c r="AH1640">
        <v>0</v>
      </c>
      <c r="AI1640">
        <v>0</v>
      </c>
      <c r="AJ1640">
        <v>0</v>
      </c>
      <c r="AK1640">
        <v>0</v>
      </c>
    </row>
    <row r="1641" spans="1:37" x14ac:dyDescent="0.3">
      <c r="A1641">
        <v>7979</v>
      </c>
      <c r="B1641" t="s">
        <v>219</v>
      </c>
      <c r="D1641" t="s">
        <v>327</v>
      </c>
      <c r="E1641">
        <v>99999999</v>
      </c>
      <c r="F1641">
        <v>11111111</v>
      </c>
      <c r="G1641">
        <v>1111111111</v>
      </c>
      <c r="H1641" t="s">
        <v>5210</v>
      </c>
      <c r="I1641">
        <v>99999999</v>
      </c>
      <c r="J1641" s="188">
        <v>45237</v>
      </c>
      <c r="K1641" t="s">
        <v>5210</v>
      </c>
      <c r="L1641" t="s">
        <v>5210</v>
      </c>
      <c r="M1641" t="s">
        <v>2289</v>
      </c>
      <c r="N1641" t="s">
        <v>241</v>
      </c>
      <c r="O1641" t="s">
        <v>2290</v>
      </c>
      <c r="P1641" t="s">
        <v>221</v>
      </c>
      <c r="Q1641" t="s">
        <v>82</v>
      </c>
      <c r="R1641">
        <v>1</v>
      </c>
      <c r="S1641">
        <v>1.1299999999999999</v>
      </c>
      <c r="T1641">
        <v>0</v>
      </c>
      <c r="U1641">
        <v>1</v>
      </c>
      <c r="V1641">
        <v>1</v>
      </c>
      <c r="W1641">
        <v>28.93</v>
      </c>
      <c r="X1641">
        <v>0</v>
      </c>
      <c r="Y1641">
        <v>0</v>
      </c>
      <c r="Z1641">
        <v>0</v>
      </c>
      <c r="AA1641">
        <v>0</v>
      </c>
      <c r="AB1641">
        <v>0</v>
      </c>
      <c r="AC1641">
        <v>0</v>
      </c>
      <c r="AD1641">
        <v>1</v>
      </c>
      <c r="AE1641">
        <v>0</v>
      </c>
      <c r="AF1641">
        <v>0</v>
      </c>
      <c r="AG1641">
        <v>0</v>
      </c>
      <c r="AH1641">
        <v>0</v>
      </c>
      <c r="AI1641">
        <v>0</v>
      </c>
      <c r="AJ1641">
        <v>0</v>
      </c>
      <c r="AK1641">
        <v>0</v>
      </c>
    </row>
    <row r="1642" spans="1:37" x14ac:dyDescent="0.3">
      <c r="A1642">
        <v>7979</v>
      </c>
      <c r="B1642" t="s">
        <v>219</v>
      </c>
      <c r="D1642" t="s">
        <v>327</v>
      </c>
      <c r="E1642">
        <v>99999999</v>
      </c>
      <c r="F1642">
        <v>11111111</v>
      </c>
      <c r="G1642">
        <v>1111111111</v>
      </c>
      <c r="H1642" t="s">
        <v>5211</v>
      </c>
      <c r="I1642">
        <v>99999999</v>
      </c>
      <c r="J1642" s="188">
        <v>45237</v>
      </c>
      <c r="K1642" t="s">
        <v>5211</v>
      </c>
      <c r="L1642" t="s">
        <v>5211</v>
      </c>
      <c r="M1642" t="s">
        <v>594</v>
      </c>
      <c r="N1642" t="s">
        <v>307</v>
      </c>
      <c r="O1642" t="s">
        <v>2291</v>
      </c>
      <c r="P1642" t="s">
        <v>221</v>
      </c>
      <c r="Q1642" t="s">
        <v>82</v>
      </c>
      <c r="R1642">
        <v>1</v>
      </c>
      <c r="S1642">
        <v>1.8</v>
      </c>
      <c r="T1642">
        <v>0</v>
      </c>
      <c r="U1642">
        <v>1</v>
      </c>
      <c r="V1642">
        <v>1</v>
      </c>
      <c r="W1642">
        <v>23.35</v>
      </c>
      <c r="X1642">
        <v>0</v>
      </c>
      <c r="Y1642">
        <v>0</v>
      </c>
      <c r="Z1642">
        <v>0</v>
      </c>
      <c r="AA1642">
        <v>0</v>
      </c>
      <c r="AB1642">
        <v>0</v>
      </c>
      <c r="AC1642">
        <v>0</v>
      </c>
      <c r="AD1642">
        <v>1</v>
      </c>
      <c r="AE1642">
        <v>0</v>
      </c>
      <c r="AF1642">
        <v>0</v>
      </c>
      <c r="AG1642">
        <v>0</v>
      </c>
      <c r="AH1642">
        <v>0</v>
      </c>
      <c r="AI1642">
        <v>0</v>
      </c>
      <c r="AJ1642">
        <v>0</v>
      </c>
      <c r="AK1642">
        <v>0</v>
      </c>
    </row>
    <row r="1643" spans="1:37" x14ac:dyDescent="0.3">
      <c r="A1643">
        <v>7979</v>
      </c>
      <c r="B1643" t="s">
        <v>219</v>
      </c>
      <c r="D1643" t="s">
        <v>327</v>
      </c>
      <c r="E1643">
        <v>99999999</v>
      </c>
      <c r="F1643">
        <v>11111111</v>
      </c>
      <c r="G1643">
        <v>1111111111</v>
      </c>
      <c r="H1643" t="s">
        <v>5212</v>
      </c>
      <c r="I1643">
        <v>99999999</v>
      </c>
      <c r="J1643" s="188">
        <v>45237</v>
      </c>
      <c r="K1643" t="s">
        <v>5212</v>
      </c>
      <c r="L1643" t="s">
        <v>5212</v>
      </c>
      <c r="M1643" t="s">
        <v>1815</v>
      </c>
      <c r="N1643" t="s">
        <v>231</v>
      </c>
      <c r="O1643" t="s">
        <v>2292</v>
      </c>
      <c r="P1643" t="s">
        <v>221</v>
      </c>
      <c r="Q1643" t="s">
        <v>82</v>
      </c>
      <c r="R1643">
        <v>1</v>
      </c>
      <c r="S1643">
        <v>1.1299999999999999</v>
      </c>
      <c r="T1643">
        <v>0</v>
      </c>
      <c r="U1643">
        <v>1</v>
      </c>
      <c r="V1643">
        <v>1</v>
      </c>
      <c r="W1643">
        <v>29.22</v>
      </c>
      <c r="X1643">
        <v>0</v>
      </c>
      <c r="Y1643">
        <v>0</v>
      </c>
      <c r="Z1643">
        <v>0</v>
      </c>
      <c r="AA1643">
        <v>0</v>
      </c>
      <c r="AB1643">
        <v>0</v>
      </c>
      <c r="AC1643">
        <v>0</v>
      </c>
      <c r="AD1643">
        <v>1</v>
      </c>
      <c r="AE1643">
        <v>0</v>
      </c>
      <c r="AF1643">
        <v>0</v>
      </c>
      <c r="AG1643">
        <v>0</v>
      </c>
      <c r="AH1643">
        <v>0</v>
      </c>
      <c r="AI1643">
        <v>0</v>
      </c>
      <c r="AJ1643">
        <v>0</v>
      </c>
      <c r="AK1643">
        <v>0</v>
      </c>
    </row>
    <row r="1644" spans="1:37" x14ac:dyDescent="0.3">
      <c r="A1644">
        <v>7979</v>
      </c>
      <c r="B1644" t="s">
        <v>219</v>
      </c>
      <c r="D1644" t="s">
        <v>327</v>
      </c>
      <c r="E1644">
        <v>99999999</v>
      </c>
      <c r="F1644">
        <v>11111111</v>
      </c>
      <c r="G1644">
        <v>1111111111</v>
      </c>
      <c r="H1644" t="s">
        <v>5213</v>
      </c>
      <c r="I1644">
        <v>99999999</v>
      </c>
      <c r="J1644" s="188">
        <v>45237</v>
      </c>
      <c r="K1644" t="s">
        <v>5213</v>
      </c>
      <c r="L1644" t="s">
        <v>5213</v>
      </c>
      <c r="M1644" t="s">
        <v>2293</v>
      </c>
      <c r="N1644" t="s">
        <v>85</v>
      </c>
      <c r="O1644">
        <v>89048</v>
      </c>
      <c r="P1644" t="s">
        <v>221</v>
      </c>
      <c r="Q1644" t="s">
        <v>82</v>
      </c>
      <c r="R1644">
        <v>1</v>
      </c>
      <c r="S1644">
        <v>1.21</v>
      </c>
      <c r="T1644">
        <v>0</v>
      </c>
      <c r="U1644">
        <v>1</v>
      </c>
      <c r="V1644">
        <v>1</v>
      </c>
      <c r="W1644">
        <v>27.33</v>
      </c>
      <c r="X1644">
        <v>0</v>
      </c>
      <c r="Y1644">
        <v>0</v>
      </c>
      <c r="Z1644">
        <v>0</v>
      </c>
      <c r="AA1644">
        <v>0</v>
      </c>
      <c r="AB1644">
        <v>0</v>
      </c>
      <c r="AC1644">
        <v>0</v>
      </c>
      <c r="AD1644">
        <v>1</v>
      </c>
      <c r="AE1644">
        <v>0</v>
      </c>
      <c r="AF1644">
        <v>0</v>
      </c>
      <c r="AG1644">
        <v>0</v>
      </c>
      <c r="AH1644">
        <v>0</v>
      </c>
      <c r="AI1644">
        <v>0</v>
      </c>
      <c r="AJ1644">
        <v>0</v>
      </c>
      <c r="AK1644">
        <v>0</v>
      </c>
    </row>
    <row r="1645" spans="1:37" x14ac:dyDescent="0.3">
      <c r="A1645">
        <v>7979</v>
      </c>
      <c r="B1645" t="s">
        <v>219</v>
      </c>
      <c r="D1645" t="s">
        <v>327</v>
      </c>
      <c r="E1645">
        <v>99999999</v>
      </c>
      <c r="F1645">
        <v>11111111</v>
      </c>
      <c r="G1645">
        <v>1111111111</v>
      </c>
      <c r="H1645" t="s">
        <v>5214</v>
      </c>
      <c r="I1645">
        <v>99999999</v>
      </c>
      <c r="J1645" s="188">
        <v>45237</v>
      </c>
      <c r="K1645" t="s">
        <v>5214</v>
      </c>
      <c r="L1645" t="s">
        <v>5214</v>
      </c>
      <c r="M1645" t="s">
        <v>1379</v>
      </c>
      <c r="N1645" t="s">
        <v>99</v>
      </c>
      <c r="O1645">
        <v>91411</v>
      </c>
      <c r="P1645" t="s">
        <v>221</v>
      </c>
      <c r="Q1645" t="s">
        <v>82</v>
      </c>
      <c r="R1645">
        <v>1</v>
      </c>
      <c r="S1645">
        <v>1.5</v>
      </c>
      <c r="T1645">
        <v>0</v>
      </c>
      <c r="U1645">
        <v>1</v>
      </c>
      <c r="V1645">
        <v>1</v>
      </c>
      <c r="W1645">
        <v>21.21</v>
      </c>
      <c r="X1645">
        <v>0</v>
      </c>
      <c r="Y1645">
        <v>0</v>
      </c>
      <c r="Z1645">
        <v>0</v>
      </c>
      <c r="AA1645">
        <v>0</v>
      </c>
      <c r="AB1645">
        <v>0</v>
      </c>
      <c r="AC1645">
        <v>0</v>
      </c>
      <c r="AD1645">
        <v>1</v>
      </c>
      <c r="AE1645">
        <v>0</v>
      </c>
      <c r="AF1645">
        <v>0</v>
      </c>
      <c r="AG1645">
        <v>0</v>
      </c>
      <c r="AH1645">
        <v>0</v>
      </c>
      <c r="AI1645">
        <v>0</v>
      </c>
      <c r="AJ1645">
        <v>0</v>
      </c>
      <c r="AK1645">
        <v>0</v>
      </c>
    </row>
    <row r="1646" spans="1:37" x14ac:dyDescent="0.3">
      <c r="A1646">
        <v>7979</v>
      </c>
      <c r="B1646" t="s">
        <v>219</v>
      </c>
      <c r="D1646" t="s">
        <v>327</v>
      </c>
      <c r="E1646">
        <v>99999999</v>
      </c>
      <c r="F1646">
        <v>11111111</v>
      </c>
      <c r="G1646">
        <v>1111111111</v>
      </c>
      <c r="H1646" t="s">
        <v>5215</v>
      </c>
      <c r="I1646">
        <v>99999999</v>
      </c>
      <c r="J1646" s="188">
        <v>45237</v>
      </c>
      <c r="K1646" t="s">
        <v>5215</v>
      </c>
      <c r="L1646" t="s">
        <v>5215</v>
      </c>
      <c r="M1646" t="s">
        <v>718</v>
      </c>
      <c r="N1646" t="s">
        <v>122</v>
      </c>
      <c r="O1646" t="s">
        <v>2294</v>
      </c>
      <c r="P1646" t="s">
        <v>221</v>
      </c>
      <c r="Q1646" t="s">
        <v>82</v>
      </c>
      <c r="R1646">
        <v>1</v>
      </c>
      <c r="S1646">
        <v>0.5</v>
      </c>
      <c r="T1646">
        <v>0</v>
      </c>
      <c r="U1646">
        <v>1</v>
      </c>
      <c r="V1646">
        <v>1</v>
      </c>
      <c r="W1646">
        <v>19.899999999999999</v>
      </c>
      <c r="X1646">
        <v>0</v>
      </c>
      <c r="Y1646">
        <v>0</v>
      </c>
      <c r="Z1646">
        <v>0</v>
      </c>
      <c r="AA1646">
        <v>0</v>
      </c>
      <c r="AB1646">
        <v>0</v>
      </c>
      <c r="AC1646">
        <v>0</v>
      </c>
      <c r="AD1646">
        <v>1</v>
      </c>
      <c r="AE1646">
        <v>0</v>
      </c>
      <c r="AF1646">
        <v>0</v>
      </c>
      <c r="AG1646">
        <v>0</v>
      </c>
      <c r="AH1646">
        <v>0</v>
      </c>
      <c r="AI1646">
        <v>0</v>
      </c>
      <c r="AJ1646">
        <v>0</v>
      </c>
      <c r="AK1646">
        <v>0</v>
      </c>
    </row>
    <row r="1647" spans="1:37" x14ac:dyDescent="0.3">
      <c r="A1647">
        <v>7979</v>
      </c>
      <c r="B1647" t="s">
        <v>219</v>
      </c>
      <c r="D1647" t="s">
        <v>327</v>
      </c>
      <c r="E1647">
        <v>99999999</v>
      </c>
      <c r="F1647">
        <v>11111111</v>
      </c>
      <c r="G1647">
        <v>1111111111</v>
      </c>
      <c r="H1647" t="s">
        <v>5216</v>
      </c>
      <c r="I1647">
        <v>99999999</v>
      </c>
      <c r="J1647" s="188">
        <v>45237</v>
      </c>
      <c r="K1647" t="s">
        <v>5216</v>
      </c>
      <c r="L1647" t="s">
        <v>5216</v>
      </c>
      <c r="M1647" t="s">
        <v>2295</v>
      </c>
      <c r="N1647" t="s">
        <v>99</v>
      </c>
      <c r="O1647" t="s">
        <v>2296</v>
      </c>
      <c r="P1647" t="s">
        <v>221</v>
      </c>
      <c r="Q1647" t="s">
        <v>82</v>
      </c>
      <c r="R1647">
        <v>1</v>
      </c>
      <c r="S1647">
        <v>11.666</v>
      </c>
      <c r="T1647">
        <v>0</v>
      </c>
      <c r="U1647">
        <v>1</v>
      </c>
      <c r="V1647">
        <v>1</v>
      </c>
      <c r="W1647">
        <v>29.94</v>
      </c>
      <c r="X1647">
        <v>0</v>
      </c>
      <c r="Y1647">
        <v>0</v>
      </c>
      <c r="Z1647">
        <v>0</v>
      </c>
      <c r="AA1647">
        <v>0</v>
      </c>
      <c r="AB1647">
        <v>0</v>
      </c>
      <c r="AC1647">
        <v>0</v>
      </c>
      <c r="AD1647">
        <v>1</v>
      </c>
      <c r="AE1647">
        <v>0</v>
      </c>
      <c r="AF1647">
        <v>0</v>
      </c>
      <c r="AG1647">
        <v>0</v>
      </c>
      <c r="AH1647">
        <v>0</v>
      </c>
      <c r="AI1647">
        <v>0</v>
      </c>
      <c r="AJ1647">
        <v>0</v>
      </c>
      <c r="AK1647">
        <v>0</v>
      </c>
    </row>
    <row r="1648" spans="1:37" x14ac:dyDescent="0.3">
      <c r="A1648">
        <v>7979</v>
      </c>
      <c r="B1648" t="s">
        <v>219</v>
      </c>
      <c r="D1648" t="s">
        <v>327</v>
      </c>
      <c r="E1648">
        <v>99999999</v>
      </c>
      <c r="F1648">
        <v>11111111</v>
      </c>
      <c r="G1648">
        <v>1111111111</v>
      </c>
      <c r="H1648" t="s">
        <v>5217</v>
      </c>
      <c r="I1648">
        <v>99999999</v>
      </c>
      <c r="J1648" s="188">
        <v>45237</v>
      </c>
      <c r="K1648" t="s">
        <v>5217</v>
      </c>
      <c r="L1648" t="s">
        <v>5217</v>
      </c>
      <c r="M1648" t="s">
        <v>176</v>
      </c>
      <c r="N1648" t="s">
        <v>130</v>
      </c>
      <c r="O1648" t="s">
        <v>2297</v>
      </c>
      <c r="P1648" t="s">
        <v>221</v>
      </c>
      <c r="Q1648" t="s">
        <v>82</v>
      </c>
      <c r="R1648">
        <v>1</v>
      </c>
      <c r="S1648">
        <v>2</v>
      </c>
      <c r="T1648">
        <v>0</v>
      </c>
      <c r="U1648">
        <v>1</v>
      </c>
      <c r="V1648">
        <v>1</v>
      </c>
      <c r="W1648">
        <v>22.67</v>
      </c>
      <c r="X1648">
        <v>0</v>
      </c>
      <c r="Y1648">
        <v>0</v>
      </c>
      <c r="Z1648">
        <v>0</v>
      </c>
      <c r="AA1648">
        <v>0</v>
      </c>
      <c r="AB1648">
        <v>0</v>
      </c>
      <c r="AC1648">
        <v>0</v>
      </c>
      <c r="AD1648">
        <v>1</v>
      </c>
      <c r="AE1648">
        <v>0</v>
      </c>
      <c r="AF1648">
        <v>0</v>
      </c>
      <c r="AG1648">
        <v>0</v>
      </c>
      <c r="AH1648">
        <v>0</v>
      </c>
      <c r="AI1648">
        <v>0</v>
      </c>
      <c r="AJ1648">
        <v>0</v>
      </c>
      <c r="AK1648">
        <v>0</v>
      </c>
    </row>
    <row r="1649" spans="1:37" x14ac:dyDescent="0.3">
      <c r="A1649">
        <v>7979</v>
      </c>
      <c r="B1649" t="s">
        <v>219</v>
      </c>
      <c r="D1649" t="s">
        <v>327</v>
      </c>
      <c r="E1649">
        <v>99999999</v>
      </c>
      <c r="F1649">
        <v>11111111</v>
      </c>
      <c r="G1649">
        <v>1111111111</v>
      </c>
      <c r="H1649" t="s">
        <v>5218</v>
      </c>
      <c r="I1649">
        <v>99999999</v>
      </c>
      <c r="J1649" s="188">
        <v>45237</v>
      </c>
      <c r="K1649" t="s">
        <v>5218</v>
      </c>
      <c r="L1649" t="s">
        <v>5218</v>
      </c>
      <c r="M1649" t="s">
        <v>269</v>
      </c>
      <c r="N1649" t="s">
        <v>99</v>
      </c>
      <c r="O1649" t="s">
        <v>2298</v>
      </c>
      <c r="P1649" t="s">
        <v>221</v>
      </c>
      <c r="Q1649" t="s">
        <v>82</v>
      </c>
      <c r="R1649">
        <v>1</v>
      </c>
      <c r="S1649">
        <v>2</v>
      </c>
      <c r="T1649">
        <v>0</v>
      </c>
      <c r="U1649">
        <v>1</v>
      </c>
      <c r="V1649">
        <v>1</v>
      </c>
      <c r="W1649">
        <v>21.88</v>
      </c>
      <c r="X1649">
        <v>0</v>
      </c>
      <c r="Y1649">
        <v>0</v>
      </c>
      <c r="Z1649">
        <v>0</v>
      </c>
      <c r="AA1649">
        <v>0</v>
      </c>
      <c r="AB1649">
        <v>0</v>
      </c>
      <c r="AC1649">
        <v>0</v>
      </c>
      <c r="AD1649">
        <v>1</v>
      </c>
      <c r="AE1649">
        <v>0</v>
      </c>
      <c r="AF1649">
        <v>0</v>
      </c>
      <c r="AG1649">
        <v>0</v>
      </c>
      <c r="AH1649">
        <v>0</v>
      </c>
      <c r="AI1649">
        <v>0</v>
      </c>
      <c r="AJ1649">
        <v>0</v>
      </c>
      <c r="AK1649">
        <v>0</v>
      </c>
    </row>
    <row r="1650" spans="1:37" x14ac:dyDescent="0.3">
      <c r="A1650">
        <v>7979</v>
      </c>
      <c r="B1650" t="s">
        <v>219</v>
      </c>
      <c r="D1650" t="s">
        <v>327</v>
      </c>
      <c r="E1650">
        <v>99999999</v>
      </c>
      <c r="F1650">
        <v>11111111</v>
      </c>
      <c r="G1650">
        <v>1111111111</v>
      </c>
      <c r="H1650" t="s">
        <v>5219</v>
      </c>
      <c r="I1650">
        <v>99999999</v>
      </c>
      <c r="J1650" s="188">
        <v>45237</v>
      </c>
      <c r="K1650" t="s">
        <v>5219</v>
      </c>
      <c r="L1650" t="s">
        <v>5219</v>
      </c>
      <c r="M1650" t="s">
        <v>1937</v>
      </c>
      <c r="N1650" t="s">
        <v>99</v>
      </c>
      <c r="O1650" t="s">
        <v>2299</v>
      </c>
      <c r="P1650" t="s">
        <v>221</v>
      </c>
      <c r="Q1650" t="s">
        <v>82</v>
      </c>
      <c r="R1650">
        <v>1</v>
      </c>
      <c r="S1650">
        <v>3.4</v>
      </c>
      <c r="T1650">
        <v>0</v>
      </c>
      <c r="U1650">
        <v>1</v>
      </c>
      <c r="V1650">
        <v>1</v>
      </c>
      <c r="W1650">
        <v>30.78</v>
      </c>
      <c r="X1650">
        <v>0</v>
      </c>
      <c r="Y1650">
        <v>0</v>
      </c>
      <c r="Z1650">
        <v>0</v>
      </c>
      <c r="AA1650">
        <v>0</v>
      </c>
      <c r="AB1650">
        <v>0</v>
      </c>
      <c r="AC1650">
        <v>0</v>
      </c>
      <c r="AD1650">
        <v>1</v>
      </c>
      <c r="AE1650">
        <v>0</v>
      </c>
      <c r="AF1650">
        <v>0</v>
      </c>
      <c r="AG1650">
        <v>0</v>
      </c>
      <c r="AH1650">
        <v>0</v>
      </c>
      <c r="AI1650">
        <v>0</v>
      </c>
      <c r="AJ1650">
        <v>0</v>
      </c>
      <c r="AK1650">
        <v>0</v>
      </c>
    </row>
    <row r="1651" spans="1:37" x14ac:dyDescent="0.3">
      <c r="A1651">
        <v>7979</v>
      </c>
      <c r="B1651" t="s">
        <v>219</v>
      </c>
      <c r="D1651" t="s">
        <v>327</v>
      </c>
      <c r="E1651">
        <v>99999999</v>
      </c>
      <c r="F1651">
        <v>11111111</v>
      </c>
      <c r="G1651">
        <v>1111111111</v>
      </c>
      <c r="H1651" t="s">
        <v>5220</v>
      </c>
      <c r="I1651">
        <v>99999999</v>
      </c>
      <c r="J1651" s="188">
        <v>45237</v>
      </c>
      <c r="K1651" t="s">
        <v>5220</v>
      </c>
      <c r="L1651" t="s">
        <v>5220</v>
      </c>
      <c r="M1651" t="s">
        <v>258</v>
      </c>
      <c r="N1651" t="s">
        <v>91</v>
      </c>
      <c r="O1651">
        <v>85748</v>
      </c>
      <c r="P1651" t="s">
        <v>221</v>
      </c>
      <c r="Q1651" t="s">
        <v>82</v>
      </c>
      <c r="R1651">
        <v>1</v>
      </c>
      <c r="S1651">
        <v>2.81</v>
      </c>
      <c r="T1651">
        <v>0</v>
      </c>
      <c r="U1651">
        <v>1</v>
      </c>
      <c r="V1651">
        <v>1</v>
      </c>
      <c r="W1651">
        <v>23.59</v>
      </c>
      <c r="X1651">
        <v>0</v>
      </c>
      <c r="Y1651">
        <v>0</v>
      </c>
      <c r="Z1651">
        <v>0</v>
      </c>
      <c r="AA1651">
        <v>0</v>
      </c>
      <c r="AB1651">
        <v>0</v>
      </c>
      <c r="AC1651">
        <v>0</v>
      </c>
      <c r="AD1651">
        <v>1</v>
      </c>
      <c r="AE1651">
        <v>0</v>
      </c>
      <c r="AF1651">
        <v>0</v>
      </c>
      <c r="AG1651">
        <v>0</v>
      </c>
      <c r="AH1651">
        <v>0</v>
      </c>
      <c r="AI1651">
        <v>0</v>
      </c>
      <c r="AJ1651">
        <v>0</v>
      </c>
      <c r="AK1651">
        <v>0</v>
      </c>
    </row>
    <row r="1652" spans="1:37" x14ac:dyDescent="0.3">
      <c r="A1652">
        <v>7979</v>
      </c>
      <c r="B1652" t="s">
        <v>219</v>
      </c>
      <c r="D1652" t="s">
        <v>327</v>
      </c>
      <c r="E1652">
        <v>99999999</v>
      </c>
      <c r="F1652">
        <v>11111111</v>
      </c>
      <c r="G1652">
        <v>1111111111</v>
      </c>
      <c r="H1652" t="s">
        <v>5221</v>
      </c>
      <c r="I1652">
        <v>99999999</v>
      </c>
      <c r="J1652" s="188">
        <v>45237</v>
      </c>
      <c r="K1652" t="s">
        <v>5221</v>
      </c>
      <c r="L1652" t="s">
        <v>5221</v>
      </c>
      <c r="M1652" t="s">
        <v>719</v>
      </c>
      <c r="N1652" t="s">
        <v>97</v>
      </c>
      <c r="O1652">
        <v>98020</v>
      </c>
      <c r="P1652" t="s">
        <v>221</v>
      </c>
      <c r="Q1652" t="s">
        <v>82</v>
      </c>
      <c r="R1652">
        <v>1</v>
      </c>
      <c r="S1652">
        <v>11.666</v>
      </c>
      <c r="T1652">
        <v>0</v>
      </c>
      <c r="U1652">
        <v>1</v>
      </c>
      <c r="V1652">
        <v>1</v>
      </c>
      <c r="W1652">
        <v>25.05</v>
      </c>
      <c r="X1652">
        <v>0</v>
      </c>
      <c r="Y1652">
        <v>0</v>
      </c>
      <c r="Z1652">
        <v>0</v>
      </c>
      <c r="AA1652">
        <v>0</v>
      </c>
      <c r="AB1652">
        <v>0</v>
      </c>
      <c r="AC1652">
        <v>0</v>
      </c>
      <c r="AD1652">
        <v>1</v>
      </c>
      <c r="AE1652">
        <v>0</v>
      </c>
      <c r="AF1652">
        <v>0</v>
      </c>
      <c r="AG1652">
        <v>0</v>
      </c>
      <c r="AH1652">
        <v>0</v>
      </c>
      <c r="AI1652">
        <v>0</v>
      </c>
      <c r="AJ1652">
        <v>0</v>
      </c>
      <c r="AK1652">
        <v>0</v>
      </c>
    </row>
    <row r="1653" spans="1:37" x14ac:dyDescent="0.3">
      <c r="A1653">
        <v>7979</v>
      </c>
      <c r="B1653" t="s">
        <v>219</v>
      </c>
      <c r="D1653" t="s">
        <v>327</v>
      </c>
      <c r="E1653">
        <v>99999999</v>
      </c>
      <c r="F1653">
        <v>11111111</v>
      </c>
      <c r="G1653">
        <v>1111111111</v>
      </c>
      <c r="H1653" t="s">
        <v>5222</v>
      </c>
      <c r="I1653">
        <v>99999999</v>
      </c>
      <c r="J1653" s="188">
        <v>45237</v>
      </c>
      <c r="K1653" t="s">
        <v>5222</v>
      </c>
      <c r="L1653" t="s">
        <v>5222</v>
      </c>
      <c r="M1653" t="s">
        <v>1572</v>
      </c>
      <c r="N1653" t="s">
        <v>99</v>
      </c>
      <c r="O1653">
        <v>95472</v>
      </c>
      <c r="P1653" t="s">
        <v>221</v>
      </c>
      <c r="Q1653" t="s">
        <v>82</v>
      </c>
      <c r="R1653">
        <v>4</v>
      </c>
      <c r="S1653">
        <v>8.48</v>
      </c>
      <c r="T1653">
        <v>0</v>
      </c>
      <c r="U1653">
        <v>1</v>
      </c>
      <c r="V1653">
        <v>2</v>
      </c>
      <c r="W1653">
        <v>28.77</v>
      </c>
      <c r="X1653">
        <v>0</v>
      </c>
      <c r="Y1653">
        <v>0</v>
      </c>
      <c r="Z1653">
        <v>0</v>
      </c>
      <c r="AA1653">
        <v>0</v>
      </c>
      <c r="AB1653">
        <v>0</v>
      </c>
      <c r="AC1653">
        <v>0</v>
      </c>
      <c r="AD1653">
        <v>4</v>
      </c>
      <c r="AE1653">
        <v>0</v>
      </c>
      <c r="AF1653">
        <v>0</v>
      </c>
      <c r="AG1653">
        <v>0</v>
      </c>
      <c r="AH1653">
        <v>0</v>
      </c>
      <c r="AI1653">
        <v>0</v>
      </c>
      <c r="AJ1653">
        <v>0</v>
      </c>
      <c r="AK1653">
        <v>0</v>
      </c>
    </row>
    <row r="1654" spans="1:37" x14ac:dyDescent="0.3">
      <c r="A1654">
        <v>7979</v>
      </c>
      <c r="B1654" t="s">
        <v>219</v>
      </c>
      <c r="D1654" t="s">
        <v>327</v>
      </c>
      <c r="E1654">
        <v>99999999</v>
      </c>
      <c r="F1654">
        <v>11111111</v>
      </c>
      <c r="G1654">
        <v>1111111111</v>
      </c>
      <c r="H1654" t="s">
        <v>5223</v>
      </c>
      <c r="I1654">
        <v>99999999</v>
      </c>
      <c r="J1654" s="188">
        <v>45237</v>
      </c>
      <c r="K1654" t="s">
        <v>5223</v>
      </c>
      <c r="L1654" t="s">
        <v>5223</v>
      </c>
      <c r="M1654" t="s">
        <v>1492</v>
      </c>
      <c r="N1654" t="s">
        <v>164</v>
      </c>
      <c r="O1654" t="s">
        <v>2300</v>
      </c>
      <c r="P1654" t="s">
        <v>221</v>
      </c>
      <c r="Q1654" t="s">
        <v>82</v>
      </c>
      <c r="R1654">
        <v>1</v>
      </c>
      <c r="S1654">
        <v>2</v>
      </c>
      <c r="T1654">
        <v>0</v>
      </c>
      <c r="U1654">
        <v>1</v>
      </c>
      <c r="V1654">
        <v>1</v>
      </c>
      <c r="W1654">
        <v>21.88</v>
      </c>
      <c r="X1654">
        <v>0</v>
      </c>
      <c r="Y1654">
        <v>0</v>
      </c>
      <c r="Z1654">
        <v>0</v>
      </c>
      <c r="AA1654">
        <v>0</v>
      </c>
      <c r="AB1654">
        <v>0</v>
      </c>
      <c r="AC1654">
        <v>0</v>
      </c>
      <c r="AD1654">
        <v>1</v>
      </c>
      <c r="AE1654">
        <v>0</v>
      </c>
      <c r="AF1654">
        <v>0</v>
      </c>
      <c r="AG1654">
        <v>0</v>
      </c>
      <c r="AH1654">
        <v>0</v>
      </c>
      <c r="AI1654">
        <v>0</v>
      </c>
      <c r="AJ1654">
        <v>0</v>
      </c>
      <c r="AK1654">
        <v>0</v>
      </c>
    </row>
    <row r="1655" spans="1:37" x14ac:dyDescent="0.3">
      <c r="A1655">
        <v>7979</v>
      </c>
      <c r="B1655" t="s">
        <v>219</v>
      </c>
      <c r="D1655" t="s">
        <v>327</v>
      </c>
      <c r="E1655">
        <v>99999999</v>
      </c>
      <c r="F1655">
        <v>11111111</v>
      </c>
      <c r="G1655">
        <v>1111111111</v>
      </c>
      <c r="H1655" t="s">
        <v>5224</v>
      </c>
      <c r="I1655">
        <v>99999999</v>
      </c>
      <c r="J1655" s="188">
        <v>45237</v>
      </c>
      <c r="K1655" t="s">
        <v>5224</v>
      </c>
      <c r="L1655" t="s">
        <v>5224</v>
      </c>
      <c r="M1655" t="s">
        <v>2301</v>
      </c>
      <c r="N1655" t="s">
        <v>151</v>
      </c>
      <c r="O1655" t="s">
        <v>2302</v>
      </c>
      <c r="P1655" t="s">
        <v>221</v>
      </c>
      <c r="Q1655" t="s">
        <v>82</v>
      </c>
      <c r="R1655">
        <v>3</v>
      </c>
      <c r="S1655">
        <v>16.2</v>
      </c>
      <c r="T1655">
        <v>0</v>
      </c>
      <c r="U1655">
        <v>1</v>
      </c>
      <c r="V1655">
        <v>1</v>
      </c>
      <c r="W1655">
        <v>41.74</v>
      </c>
      <c r="X1655">
        <v>0</v>
      </c>
      <c r="Y1655">
        <v>0</v>
      </c>
      <c r="Z1655">
        <v>0</v>
      </c>
      <c r="AA1655">
        <v>0</v>
      </c>
      <c r="AB1655">
        <v>0</v>
      </c>
      <c r="AC1655">
        <v>0</v>
      </c>
      <c r="AD1655">
        <v>3</v>
      </c>
      <c r="AE1655">
        <v>0</v>
      </c>
      <c r="AF1655">
        <v>0</v>
      </c>
      <c r="AG1655">
        <v>0</v>
      </c>
      <c r="AH1655">
        <v>0</v>
      </c>
      <c r="AI1655">
        <v>0</v>
      </c>
      <c r="AJ1655">
        <v>0</v>
      </c>
      <c r="AK1655">
        <v>0</v>
      </c>
    </row>
    <row r="1656" spans="1:37" x14ac:dyDescent="0.3">
      <c r="A1656">
        <v>7979</v>
      </c>
      <c r="B1656" t="s">
        <v>219</v>
      </c>
      <c r="D1656" t="s">
        <v>327</v>
      </c>
      <c r="E1656">
        <v>99999999</v>
      </c>
      <c r="F1656">
        <v>11111111</v>
      </c>
      <c r="G1656">
        <v>1111111111</v>
      </c>
      <c r="H1656" t="s">
        <v>5225</v>
      </c>
      <c r="I1656">
        <v>99999999</v>
      </c>
      <c r="J1656" s="188">
        <v>45237</v>
      </c>
      <c r="K1656" t="s">
        <v>5225</v>
      </c>
      <c r="L1656" t="s">
        <v>5225</v>
      </c>
      <c r="M1656" t="s">
        <v>2303</v>
      </c>
      <c r="N1656" t="s">
        <v>104</v>
      </c>
      <c r="O1656" t="s">
        <v>2304</v>
      </c>
      <c r="P1656" t="s">
        <v>221</v>
      </c>
      <c r="Q1656" t="s">
        <v>82</v>
      </c>
      <c r="R1656">
        <v>2</v>
      </c>
      <c r="S1656">
        <v>23.332000000000001</v>
      </c>
      <c r="T1656">
        <v>0</v>
      </c>
      <c r="U1656">
        <v>1</v>
      </c>
      <c r="V1656">
        <v>1</v>
      </c>
      <c r="W1656">
        <v>37.03</v>
      </c>
      <c r="X1656">
        <v>0</v>
      </c>
      <c r="Y1656">
        <v>0</v>
      </c>
      <c r="Z1656">
        <v>0</v>
      </c>
      <c r="AA1656">
        <v>0</v>
      </c>
      <c r="AB1656">
        <v>0</v>
      </c>
      <c r="AC1656">
        <v>0</v>
      </c>
      <c r="AD1656">
        <v>2</v>
      </c>
      <c r="AE1656">
        <v>0</v>
      </c>
      <c r="AF1656">
        <v>0</v>
      </c>
      <c r="AG1656">
        <v>0</v>
      </c>
      <c r="AH1656">
        <v>0</v>
      </c>
      <c r="AI1656">
        <v>0</v>
      </c>
      <c r="AJ1656">
        <v>0</v>
      </c>
      <c r="AK1656">
        <v>0</v>
      </c>
    </row>
    <row r="1657" spans="1:37" x14ac:dyDescent="0.3">
      <c r="A1657">
        <v>7979</v>
      </c>
      <c r="B1657" t="s">
        <v>219</v>
      </c>
      <c r="D1657" t="s">
        <v>327</v>
      </c>
      <c r="E1657">
        <v>99999999</v>
      </c>
      <c r="F1657">
        <v>11111111</v>
      </c>
      <c r="G1657">
        <v>1111111111</v>
      </c>
      <c r="H1657" t="s">
        <v>5226</v>
      </c>
      <c r="I1657">
        <v>99999999</v>
      </c>
      <c r="J1657" s="188">
        <v>45237</v>
      </c>
      <c r="K1657" t="s">
        <v>5226</v>
      </c>
      <c r="L1657" t="s">
        <v>5226</v>
      </c>
      <c r="M1657" t="s">
        <v>401</v>
      </c>
      <c r="N1657" t="s">
        <v>164</v>
      </c>
      <c r="O1657" t="s">
        <v>2305</v>
      </c>
      <c r="P1657" t="s">
        <v>221</v>
      </c>
      <c r="Q1657" t="s">
        <v>82</v>
      </c>
      <c r="R1657">
        <v>1</v>
      </c>
      <c r="S1657">
        <v>2</v>
      </c>
      <c r="T1657">
        <v>0</v>
      </c>
      <c r="U1657">
        <v>1</v>
      </c>
      <c r="V1657">
        <v>1</v>
      </c>
      <c r="W1657">
        <v>21.88</v>
      </c>
      <c r="X1657">
        <v>0</v>
      </c>
      <c r="Y1657">
        <v>0</v>
      </c>
      <c r="Z1657">
        <v>0</v>
      </c>
      <c r="AA1657">
        <v>0</v>
      </c>
      <c r="AB1657">
        <v>0</v>
      </c>
      <c r="AC1657">
        <v>0</v>
      </c>
      <c r="AD1657">
        <v>1</v>
      </c>
      <c r="AE1657">
        <v>0</v>
      </c>
      <c r="AF1657">
        <v>0</v>
      </c>
      <c r="AG1657">
        <v>0</v>
      </c>
      <c r="AH1657">
        <v>0</v>
      </c>
      <c r="AI1657">
        <v>0</v>
      </c>
      <c r="AJ1657">
        <v>0</v>
      </c>
      <c r="AK1657">
        <v>0</v>
      </c>
    </row>
    <row r="1658" spans="1:37" x14ac:dyDescent="0.3">
      <c r="A1658">
        <v>7979</v>
      </c>
      <c r="B1658" t="s">
        <v>219</v>
      </c>
      <c r="D1658" t="s">
        <v>327</v>
      </c>
      <c r="E1658">
        <v>99999999</v>
      </c>
      <c r="F1658">
        <v>11111111</v>
      </c>
      <c r="G1658">
        <v>1111111111</v>
      </c>
      <c r="H1658" t="s">
        <v>5227</v>
      </c>
      <c r="I1658">
        <v>99999999</v>
      </c>
      <c r="J1658" s="188">
        <v>45237</v>
      </c>
      <c r="K1658" t="s">
        <v>5227</v>
      </c>
      <c r="L1658" t="s">
        <v>5227</v>
      </c>
      <c r="M1658" t="s">
        <v>155</v>
      </c>
      <c r="N1658" t="s">
        <v>99</v>
      </c>
      <c r="O1658" t="s">
        <v>2306</v>
      </c>
      <c r="P1658" t="s">
        <v>221</v>
      </c>
      <c r="Q1658" t="s">
        <v>82</v>
      </c>
      <c r="R1658">
        <v>3</v>
      </c>
      <c r="S1658">
        <v>24.501999999999999</v>
      </c>
      <c r="T1658">
        <v>0</v>
      </c>
      <c r="U1658">
        <v>1</v>
      </c>
      <c r="V1658">
        <v>2</v>
      </c>
      <c r="W1658">
        <v>31.02</v>
      </c>
      <c r="X1658">
        <v>0</v>
      </c>
      <c r="Y1658">
        <v>0</v>
      </c>
      <c r="Z1658">
        <v>0</v>
      </c>
      <c r="AA1658">
        <v>0</v>
      </c>
      <c r="AB1658">
        <v>0</v>
      </c>
      <c r="AC1658">
        <v>0</v>
      </c>
      <c r="AD1658">
        <v>3</v>
      </c>
      <c r="AE1658">
        <v>0</v>
      </c>
      <c r="AF1658">
        <v>0</v>
      </c>
      <c r="AG1658">
        <v>0</v>
      </c>
      <c r="AH1658">
        <v>0</v>
      </c>
      <c r="AI1658">
        <v>0</v>
      </c>
      <c r="AJ1658">
        <v>0</v>
      </c>
      <c r="AK1658">
        <v>0</v>
      </c>
    </row>
    <row r="1659" spans="1:37" x14ac:dyDescent="0.3">
      <c r="A1659">
        <v>7979</v>
      </c>
      <c r="B1659" t="s">
        <v>219</v>
      </c>
      <c r="D1659" t="s">
        <v>327</v>
      </c>
      <c r="E1659">
        <v>99999999</v>
      </c>
      <c r="F1659">
        <v>11111111</v>
      </c>
      <c r="G1659">
        <v>1111111111</v>
      </c>
      <c r="H1659" t="s">
        <v>5228</v>
      </c>
      <c r="I1659">
        <v>99999999</v>
      </c>
      <c r="J1659" s="188">
        <v>45237</v>
      </c>
      <c r="K1659" t="s">
        <v>5228</v>
      </c>
      <c r="L1659" t="s">
        <v>5228</v>
      </c>
      <c r="M1659" t="s">
        <v>95</v>
      </c>
      <c r="N1659" t="s">
        <v>91</v>
      </c>
      <c r="O1659" t="s">
        <v>2307</v>
      </c>
      <c r="P1659" t="s">
        <v>221</v>
      </c>
      <c r="Q1659" t="s">
        <v>82</v>
      </c>
      <c r="R1659">
        <v>1</v>
      </c>
      <c r="S1659">
        <v>3</v>
      </c>
      <c r="T1659">
        <v>0</v>
      </c>
      <c r="U1659">
        <v>1</v>
      </c>
      <c r="V1659">
        <v>1</v>
      </c>
      <c r="W1659">
        <v>23.59</v>
      </c>
      <c r="X1659">
        <v>0</v>
      </c>
      <c r="Y1659">
        <v>0</v>
      </c>
      <c r="Z1659">
        <v>0</v>
      </c>
      <c r="AA1659">
        <v>0</v>
      </c>
      <c r="AB1659">
        <v>0</v>
      </c>
      <c r="AC1659">
        <v>0</v>
      </c>
      <c r="AD1659">
        <v>1</v>
      </c>
      <c r="AE1659">
        <v>0</v>
      </c>
      <c r="AF1659">
        <v>0</v>
      </c>
      <c r="AG1659">
        <v>0</v>
      </c>
      <c r="AH1659">
        <v>0</v>
      </c>
      <c r="AI1659">
        <v>0</v>
      </c>
      <c r="AJ1659">
        <v>0</v>
      </c>
      <c r="AK1659">
        <v>0</v>
      </c>
    </row>
    <row r="1660" spans="1:37" x14ac:dyDescent="0.3">
      <c r="A1660">
        <v>7979</v>
      </c>
      <c r="B1660" t="s">
        <v>219</v>
      </c>
      <c r="D1660" t="s">
        <v>327</v>
      </c>
      <c r="E1660">
        <v>99999999</v>
      </c>
      <c r="F1660">
        <v>11111111</v>
      </c>
      <c r="G1660">
        <v>1111111111</v>
      </c>
      <c r="H1660" t="s">
        <v>5229</v>
      </c>
      <c r="I1660">
        <v>99999999</v>
      </c>
      <c r="J1660" s="188">
        <v>45237</v>
      </c>
      <c r="K1660" t="s">
        <v>5229</v>
      </c>
      <c r="L1660" t="s">
        <v>5229</v>
      </c>
      <c r="M1660" t="s">
        <v>1445</v>
      </c>
      <c r="N1660" t="s">
        <v>99</v>
      </c>
      <c r="O1660" t="s">
        <v>2308</v>
      </c>
      <c r="P1660" t="s">
        <v>221</v>
      </c>
      <c r="Q1660" t="s">
        <v>82</v>
      </c>
      <c r="R1660">
        <v>1</v>
      </c>
      <c r="S1660">
        <v>0.4</v>
      </c>
      <c r="T1660">
        <v>0</v>
      </c>
      <c r="U1660">
        <v>1</v>
      </c>
      <c r="V1660">
        <v>1</v>
      </c>
      <c r="W1660">
        <v>18.2</v>
      </c>
      <c r="X1660">
        <v>0</v>
      </c>
      <c r="Y1660">
        <v>0</v>
      </c>
      <c r="Z1660">
        <v>0</v>
      </c>
      <c r="AA1660">
        <v>0</v>
      </c>
      <c r="AB1660">
        <v>0</v>
      </c>
      <c r="AC1660">
        <v>0</v>
      </c>
      <c r="AD1660">
        <v>1</v>
      </c>
      <c r="AE1660">
        <v>0</v>
      </c>
      <c r="AF1660">
        <v>0</v>
      </c>
      <c r="AG1660">
        <v>0</v>
      </c>
      <c r="AH1660">
        <v>0</v>
      </c>
      <c r="AI1660">
        <v>0</v>
      </c>
      <c r="AJ1660">
        <v>0</v>
      </c>
      <c r="AK1660">
        <v>0</v>
      </c>
    </row>
    <row r="1661" spans="1:37" x14ac:dyDescent="0.3">
      <c r="A1661">
        <v>7979</v>
      </c>
      <c r="B1661" t="s">
        <v>219</v>
      </c>
      <c r="D1661" t="s">
        <v>327</v>
      </c>
      <c r="E1661">
        <v>99999999</v>
      </c>
      <c r="F1661">
        <v>11111111</v>
      </c>
      <c r="G1661">
        <v>1111111111</v>
      </c>
      <c r="H1661" t="s">
        <v>5230</v>
      </c>
      <c r="I1661">
        <v>99999999</v>
      </c>
      <c r="J1661" s="188">
        <v>45237</v>
      </c>
      <c r="K1661" t="s">
        <v>5230</v>
      </c>
      <c r="L1661" t="s">
        <v>5230</v>
      </c>
      <c r="M1661" t="s">
        <v>531</v>
      </c>
      <c r="N1661" t="s">
        <v>97</v>
      </c>
      <c r="O1661" t="s">
        <v>2309</v>
      </c>
      <c r="P1661" t="s">
        <v>221</v>
      </c>
      <c r="Q1661" t="s">
        <v>82</v>
      </c>
      <c r="R1661">
        <v>1</v>
      </c>
      <c r="S1661">
        <v>11</v>
      </c>
      <c r="T1661">
        <v>0</v>
      </c>
      <c r="U1661">
        <v>1</v>
      </c>
      <c r="V1661">
        <v>1</v>
      </c>
      <c r="W1661">
        <v>24.83</v>
      </c>
      <c r="X1661">
        <v>0</v>
      </c>
      <c r="Y1661">
        <v>0</v>
      </c>
      <c r="Z1661">
        <v>0</v>
      </c>
      <c r="AA1661">
        <v>0</v>
      </c>
      <c r="AB1661">
        <v>0</v>
      </c>
      <c r="AC1661">
        <v>0</v>
      </c>
      <c r="AD1661">
        <v>1</v>
      </c>
      <c r="AE1661">
        <v>0</v>
      </c>
      <c r="AF1661">
        <v>0</v>
      </c>
      <c r="AG1661">
        <v>0</v>
      </c>
      <c r="AH1661">
        <v>0</v>
      </c>
      <c r="AI1661">
        <v>0</v>
      </c>
      <c r="AJ1661">
        <v>0</v>
      </c>
      <c r="AK1661">
        <v>0</v>
      </c>
    </row>
    <row r="1662" spans="1:37" x14ac:dyDescent="0.3">
      <c r="A1662">
        <v>7979</v>
      </c>
      <c r="B1662" t="s">
        <v>219</v>
      </c>
      <c r="D1662" t="s">
        <v>327</v>
      </c>
      <c r="E1662">
        <v>99999999</v>
      </c>
      <c r="F1662">
        <v>11111111</v>
      </c>
      <c r="G1662">
        <v>1111111111</v>
      </c>
      <c r="H1662" t="s">
        <v>5231</v>
      </c>
      <c r="I1662">
        <v>99999999</v>
      </c>
      <c r="J1662" s="188">
        <v>45237</v>
      </c>
      <c r="K1662" t="s">
        <v>5231</v>
      </c>
      <c r="L1662" t="s">
        <v>5231</v>
      </c>
      <c r="M1662" t="s">
        <v>2310</v>
      </c>
      <c r="N1662" t="s">
        <v>99</v>
      </c>
      <c r="O1662">
        <v>94965</v>
      </c>
      <c r="P1662" t="s">
        <v>221</v>
      </c>
      <c r="Q1662" t="s">
        <v>82</v>
      </c>
      <c r="R1662">
        <v>1</v>
      </c>
      <c r="S1662">
        <v>10.46</v>
      </c>
      <c r="T1662">
        <v>0</v>
      </c>
      <c r="U1662">
        <v>1</v>
      </c>
      <c r="V1662">
        <v>1</v>
      </c>
      <c r="W1662">
        <v>23.02</v>
      </c>
      <c r="X1662">
        <v>0</v>
      </c>
      <c r="Y1662">
        <v>0</v>
      </c>
      <c r="Z1662">
        <v>0</v>
      </c>
      <c r="AA1662">
        <v>0</v>
      </c>
      <c r="AB1662">
        <v>0</v>
      </c>
      <c r="AC1662">
        <v>0</v>
      </c>
      <c r="AD1662">
        <v>1</v>
      </c>
      <c r="AE1662">
        <v>0</v>
      </c>
      <c r="AF1662">
        <v>0</v>
      </c>
      <c r="AG1662">
        <v>0</v>
      </c>
      <c r="AH1662">
        <v>0</v>
      </c>
      <c r="AI1662">
        <v>0</v>
      </c>
      <c r="AJ1662">
        <v>0</v>
      </c>
      <c r="AK1662">
        <v>0</v>
      </c>
    </row>
    <row r="1663" spans="1:37" x14ac:dyDescent="0.3">
      <c r="A1663">
        <v>7979</v>
      </c>
      <c r="B1663" t="s">
        <v>219</v>
      </c>
      <c r="D1663" t="s">
        <v>327</v>
      </c>
      <c r="E1663">
        <v>99999999</v>
      </c>
      <c r="F1663">
        <v>11111111</v>
      </c>
      <c r="G1663">
        <v>1111111111</v>
      </c>
      <c r="H1663" t="s">
        <v>5232</v>
      </c>
      <c r="I1663">
        <v>99999999</v>
      </c>
      <c r="J1663" s="188">
        <v>45237</v>
      </c>
      <c r="K1663" t="s">
        <v>5232</v>
      </c>
      <c r="L1663" t="s">
        <v>5232</v>
      </c>
      <c r="M1663" t="s">
        <v>1922</v>
      </c>
      <c r="N1663" t="s">
        <v>99</v>
      </c>
      <c r="O1663" t="s">
        <v>2311</v>
      </c>
      <c r="P1663" t="s">
        <v>221</v>
      </c>
      <c r="Q1663" t="s">
        <v>82</v>
      </c>
      <c r="R1663">
        <v>1</v>
      </c>
      <c r="S1663">
        <v>2</v>
      </c>
      <c r="T1663">
        <v>0</v>
      </c>
      <c r="U1663">
        <v>1</v>
      </c>
      <c r="V1663">
        <v>1</v>
      </c>
      <c r="W1663">
        <v>20.67</v>
      </c>
      <c r="X1663">
        <v>0</v>
      </c>
      <c r="Y1663">
        <v>0</v>
      </c>
      <c r="Z1663">
        <v>0</v>
      </c>
      <c r="AA1663">
        <v>0</v>
      </c>
      <c r="AB1663">
        <v>0</v>
      </c>
      <c r="AC1663">
        <v>0</v>
      </c>
      <c r="AD1663">
        <v>1</v>
      </c>
      <c r="AE1663">
        <v>0</v>
      </c>
      <c r="AF1663">
        <v>0</v>
      </c>
      <c r="AG1663">
        <v>0</v>
      </c>
      <c r="AH1663">
        <v>0</v>
      </c>
      <c r="AI1663">
        <v>0</v>
      </c>
      <c r="AJ1663">
        <v>0</v>
      </c>
      <c r="AK1663">
        <v>0</v>
      </c>
    </row>
    <row r="1664" spans="1:37" x14ac:dyDescent="0.3">
      <c r="A1664">
        <v>7979</v>
      </c>
      <c r="B1664" t="s">
        <v>219</v>
      </c>
      <c r="D1664" t="s">
        <v>327</v>
      </c>
      <c r="E1664">
        <v>99999999</v>
      </c>
      <c r="F1664">
        <v>11111111</v>
      </c>
      <c r="G1664">
        <v>1111111111</v>
      </c>
      <c r="H1664" t="s">
        <v>5233</v>
      </c>
      <c r="I1664">
        <v>99999999</v>
      </c>
      <c r="J1664" s="188">
        <v>45237</v>
      </c>
      <c r="K1664" t="s">
        <v>5233</v>
      </c>
      <c r="L1664" t="s">
        <v>5233</v>
      </c>
      <c r="M1664" t="s">
        <v>2312</v>
      </c>
      <c r="N1664" t="s">
        <v>197</v>
      </c>
      <c r="O1664">
        <v>76905</v>
      </c>
      <c r="P1664" t="s">
        <v>221</v>
      </c>
      <c r="Q1664" t="s">
        <v>82</v>
      </c>
      <c r="R1664">
        <v>1</v>
      </c>
      <c r="S1664">
        <v>3.7</v>
      </c>
      <c r="T1664">
        <v>0</v>
      </c>
      <c r="U1664">
        <v>1</v>
      </c>
      <c r="V1664">
        <v>1</v>
      </c>
      <c r="W1664">
        <v>31.23</v>
      </c>
      <c r="X1664">
        <v>0</v>
      </c>
      <c r="Y1664">
        <v>0</v>
      </c>
      <c r="Z1664">
        <v>0</v>
      </c>
      <c r="AA1664">
        <v>0</v>
      </c>
      <c r="AB1664">
        <v>0</v>
      </c>
      <c r="AC1664">
        <v>0</v>
      </c>
      <c r="AD1664">
        <v>1</v>
      </c>
      <c r="AE1664">
        <v>0</v>
      </c>
      <c r="AF1664">
        <v>0</v>
      </c>
      <c r="AG1664">
        <v>0</v>
      </c>
      <c r="AH1664">
        <v>0</v>
      </c>
      <c r="AI1664">
        <v>0</v>
      </c>
      <c r="AJ1664">
        <v>0</v>
      </c>
      <c r="AK1664">
        <v>0</v>
      </c>
    </row>
    <row r="1665" spans="1:37" x14ac:dyDescent="0.3">
      <c r="A1665">
        <v>7979</v>
      </c>
      <c r="B1665" t="s">
        <v>219</v>
      </c>
      <c r="D1665" t="s">
        <v>327</v>
      </c>
      <c r="E1665">
        <v>99999999</v>
      </c>
      <c r="F1665">
        <v>11111111</v>
      </c>
      <c r="G1665">
        <v>1111111111</v>
      </c>
      <c r="H1665" t="s">
        <v>5234</v>
      </c>
      <c r="I1665">
        <v>99999999</v>
      </c>
      <c r="J1665" s="188">
        <v>45237</v>
      </c>
      <c r="K1665" t="s">
        <v>5234</v>
      </c>
      <c r="L1665" t="s">
        <v>5234</v>
      </c>
      <c r="M1665" t="s">
        <v>2313</v>
      </c>
      <c r="N1665" t="s">
        <v>91</v>
      </c>
      <c r="O1665" t="s">
        <v>2314</v>
      </c>
      <c r="P1665" t="s">
        <v>221</v>
      </c>
      <c r="Q1665" t="s">
        <v>82</v>
      </c>
      <c r="R1665">
        <v>1</v>
      </c>
      <c r="S1665">
        <v>3.4</v>
      </c>
      <c r="T1665">
        <v>0</v>
      </c>
      <c r="U1665">
        <v>1</v>
      </c>
      <c r="V1665">
        <v>1</v>
      </c>
      <c r="W1665">
        <v>31.84</v>
      </c>
      <c r="X1665">
        <v>0</v>
      </c>
      <c r="Y1665">
        <v>0</v>
      </c>
      <c r="Z1665">
        <v>0</v>
      </c>
      <c r="AA1665">
        <v>0</v>
      </c>
      <c r="AB1665">
        <v>0</v>
      </c>
      <c r="AC1665">
        <v>0</v>
      </c>
      <c r="AD1665">
        <v>1</v>
      </c>
      <c r="AE1665">
        <v>0</v>
      </c>
      <c r="AF1665">
        <v>0</v>
      </c>
      <c r="AG1665">
        <v>0</v>
      </c>
      <c r="AH1665">
        <v>0</v>
      </c>
      <c r="AI1665">
        <v>0</v>
      </c>
      <c r="AJ1665">
        <v>0</v>
      </c>
      <c r="AK1665">
        <v>0</v>
      </c>
    </row>
    <row r="1666" spans="1:37" x14ac:dyDescent="0.3">
      <c r="A1666">
        <v>7979</v>
      </c>
      <c r="B1666" t="s">
        <v>219</v>
      </c>
      <c r="D1666" t="s">
        <v>327</v>
      </c>
      <c r="E1666">
        <v>99999999</v>
      </c>
      <c r="F1666">
        <v>11111111</v>
      </c>
      <c r="G1666">
        <v>1111111111</v>
      </c>
      <c r="H1666" t="s">
        <v>5235</v>
      </c>
      <c r="I1666">
        <v>99999999</v>
      </c>
      <c r="J1666" s="188">
        <v>45237</v>
      </c>
      <c r="K1666" t="s">
        <v>5235</v>
      </c>
      <c r="L1666" t="s">
        <v>5235</v>
      </c>
      <c r="M1666" t="s">
        <v>2315</v>
      </c>
      <c r="N1666" t="s">
        <v>130</v>
      </c>
      <c r="O1666" t="s">
        <v>2316</v>
      </c>
      <c r="P1666" t="s">
        <v>221</v>
      </c>
      <c r="Q1666" t="s">
        <v>82</v>
      </c>
      <c r="R1666">
        <v>1</v>
      </c>
      <c r="S1666">
        <v>3</v>
      </c>
      <c r="T1666">
        <v>0</v>
      </c>
      <c r="U1666">
        <v>1</v>
      </c>
      <c r="V1666">
        <v>1</v>
      </c>
      <c r="W1666">
        <v>23.59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1</v>
      </c>
      <c r="AE1666">
        <v>0</v>
      </c>
      <c r="AF1666">
        <v>0</v>
      </c>
      <c r="AG1666">
        <v>0</v>
      </c>
      <c r="AH1666">
        <v>0</v>
      </c>
      <c r="AI1666">
        <v>0</v>
      </c>
      <c r="AJ1666">
        <v>0</v>
      </c>
      <c r="AK1666">
        <v>0</v>
      </c>
    </row>
    <row r="1667" spans="1:37" x14ac:dyDescent="0.3">
      <c r="A1667">
        <v>7979</v>
      </c>
      <c r="B1667" t="s">
        <v>219</v>
      </c>
      <c r="D1667" t="s">
        <v>327</v>
      </c>
      <c r="E1667">
        <v>99999999</v>
      </c>
      <c r="F1667">
        <v>11111111</v>
      </c>
      <c r="G1667">
        <v>1111111111</v>
      </c>
      <c r="H1667" t="s">
        <v>5236</v>
      </c>
      <c r="I1667">
        <v>99999999</v>
      </c>
      <c r="J1667" s="188">
        <v>45237</v>
      </c>
      <c r="K1667" t="s">
        <v>5236</v>
      </c>
      <c r="L1667" t="s">
        <v>5236</v>
      </c>
      <c r="M1667" t="s">
        <v>2317</v>
      </c>
      <c r="N1667" t="s">
        <v>99</v>
      </c>
      <c r="O1667" t="s">
        <v>2318</v>
      </c>
      <c r="P1667" t="s">
        <v>221</v>
      </c>
      <c r="Q1667" t="s">
        <v>82</v>
      </c>
      <c r="R1667">
        <v>1</v>
      </c>
      <c r="S1667">
        <v>1.9</v>
      </c>
      <c r="T1667">
        <v>0</v>
      </c>
      <c r="U1667">
        <v>1</v>
      </c>
      <c r="V1667">
        <v>1</v>
      </c>
      <c r="W1667">
        <v>20.67</v>
      </c>
      <c r="X1667">
        <v>0</v>
      </c>
      <c r="Y1667">
        <v>0</v>
      </c>
      <c r="Z1667">
        <v>0</v>
      </c>
      <c r="AA1667">
        <v>0</v>
      </c>
      <c r="AB1667">
        <v>0</v>
      </c>
      <c r="AC1667">
        <v>0</v>
      </c>
      <c r="AD1667">
        <v>1</v>
      </c>
      <c r="AE1667">
        <v>0</v>
      </c>
      <c r="AF1667">
        <v>0</v>
      </c>
      <c r="AG1667">
        <v>0</v>
      </c>
      <c r="AH1667">
        <v>0</v>
      </c>
      <c r="AI1667">
        <v>0</v>
      </c>
      <c r="AJ1667">
        <v>0</v>
      </c>
      <c r="AK1667">
        <v>0</v>
      </c>
    </row>
    <row r="1668" spans="1:37" x14ac:dyDescent="0.3">
      <c r="A1668">
        <v>7979</v>
      </c>
      <c r="B1668" t="s">
        <v>219</v>
      </c>
      <c r="D1668" t="s">
        <v>327</v>
      </c>
      <c r="E1668">
        <v>99999999</v>
      </c>
      <c r="F1668">
        <v>11111111</v>
      </c>
      <c r="G1668">
        <v>1111111111</v>
      </c>
      <c r="H1668" t="s">
        <v>5237</v>
      </c>
      <c r="I1668">
        <v>99999999</v>
      </c>
      <c r="J1668" s="188">
        <v>45237</v>
      </c>
      <c r="K1668" t="s">
        <v>5237</v>
      </c>
      <c r="L1668" t="s">
        <v>5237</v>
      </c>
      <c r="M1668" t="s">
        <v>2319</v>
      </c>
      <c r="N1668" t="s">
        <v>97</v>
      </c>
      <c r="O1668">
        <v>98340</v>
      </c>
      <c r="P1668" t="s">
        <v>221</v>
      </c>
      <c r="Q1668" t="s">
        <v>82</v>
      </c>
      <c r="R1668">
        <v>1</v>
      </c>
      <c r="S1668">
        <v>7</v>
      </c>
      <c r="T1668">
        <v>0</v>
      </c>
      <c r="U1668">
        <v>1</v>
      </c>
      <c r="V1668">
        <v>1</v>
      </c>
      <c r="W1668">
        <v>32.409999999999997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1</v>
      </c>
      <c r="AE1668">
        <v>0</v>
      </c>
      <c r="AF1668">
        <v>0</v>
      </c>
      <c r="AG1668">
        <v>0</v>
      </c>
      <c r="AH1668">
        <v>0</v>
      </c>
      <c r="AI1668">
        <v>0</v>
      </c>
      <c r="AJ1668">
        <v>0</v>
      </c>
      <c r="AK1668">
        <v>0</v>
      </c>
    </row>
    <row r="1669" spans="1:37" x14ac:dyDescent="0.3">
      <c r="A1669">
        <v>7979</v>
      </c>
      <c r="B1669" t="s">
        <v>219</v>
      </c>
      <c r="D1669" t="s">
        <v>327</v>
      </c>
      <c r="E1669">
        <v>99999999</v>
      </c>
      <c r="F1669">
        <v>11111111</v>
      </c>
      <c r="G1669">
        <v>1111111111</v>
      </c>
      <c r="H1669" t="s">
        <v>5238</v>
      </c>
      <c r="I1669">
        <v>99999999</v>
      </c>
      <c r="J1669" s="188">
        <v>45237</v>
      </c>
      <c r="K1669" t="s">
        <v>5238</v>
      </c>
      <c r="L1669" t="s">
        <v>5238</v>
      </c>
      <c r="M1669" t="s">
        <v>2320</v>
      </c>
      <c r="N1669" t="s">
        <v>118</v>
      </c>
      <c r="O1669" t="s">
        <v>2321</v>
      </c>
      <c r="P1669" t="s">
        <v>221</v>
      </c>
      <c r="Q1669" t="s">
        <v>82</v>
      </c>
      <c r="R1669">
        <v>1</v>
      </c>
      <c r="S1669">
        <v>3.25</v>
      </c>
      <c r="T1669">
        <v>0</v>
      </c>
      <c r="U1669">
        <v>1</v>
      </c>
      <c r="V1669">
        <v>1</v>
      </c>
      <c r="W1669">
        <v>26.15</v>
      </c>
      <c r="X1669">
        <v>0</v>
      </c>
      <c r="Y1669">
        <v>0</v>
      </c>
      <c r="Z1669">
        <v>0</v>
      </c>
      <c r="AA1669">
        <v>0</v>
      </c>
      <c r="AB1669">
        <v>0</v>
      </c>
      <c r="AC1669">
        <v>0</v>
      </c>
      <c r="AD1669">
        <v>1</v>
      </c>
      <c r="AE1669">
        <v>0</v>
      </c>
      <c r="AF1669">
        <v>0</v>
      </c>
      <c r="AG1669">
        <v>0</v>
      </c>
      <c r="AH1669">
        <v>0</v>
      </c>
      <c r="AI1669">
        <v>0</v>
      </c>
      <c r="AJ1669">
        <v>0</v>
      </c>
      <c r="AK1669">
        <v>0</v>
      </c>
    </row>
    <row r="1670" spans="1:37" x14ac:dyDescent="0.3">
      <c r="A1670">
        <v>7979</v>
      </c>
      <c r="B1670" t="s">
        <v>219</v>
      </c>
      <c r="D1670" t="s">
        <v>327</v>
      </c>
      <c r="E1670">
        <v>99999999</v>
      </c>
      <c r="F1670">
        <v>11111111</v>
      </c>
      <c r="G1670">
        <v>1111111111</v>
      </c>
      <c r="H1670" t="s">
        <v>5239</v>
      </c>
      <c r="I1670">
        <v>99999999</v>
      </c>
      <c r="J1670" s="188">
        <v>45237</v>
      </c>
      <c r="K1670" t="s">
        <v>5239</v>
      </c>
      <c r="L1670" t="s">
        <v>5239</v>
      </c>
      <c r="M1670" t="s">
        <v>747</v>
      </c>
      <c r="N1670" t="s">
        <v>99</v>
      </c>
      <c r="O1670" t="s">
        <v>2322</v>
      </c>
      <c r="P1670" t="s">
        <v>221</v>
      </c>
      <c r="Q1670" t="s">
        <v>82</v>
      </c>
      <c r="R1670">
        <v>2</v>
      </c>
      <c r="S1670">
        <v>4.4000000000000004</v>
      </c>
      <c r="T1670">
        <v>0</v>
      </c>
      <c r="U1670">
        <v>1</v>
      </c>
      <c r="V1670">
        <v>1</v>
      </c>
      <c r="W1670">
        <v>27.56</v>
      </c>
      <c r="X1670">
        <v>0</v>
      </c>
      <c r="Y1670">
        <v>0</v>
      </c>
      <c r="Z1670">
        <v>0</v>
      </c>
      <c r="AA1670">
        <v>0</v>
      </c>
      <c r="AB1670">
        <v>0</v>
      </c>
      <c r="AC1670">
        <v>0</v>
      </c>
      <c r="AD1670">
        <v>2</v>
      </c>
      <c r="AE1670">
        <v>0</v>
      </c>
      <c r="AF1670">
        <v>0</v>
      </c>
      <c r="AG1670">
        <v>0</v>
      </c>
      <c r="AH1670">
        <v>0</v>
      </c>
      <c r="AI1670">
        <v>0</v>
      </c>
      <c r="AJ1670">
        <v>0</v>
      </c>
      <c r="AK1670">
        <v>0</v>
      </c>
    </row>
    <row r="1671" spans="1:37" x14ac:dyDescent="0.3">
      <c r="A1671">
        <v>7979</v>
      </c>
      <c r="B1671" t="s">
        <v>219</v>
      </c>
      <c r="D1671" t="s">
        <v>327</v>
      </c>
      <c r="E1671">
        <v>99999999</v>
      </c>
      <c r="F1671">
        <v>11111111</v>
      </c>
      <c r="G1671">
        <v>1111111111</v>
      </c>
      <c r="H1671" t="s">
        <v>5240</v>
      </c>
      <c r="I1671">
        <v>99999999</v>
      </c>
      <c r="J1671" s="188">
        <v>45237</v>
      </c>
      <c r="K1671" t="s">
        <v>5240</v>
      </c>
      <c r="L1671" t="s">
        <v>5240</v>
      </c>
      <c r="M1671" t="s">
        <v>2323</v>
      </c>
      <c r="N1671" t="s">
        <v>197</v>
      </c>
      <c r="O1671">
        <v>78669</v>
      </c>
      <c r="P1671" t="s">
        <v>221</v>
      </c>
      <c r="Q1671" t="s">
        <v>82</v>
      </c>
      <c r="R1671">
        <v>3</v>
      </c>
      <c r="S1671">
        <v>4.58</v>
      </c>
      <c r="T1671">
        <v>0</v>
      </c>
      <c r="U1671">
        <v>1</v>
      </c>
      <c r="V1671">
        <v>3</v>
      </c>
      <c r="W1671">
        <v>31.24</v>
      </c>
      <c r="X1671">
        <v>0</v>
      </c>
      <c r="Y1671">
        <v>0</v>
      </c>
      <c r="Z1671">
        <v>0</v>
      </c>
      <c r="AA1671">
        <v>0</v>
      </c>
      <c r="AB1671">
        <v>0</v>
      </c>
      <c r="AC1671">
        <v>0</v>
      </c>
      <c r="AD1671">
        <v>3</v>
      </c>
      <c r="AE1671">
        <v>0</v>
      </c>
      <c r="AF1671">
        <v>0</v>
      </c>
      <c r="AG1671">
        <v>0</v>
      </c>
      <c r="AH1671">
        <v>0</v>
      </c>
      <c r="AI1671">
        <v>0</v>
      </c>
      <c r="AJ1671">
        <v>0</v>
      </c>
      <c r="AK1671">
        <v>0</v>
      </c>
    </row>
    <row r="1672" spans="1:37" x14ac:dyDescent="0.3">
      <c r="A1672">
        <v>7979</v>
      </c>
      <c r="B1672" t="s">
        <v>219</v>
      </c>
      <c r="D1672" t="s">
        <v>327</v>
      </c>
      <c r="E1672">
        <v>99999999</v>
      </c>
      <c r="F1672">
        <v>11111111</v>
      </c>
      <c r="G1672">
        <v>1111111111</v>
      </c>
      <c r="H1672" t="s">
        <v>5241</v>
      </c>
      <c r="I1672">
        <v>99999999</v>
      </c>
      <c r="J1672" s="188">
        <v>45237</v>
      </c>
      <c r="K1672" t="s">
        <v>5241</v>
      </c>
      <c r="L1672" t="s">
        <v>5241</v>
      </c>
      <c r="M1672" t="s">
        <v>622</v>
      </c>
      <c r="N1672" t="s">
        <v>99</v>
      </c>
      <c r="O1672" t="s">
        <v>2324</v>
      </c>
      <c r="P1672" t="s">
        <v>221</v>
      </c>
      <c r="Q1672" t="s">
        <v>82</v>
      </c>
      <c r="R1672">
        <v>2</v>
      </c>
      <c r="S1672">
        <v>5.8</v>
      </c>
      <c r="T1672">
        <v>0</v>
      </c>
      <c r="U1672">
        <v>1</v>
      </c>
      <c r="V1672">
        <v>2</v>
      </c>
      <c r="W1672">
        <v>26.92</v>
      </c>
      <c r="X1672">
        <v>0</v>
      </c>
      <c r="Y1672">
        <v>0</v>
      </c>
      <c r="Z1672">
        <v>0</v>
      </c>
      <c r="AA1672">
        <v>0</v>
      </c>
      <c r="AB1672">
        <v>0</v>
      </c>
      <c r="AC1672">
        <v>0</v>
      </c>
      <c r="AD1672">
        <v>2</v>
      </c>
      <c r="AE1672">
        <v>0</v>
      </c>
      <c r="AF1672">
        <v>0</v>
      </c>
      <c r="AG1672">
        <v>0</v>
      </c>
      <c r="AH1672">
        <v>0</v>
      </c>
      <c r="AI1672">
        <v>0</v>
      </c>
      <c r="AJ1672">
        <v>0</v>
      </c>
      <c r="AK1672">
        <v>0</v>
      </c>
    </row>
    <row r="1673" spans="1:37" x14ac:dyDescent="0.3">
      <c r="A1673">
        <v>7979</v>
      </c>
      <c r="B1673" t="s">
        <v>219</v>
      </c>
      <c r="D1673" t="s">
        <v>327</v>
      </c>
      <c r="E1673">
        <v>99999999</v>
      </c>
      <c r="F1673">
        <v>11111111</v>
      </c>
      <c r="G1673">
        <v>1111111111</v>
      </c>
      <c r="H1673" t="s">
        <v>5242</v>
      </c>
      <c r="I1673">
        <v>99999999</v>
      </c>
      <c r="J1673" s="188">
        <v>45237</v>
      </c>
      <c r="K1673" t="s">
        <v>5242</v>
      </c>
      <c r="L1673" t="s">
        <v>5242</v>
      </c>
      <c r="M1673" t="s">
        <v>705</v>
      </c>
      <c r="N1673" t="s">
        <v>99</v>
      </c>
      <c r="O1673" t="s">
        <v>2325</v>
      </c>
      <c r="P1673" t="s">
        <v>221</v>
      </c>
      <c r="Q1673" t="s">
        <v>82</v>
      </c>
      <c r="R1673">
        <v>1</v>
      </c>
      <c r="S1673">
        <v>0.45</v>
      </c>
      <c r="T1673">
        <v>0</v>
      </c>
      <c r="U1673">
        <v>1</v>
      </c>
      <c r="V1673">
        <v>1</v>
      </c>
      <c r="W1673">
        <v>18.2</v>
      </c>
      <c r="X1673">
        <v>0</v>
      </c>
      <c r="Y1673">
        <v>0</v>
      </c>
      <c r="Z1673">
        <v>0</v>
      </c>
      <c r="AA1673">
        <v>0</v>
      </c>
      <c r="AB1673">
        <v>0</v>
      </c>
      <c r="AC1673">
        <v>0</v>
      </c>
      <c r="AD1673">
        <v>1</v>
      </c>
      <c r="AE1673">
        <v>0</v>
      </c>
      <c r="AF1673">
        <v>0</v>
      </c>
      <c r="AG1673">
        <v>0</v>
      </c>
      <c r="AH1673">
        <v>0</v>
      </c>
      <c r="AI1673">
        <v>0</v>
      </c>
      <c r="AJ1673">
        <v>0</v>
      </c>
      <c r="AK1673">
        <v>0</v>
      </c>
    </row>
    <row r="1674" spans="1:37" x14ac:dyDescent="0.3">
      <c r="A1674">
        <v>7979</v>
      </c>
      <c r="B1674" t="s">
        <v>219</v>
      </c>
      <c r="D1674" t="s">
        <v>327</v>
      </c>
      <c r="E1674">
        <v>99999999</v>
      </c>
      <c r="F1674">
        <v>11111111</v>
      </c>
      <c r="G1674">
        <v>1111111111</v>
      </c>
      <c r="H1674" t="s">
        <v>5243</v>
      </c>
      <c r="I1674">
        <v>99999999</v>
      </c>
      <c r="J1674" s="188">
        <v>45237</v>
      </c>
      <c r="K1674" t="s">
        <v>5243</v>
      </c>
      <c r="L1674" t="s">
        <v>5243</v>
      </c>
      <c r="M1674" t="s">
        <v>1137</v>
      </c>
      <c r="N1674" t="s">
        <v>99</v>
      </c>
      <c r="O1674" t="s">
        <v>2326</v>
      </c>
      <c r="P1674" t="s">
        <v>221</v>
      </c>
      <c r="Q1674" t="s">
        <v>82</v>
      </c>
      <c r="R1674">
        <v>1</v>
      </c>
      <c r="S1674">
        <v>3.4</v>
      </c>
      <c r="T1674">
        <v>0</v>
      </c>
      <c r="U1674">
        <v>1</v>
      </c>
      <c r="V1674">
        <v>1</v>
      </c>
      <c r="W1674">
        <v>22.52</v>
      </c>
      <c r="X1674">
        <v>0</v>
      </c>
      <c r="Y1674">
        <v>0</v>
      </c>
      <c r="Z1674">
        <v>0</v>
      </c>
      <c r="AA1674">
        <v>0</v>
      </c>
      <c r="AB1674">
        <v>0</v>
      </c>
      <c r="AC1674">
        <v>0</v>
      </c>
      <c r="AD1674">
        <v>1</v>
      </c>
      <c r="AE1674">
        <v>0</v>
      </c>
      <c r="AF1674">
        <v>0</v>
      </c>
      <c r="AG1674">
        <v>0</v>
      </c>
      <c r="AH1674">
        <v>0</v>
      </c>
      <c r="AI1674">
        <v>0</v>
      </c>
      <c r="AJ1674">
        <v>0</v>
      </c>
      <c r="AK1674">
        <v>0</v>
      </c>
    </row>
    <row r="1675" spans="1:37" x14ac:dyDescent="0.3">
      <c r="A1675">
        <v>7979</v>
      </c>
      <c r="B1675" t="s">
        <v>219</v>
      </c>
      <c r="D1675" t="s">
        <v>327</v>
      </c>
      <c r="E1675">
        <v>99999999</v>
      </c>
      <c r="F1675">
        <v>11111111</v>
      </c>
      <c r="G1675">
        <v>1111111111</v>
      </c>
      <c r="H1675" t="s">
        <v>5244</v>
      </c>
      <c r="I1675">
        <v>99999999</v>
      </c>
      <c r="J1675" s="188">
        <v>45237</v>
      </c>
      <c r="K1675" t="s">
        <v>5244</v>
      </c>
      <c r="L1675" t="s">
        <v>5244</v>
      </c>
      <c r="M1675" t="s">
        <v>716</v>
      </c>
      <c r="N1675" t="s">
        <v>97</v>
      </c>
      <c r="O1675" t="s">
        <v>2327</v>
      </c>
      <c r="P1675" t="s">
        <v>221</v>
      </c>
      <c r="Q1675" t="s">
        <v>82</v>
      </c>
      <c r="R1675">
        <v>1</v>
      </c>
      <c r="S1675">
        <v>12.3</v>
      </c>
      <c r="T1675">
        <v>0</v>
      </c>
      <c r="U1675">
        <v>1</v>
      </c>
      <c r="V1675">
        <v>1</v>
      </c>
      <c r="W1675">
        <v>33.31</v>
      </c>
      <c r="X1675">
        <v>0</v>
      </c>
      <c r="Y1675">
        <v>0</v>
      </c>
      <c r="Z1675">
        <v>0</v>
      </c>
      <c r="AA1675">
        <v>0</v>
      </c>
      <c r="AB1675">
        <v>0</v>
      </c>
      <c r="AC1675">
        <v>0</v>
      </c>
      <c r="AD1675">
        <v>1</v>
      </c>
      <c r="AE1675">
        <v>0</v>
      </c>
      <c r="AF1675">
        <v>0</v>
      </c>
      <c r="AG1675">
        <v>0</v>
      </c>
      <c r="AH1675">
        <v>0</v>
      </c>
      <c r="AI1675">
        <v>0</v>
      </c>
      <c r="AJ1675">
        <v>0</v>
      </c>
      <c r="AK1675">
        <v>0</v>
      </c>
    </row>
    <row r="1676" spans="1:37" x14ac:dyDescent="0.3">
      <c r="A1676">
        <v>7979</v>
      </c>
      <c r="B1676" t="s">
        <v>219</v>
      </c>
      <c r="D1676" t="s">
        <v>327</v>
      </c>
      <c r="E1676">
        <v>99999999</v>
      </c>
      <c r="F1676">
        <v>11111111</v>
      </c>
      <c r="G1676">
        <v>1111111111</v>
      </c>
      <c r="H1676" t="s">
        <v>5245</v>
      </c>
      <c r="I1676">
        <v>99999999</v>
      </c>
      <c r="J1676" s="188">
        <v>45237</v>
      </c>
      <c r="K1676" t="s">
        <v>5245</v>
      </c>
      <c r="L1676" t="s">
        <v>5245</v>
      </c>
      <c r="M1676" t="s">
        <v>2328</v>
      </c>
      <c r="N1676" t="s">
        <v>97</v>
      </c>
      <c r="O1676">
        <v>98802</v>
      </c>
      <c r="P1676" t="s">
        <v>221</v>
      </c>
      <c r="Q1676" t="s">
        <v>82</v>
      </c>
      <c r="R1676">
        <v>2</v>
      </c>
      <c r="S1676">
        <v>4.95</v>
      </c>
      <c r="T1676">
        <v>0</v>
      </c>
      <c r="U1676">
        <v>1</v>
      </c>
      <c r="V1676">
        <v>2</v>
      </c>
      <c r="W1676">
        <v>29.21</v>
      </c>
      <c r="X1676">
        <v>0</v>
      </c>
      <c r="Y1676">
        <v>0</v>
      </c>
      <c r="Z1676">
        <v>0</v>
      </c>
      <c r="AA1676">
        <v>0</v>
      </c>
      <c r="AB1676">
        <v>0</v>
      </c>
      <c r="AC1676">
        <v>0</v>
      </c>
      <c r="AD1676">
        <v>2</v>
      </c>
      <c r="AE1676">
        <v>0</v>
      </c>
      <c r="AF1676">
        <v>0</v>
      </c>
      <c r="AG1676">
        <v>0</v>
      </c>
      <c r="AH1676">
        <v>0</v>
      </c>
      <c r="AI1676">
        <v>0</v>
      </c>
      <c r="AJ1676">
        <v>0</v>
      </c>
      <c r="AK1676">
        <v>0</v>
      </c>
    </row>
    <row r="1677" spans="1:37" x14ac:dyDescent="0.3">
      <c r="A1677">
        <v>7979</v>
      </c>
      <c r="B1677" t="s">
        <v>219</v>
      </c>
      <c r="D1677" t="s">
        <v>327</v>
      </c>
      <c r="E1677">
        <v>99999999</v>
      </c>
      <c r="F1677">
        <v>11111111</v>
      </c>
      <c r="G1677">
        <v>1111111111</v>
      </c>
      <c r="H1677" t="s">
        <v>5246</v>
      </c>
      <c r="I1677">
        <v>99999999</v>
      </c>
      <c r="J1677" s="188">
        <v>45237</v>
      </c>
      <c r="K1677" t="s">
        <v>5246</v>
      </c>
      <c r="L1677" t="s">
        <v>5246</v>
      </c>
      <c r="M1677" t="s">
        <v>2329</v>
      </c>
      <c r="N1677" t="s">
        <v>97</v>
      </c>
      <c r="O1677" t="s">
        <v>2330</v>
      </c>
      <c r="P1677" t="s">
        <v>221</v>
      </c>
      <c r="Q1677" t="s">
        <v>82</v>
      </c>
      <c r="R1677">
        <v>3</v>
      </c>
      <c r="S1677">
        <v>1.87</v>
      </c>
      <c r="T1677">
        <v>0</v>
      </c>
      <c r="U1677">
        <v>1</v>
      </c>
      <c r="V1677">
        <v>2</v>
      </c>
      <c r="W1677">
        <v>28</v>
      </c>
      <c r="X1677">
        <v>0</v>
      </c>
      <c r="Y1677">
        <v>0</v>
      </c>
      <c r="Z1677">
        <v>0</v>
      </c>
      <c r="AA1677">
        <v>0</v>
      </c>
      <c r="AB1677">
        <v>0</v>
      </c>
      <c r="AC1677">
        <v>0</v>
      </c>
      <c r="AD1677">
        <v>3</v>
      </c>
      <c r="AE1677">
        <v>0</v>
      </c>
      <c r="AF1677">
        <v>0</v>
      </c>
      <c r="AG1677">
        <v>0</v>
      </c>
      <c r="AH1677">
        <v>0</v>
      </c>
      <c r="AI1677">
        <v>0</v>
      </c>
      <c r="AJ1677">
        <v>0</v>
      </c>
      <c r="AK1677">
        <v>0</v>
      </c>
    </row>
    <row r="1678" spans="1:37" x14ac:dyDescent="0.3">
      <c r="A1678">
        <v>7979</v>
      </c>
      <c r="B1678" t="s">
        <v>219</v>
      </c>
      <c r="D1678" t="s">
        <v>327</v>
      </c>
      <c r="E1678">
        <v>99999999</v>
      </c>
      <c r="F1678">
        <v>11111111</v>
      </c>
      <c r="G1678">
        <v>1111111111</v>
      </c>
      <c r="H1678" t="s">
        <v>5247</v>
      </c>
      <c r="I1678">
        <v>99999999</v>
      </c>
      <c r="J1678" s="188">
        <v>45237</v>
      </c>
      <c r="K1678" t="s">
        <v>5247</v>
      </c>
      <c r="L1678" t="s">
        <v>5247</v>
      </c>
      <c r="M1678" t="s">
        <v>771</v>
      </c>
      <c r="N1678" t="s">
        <v>97</v>
      </c>
      <c r="O1678" t="s">
        <v>2331</v>
      </c>
      <c r="P1678" t="s">
        <v>221</v>
      </c>
      <c r="Q1678" t="s">
        <v>82</v>
      </c>
      <c r="R1678">
        <v>2</v>
      </c>
      <c r="S1678">
        <v>5</v>
      </c>
      <c r="T1678">
        <v>0</v>
      </c>
      <c r="U1678">
        <v>1</v>
      </c>
      <c r="V1678">
        <v>2</v>
      </c>
      <c r="W1678">
        <v>23.09</v>
      </c>
      <c r="X1678">
        <v>0</v>
      </c>
      <c r="Y1678">
        <v>0</v>
      </c>
      <c r="Z1678">
        <v>0</v>
      </c>
      <c r="AA1678">
        <v>0</v>
      </c>
      <c r="AB1678">
        <v>0</v>
      </c>
      <c r="AC1678">
        <v>0</v>
      </c>
      <c r="AD1678">
        <v>2</v>
      </c>
      <c r="AE1678">
        <v>0</v>
      </c>
      <c r="AF1678">
        <v>0</v>
      </c>
      <c r="AG1678">
        <v>0</v>
      </c>
      <c r="AH1678">
        <v>0</v>
      </c>
      <c r="AI1678">
        <v>0</v>
      </c>
      <c r="AJ1678">
        <v>0</v>
      </c>
      <c r="AK1678">
        <v>0</v>
      </c>
    </row>
    <row r="1679" spans="1:37" x14ac:dyDescent="0.3">
      <c r="A1679">
        <v>7979</v>
      </c>
      <c r="B1679" t="s">
        <v>219</v>
      </c>
      <c r="D1679" t="s">
        <v>327</v>
      </c>
      <c r="E1679">
        <v>99999999</v>
      </c>
      <c r="F1679">
        <v>11111111</v>
      </c>
      <c r="G1679">
        <v>1111111111</v>
      </c>
      <c r="H1679" t="s">
        <v>5248</v>
      </c>
      <c r="I1679">
        <v>99999999</v>
      </c>
      <c r="J1679" s="188">
        <v>45237</v>
      </c>
      <c r="K1679" t="s">
        <v>5248</v>
      </c>
      <c r="L1679" t="s">
        <v>5248</v>
      </c>
      <c r="M1679" t="s">
        <v>1577</v>
      </c>
      <c r="N1679" t="s">
        <v>97</v>
      </c>
      <c r="O1679" t="s">
        <v>2332</v>
      </c>
      <c r="P1679" t="s">
        <v>221</v>
      </c>
      <c r="Q1679" t="s">
        <v>82</v>
      </c>
      <c r="R1679">
        <v>1</v>
      </c>
      <c r="S1679">
        <v>3.7</v>
      </c>
      <c r="T1679">
        <v>0</v>
      </c>
      <c r="U1679">
        <v>1</v>
      </c>
      <c r="V1679">
        <v>1</v>
      </c>
      <c r="W1679">
        <v>29.05</v>
      </c>
      <c r="X1679">
        <v>0</v>
      </c>
      <c r="Y1679">
        <v>0</v>
      </c>
      <c r="Z1679">
        <v>0</v>
      </c>
      <c r="AA1679">
        <v>0</v>
      </c>
      <c r="AB1679">
        <v>0</v>
      </c>
      <c r="AC1679">
        <v>0</v>
      </c>
      <c r="AD1679">
        <v>1</v>
      </c>
      <c r="AE1679">
        <v>0</v>
      </c>
      <c r="AF1679">
        <v>0</v>
      </c>
      <c r="AG1679">
        <v>0</v>
      </c>
      <c r="AH1679">
        <v>0</v>
      </c>
      <c r="AI1679">
        <v>0</v>
      </c>
      <c r="AJ1679">
        <v>0</v>
      </c>
      <c r="AK1679">
        <v>0</v>
      </c>
    </row>
    <row r="1680" spans="1:37" x14ac:dyDescent="0.3">
      <c r="A1680">
        <v>7979</v>
      </c>
      <c r="B1680" t="s">
        <v>219</v>
      </c>
      <c r="D1680" t="s">
        <v>327</v>
      </c>
      <c r="E1680">
        <v>99999999</v>
      </c>
      <c r="F1680">
        <v>11111111</v>
      </c>
      <c r="G1680">
        <v>1111111111</v>
      </c>
      <c r="H1680" t="s">
        <v>5249</v>
      </c>
      <c r="I1680">
        <v>99999999</v>
      </c>
      <c r="J1680" s="188">
        <v>45237</v>
      </c>
      <c r="K1680" t="s">
        <v>5249</v>
      </c>
      <c r="L1680" t="s">
        <v>5249</v>
      </c>
      <c r="M1680" t="s">
        <v>2333</v>
      </c>
      <c r="N1680" t="s">
        <v>99</v>
      </c>
      <c r="O1680">
        <v>92587</v>
      </c>
      <c r="P1680" t="s">
        <v>221</v>
      </c>
      <c r="Q1680" t="s">
        <v>82</v>
      </c>
      <c r="R1680">
        <v>1</v>
      </c>
      <c r="S1680">
        <v>6.8</v>
      </c>
      <c r="T1680">
        <v>0</v>
      </c>
      <c r="U1680">
        <v>1</v>
      </c>
      <c r="V1680">
        <v>1</v>
      </c>
      <c r="W1680">
        <v>24.15</v>
      </c>
      <c r="X1680">
        <v>0</v>
      </c>
      <c r="Y1680">
        <v>0</v>
      </c>
      <c r="Z1680">
        <v>0</v>
      </c>
      <c r="AA1680">
        <v>0</v>
      </c>
      <c r="AB1680">
        <v>0</v>
      </c>
      <c r="AC1680">
        <v>0</v>
      </c>
      <c r="AD1680">
        <v>1</v>
      </c>
      <c r="AE1680">
        <v>0</v>
      </c>
      <c r="AF1680">
        <v>0</v>
      </c>
      <c r="AG1680">
        <v>0</v>
      </c>
      <c r="AH1680">
        <v>0</v>
      </c>
      <c r="AI1680">
        <v>0</v>
      </c>
      <c r="AJ1680">
        <v>0</v>
      </c>
      <c r="AK1680">
        <v>0</v>
      </c>
    </row>
    <row r="1681" spans="1:37" x14ac:dyDescent="0.3">
      <c r="A1681">
        <v>7979</v>
      </c>
      <c r="B1681" t="s">
        <v>219</v>
      </c>
      <c r="D1681" t="s">
        <v>327</v>
      </c>
      <c r="E1681">
        <v>99999999</v>
      </c>
      <c r="F1681">
        <v>11111111</v>
      </c>
      <c r="G1681">
        <v>1111111111</v>
      </c>
      <c r="H1681" t="s">
        <v>5250</v>
      </c>
      <c r="I1681">
        <v>99999999</v>
      </c>
      <c r="J1681" s="188">
        <v>45237</v>
      </c>
      <c r="K1681" t="s">
        <v>5250</v>
      </c>
      <c r="L1681" t="s">
        <v>5250</v>
      </c>
      <c r="M1681" t="s">
        <v>1432</v>
      </c>
      <c r="N1681" t="s">
        <v>144</v>
      </c>
      <c r="O1681" t="s">
        <v>2334</v>
      </c>
      <c r="P1681" t="s">
        <v>221</v>
      </c>
      <c r="Q1681" t="s">
        <v>82</v>
      </c>
      <c r="R1681">
        <v>1</v>
      </c>
      <c r="S1681">
        <v>0.5</v>
      </c>
      <c r="T1681">
        <v>0</v>
      </c>
      <c r="U1681">
        <v>1</v>
      </c>
      <c r="V1681">
        <v>1</v>
      </c>
      <c r="W1681">
        <v>20.52</v>
      </c>
      <c r="X1681">
        <v>0</v>
      </c>
      <c r="Y1681">
        <v>0</v>
      </c>
      <c r="Z1681">
        <v>0</v>
      </c>
      <c r="AA1681">
        <v>0</v>
      </c>
      <c r="AB1681">
        <v>0</v>
      </c>
      <c r="AC1681">
        <v>0</v>
      </c>
      <c r="AD1681">
        <v>1</v>
      </c>
      <c r="AE1681">
        <v>0</v>
      </c>
      <c r="AF1681">
        <v>0</v>
      </c>
      <c r="AG1681">
        <v>0</v>
      </c>
      <c r="AH1681">
        <v>0</v>
      </c>
      <c r="AI1681">
        <v>0</v>
      </c>
      <c r="AJ1681">
        <v>0</v>
      </c>
      <c r="AK1681">
        <v>0</v>
      </c>
    </row>
    <row r="1682" spans="1:37" x14ac:dyDescent="0.3">
      <c r="A1682">
        <v>7979</v>
      </c>
      <c r="B1682" t="s">
        <v>219</v>
      </c>
      <c r="D1682" t="s">
        <v>327</v>
      </c>
      <c r="E1682">
        <v>99999999</v>
      </c>
      <c r="F1682">
        <v>11111111</v>
      </c>
      <c r="G1682">
        <v>1111111111</v>
      </c>
      <c r="H1682" t="s">
        <v>5251</v>
      </c>
      <c r="I1682">
        <v>99999999</v>
      </c>
      <c r="J1682" s="188">
        <v>45237</v>
      </c>
      <c r="K1682" t="s">
        <v>5251</v>
      </c>
      <c r="L1682" t="s">
        <v>5251</v>
      </c>
      <c r="M1682" t="s">
        <v>416</v>
      </c>
      <c r="N1682" t="s">
        <v>197</v>
      </c>
      <c r="O1682" t="s">
        <v>2335</v>
      </c>
      <c r="P1682" t="s">
        <v>221</v>
      </c>
      <c r="Q1682" t="s">
        <v>82</v>
      </c>
      <c r="R1682">
        <v>2</v>
      </c>
      <c r="S1682">
        <v>2.11</v>
      </c>
      <c r="T1682">
        <v>0</v>
      </c>
      <c r="U1682">
        <v>1</v>
      </c>
      <c r="V1682">
        <v>2</v>
      </c>
      <c r="W1682">
        <v>23.93</v>
      </c>
      <c r="X1682">
        <v>0</v>
      </c>
      <c r="Y1682">
        <v>0</v>
      </c>
      <c r="Z1682">
        <v>0</v>
      </c>
      <c r="AA1682">
        <v>0</v>
      </c>
      <c r="AB1682">
        <v>0</v>
      </c>
      <c r="AC1682">
        <v>0</v>
      </c>
      <c r="AD1682">
        <v>2</v>
      </c>
      <c r="AE1682">
        <v>0</v>
      </c>
      <c r="AF1682">
        <v>0</v>
      </c>
      <c r="AG1682">
        <v>0</v>
      </c>
      <c r="AH1682">
        <v>0</v>
      </c>
      <c r="AI1682">
        <v>0</v>
      </c>
      <c r="AJ1682">
        <v>0</v>
      </c>
      <c r="AK1682">
        <v>0</v>
      </c>
    </row>
    <row r="1683" spans="1:37" x14ac:dyDescent="0.3">
      <c r="A1683">
        <v>7979</v>
      </c>
      <c r="B1683" t="s">
        <v>219</v>
      </c>
      <c r="D1683" t="s">
        <v>327</v>
      </c>
      <c r="E1683">
        <v>99999999</v>
      </c>
      <c r="F1683">
        <v>11111111</v>
      </c>
      <c r="G1683">
        <v>1111111111</v>
      </c>
      <c r="H1683" t="s">
        <v>5252</v>
      </c>
      <c r="I1683">
        <v>99999999</v>
      </c>
      <c r="J1683" s="188">
        <v>45237</v>
      </c>
      <c r="K1683" t="s">
        <v>5252</v>
      </c>
      <c r="L1683" t="s">
        <v>5252</v>
      </c>
      <c r="M1683" t="s">
        <v>2336</v>
      </c>
      <c r="N1683" t="s">
        <v>99</v>
      </c>
      <c r="O1683" t="s">
        <v>2337</v>
      </c>
      <c r="P1683" t="s">
        <v>221</v>
      </c>
      <c r="Q1683" t="s">
        <v>82</v>
      </c>
      <c r="R1683">
        <v>1</v>
      </c>
      <c r="S1683">
        <v>1.05</v>
      </c>
      <c r="T1683">
        <v>0</v>
      </c>
      <c r="U1683">
        <v>1</v>
      </c>
      <c r="V1683">
        <v>1</v>
      </c>
      <c r="W1683">
        <v>18.649999999999999</v>
      </c>
      <c r="X1683">
        <v>0</v>
      </c>
      <c r="Y1683">
        <v>0</v>
      </c>
      <c r="Z1683">
        <v>0</v>
      </c>
      <c r="AA1683">
        <v>0</v>
      </c>
      <c r="AB1683">
        <v>0</v>
      </c>
      <c r="AC1683">
        <v>0</v>
      </c>
      <c r="AD1683">
        <v>1</v>
      </c>
      <c r="AE1683">
        <v>0</v>
      </c>
      <c r="AF1683">
        <v>0</v>
      </c>
      <c r="AG1683">
        <v>0</v>
      </c>
      <c r="AH1683">
        <v>0</v>
      </c>
      <c r="AI1683">
        <v>0</v>
      </c>
      <c r="AJ1683">
        <v>0</v>
      </c>
      <c r="AK1683">
        <v>0</v>
      </c>
    </row>
    <row r="1684" spans="1:37" x14ac:dyDescent="0.3">
      <c r="A1684">
        <v>7979</v>
      </c>
      <c r="B1684" t="s">
        <v>219</v>
      </c>
      <c r="D1684" t="s">
        <v>327</v>
      </c>
      <c r="E1684">
        <v>99999999</v>
      </c>
      <c r="F1684">
        <v>11111111</v>
      </c>
      <c r="G1684">
        <v>1111111111</v>
      </c>
      <c r="H1684" t="s">
        <v>5253</v>
      </c>
      <c r="I1684">
        <v>99999999</v>
      </c>
      <c r="J1684" s="188">
        <v>45237</v>
      </c>
      <c r="K1684" t="s">
        <v>5253</v>
      </c>
      <c r="L1684" t="s">
        <v>5253</v>
      </c>
      <c r="M1684" t="s">
        <v>1574</v>
      </c>
      <c r="N1684" t="s">
        <v>680</v>
      </c>
      <c r="O1684">
        <v>5828</v>
      </c>
      <c r="P1684" t="s">
        <v>221</v>
      </c>
      <c r="Q1684" t="s">
        <v>82</v>
      </c>
      <c r="R1684">
        <v>1</v>
      </c>
      <c r="S1684">
        <v>0.75</v>
      </c>
      <c r="T1684">
        <v>0</v>
      </c>
      <c r="U1684">
        <v>1</v>
      </c>
      <c r="V1684">
        <v>1</v>
      </c>
      <c r="W1684">
        <v>31.36</v>
      </c>
      <c r="X1684">
        <v>0</v>
      </c>
      <c r="Y1684">
        <v>0</v>
      </c>
      <c r="Z1684">
        <v>0</v>
      </c>
      <c r="AA1684">
        <v>0</v>
      </c>
      <c r="AB1684">
        <v>0</v>
      </c>
      <c r="AC1684">
        <v>0</v>
      </c>
      <c r="AD1684">
        <v>1</v>
      </c>
      <c r="AE1684">
        <v>0</v>
      </c>
      <c r="AF1684">
        <v>0</v>
      </c>
      <c r="AG1684">
        <v>0</v>
      </c>
      <c r="AH1684">
        <v>0</v>
      </c>
      <c r="AI1684">
        <v>0</v>
      </c>
      <c r="AJ1684">
        <v>0</v>
      </c>
      <c r="AK1684">
        <v>0</v>
      </c>
    </row>
    <row r="1685" spans="1:37" x14ac:dyDescent="0.3">
      <c r="A1685">
        <v>7979</v>
      </c>
      <c r="B1685" t="s">
        <v>219</v>
      </c>
      <c r="D1685" t="s">
        <v>327</v>
      </c>
      <c r="E1685">
        <v>99999999</v>
      </c>
      <c r="F1685">
        <v>11111111</v>
      </c>
      <c r="G1685">
        <v>1111111111</v>
      </c>
      <c r="H1685" t="s">
        <v>5254</v>
      </c>
      <c r="I1685">
        <v>99999999</v>
      </c>
      <c r="J1685" s="188">
        <v>45237</v>
      </c>
      <c r="K1685" t="s">
        <v>5254</v>
      </c>
      <c r="L1685" t="s">
        <v>5254</v>
      </c>
      <c r="M1685" t="s">
        <v>2338</v>
      </c>
      <c r="N1685" t="s">
        <v>135</v>
      </c>
      <c r="O1685">
        <v>84096</v>
      </c>
      <c r="P1685" t="s">
        <v>221</v>
      </c>
      <c r="Q1685" t="s">
        <v>82</v>
      </c>
      <c r="R1685">
        <v>2</v>
      </c>
      <c r="S1685">
        <v>1.98</v>
      </c>
      <c r="T1685">
        <v>0</v>
      </c>
      <c r="U1685">
        <v>1</v>
      </c>
      <c r="V1685">
        <v>2</v>
      </c>
      <c r="W1685">
        <v>21.88</v>
      </c>
      <c r="X1685">
        <v>0</v>
      </c>
      <c r="Y1685">
        <v>0</v>
      </c>
      <c r="Z1685">
        <v>0</v>
      </c>
      <c r="AA1685">
        <v>0</v>
      </c>
      <c r="AB1685">
        <v>0</v>
      </c>
      <c r="AC1685">
        <v>0</v>
      </c>
      <c r="AD1685">
        <v>2</v>
      </c>
      <c r="AE1685">
        <v>0</v>
      </c>
      <c r="AF1685">
        <v>0</v>
      </c>
      <c r="AG1685">
        <v>0</v>
      </c>
      <c r="AH1685">
        <v>0</v>
      </c>
      <c r="AI1685">
        <v>0</v>
      </c>
      <c r="AJ1685">
        <v>0</v>
      </c>
      <c r="AK1685">
        <v>0</v>
      </c>
    </row>
    <row r="1686" spans="1:37" x14ac:dyDescent="0.3">
      <c r="A1686">
        <v>7979</v>
      </c>
      <c r="B1686" t="s">
        <v>219</v>
      </c>
      <c r="D1686" t="s">
        <v>327</v>
      </c>
      <c r="E1686">
        <v>99999999</v>
      </c>
      <c r="F1686">
        <v>11111111</v>
      </c>
      <c r="G1686">
        <v>1111111111</v>
      </c>
      <c r="H1686" t="s">
        <v>5255</v>
      </c>
      <c r="I1686">
        <v>99999999</v>
      </c>
      <c r="J1686" s="188">
        <v>45237</v>
      </c>
      <c r="K1686" t="s">
        <v>5255</v>
      </c>
      <c r="L1686" t="s">
        <v>5255</v>
      </c>
      <c r="M1686" t="s">
        <v>799</v>
      </c>
      <c r="N1686" t="s">
        <v>197</v>
      </c>
      <c r="O1686" t="s">
        <v>2339</v>
      </c>
      <c r="P1686" t="s">
        <v>221</v>
      </c>
      <c r="Q1686" t="s">
        <v>82</v>
      </c>
      <c r="R1686">
        <v>1</v>
      </c>
      <c r="S1686">
        <v>7.5</v>
      </c>
      <c r="T1686">
        <v>0</v>
      </c>
      <c r="U1686">
        <v>1</v>
      </c>
      <c r="V1686">
        <v>1</v>
      </c>
      <c r="W1686">
        <v>26.25</v>
      </c>
      <c r="X1686">
        <v>0</v>
      </c>
      <c r="Y1686">
        <v>0</v>
      </c>
      <c r="Z1686">
        <v>0</v>
      </c>
      <c r="AA1686">
        <v>0</v>
      </c>
      <c r="AB1686">
        <v>0</v>
      </c>
      <c r="AC1686">
        <v>0</v>
      </c>
      <c r="AD1686">
        <v>1</v>
      </c>
      <c r="AE1686">
        <v>0</v>
      </c>
      <c r="AF1686">
        <v>0</v>
      </c>
      <c r="AG1686">
        <v>0</v>
      </c>
      <c r="AH1686">
        <v>0</v>
      </c>
      <c r="AI1686">
        <v>0</v>
      </c>
      <c r="AJ1686">
        <v>0</v>
      </c>
      <c r="AK1686">
        <v>0</v>
      </c>
    </row>
    <row r="1687" spans="1:37" x14ac:dyDescent="0.3">
      <c r="A1687">
        <v>7979</v>
      </c>
      <c r="B1687" t="s">
        <v>219</v>
      </c>
      <c r="D1687" t="s">
        <v>327</v>
      </c>
      <c r="E1687">
        <v>99999999</v>
      </c>
      <c r="F1687">
        <v>11111111</v>
      </c>
      <c r="G1687">
        <v>1111111111</v>
      </c>
      <c r="H1687" t="s">
        <v>5256</v>
      </c>
      <c r="I1687">
        <v>99999999</v>
      </c>
      <c r="J1687" s="188">
        <v>45237</v>
      </c>
      <c r="K1687" t="s">
        <v>5256</v>
      </c>
      <c r="L1687" t="s">
        <v>5256</v>
      </c>
      <c r="M1687" t="s">
        <v>545</v>
      </c>
      <c r="N1687" t="s">
        <v>122</v>
      </c>
      <c r="O1687" t="s">
        <v>546</v>
      </c>
      <c r="P1687" t="s">
        <v>221</v>
      </c>
      <c r="Q1687" t="s">
        <v>82</v>
      </c>
      <c r="R1687">
        <v>1</v>
      </c>
      <c r="S1687">
        <v>0.4</v>
      </c>
      <c r="T1687">
        <v>0</v>
      </c>
      <c r="U1687">
        <v>1</v>
      </c>
      <c r="V1687">
        <v>1</v>
      </c>
      <c r="W1687">
        <v>19.899999999999999</v>
      </c>
      <c r="X1687">
        <v>0</v>
      </c>
      <c r="Y1687">
        <v>0</v>
      </c>
      <c r="Z1687">
        <v>0</v>
      </c>
      <c r="AA1687">
        <v>0</v>
      </c>
      <c r="AB1687">
        <v>0</v>
      </c>
      <c r="AC1687">
        <v>0</v>
      </c>
      <c r="AD1687">
        <v>1</v>
      </c>
      <c r="AE1687">
        <v>0</v>
      </c>
      <c r="AF1687">
        <v>0</v>
      </c>
      <c r="AG1687">
        <v>0</v>
      </c>
      <c r="AH1687">
        <v>0</v>
      </c>
      <c r="AI1687">
        <v>0</v>
      </c>
      <c r="AJ1687">
        <v>0</v>
      </c>
      <c r="AK1687">
        <v>0</v>
      </c>
    </row>
    <row r="1688" spans="1:37" x14ac:dyDescent="0.3">
      <c r="A1688">
        <v>7979</v>
      </c>
      <c r="B1688" t="s">
        <v>219</v>
      </c>
      <c r="D1688" t="s">
        <v>327</v>
      </c>
      <c r="E1688">
        <v>99999999</v>
      </c>
      <c r="F1688">
        <v>11111111</v>
      </c>
      <c r="G1688">
        <v>1111111111</v>
      </c>
      <c r="H1688" t="s">
        <v>5257</v>
      </c>
      <c r="I1688">
        <v>99999999</v>
      </c>
      <c r="J1688" s="188">
        <v>45237</v>
      </c>
      <c r="K1688" t="s">
        <v>5257</v>
      </c>
      <c r="L1688" t="s">
        <v>5257</v>
      </c>
      <c r="M1688" t="s">
        <v>640</v>
      </c>
      <c r="N1688" t="s">
        <v>85</v>
      </c>
      <c r="O1688" t="s">
        <v>641</v>
      </c>
      <c r="P1688" t="s">
        <v>221</v>
      </c>
      <c r="Q1688" t="s">
        <v>82</v>
      </c>
      <c r="R1688">
        <v>1</v>
      </c>
      <c r="S1688">
        <v>7.3</v>
      </c>
      <c r="T1688">
        <v>0</v>
      </c>
      <c r="U1688">
        <v>1</v>
      </c>
      <c r="V1688">
        <v>1</v>
      </c>
      <c r="W1688">
        <v>29.49</v>
      </c>
      <c r="X1688">
        <v>0</v>
      </c>
      <c r="Y1688">
        <v>0</v>
      </c>
      <c r="Z1688">
        <v>0</v>
      </c>
      <c r="AA1688">
        <v>0</v>
      </c>
      <c r="AB1688">
        <v>0</v>
      </c>
      <c r="AC1688">
        <v>0</v>
      </c>
      <c r="AD1688">
        <v>1</v>
      </c>
      <c r="AE1688">
        <v>0</v>
      </c>
      <c r="AF1688">
        <v>0</v>
      </c>
      <c r="AG1688">
        <v>0</v>
      </c>
      <c r="AH1688">
        <v>0</v>
      </c>
      <c r="AI1688">
        <v>0</v>
      </c>
      <c r="AJ1688">
        <v>0</v>
      </c>
      <c r="AK1688">
        <v>0</v>
      </c>
    </row>
    <row r="1689" spans="1:37" x14ac:dyDescent="0.3">
      <c r="A1689">
        <v>7979</v>
      </c>
      <c r="B1689" t="s">
        <v>219</v>
      </c>
      <c r="D1689" t="s">
        <v>327</v>
      </c>
      <c r="E1689">
        <v>99999999</v>
      </c>
      <c r="F1689">
        <v>11111111</v>
      </c>
      <c r="G1689">
        <v>1111111111</v>
      </c>
      <c r="H1689" t="s">
        <v>5258</v>
      </c>
      <c r="I1689">
        <v>99999999</v>
      </c>
      <c r="J1689" s="188">
        <v>45237</v>
      </c>
      <c r="K1689" t="s">
        <v>5258</v>
      </c>
      <c r="L1689" t="s">
        <v>5258</v>
      </c>
      <c r="M1689" t="s">
        <v>2103</v>
      </c>
      <c r="N1689" t="s">
        <v>130</v>
      </c>
      <c r="O1689" t="s">
        <v>2104</v>
      </c>
      <c r="P1689" t="s">
        <v>221</v>
      </c>
      <c r="Q1689" t="s">
        <v>82</v>
      </c>
      <c r="R1689">
        <v>1</v>
      </c>
      <c r="S1689">
        <v>7.5</v>
      </c>
      <c r="T1689">
        <v>0</v>
      </c>
      <c r="U1689">
        <v>1</v>
      </c>
      <c r="V1689">
        <v>1</v>
      </c>
      <c r="W1689">
        <v>25.57</v>
      </c>
      <c r="X1689">
        <v>0</v>
      </c>
      <c r="Y1689">
        <v>0</v>
      </c>
      <c r="Z1689">
        <v>0</v>
      </c>
      <c r="AA1689">
        <v>0</v>
      </c>
      <c r="AB1689">
        <v>0</v>
      </c>
      <c r="AC1689">
        <v>0</v>
      </c>
      <c r="AD1689">
        <v>1</v>
      </c>
      <c r="AE1689">
        <v>0</v>
      </c>
      <c r="AF1689">
        <v>0</v>
      </c>
      <c r="AG1689">
        <v>0</v>
      </c>
      <c r="AH1689">
        <v>0</v>
      </c>
      <c r="AI1689">
        <v>0</v>
      </c>
      <c r="AJ1689">
        <v>0</v>
      </c>
      <c r="AK1689">
        <v>0</v>
      </c>
    </row>
    <row r="1690" spans="1:37" x14ac:dyDescent="0.3">
      <c r="A1690">
        <v>7979</v>
      </c>
      <c r="B1690" t="s">
        <v>219</v>
      </c>
      <c r="D1690" t="s">
        <v>327</v>
      </c>
      <c r="E1690">
        <v>99999999</v>
      </c>
      <c r="F1690">
        <v>11111111</v>
      </c>
      <c r="G1690">
        <v>1111111111</v>
      </c>
      <c r="H1690" t="s">
        <v>5259</v>
      </c>
      <c r="I1690">
        <v>99999999</v>
      </c>
      <c r="J1690" s="188">
        <v>45237</v>
      </c>
      <c r="K1690" t="s">
        <v>5259</v>
      </c>
      <c r="L1690" t="s">
        <v>5259</v>
      </c>
      <c r="M1690" t="s">
        <v>2340</v>
      </c>
      <c r="N1690" t="s">
        <v>197</v>
      </c>
      <c r="O1690" t="s">
        <v>2341</v>
      </c>
      <c r="P1690" t="s">
        <v>221</v>
      </c>
      <c r="Q1690" t="s">
        <v>82</v>
      </c>
      <c r="R1690">
        <v>1</v>
      </c>
      <c r="S1690">
        <v>17.5</v>
      </c>
      <c r="T1690">
        <v>0</v>
      </c>
      <c r="U1690">
        <v>1</v>
      </c>
      <c r="V1690">
        <v>1</v>
      </c>
      <c r="W1690">
        <v>34.93</v>
      </c>
      <c r="X1690">
        <v>0</v>
      </c>
      <c r="Y1690">
        <v>0</v>
      </c>
      <c r="Z1690">
        <v>0</v>
      </c>
      <c r="AA1690">
        <v>0</v>
      </c>
      <c r="AB1690">
        <v>0</v>
      </c>
      <c r="AC1690">
        <v>0</v>
      </c>
      <c r="AD1690">
        <v>1</v>
      </c>
      <c r="AE1690">
        <v>0</v>
      </c>
      <c r="AF1690">
        <v>0</v>
      </c>
      <c r="AG1690">
        <v>0</v>
      </c>
      <c r="AH1690">
        <v>0</v>
      </c>
      <c r="AI1690">
        <v>0</v>
      </c>
      <c r="AJ1690">
        <v>0</v>
      </c>
      <c r="AK1690">
        <v>0</v>
      </c>
    </row>
    <row r="1691" spans="1:37" x14ac:dyDescent="0.3">
      <c r="A1691">
        <v>7979</v>
      </c>
      <c r="B1691" t="s">
        <v>219</v>
      </c>
      <c r="D1691" t="s">
        <v>327</v>
      </c>
      <c r="E1691">
        <v>99999999</v>
      </c>
      <c r="F1691">
        <v>11111111</v>
      </c>
      <c r="G1691">
        <v>1111111111</v>
      </c>
      <c r="H1691" t="s">
        <v>5260</v>
      </c>
      <c r="I1691">
        <v>99999999</v>
      </c>
      <c r="J1691" s="188">
        <v>45237</v>
      </c>
      <c r="K1691" t="s">
        <v>5260</v>
      </c>
      <c r="L1691" t="s">
        <v>5260</v>
      </c>
      <c r="M1691" t="s">
        <v>653</v>
      </c>
      <c r="N1691" t="s">
        <v>164</v>
      </c>
      <c r="O1691" t="s">
        <v>2342</v>
      </c>
      <c r="P1691" t="s">
        <v>221</v>
      </c>
      <c r="Q1691" t="s">
        <v>82</v>
      </c>
      <c r="R1691">
        <v>4</v>
      </c>
      <c r="S1691">
        <v>6</v>
      </c>
      <c r="T1691">
        <v>0</v>
      </c>
      <c r="U1691">
        <v>1</v>
      </c>
      <c r="V1691">
        <v>1</v>
      </c>
      <c r="W1691">
        <v>23.54</v>
      </c>
      <c r="X1691">
        <v>0</v>
      </c>
      <c r="Y1691">
        <v>0</v>
      </c>
      <c r="Z1691">
        <v>0</v>
      </c>
      <c r="AA1691">
        <v>0</v>
      </c>
      <c r="AB1691">
        <v>0</v>
      </c>
      <c r="AC1691">
        <v>0</v>
      </c>
      <c r="AD1691">
        <v>4</v>
      </c>
      <c r="AE1691">
        <v>0</v>
      </c>
      <c r="AF1691">
        <v>0</v>
      </c>
      <c r="AG1691">
        <v>0</v>
      </c>
      <c r="AH1691">
        <v>0</v>
      </c>
      <c r="AI1691">
        <v>0</v>
      </c>
      <c r="AJ1691">
        <v>0</v>
      </c>
      <c r="AK1691">
        <v>0</v>
      </c>
    </row>
    <row r="1692" spans="1:37" x14ac:dyDescent="0.3">
      <c r="A1692">
        <v>7979</v>
      </c>
      <c r="B1692" t="s">
        <v>219</v>
      </c>
      <c r="D1692" t="s">
        <v>327</v>
      </c>
      <c r="E1692">
        <v>99999999</v>
      </c>
      <c r="F1692">
        <v>11111111</v>
      </c>
      <c r="G1692">
        <v>1111111111</v>
      </c>
      <c r="H1692" t="s">
        <v>5261</v>
      </c>
      <c r="I1692">
        <v>99999999</v>
      </c>
      <c r="J1692" s="188">
        <v>45237</v>
      </c>
      <c r="K1692" t="s">
        <v>5261</v>
      </c>
      <c r="L1692" t="s">
        <v>5261</v>
      </c>
      <c r="M1692" t="s">
        <v>2343</v>
      </c>
      <c r="N1692" t="s">
        <v>522</v>
      </c>
      <c r="O1692" t="s">
        <v>2344</v>
      </c>
      <c r="P1692" t="s">
        <v>221</v>
      </c>
      <c r="Q1692" t="s">
        <v>82</v>
      </c>
      <c r="R1692">
        <v>1</v>
      </c>
      <c r="S1692">
        <v>8.69</v>
      </c>
      <c r="T1692">
        <v>0</v>
      </c>
      <c r="U1692">
        <v>1</v>
      </c>
      <c r="V1692">
        <v>1</v>
      </c>
      <c r="W1692">
        <v>31.94</v>
      </c>
      <c r="X1692">
        <v>0</v>
      </c>
      <c r="Y1692">
        <v>0</v>
      </c>
      <c r="Z1692">
        <v>0</v>
      </c>
      <c r="AA1692">
        <v>0</v>
      </c>
      <c r="AB1692">
        <v>0</v>
      </c>
      <c r="AC1692">
        <v>0</v>
      </c>
      <c r="AD1692">
        <v>1</v>
      </c>
      <c r="AE1692">
        <v>0</v>
      </c>
      <c r="AF1692">
        <v>0</v>
      </c>
      <c r="AG1692">
        <v>0</v>
      </c>
      <c r="AH1692">
        <v>0</v>
      </c>
      <c r="AI1692">
        <v>0</v>
      </c>
      <c r="AJ1692">
        <v>0</v>
      </c>
      <c r="AK1692">
        <v>0</v>
      </c>
    </row>
    <row r="1693" spans="1:37" x14ac:dyDescent="0.3">
      <c r="A1693">
        <v>7979</v>
      </c>
      <c r="B1693" t="s">
        <v>219</v>
      </c>
      <c r="D1693" t="s">
        <v>327</v>
      </c>
      <c r="E1693">
        <v>99999999</v>
      </c>
      <c r="F1693">
        <v>11111111</v>
      </c>
      <c r="G1693">
        <v>1111111111</v>
      </c>
      <c r="H1693" t="s">
        <v>5262</v>
      </c>
      <c r="I1693">
        <v>99999999</v>
      </c>
      <c r="J1693" s="188">
        <v>45237</v>
      </c>
      <c r="K1693" t="s">
        <v>5262</v>
      </c>
      <c r="L1693" t="s">
        <v>5262</v>
      </c>
      <c r="M1693" t="s">
        <v>2345</v>
      </c>
      <c r="N1693" t="s">
        <v>164</v>
      </c>
      <c r="O1693" t="s">
        <v>2346</v>
      </c>
      <c r="P1693" t="s">
        <v>221</v>
      </c>
      <c r="Q1693" t="s">
        <v>82</v>
      </c>
      <c r="R1693">
        <v>1</v>
      </c>
      <c r="S1693">
        <v>2.2000000000000002</v>
      </c>
      <c r="T1693">
        <v>0</v>
      </c>
      <c r="U1693">
        <v>1</v>
      </c>
      <c r="V1693">
        <v>1</v>
      </c>
      <c r="W1693">
        <v>30.13</v>
      </c>
      <c r="X1693">
        <v>0</v>
      </c>
      <c r="Y1693">
        <v>0</v>
      </c>
      <c r="Z1693">
        <v>0</v>
      </c>
      <c r="AA1693">
        <v>0</v>
      </c>
      <c r="AB1693">
        <v>0</v>
      </c>
      <c r="AC1693">
        <v>0</v>
      </c>
      <c r="AD1693">
        <v>1</v>
      </c>
      <c r="AE1693">
        <v>0</v>
      </c>
      <c r="AF1693">
        <v>0</v>
      </c>
      <c r="AG1693">
        <v>0</v>
      </c>
      <c r="AH1693">
        <v>0</v>
      </c>
      <c r="AI1693">
        <v>0</v>
      </c>
      <c r="AJ1693">
        <v>0</v>
      </c>
      <c r="AK1693">
        <v>0</v>
      </c>
    </row>
    <row r="1694" spans="1:37" x14ac:dyDescent="0.3">
      <c r="A1694">
        <v>7979</v>
      </c>
      <c r="B1694" t="s">
        <v>219</v>
      </c>
      <c r="D1694" t="s">
        <v>327</v>
      </c>
      <c r="E1694">
        <v>99999999</v>
      </c>
      <c r="F1694">
        <v>11111111</v>
      </c>
      <c r="G1694">
        <v>1111111111</v>
      </c>
      <c r="H1694" t="s">
        <v>5263</v>
      </c>
      <c r="I1694">
        <v>99999999</v>
      </c>
      <c r="J1694" s="188">
        <v>45237</v>
      </c>
      <c r="K1694" t="s">
        <v>5263</v>
      </c>
      <c r="L1694" t="s">
        <v>5263</v>
      </c>
      <c r="M1694" t="s">
        <v>2115</v>
      </c>
      <c r="N1694" t="s">
        <v>99</v>
      </c>
      <c r="O1694" t="s">
        <v>2347</v>
      </c>
      <c r="P1694" t="s">
        <v>221</v>
      </c>
      <c r="Q1694" t="s">
        <v>82</v>
      </c>
      <c r="R1694">
        <v>1</v>
      </c>
      <c r="S1694">
        <v>3.53</v>
      </c>
      <c r="T1694">
        <v>0</v>
      </c>
      <c r="U1694">
        <v>1</v>
      </c>
      <c r="V1694">
        <v>1</v>
      </c>
      <c r="W1694">
        <v>26.02</v>
      </c>
      <c r="X1694">
        <v>0</v>
      </c>
      <c r="Y1694">
        <v>0</v>
      </c>
      <c r="Z1694">
        <v>0</v>
      </c>
      <c r="AA1694">
        <v>0</v>
      </c>
      <c r="AB1694">
        <v>0</v>
      </c>
      <c r="AC1694">
        <v>0</v>
      </c>
      <c r="AD1694">
        <v>1</v>
      </c>
      <c r="AE1694">
        <v>0</v>
      </c>
      <c r="AF1694">
        <v>0</v>
      </c>
      <c r="AG1694">
        <v>0</v>
      </c>
      <c r="AH1694">
        <v>0</v>
      </c>
      <c r="AI1694">
        <v>0</v>
      </c>
      <c r="AJ1694">
        <v>0</v>
      </c>
      <c r="AK1694">
        <v>0</v>
      </c>
    </row>
    <row r="1695" spans="1:37" x14ac:dyDescent="0.3">
      <c r="A1695">
        <v>7979</v>
      </c>
      <c r="B1695" t="s">
        <v>219</v>
      </c>
      <c r="D1695" t="s">
        <v>327</v>
      </c>
      <c r="E1695">
        <v>99999999</v>
      </c>
      <c r="F1695">
        <v>11111111</v>
      </c>
      <c r="G1695">
        <v>1111111111</v>
      </c>
      <c r="H1695" t="s">
        <v>5264</v>
      </c>
      <c r="I1695">
        <v>99999999</v>
      </c>
      <c r="J1695" s="188">
        <v>45237</v>
      </c>
      <c r="K1695" t="s">
        <v>5264</v>
      </c>
      <c r="L1695" t="s">
        <v>5264</v>
      </c>
      <c r="M1695" t="s">
        <v>149</v>
      </c>
      <c r="N1695" t="s">
        <v>99</v>
      </c>
      <c r="O1695" t="s">
        <v>2348</v>
      </c>
      <c r="P1695" t="s">
        <v>221</v>
      </c>
      <c r="Q1695" t="s">
        <v>82</v>
      </c>
      <c r="R1695">
        <v>1</v>
      </c>
      <c r="S1695">
        <v>1.55</v>
      </c>
      <c r="T1695">
        <v>0</v>
      </c>
      <c r="U1695">
        <v>1</v>
      </c>
      <c r="V1695">
        <v>1</v>
      </c>
      <c r="W1695">
        <v>20.67</v>
      </c>
      <c r="X1695">
        <v>0</v>
      </c>
      <c r="Y1695">
        <v>0</v>
      </c>
      <c r="Z1695">
        <v>0</v>
      </c>
      <c r="AA1695">
        <v>0</v>
      </c>
      <c r="AB1695">
        <v>0</v>
      </c>
      <c r="AC1695">
        <v>0</v>
      </c>
      <c r="AD1695">
        <v>1</v>
      </c>
      <c r="AE1695">
        <v>0</v>
      </c>
      <c r="AF1695">
        <v>0</v>
      </c>
      <c r="AG1695">
        <v>0</v>
      </c>
      <c r="AH1695">
        <v>0</v>
      </c>
      <c r="AI1695">
        <v>0</v>
      </c>
      <c r="AJ1695">
        <v>0</v>
      </c>
      <c r="AK1695">
        <v>0</v>
      </c>
    </row>
    <row r="1696" spans="1:37" x14ac:dyDescent="0.3">
      <c r="A1696">
        <v>7979</v>
      </c>
      <c r="B1696" t="s">
        <v>219</v>
      </c>
      <c r="D1696" t="s">
        <v>327</v>
      </c>
      <c r="E1696">
        <v>99999999</v>
      </c>
      <c r="F1696">
        <v>11111111</v>
      </c>
      <c r="G1696">
        <v>1111111111</v>
      </c>
      <c r="H1696" t="s">
        <v>5265</v>
      </c>
      <c r="I1696">
        <v>99999999</v>
      </c>
      <c r="J1696" s="188">
        <v>45237</v>
      </c>
      <c r="K1696" t="s">
        <v>5265</v>
      </c>
      <c r="L1696" t="s">
        <v>5265</v>
      </c>
      <c r="M1696" t="s">
        <v>1572</v>
      </c>
      <c r="N1696" t="s">
        <v>99</v>
      </c>
      <c r="O1696" t="s">
        <v>2349</v>
      </c>
      <c r="P1696" t="s">
        <v>221</v>
      </c>
      <c r="Q1696" t="s">
        <v>82</v>
      </c>
      <c r="R1696">
        <v>1</v>
      </c>
      <c r="S1696">
        <v>2.5</v>
      </c>
      <c r="T1696">
        <v>0</v>
      </c>
      <c r="U1696">
        <v>1</v>
      </c>
      <c r="V1696">
        <v>1</v>
      </c>
      <c r="W1696">
        <v>26.8</v>
      </c>
      <c r="X1696">
        <v>0</v>
      </c>
      <c r="Y1696">
        <v>0</v>
      </c>
      <c r="Z1696">
        <v>0</v>
      </c>
      <c r="AA1696">
        <v>0</v>
      </c>
      <c r="AB1696">
        <v>0</v>
      </c>
      <c r="AC1696">
        <v>0</v>
      </c>
      <c r="AD1696">
        <v>1</v>
      </c>
      <c r="AE1696">
        <v>0</v>
      </c>
      <c r="AF1696">
        <v>0</v>
      </c>
      <c r="AG1696">
        <v>0</v>
      </c>
      <c r="AH1696">
        <v>0</v>
      </c>
      <c r="AI1696">
        <v>0</v>
      </c>
      <c r="AJ1696">
        <v>0</v>
      </c>
      <c r="AK1696">
        <v>0</v>
      </c>
    </row>
    <row r="1697" spans="1:37" x14ac:dyDescent="0.3">
      <c r="A1697">
        <v>7979</v>
      </c>
      <c r="B1697" t="s">
        <v>219</v>
      </c>
      <c r="D1697" t="s">
        <v>327</v>
      </c>
      <c r="E1697">
        <v>99999999</v>
      </c>
      <c r="F1697">
        <v>11111111</v>
      </c>
      <c r="G1697">
        <v>1111111111</v>
      </c>
      <c r="H1697" t="s">
        <v>5266</v>
      </c>
      <c r="I1697">
        <v>99999999</v>
      </c>
      <c r="J1697" s="188">
        <v>45237</v>
      </c>
      <c r="K1697" t="s">
        <v>5266</v>
      </c>
      <c r="L1697" t="s">
        <v>5266</v>
      </c>
      <c r="M1697" t="s">
        <v>799</v>
      </c>
      <c r="N1697" t="s">
        <v>97</v>
      </c>
      <c r="O1697" t="s">
        <v>2350</v>
      </c>
      <c r="P1697" t="s">
        <v>221</v>
      </c>
      <c r="Q1697" t="s">
        <v>82</v>
      </c>
      <c r="R1697">
        <v>1</v>
      </c>
      <c r="S1697">
        <v>15</v>
      </c>
      <c r="T1697">
        <v>0</v>
      </c>
      <c r="U1697">
        <v>1</v>
      </c>
      <c r="V1697">
        <v>1</v>
      </c>
      <c r="W1697">
        <v>31.98</v>
      </c>
      <c r="X1697">
        <v>0</v>
      </c>
      <c r="Y1697">
        <v>0</v>
      </c>
      <c r="Z1697">
        <v>0</v>
      </c>
      <c r="AA1697">
        <v>0</v>
      </c>
      <c r="AB1697">
        <v>0</v>
      </c>
      <c r="AC1697">
        <v>0</v>
      </c>
      <c r="AD1697">
        <v>1</v>
      </c>
      <c r="AE1697">
        <v>0</v>
      </c>
      <c r="AF1697">
        <v>0</v>
      </c>
      <c r="AG1697">
        <v>0</v>
      </c>
      <c r="AH1697">
        <v>0</v>
      </c>
      <c r="AI1697">
        <v>0</v>
      </c>
      <c r="AJ1697">
        <v>0</v>
      </c>
      <c r="AK1697">
        <v>0</v>
      </c>
    </row>
    <row r="1698" spans="1:37" x14ac:dyDescent="0.3">
      <c r="A1698">
        <v>7979</v>
      </c>
      <c r="B1698" t="s">
        <v>219</v>
      </c>
      <c r="D1698" t="s">
        <v>327</v>
      </c>
      <c r="E1698">
        <v>99999999</v>
      </c>
      <c r="F1698">
        <v>11111111</v>
      </c>
      <c r="G1698">
        <v>1111111111</v>
      </c>
      <c r="H1698" t="s">
        <v>5267</v>
      </c>
      <c r="I1698">
        <v>99999999</v>
      </c>
      <c r="J1698" s="188">
        <v>45237</v>
      </c>
      <c r="K1698" t="s">
        <v>5267</v>
      </c>
      <c r="L1698" t="s">
        <v>5267</v>
      </c>
      <c r="M1698" t="s">
        <v>90</v>
      </c>
      <c r="N1698" t="s">
        <v>91</v>
      </c>
      <c r="O1698" t="s">
        <v>2351</v>
      </c>
      <c r="P1698" t="s">
        <v>221</v>
      </c>
      <c r="Q1698" t="s">
        <v>82</v>
      </c>
      <c r="R1698">
        <v>1</v>
      </c>
      <c r="S1698">
        <v>8.0500000000000007</v>
      </c>
      <c r="T1698">
        <v>0</v>
      </c>
      <c r="U1698">
        <v>1</v>
      </c>
      <c r="V1698">
        <v>1</v>
      </c>
      <c r="W1698">
        <v>24.22</v>
      </c>
      <c r="X1698">
        <v>0</v>
      </c>
      <c r="Y1698">
        <v>0</v>
      </c>
      <c r="Z1698">
        <v>0</v>
      </c>
      <c r="AA1698">
        <v>0</v>
      </c>
      <c r="AB1698">
        <v>0</v>
      </c>
      <c r="AC1698">
        <v>0</v>
      </c>
      <c r="AD1698">
        <v>1</v>
      </c>
      <c r="AE1698">
        <v>0</v>
      </c>
      <c r="AF1698">
        <v>0</v>
      </c>
      <c r="AG1698">
        <v>0</v>
      </c>
      <c r="AH1698">
        <v>0</v>
      </c>
      <c r="AI1698">
        <v>0</v>
      </c>
      <c r="AJ1698">
        <v>0</v>
      </c>
      <c r="AK1698">
        <v>0</v>
      </c>
    </row>
    <row r="1699" spans="1:37" x14ac:dyDescent="0.3">
      <c r="A1699">
        <v>7979</v>
      </c>
      <c r="B1699" t="s">
        <v>219</v>
      </c>
      <c r="D1699" t="s">
        <v>327</v>
      </c>
      <c r="E1699">
        <v>99999999</v>
      </c>
      <c r="F1699">
        <v>11111111</v>
      </c>
      <c r="G1699">
        <v>1111111111</v>
      </c>
      <c r="H1699" t="s">
        <v>5268</v>
      </c>
      <c r="I1699">
        <v>99999999</v>
      </c>
      <c r="J1699" s="188">
        <v>45237</v>
      </c>
      <c r="K1699" t="s">
        <v>5268</v>
      </c>
      <c r="L1699" t="s">
        <v>5268</v>
      </c>
      <c r="M1699" t="s">
        <v>1187</v>
      </c>
      <c r="N1699" t="s">
        <v>99</v>
      </c>
      <c r="O1699" t="s">
        <v>2352</v>
      </c>
      <c r="P1699" t="s">
        <v>221</v>
      </c>
      <c r="Q1699" t="s">
        <v>82</v>
      </c>
      <c r="R1699">
        <v>1</v>
      </c>
      <c r="S1699">
        <v>2</v>
      </c>
      <c r="T1699">
        <v>0</v>
      </c>
      <c r="U1699">
        <v>1</v>
      </c>
      <c r="V1699">
        <v>1</v>
      </c>
      <c r="W1699">
        <v>25.28</v>
      </c>
      <c r="X1699">
        <v>0</v>
      </c>
      <c r="Y1699">
        <v>0</v>
      </c>
      <c r="Z1699">
        <v>0</v>
      </c>
      <c r="AA1699">
        <v>0</v>
      </c>
      <c r="AB1699">
        <v>0</v>
      </c>
      <c r="AC1699">
        <v>0</v>
      </c>
      <c r="AD1699">
        <v>1</v>
      </c>
      <c r="AE1699">
        <v>0</v>
      </c>
      <c r="AF1699">
        <v>0</v>
      </c>
      <c r="AG1699">
        <v>0</v>
      </c>
      <c r="AH1699">
        <v>0</v>
      </c>
      <c r="AI1699">
        <v>0</v>
      </c>
      <c r="AJ1699">
        <v>0</v>
      </c>
      <c r="AK1699">
        <v>0</v>
      </c>
    </row>
    <row r="1700" spans="1:37" x14ac:dyDescent="0.3">
      <c r="A1700">
        <v>7979</v>
      </c>
      <c r="B1700" t="s">
        <v>219</v>
      </c>
      <c r="D1700" t="s">
        <v>327</v>
      </c>
      <c r="E1700">
        <v>99999999</v>
      </c>
      <c r="F1700">
        <v>11111111</v>
      </c>
      <c r="G1700">
        <v>1111111111</v>
      </c>
      <c r="H1700" t="s">
        <v>5269</v>
      </c>
      <c r="I1700">
        <v>99999999</v>
      </c>
      <c r="J1700" s="188">
        <v>45237</v>
      </c>
      <c r="K1700" t="s">
        <v>5269</v>
      </c>
      <c r="L1700" t="s">
        <v>5269</v>
      </c>
      <c r="M1700" t="s">
        <v>2158</v>
      </c>
      <c r="N1700" t="s">
        <v>97</v>
      </c>
      <c r="O1700" t="s">
        <v>2353</v>
      </c>
      <c r="P1700" t="s">
        <v>221</v>
      </c>
      <c r="Q1700" t="s">
        <v>82</v>
      </c>
      <c r="R1700">
        <v>1</v>
      </c>
      <c r="S1700">
        <v>8</v>
      </c>
      <c r="T1700">
        <v>0</v>
      </c>
      <c r="U1700">
        <v>1</v>
      </c>
      <c r="V1700">
        <v>1</v>
      </c>
      <c r="W1700">
        <v>24.22</v>
      </c>
      <c r="X1700">
        <v>0</v>
      </c>
      <c r="Y1700">
        <v>0</v>
      </c>
      <c r="Z1700">
        <v>0</v>
      </c>
      <c r="AA1700">
        <v>0</v>
      </c>
      <c r="AB1700">
        <v>0</v>
      </c>
      <c r="AC1700">
        <v>0</v>
      </c>
      <c r="AD1700">
        <v>1</v>
      </c>
      <c r="AE1700">
        <v>0</v>
      </c>
      <c r="AF1700">
        <v>0</v>
      </c>
      <c r="AG1700">
        <v>0</v>
      </c>
      <c r="AH1700">
        <v>0</v>
      </c>
      <c r="AI1700">
        <v>0</v>
      </c>
      <c r="AJ1700">
        <v>0</v>
      </c>
      <c r="AK1700">
        <v>0</v>
      </c>
    </row>
    <row r="1701" spans="1:37" x14ac:dyDescent="0.3">
      <c r="A1701">
        <v>7979</v>
      </c>
      <c r="B1701" t="s">
        <v>219</v>
      </c>
      <c r="D1701" t="s">
        <v>327</v>
      </c>
      <c r="E1701">
        <v>99999999</v>
      </c>
      <c r="F1701">
        <v>11111111</v>
      </c>
      <c r="G1701">
        <v>1111111111</v>
      </c>
      <c r="H1701" t="s">
        <v>5270</v>
      </c>
      <c r="I1701">
        <v>99999999</v>
      </c>
      <c r="J1701" s="188">
        <v>45237</v>
      </c>
      <c r="K1701" t="s">
        <v>5270</v>
      </c>
      <c r="L1701" t="s">
        <v>5270</v>
      </c>
      <c r="M1701" t="s">
        <v>2354</v>
      </c>
      <c r="N1701" t="s">
        <v>243</v>
      </c>
      <c r="O1701" t="s">
        <v>2355</v>
      </c>
      <c r="P1701" t="s">
        <v>221</v>
      </c>
      <c r="Q1701" t="s">
        <v>82</v>
      </c>
      <c r="R1701">
        <v>1</v>
      </c>
      <c r="S1701">
        <v>5</v>
      </c>
      <c r="T1701">
        <v>0</v>
      </c>
      <c r="U1701">
        <v>1</v>
      </c>
      <c r="V1701">
        <v>1</v>
      </c>
      <c r="W1701">
        <v>33.47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1</v>
      </c>
      <c r="AE1701">
        <v>0</v>
      </c>
      <c r="AF1701">
        <v>0</v>
      </c>
      <c r="AG1701">
        <v>0</v>
      </c>
      <c r="AH1701">
        <v>0</v>
      </c>
      <c r="AI1701">
        <v>0</v>
      </c>
      <c r="AJ1701">
        <v>0</v>
      </c>
      <c r="AK1701">
        <v>0</v>
      </c>
    </row>
    <row r="1702" spans="1:37" x14ac:dyDescent="0.3">
      <c r="A1702">
        <v>7979</v>
      </c>
      <c r="B1702" t="s">
        <v>219</v>
      </c>
      <c r="D1702" t="s">
        <v>327</v>
      </c>
      <c r="E1702">
        <v>99999999</v>
      </c>
      <c r="F1702">
        <v>11111111</v>
      </c>
      <c r="G1702">
        <v>1111111111</v>
      </c>
      <c r="H1702" t="s">
        <v>5271</v>
      </c>
      <c r="I1702">
        <v>99999999</v>
      </c>
      <c r="J1702" s="188">
        <v>45237</v>
      </c>
      <c r="K1702" t="s">
        <v>5271</v>
      </c>
      <c r="L1702" t="s">
        <v>5271</v>
      </c>
      <c r="M1702" t="s">
        <v>2356</v>
      </c>
      <c r="N1702" t="s">
        <v>135</v>
      </c>
      <c r="O1702" t="s">
        <v>2357</v>
      </c>
      <c r="P1702" t="s">
        <v>221</v>
      </c>
      <c r="Q1702" t="s">
        <v>82</v>
      </c>
      <c r="R1702">
        <v>2</v>
      </c>
      <c r="S1702">
        <v>13.5</v>
      </c>
      <c r="T1702">
        <v>0</v>
      </c>
      <c r="U1702">
        <v>1</v>
      </c>
      <c r="V1702">
        <v>2</v>
      </c>
      <c r="W1702">
        <v>33.49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2</v>
      </c>
      <c r="AE1702">
        <v>0</v>
      </c>
      <c r="AF1702">
        <v>0</v>
      </c>
      <c r="AG1702">
        <v>0</v>
      </c>
      <c r="AH1702">
        <v>0</v>
      </c>
      <c r="AI1702">
        <v>0</v>
      </c>
      <c r="AJ1702">
        <v>0</v>
      </c>
      <c r="AK1702">
        <v>0</v>
      </c>
    </row>
    <row r="1703" spans="1:37" x14ac:dyDescent="0.3">
      <c r="A1703">
        <v>7979</v>
      </c>
      <c r="B1703" t="s">
        <v>219</v>
      </c>
      <c r="D1703" t="s">
        <v>327</v>
      </c>
      <c r="E1703">
        <v>99999999</v>
      </c>
      <c r="F1703">
        <v>11111111</v>
      </c>
      <c r="G1703">
        <v>1111111111</v>
      </c>
      <c r="H1703" t="s">
        <v>5272</v>
      </c>
      <c r="I1703">
        <v>99999999</v>
      </c>
      <c r="J1703" s="188">
        <v>45237</v>
      </c>
      <c r="K1703" t="s">
        <v>5272</v>
      </c>
      <c r="L1703" t="s">
        <v>5272</v>
      </c>
      <c r="M1703" t="s">
        <v>155</v>
      </c>
      <c r="N1703" t="s">
        <v>99</v>
      </c>
      <c r="O1703">
        <v>92117</v>
      </c>
      <c r="P1703" t="s">
        <v>221</v>
      </c>
      <c r="Q1703" t="s">
        <v>82</v>
      </c>
      <c r="R1703">
        <v>1</v>
      </c>
      <c r="S1703">
        <v>2.8</v>
      </c>
      <c r="T1703">
        <v>0</v>
      </c>
      <c r="U1703">
        <v>1</v>
      </c>
      <c r="V1703">
        <v>1</v>
      </c>
      <c r="W1703">
        <v>22.52</v>
      </c>
      <c r="X1703">
        <v>0</v>
      </c>
      <c r="Y1703">
        <v>0</v>
      </c>
      <c r="Z1703">
        <v>0</v>
      </c>
      <c r="AA1703">
        <v>0</v>
      </c>
      <c r="AB1703">
        <v>0</v>
      </c>
      <c r="AC1703">
        <v>0</v>
      </c>
      <c r="AD1703">
        <v>1</v>
      </c>
      <c r="AE1703">
        <v>0</v>
      </c>
      <c r="AF1703">
        <v>0</v>
      </c>
      <c r="AG1703">
        <v>0</v>
      </c>
      <c r="AH1703">
        <v>0</v>
      </c>
      <c r="AI1703">
        <v>0</v>
      </c>
      <c r="AJ1703">
        <v>0</v>
      </c>
      <c r="AK1703">
        <v>0</v>
      </c>
    </row>
    <row r="1704" spans="1:37" x14ac:dyDescent="0.3">
      <c r="A1704">
        <v>7979</v>
      </c>
      <c r="B1704" t="s">
        <v>219</v>
      </c>
      <c r="D1704" t="s">
        <v>327</v>
      </c>
      <c r="E1704">
        <v>99999999</v>
      </c>
      <c r="F1704">
        <v>11111111</v>
      </c>
      <c r="G1704">
        <v>1111111111</v>
      </c>
      <c r="H1704" t="s">
        <v>5273</v>
      </c>
      <c r="I1704">
        <v>99999999</v>
      </c>
      <c r="J1704" s="188">
        <v>45237</v>
      </c>
      <c r="K1704" t="s">
        <v>5273</v>
      </c>
      <c r="L1704" t="s">
        <v>5273</v>
      </c>
      <c r="M1704" t="s">
        <v>699</v>
      </c>
      <c r="N1704" t="s">
        <v>99</v>
      </c>
      <c r="O1704" t="s">
        <v>2358</v>
      </c>
      <c r="P1704" t="s">
        <v>221</v>
      </c>
      <c r="Q1704" t="s">
        <v>82</v>
      </c>
      <c r="R1704">
        <v>2</v>
      </c>
      <c r="S1704">
        <v>3.5</v>
      </c>
      <c r="T1704">
        <v>0</v>
      </c>
      <c r="U1704">
        <v>1</v>
      </c>
      <c r="V1704">
        <v>2</v>
      </c>
      <c r="W1704">
        <v>20.77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2</v>
      </c>
      <c r="AE1704">
        <v>0</v>
      </c>
      <c r="AF1704">
        <v>0</v>
      </c>
      <c r="AG1704">
        <v>0</v>
      </c>
      <c r="AH1704">
        <v>0</v>
      </c>
      <c r="AI1704">
        <v>0</v>
      </c>
      <c r="AJ1704">
        <v>0</v>
      </c>
      <c r="AK1704">
        <v>0</v>
      </c>
    </row>
    <row r="1705" spans="1:37" x14ac:dyDescent="0.3">
      <c r="A1705">
        <v>7979</v>
      </c>
      <c r="B1705" t="s">
        <v>219</v>
      </c>
      <c r="D1705" t="s">
        <v>327</v>
      </c>
      <c r="E1705">
        <v>99999999</v>
      </c>
      <c r="F1705">
        <v>11111111</v>
      </c>
      <c r="G1705">
        <v>1111111111</v>
      </c>
      <c r="H1705" t="s">
        <v>5274</v>
      </c>
      <c r="I1705">
        <v>99999999</v>
      </c>
      <c r="J1705" s="188">
        <v>45237</v>
      </c>
      <c r="K1705" t="s">
        <v>5274</v>
      </c>
      <c r="L1705" t="s">
        <v>5274</v>
      </c>
      <c r="M1705" t="s">
        <v>126</v>
      </c>
      <c r="N1705" t="s">
        <v>104</v>
      </c>
      <c r="O1705" t="s">
        <v>2359</v>
      </c>
      <c r="P1705" t="s">
        <v>221</v>
      </c>
      <c r="Q1705" t="s">
        <v>82</v>
      </c>
      <c r="R1705">
        <v>1</v>
      </c>
      <c r="S1705">
        <v>4.18</v>
      </c>
      <c r="T1705">
        <v>0</v>
      </c>
      <c r="U1705">
        <v>1</v>
      </c>
      <c r="V1705">
        <v>1</v>
      </c>
      <c r="W1705">
        <v>22.93</v>
      </c>
      <c r="X1705">
        <v>0</v>
      </c>
      <c r="Y1705">
        <v>0</v>
      </c>
      <c r="Z1705">
        <v>0</v>
      </c>
      <c r="AA1705">
        <v>0</v>
      </c>
      <c r="AB1705">
        <v>0</v>
      </c>
      <c r="AC1705">
        <v>0</v>
      </c>
      <c r="AD1705">
        <v>1</v>
      </c>
      <c r="AE1705">
        <v>0</v>
      </c>
      <c r="AF1705">
        <v>0</v>
      </c>
      <c r="AG1705">
        <v>0</v>
      </c>
      <c r="AH1705">
        <v>0</v>
      </c>
      <c r="AI1705">
        <v>0</v>
      </c>
      <c r="AJ1705">
        <v>0</v>
      </c>
      <c r="AK1705">
        <v>0</v>
      </c>
    </row>
    <row r="1706" spans="1:37" x14ac:dyDescent="0.3">
      <c r="A1706">
        <v>7979</v>
      </c>
      <c r="B1706" t="s">
        <v>219</v>
      </c>
      <c r="D1706" t="s">
        <v>327</v>
      </c>
      <c r="E1706">
        <v>99999999</v>
      </c>
      <c r="F1706">
        <v>11111111</v>
      </c>
      <c r="G1706">
        <v>1111111111</v>
      </c>
      <c r="H1706" t="s">
        <v>5275</v>
      </c>
      <c r="I1706">
        <v>99999999</v>
      </c>
      <c r="J1706" s="188">
        <v>45237</v>
      </c>
      <c r="K1706" t="s">
        <v>5275</v>
      </c>
      <c r="L1706" t="s">
        <v>5275</v>
      </c>
      <c r="M1706" t="s">
        <v>2360</v>
      </c>
      <c r="N1706" t="s">
        <v>233</v>
      </c>
      <c r="O1706">
        <v>14609</v>
      </c>
      <c r="P1706" t="s">
        <v>221</v>
      </c>
      <c r="Q1706" t="s">
        <v>82</v>
      </c>
      <c r="R1706">
        <v>1</v>
      </c>
      <c r="S1706">
        <v>1.17</v>
      </c>
      <c r="T1706">
        <v>0</v>
      </c>
      <c r="U1706">
        <v>1</v>
      </c>
      <c r="V1706">
        <v>1</v>
      </c>
      <c r="W1706">
        <v>23.1</v>
      </c>
      <c r="X1706">
        <v>0</v>
      </c>
      <c r="Y1706">
        <v>0</v>
      </c>
      <c r="Z1706">
        <v>0</v>
      </c>
      <c r="AA1706">
        <v>0</v>
      </c>
      <c r="AB1706">
        <v>0</v>
      </c>
      <c r="AC1706">
        <v>0</v>
      </c>
      <c r="AD1706">
        <v>1</v>
      </c>
      <c r="AE1706">
        <v>0</v>
      </c>
      <c r="AF1706">
        <v>0</v>
      </c>
      <c r="AG1706">
        <v>0</v>
      </c>
      <c r="AH1706">
        <v>0</v>
      </c>
      <c r="AI1706">
        <v>0</v>
      </c>
      <c r="AJ1706">
        <v>0</v>
      </c>
      <c r="AK1706">
        <v>0</v>
      </c>
    </row>
    <row r="1707" spans="1:37" x14ac:dyDescent="0.3">
      <c r="A1707">
        <v>7979</v>
      </c>
      <c r="B1707" t="s">
        <v>219</v>
      </c>
      <c r="D1707" t="s">
        <v>327</v>
      </c>
      <c r="E1707">
        <v>99999999</v>
      </c>
      <c r="F1707">
        <v>11111111</v>
      </c>
      <c r="G1707">
        <v>1111111111</v>
      </c>
      <c r="H1707" t="s">
        <v>5276</v>
      </c>
      <c r="I1707">
        <v>99999999</v>
      </c>
      <c r="J1707" s="188">
        <v>45237</v>
      </c>
      <c r="K1707" t="s">
        <v>5276</v>
      </c>
      <c r="L1707" t="s">
        <v>5276</v>
      </c>
      <c r="M1707" t="s">
        <v>865</v>
      </c>
      <c r="N1707" t="s">
        <v>91</v>
      </c>
      <c r="O1707" t="s">
        <v>2361</v>
      </c>
      <c r="P1707" t="s">
        <v>221</v>
      </c>
      <c r="Q1707" t="s">
        <v>82</v>
      </c>
      <c r="R1707">
        <v>1</v>
      </c>
      <c r="S1707">
        <v>6.3</v>
      </c>
      <c r="T1707">
        <v>0</v>
      </c>
      <c r="U1707">
        <v>1</v>
      </c>
      <c r="V1707">
        <v>1</v>
      </c>
      <c r="W1707">
        <v>25.03</v>
      </c>
      <c r="X1707">
        <v>0</v>
      </c>
      <c r="Y1707">
        <v>0</v>
      </c>
      <c r="Z1707">
        <v>0</v>
      </c>
      <c r="AA1707">
        <v>0</v>
      </c>
      <c r="AB1707">
        <v>0</v>
      </c>
      <c r="AC1707">
        <v>0</v>
      </c>
      <c r="AD1707">
        <v>1</v>
      </c>
      <c r="AE1707">
        <v>0</v>
      </c>
      <c r="AF1707">
        <v>0</v>
      </c>
      <c r="AG1707">
        <v>0</v>
      </c>
      <c r="AH1707">
        <v>0</v>
      </c>
      <c r="AI1707">
        <v>0</v>
      </c>
      <c r="AJ1707">
        <v>0</v>
      </c>
      <c r="AK1707">
        <v>0</v>
      </c>
    </row>
    <row r="1708" spans="1:37" x14ac:dyDescent="0.3">
      <c r="A1708">
        <v>7979</v>
      </c>
      <c r="B1708" t="s">
        <v>219</v>
      </c>
      <c r="D1708" t="s">
        <v>327</v>
      </c>
      <c r="E1708">
        <v>99999999</v>
      </c>
      <c r="F1708">
        <v>11111111</v>
      </c>
      <c r="G1708">
        <v>1111111111</v>
      </c>
      <c r="H1708" t="s">
        <v>5277</v>
      </c>
      <c r="I1708">
        <v>99999999</v>
      </c>
      <c r="J1708" s="188">
        <v>45237</v>
      </c>
      <c r="K1708" t="s">
        <v>5277</v>
      </c>
      <c r="L1708" t="s">
        <v>5277</v>
      </c>
      <c r="M1708" t="s">
        <v>111</v>
      </c>
      <c r="N1708" t="s">
        <v>231</v>
      </c>
      <c r="O1708" t="s">
        <v>2362</v>
      </c>
      <c r="P1708" t="s">
        <v>221</v>
      </c>
      <c r="Q1708" t="s">
        <v>82</v>
      </c>
      <c r="R1708">
        <v>2</v>
      </c>
      <c r="S1708">
        <v>2.64</v>
      </c>
      <c r="T1708">
        <v>0</v>
      </c>
      <c r="U1708">
        <v>1</v>
      </c>
      <c r="V1708">
        <v>1</v>
      </c>
      <c r="W1708">
        <v>26.15</v>
      </c>
      <c r="X1708">
        <v>0</v>
      </c>
      <c r="Y1708">
        <v>0</v>
      </c>
      <c r="Z1708">
        <v>0</v>
      </c>
      <c r="AA1708">
        <v>0</v>
      </c>
      <c r="AB1708">
        <v>0</v>
      </c>
      <c r="AC1708">
        <v>0</v>
      </c>
      <c r="AD1708">
        <v>2</v>
      </c>
      <c r="AE1708">
        <v>0</v>
      </c>
      <c r="AF1708">
        <v>0</v>
      </c>
      <c r="AG1708">
        <v>0</v>
      </c>
      <c r="AH1708">
        <v>0</v>
      </c>
      <c r="AI1708">
        <v>0</v>
      </c>
      <c r="AJ1708">
        <v>0</v>
      </c>
      <c r="AK1708">
        <v>0</v>
      </c>
    </row>
    <row r="1709" spans="1:37" x14ac:dyDescent="0.3">
      <c r="A1709">
        <v>7979</v>
      </c>
      <c r="B1709" t="s">
        <v>219</v>
      </c>
      <c r="D1709" t="s">
        <v>327</v>
      </c>
      <c r="E1709">
        <v>99999999</v>
      </c>
      <c r="F1709">
        <v>11111111</v>
      </c>
      <c r="G1709">
        <v>1111111111</v>
      </c>
      <c r="H1709" t="s">
        <v>5278</v>
      </c>
      <c r="I1709">
        <v>99999999</v>
      </c>
      <c r="J1709" s="188">
        <v>45237</v>
      </c>
      <c r="K1709" t="s">
        <v>5278</v>
      </c>
      <c r="L1709" t="s">
        <v>5278</v>
      </c>
      <c r="M1709" t="s">
        <v>1615</v>
      </c>
      <c r="N1709" t="s">
        <v>99</v>
      </c>
      <c r="O1709" t="s">
        <v>2363</v>
      </c>
      <c r="P1709" t="s">
        <v>221</v>
      </c>
      <c r="Q1709" t="s">
        <v>82</v>
      </c>
      <c r="R1709">
        <v>1</v>
      </c>
      <c r="S1709">
        <v>6</v>
      </c>
      <c r="T1709">
        <v>0</v>
      </c>
      <c r="U1709">
        <v>1</v>
      </c>
      <c r="V1709">
        <v>1</v>
      </c>
      <c r="W1709">
        <v>21.84</v>
      </c>
      <c r="X1709">
        <v>0</v>
      </c>
      <c r="Y1709">
        <v>0</v>
      </c>
      <c r="Z1709">
        <v>0</v>
      </c>
      <c r="AA1709">
        <v>0</v>
      </c>
      <c r="AB1709">
        <v>0</v>
      </c>
      <c r="AC1709">
        <v>0</v>
      </c>
      <c r="AD1709">
        <v>1</v>
      </c>
      <c r="AE1709">
        <v>0</v>
      </c>
      <c r="AF1709">
        <v>0</v>
      </c>
      <c r="AG1709">
        <v>0</v>
      </c>
      <c r="AH1709">
        <v>0</v>
      </c>
      <c r="AI1709">
        <v>0</v>
      </c>
      <c r="AJ1709">
        <v>0</v>
      </c>
      <c r="AK1709">
        <v>0</v>
      </c>
    </row>
    <row r="1710" spans="1:37" x14ac:dyDescent="0.3">
      <c r="A1710">
        <v>7979</v>
      </c>
      <c r="B1710" t="s">
        <v>219</v>
      </c>
      <c r="D1710" t="s">
        <v>327</v>
      </c>
      <c r="E1710">
        <v>99999999</v>
      </c>
      <c r="F1710">
        <v>11111111</v>
      </c>
      <c r="G1710">
        <v>1111111111</v>
      </c>
      <c r="H1710" t="s">
        <v>5279</v>
      </c>
      <c r="I1710">
        <v>99999999</v>
      </c>
      <c r="J1710" s="188">
        <v>45237</v>
      </c>
      <c r="K1710" t="s">
        <v>5279</v>
      </c>
      <c r="L1710" t="s">
        <v>5279</v>
      </c>
      <c r="M1710" t="s">
        <v>651</v>
      </c>
      <c r="N1710" t="s">
        <v>99</v>
      </c>
      <c r="O1710" t="s">
        <v>2364</v>
      </c>
      <c r="P1710" t="s">
        <v>221</v>
      </c>
      <c r="Q1710" t="s">
        <v>82</v>
      </c>
      <c r="R1710">
        <v>1</v>
      </c>
      <c r="S1710">
        <v>3</v>
      </c>
      <c r="T1710">
        <v>0</v>
      </c>
      <c r="U1710">
        <v>1</v>
      </c>
      <c r="V1710">
        <v>1</v>
      </c>
      <c r="W1710">
        <v>28.64</v>
      </c>
      <c r="X1710">
        <v>0</v>
      </c>
      <c r="Y1710">
        <v>0</v>
      </c>
      <c r="Z1710">
        <v>0</v>
      </c>
      <c r="AA1710">
        <v>0</v>
      </c>
      <c r="AB1710">
        <v>0</v>
      </c>
      <c r="AC1710">
        <v>0</v>
      </c>
      <c r="AD1710">
        <v>1</v>
      </c>
      <c r="AE1710">
        <v>0</v>
      </c>
      <c r="AF1710">
        <v>0</v>
      </c>
      <c r="AG1710">
        <v>0</v>
      </c>
      <c r="AH1710">
        <v>0</v>
      </c>
      <c r="AI1710">
        <v>0</v>
      </c>
      <c r="AJ1710">
        <v>0</v>
      </c>
      <c r="AK1710">
        <v>0</v>
      </c>
    </row>
    <row r="1711" spans="1:37" x14ac:dyDescent="0.3">
      <c r="A1711">
        <v>7979</v>
      </c>
      <c r="B1711" t="s">
        <v>219</v>
      </c>
      <c r="D1711" t="s">
        <v>327</v>
      </c>
      <c r="E1711">
        <v>99999999</v>
      </c>
      <c r="F1711">
        <v>11111111</v>
      </c>
      <c r="G1711">
        <v>1111111111</v>
      </c>
      <c r="H1711" t="s">
        <v>5280</v>
      </c>
      <c r="I1711">
        <v>99999999</v>
      </c>
      <c r="J1711" s="188">
        <v>45237</v>
      </c>
      <c r="K1711" t="s">
        <v>5280</v>
      </c>
      <c r="L1711" t="s">
        <v>5280</v>
      </c>
      <c r="M1711" t="s">
        <v>418</v>
      </c>
      <c r="N1711" t="s">
        <v>91</v>
      </c>
      <c r="O1711" t="s">
        <v>2365</v>
      </c>
      <c r="P1711" t="s">
        <v>221</v>
      </c>
      <c r="Q1711" t="s">
        <v>82</v>
      </c>
      <c r="R1711">
        <v>1</v>
      </c>
      <c r="S1711">
        <v>8</v>
      </c>
      <c r="T1711">
        <v>0</v>
      </c>
      <c r="U1711">
        <v>1</v>
      </c>
      <c r="V1711">
        <v>1</v>
      </c>
      <c r="W1711">
        <v>31.87</v>
      </c>
      <c r="X1711">
        <v>0</v>
      </c>
      <c r="Y1711">
        <v>0</v>
      </c>
      <c r="Z1711">
        <v>0</v>
      </c>
      <c r="AA1711">
        <v>0</v>
      </c>
      <c r="AB1711">
        <v>0</v>
      </c>
      <c r="AC1711">
        <v>0</v>
      </c>
      <c r="AD1711">
        <v>1</v>
      </c>
      <c r="AE1711">
        <v>0</v>
      </c>
      <c r="AF1711">
        <v>0</v>
      </c>
      <c r="AG1711">
        <v>0</v>
      </c>
      <c r="AH1711">
        <v>0</v>
      </c>
      <c r="AI1711">
        <v>0</v>
      </c>
      <c r="AJ1711">
        <v>0</v>
      </c>
      <c r="AK1711">
        <v>0</v>
      </c>
    </row>
    <row r="1712" spans="1:37" x14ac:dyDescent="0.3">
      <c r="A1712">
        <v>7979</v>
      </c>
      <c r="B1712" t="s">
        <v>219</v>
      </c>
      <c r="D1712" t="s">
        <v>327</v>
      </c>
      <c r="E1712">
        <v>99999999</v>
      </c>
      <c r="F1712">
        <v>11111111</v>
      </c>
      <c r="G1712">
        <v>1111111111</v>
      </c>
      <c r="H1712" t="s">
        <v>5281</v>
      </c>
      <c r="I1712">
        <v>99999999</v>
      </c>
      <c r="J1712" s="188">
        <v>45237</v>
      </c>
      <c r="K1712" t="s">
        <v>5281</v>
      </c>
      <c r="L1712" t="s">
        <v>5281</v>
      </c>
      <c r="M1712" t="s">
        <v>121</v>
      </c>
      <c r="N1712" t="s">
        <v>122</v>
      </c>
      <c r="O1712" t="s">
        <v>2366</v>
      </c>
      <c r="P1712" t="s">
        <v>221</v>
      </c>
      <c r="Q1712" t="s">
        <v>82</v>
      </c>
      <c r="R1712">
        <v>1</v>
      </c>
      <c r="S1712">
        <v>5.2</v>
      </c>
      <c r="T1712">
        <v>0</v>
      </c>
      <c r="U1712">
        <v>1</v>
      </c>
      <c r="V1712">
        <v>1</v>
      </c>
      <c r="W1712">
        <v>24.44</v>
      </c>
      <c r="X1712">
        <v>0</v>
      </c>
      <c r="Y1712">
        <v>0</v>
      </c>
      <c r="Z1712">
        <v>0</v>
      </c>
      <c r="AA1712">
        <v>0</v>
      </c>
      <c r="AB1712">
        <v>0</v>
      </c>
      <c r="AC1712">
        <v>0</v>
      </c>
      <c r="AD1712">
        <v>1</v>
      </c>
      <c r="AE1712">
        <v>0</v>
      </c>
      <c r="AF1712">
        <v>0</v>
      </c>
      <c r="AG1712">
        <v>0</v>
      </c>
      <c r="AH1712">
        <v>0</v>
      </c>
      <c r="AI1712">
        <v>0</v>
      </c>
      <c r="AJ1712">
        <v>0</v>
      </c>
      <c r="AK1712">
        <v>0</v>
      </c>
    </row>
    <row r="1713" spans="1:37" x14ac:dyDescent="0.3">
      <c r="A1713">
        <v>7979</v>
      </c>
      <c r="B1713" t="s">
        <v>219</v>
      </c>
      <c r="D1713" t="s">
        <v>327</v>
      </c>
      <c r="E1713">
        <v>99999999</v>
      </c>
      <c r="F1713">
        <v>11111111</v>
      </c>
      <c r="G1713">
        <v>1111111111</v>
      </c>
      <c r="H1713" t="s">
        <v>5282</v>
      </c>
      <c r="I1713">
        <v>99999999</v>
      </c>
      <c r="J1713" s="188">
        <v>45237</v>
      </c>
      <c r="K1713" t="s">
        <v>5282</v>
      </c>
      <c r="L1713" t="s">
        <v>5282</v>
      </c>
      <c r="M1713" t="s">
        <v>2260</v>
      </c>
      <c r="N1713" t="s">
        <v>99</v>
      </c>
      <c r="O1713">
        <v>94930</v>
      </c>
      <c r="P1713" t="s">
        <v>221</v>
      </c>
      <c r="Q1713" t="s">
        <v>82</v>
      </c>
      <c r="R1713">
        <v>1</v>
      </c>
      <c r="S1713">
        <v>6.7</v>
      </c>
      <c r="T1713">
        <v>0</v>
      </c>
      <c r="U1713">
        <v>1</v>
      </c>
      <c r="V1713">
        <v>1</v>
      </c>
      <c r="W1713">
        <v>28.54</v>
      </c>
      <c r="X1713">
        <v>0</v>
      </c>
      <c r="Y1713">
        <v>0</v>
      </c>
      <c r="Z1713">
        <v>0</v>
      </c>
      <c r="AA1713">
        <v>0</v>
      </c>
      <c r="AB1713">
        <v>0</v>
      </c>
      <c r="AC1713">
        <v>0</v>
      </c>
      <c r="AD1713">
        <v>1</v>
      </c>
      <c r="AE1713">
        <v>0</v>
      </c>
      <c r="AF1713">
        <v>0</v>
      </c>
      <c r="AG1713">
        <v>0</v>
      </c>
      <c r="AH1713">
        <v>0</v>
      </c>
      <c r="AI1713">
        <v>0</v>
      </c>
      <c r="AJ1713">
        <v>0</v>
      </c>
      <c r="AK1713">
        <v>0</v>
      </c>
    </row>
    <row r="1714" spans="1:37" x14ac:dyDescent="0.3">
      <c r="A1714">
        <v>7979</v>
      </c>
      <c r="B1714" t="s">
        <v>219</v>
      </c>
      <c r="D1714" t="s">
        <v>327</v>
      </c>
      <c r="E1714">
        <v>99999999</v>
      </c>
      <c r="F1714">
        <v>11111111</v>
      </c>
      <c r="G1714">
        <v>1111111111</v>
      </c>
      <c r="H1714" t="s">
        <v>5283</v>
      </c>
      <c r="I1714">
        <v>99999999</v>
      </c>
      <c r="J1714" s="188">
        <v>45237</v>
      </c>
      <c r="K1714" t="s">
        <v>5283</v>
      </c>
      <c r="L1714" t="s">
        <v>5283</v>
      </c>
      <c r="M1714" t="s">
        <v>589</v>
      </c>
      <c r="N1714" t="s">
        <v>197</v>
      </c>
      <c r="O1714" t="s">
        <v>2367</v>
      </c>
      <c r="P1714" t="s">
        <v>221</v>
      </c>
      <c r="Q1714" t="s">
        <v>82</v>
      </c>
      <c r="R1714">
        <v>4</v>
      </c>
      <c r="S1714">
        <v>60.48</v>
      </c>
      <c r="T1714">
        <v>0</v>
      </c>
      <c r="U1714">
        <v>1</v>
      </c>
      <c r="V1714">
        <v>1</v>
      </c>
      <c r="W1714">
        <v>116.98</v>
      </c>
      <c r="X1714">
        <v>0</v>
      </c>
      <c r="Y1714">
        <v>0</v>
      </c>
      <c r="Z1714">
        <v>0</v>
      </c>
      <c r="AA1714">
        <v>0</v>
      </c>
      <c r="AB1714">
        <v>0</v>
      </c>
      <c r="AC1714">
        <v>0</v>
      </c>
      <c r="AD1714">
        <v>4</v>
      </c>
      <c r="AE1714">
        <v>0</v>
      </c>
      <c r="AF1714">
        <v>0</v>
      </c>
      <c r="AG1714">
        <v>0</v>
      </c>
      <c r="AH1714">
        <v>0</v>
      </c>
      <c r="AI1714">
        <v>0</v>
      </c>
      <c r="AJ1714">
        <v>0</v>
      </c>
      <c r="AK1714">
        <v>0</v>
      </c>
    </row>
    <row r="1715" spans="1:37" x14ac:dyDescent="0.3">
      <c r="A1715">
        <v>7979</v>
      </c>
      <c r="B1715" t="s">
        <v>219</v>
      </c>
      <c r="D1715" t="s">
        <v>327</v>
      </c>
      <c r="E1715">
        <v>99999999</v>
      </c>
      <c r="F1715">
        <v>11111111</v>
      </c>
      <c r="G1715">
        <v>1111111111</v>
      </c>
      <c r="H1715" t="s">
        <v>5284</v>
      </c>
      <c r="I1715">
        <v>99999999</v>
      </c>
      <c r="J1715" s="188">
        <v>45237</v>
      </c>
      <c r="K1715" t="s">
        <v>5284</v>
      </c>
      <c r="L1715" t="s">
        <v>5284</v>
      </c>
      <c r="M1715" t="s">
        <v>705</v>
      </c>
      <c r="N1715" t="s">
        <v>99</v>
      </c>
      <c r="O1715" t="s">
        <v>2368</v>
      </c>
      <c r="P1715" t="s">
        <v>221</v>
      </c>
      <c r="Q1715" t="s">
        <v>82</v>
      </c>
      <c r="R1715">
        <v>1</v>
      </c>
      <c r="S1715">
        <v>3.62</v>
      </c>
      <c r="T1715">
        <v>0</v>
      </c>
      <c r="U1715">
        <v>1</v>
      </c>
      <c r="V1715">
        <v>1</v>
      </c>
      <c r="W1715">
        <v>21.44</v>
      </c>
      <c r="X1715">
        <v>0</v>
      </c>
      <c r="Y1715">
        <v>0</v>
      </c>
      <c r="Z1715">
        <v>0</v>
      </c>
      <c r="AA1715">
        <v>0</v>
      </c>
      <c r="AB1715">
        <v>0</v>
      </c>
      <c r="AC1715">
        <v>0</v>
      </c>
      <c r="AD1715">
        <v>1</v>
      </c>
      <c r="AE1715">
        <v>0</v>
      </c>
      <c r="AF1715">
        <v>0</v>
      </c>
      <c r="AG1715">
        <v>0</v>
      </c>
      <c r="AH1715">
        <v>0</v>
      </c>
      <c r="AI1715">
        <v>0</v>
      </c>
      <c r="AJ1715">
        <v>0</v>
      </c>
      <c r="AK1715">
        <v>0</v>
      </c>
    </row>
    <row r="1716" spans="1:37" x14ac:dyDescent="0.3">
      <c r="A1716">
        <v>7979</v>
      </c>
      <c r="B1716" t="s">
        <v>219</v>
      </c>
      <c r="D1716" t="s">
        <v>327</v>
      </c>
      <c r="E1716">
        <v>99999999</v>
      </c>
      <c r="F1716">
        <v>11111111</v>
      </c>
      <c r="G1716">
        <v>1111111111</v>
      </c>
      <c r="H1716" t="s">
        <v>5285</v>
      </c>
      <c r="I1716">
        <v>99999999</v>
      </c>
      <c r="J1716" s="188">
        <v>45237</v>
      </c>
      <c r="K1716" t="s">
        <v>5285</v>
      </c>
      <c r="L1716" t="s">
        <v>5285</v>
      </c>
      <c r="M1716" t="s">
        <v>387</v>
      </c>
      <c r="N1716" t="s">
        <v>99</v>
      </c>
      <c r="O1716" t="s">
        <v>2369</v>
      </c>
      <c r="P1716" t="s">
        <v>221</v>
      </c>
      <c r="Q1716" t="s">
        <v>82</v>
      </c>
      <c r="R1716">
        <v>2</v>
      </c>
      <c r="S1716">
        <v>5</v>
      </c>
      <c r="T1716">
        <v>0</v>
      </c>
      <c r="U1716">
        <v>1</v>
      </c>
      <c r="V1716">
        <v>1</v>
      </c>
      <c r="W1716">
        <v>23.09</v>
      </c>
      <c r="X1716">
        <v>0</v>
      </c>
      <c r="Y1716">
        <v>0</v>
      </c>
      <c r="Z1716">
        <v>0</v>
      </c>
      <c r="AA1716">
        <v>0</v>
      </c>
      <c r="AB1716">
        <v>0</v>
      </c>
      <c r="AC1716">
        <v>0</v>
      </c>
      <c r="AD1716">
        <v>2</v>
      </c>
      <c r="AE1716">
        <v>0</v>
      </c>
      <c r="AF1716">
        <v>0</v>
      </c>
      <c r="AG1716">
        <v>0</v>
      </c>
      <c r="AH1716">
        <v>0</v>
      </c>
      <c r="AI1716">
        <v>0</v>
      </c>
      <c r="AJ1716">
        <v>0</v>
      </c>
      <c r="AK1716">
        <v>0</v>
      </c>
    </row>
    <row r="1717" spans="1:37" x14ac:dyDescent="0.3">
      <c r="A1717">
        <v>7979</v>
      </c>
      <c r="B1717" t="s">
        <v>219</v>
      </c>
      <c r="D1717" t="s">
        <v>327</v>
      </c>
      <c r="E1717">
        <v>99999999</v>
      </c>
      <c r="F1717">
        <v>11111111</v>
      </c>
      <c r="G1717">
        <v>1111111111</v>
      </c>
      <c r="H1717" t="s">
        <v>5286</v>
      </c>
      <c r="I1717">
        <v>99999999</v>
      </c>
      <c r="J1717" s="188">
        <v>45237</v>
      </c>
      <c r="K1717" t="s">
        <v>5286</v>
      </c>
      <c r="L1717" t="s">
        <v>5286</v>
      </c>
      <c r="M1717" t="s">
        <v>2225</v>
      </c>
      <c r="N1717" t="s">
        <v>164</v>
      </c>
      <c r="O1717" t="s">
        <v>2370</v>
      </c>
      <c r="P1717" t="s">
        <v>221</v>
      </c>
      <c r="Q1717" t="s">
        <v>82</v>
      </c>
      <c r="R1717">
        <v>1</v>
      </c>
      <c r="S1717">
        <v>8</v>
      </c>
      <c r="T1717">
        <v>0</v>
      </c>
      <c r="U1717">
        <v>1</v>
      </c>
      <c r="V1717">
        <v>1</v>
      </c>
      <c r="W1717">
        <v>32.479999999999997</v>
      </c>
      <c r="X1717">
        <v>0</v>
      </c>
      <c r="Y1717">
        <v>0</v>
      </c>
      <c r="Z1717">
        <v>0</v>
      </c>
      <c r="AA1717">
        <v>0</v>
      </c>
      <c r="AB1717">
        <v>0</v>
      </c>
      <c r="AC1717">
        <v>0</v>
      </c>
      <c r="AD1717">
        <v>1</v>
      </c>
      <c r="AE1717">
        <v>0</v>
      </c>
      <c r="AF1717">
        <v>0</v>
      </c>
      <c r="AG1717">
        <v>0</v>
      </c>
      <c r="AH1717">
        <v>0</v>
      </c>
      <c r="AI1717">
        <v>0</v>
      </c>
      <c r="AJ1717">
        <v>0</v>
      </c>
      <c r="AK1717">
        <v>0</v>
      </c>
    </row>
    <row r="1718" spans="1:37" x14ac:dyDescent="0.3">
      <c r="A1718">
        <v>7979</v>
      </c>
      <c r="B1718" t="s">
        <v>219</v>
      </c>
      <c r="D1718" t="s">
        <v>327</v>
      </c>
      <c r="E1718">
        <v>99999999</v>
      </c>
      <c r="F1718">
        <v>11111111</v>
      </c>
      <c r="G1718">
        <v>1111111111</v>
      </c>
      <c r="H1718" t="s">
        <v>5287</v>
      </c>
      <c r="I1718">
        <v>99999999</v>
      </c>
      <c r="J1718" s="188">
        <v>45237</v>
      </c>
      <c r="K1718" t="s">
        <v>5287</v>
      </c>
      <c r="L1718" t="s">
        <v>5287</v>
      </c>
      <c r="M1718" t="s">
        <v>915</v>
      </c>
      <c r="N1718" t="s">
        <v>164</v>
      </c>
      <c r="O1718" t="s">
        <v>2371</v>
      </c>
      <c r="P1718" t="s">
        <v>221</v>
      </c>
      <c r="Q1718" t="s">
        <v>82</v>
      </c>
      <c r="R1718">
        <v>1</v>
      </c>
      <c r="S1718">
        <v>3.5</v>
      </c>
      <c r="T1718">
        <v>0</v>
      </c>
      <c r="U1718">
        <v>1</v>
      </c>
      <c r="V1718">
        <v>1</v>
      </c>
      <c r="W1718">
        <v>22.52</v>
      </c>
      <c r="X1718">
        <v>0</v>
      </c>
      <c r="Y1718">
        <v>0</v>
      </c>
      <c r="Z1718">
        <v>0</v>
      </c>
      <c r="AA1718">
        <v>0</v>
      </c>
      <c r="AB1718">
        <v>0</v>
      </c>
      <c r="AC1718">
        <v>0</v>
      </c>
      <c r="AD1718">
        <v>1</v>
      </c>
      <c r="AE1718">
        <v>0</v>
      </c>
      <c r="AF1718">
        <v>0</v>
      </c>
      <c r="AG1718">
        <v>0</v>
      </c>
      <c r="AH1718">
        <v>0</v>
      </c>
      <c r="AI1718">
        <v>0</v>
      </c>
      <c r="AJ1718">
        <v>0</v>
      </c>
      <c r="AK1718">
        <v>0</v>
      </c>
    </row>
    <row r="1719" spans="1:37" x14ac:dyDescent="0.3">
      <c r="A1719">
        <v>7979</v>
      </c>
      <c r="B1719" t="s">
        <v>219</v>
      </c>
      <c r="D1719" t="s">
        <v>327</v>
      </c>
      <c r="E1719">
        <v>99999999</v>
      </c>
      <c r="F1719">
        <v>11111111</v>
      </c>
      <c r="G1719">
        <v>1111111111</v>
      </c>
      <c r="H1719" t="s">
        <v>5288</v>
      </c>
      <c r="I1719">
        <v>99999999</v>
      </c>
      <c r="J1719" s="188">
        <v>45237</v>
      </c>
      <c r="K1719" t="s">
        <v>5288</v>
      </c>
      <c r="L1719" t="s">
        <v>5288</v>
      </c>
      <c r="M1719" t="s">
        <v>861</v>
      </c>
      <c r="N1719" t="s">
        <v>97</v>
      </c>
      <c r="O1719">
        <v>98019</v>
      </c>
      <c r="P1719" t="s">
        <v>221</v>
      </c>
      <c r="Q1719" t="s">
        <v>82</v>
      </c>
      <c r="R1719">
        <v>1</v>
      </c>
      <c r="S1719">
        <v>5</v>
      </c>
      <c r="T1719">
        <v>0</v>
      </c>
      <c r="U1719">
        <v>1</v>
      </c>
      <c r="V1719">
        <v>1</v>
      </c>
      <c r="W1719">
        <v>31.35</v>
      </c>
      <c r="X1719">
        <v>0</v>
      </c>
      <c r="Y1719">
        <v>0</v>
      </c>
      <c r="Z1719">
        <v>0</v>
      </c>
      <c r="AA1719">
        <v>0</v>
      </c>
      <c r="AB1719">
        <v>0</v>
      </c>
      <c r="AC1719">
        <v>0</v>
      </c>
      <c r="AD1719">
        <v>1</v>
      </c>
      <c r="AE1719">
        <v>0</v>
      </c>
      <c r="AF1719">
        <v>0</v>
      </c>
      <c r="AG1719">
        <v>0</v>
      </c>
      <c r="AH1719">
        <v>0</v>
      </c>
      <c r="AI1719">
        <v>0</v>
      </c>
      <c r="AJ1719">
        <v>0</v>
      </c>
      <c r="AK1719">
        <v>0</v>
      </c>
    </row>
    <row r="1720" spans="1:37" x14ac:dyDescent="0.3">
      <c r="A1720">
        <v>7979</v>
      </c>
      <c r="B1720" t="s">
        <v>219</v>
      </c>
      <c r="D1720" t="s">
        <v>327</v>
      </c>
      <c r="E1720">
        <v>99999999</v>
      </c>
      <c r="F1720">
        <v>11111111</v>
      </c>
      <c r="G1720">
        <v>1111111111</v>
      </c>
      <c r="H1720" t="s">
        <v>5289</v>
      </c>
      <c r="I1720">
        <v>99999999</v>
      </c>
      <c r="J1720" s="188">
        <v>45237</v>
      </c>
      <c r="K1720" t="s">
        <v>5289</v>
      </c>
      <c r="L1720" t="s">
        <v>5289</v>
      </c>
      <c r="M1720" t="s">
        <v>2372</v>
      </c>
      <c r="N1720" t="s">
        <v>164</v>
      </c>
      <c r="O1720" t="s">
        <v>2373</v>
      </c>
      <c r="P1720" t="s">
        <v>221</v>
      </c>
      <c r="Q1720" t="s">
        <v>82</v>
      </c>
      <c r="R1720">
        <v>1</v>
      </c>
      <c r="S1720">
        <v>5.8</v>
      </c>
      <c r="T1720">
        <v>0</v>
      </c>
      <c r="U1720">
        <v>1</v>
      </c>
      <c r="V1720">
        <v>1</v>
      </c>
      <c r="W1720">
        <v>23.54</v>
      </c>
      <c r="X1720">
        <v>0</v>
      </c>
      <c r="Y1720">
        <v>0</v>
      </c>
      <c r="Z1720">
        <v>0</v>
      </c>
      <c r="AA1720">
        <v>0</v>
      </c>
      <c r="AB1720">
        <v>0</v>
      </c>
      <c r="AC1720">
        <v>0</v>
      </c>
      <c r="AD1720">
        <v>1</v>
      </c>
      <c r="AE1720">
        <v>0</v>
      </c>
      <c r="AF1720">
        <v>0</v>
      </c>
      <c r="AG1720">
        <v>0</v>
      </c>
      <c r="AH1720">
        <v>0</v>
      </c>
      <c r="AI1720">
        <v>0</v>
      </c>
      <c r="AJ1720">
        <v>0</v>
      </c>
      <c r="AK1720">
        <v>0</v>
      </c>
    </row>
    <row r="1721" spans="1:37" x14ac:dyDescent="0.3">
      <c r="A1721">
        <v>7979</v>
      </c>
      <c r="B1721" t="s">
        <v>219</v>
      </c>
      <c r="D1721" t="s">
        <v>327</v>
      </c>
      <c r="E1721">
        <v>99999999</v>
      </c>
      <c r="F1721">
        <v>11111111</v>
      </c>
      <c r="G1721">
        <v>1111111111</v>
      </c>
      <c r="H1721" t="s">
        <v>5290</v>
      </c>
      <c r="I1721">
        <v>99999999</v>
      </c>
      <c r="J1721" s="188">
        <v>45237</v>
      </c>
      <c r="K1721" t="s">
        <v>5290</v>
      </c>
      <c r="L1721" t="s">
        <v>5290</v>
      </c>
      <c r="M1721" t="s">
        <v>1526</v>
      </c>
      <c r="N1721" t="s">
        <v>91</v>
      </c>
      <c r="O1721">
        <v>85929</v>
      </c>
      <c r="P1721" t="s">
        <v>221</v>
      </c>
      <c r="Q1721" t="s">
        <v>82</v>
      </c>
      <c r="R1721">
        <v>1</v>
      </c>
      <c r="S1721">
        <v>3.75</v>
      </c>
      <c r="T1721">
        <v>0</v>
      </c>
      <c r="U1721">
        <v>1</v>
      </c>
      <c r="V1721">
        <v>1</v>
      </c>
      <c r="W1721">
        <v>30.49</v>
      </c>
      <c r="X1721">
        <v>0</v>
      </c>
      <c r="Y1721">
        <v>0</v>
      </c>
      <c r="Z1721">
        <v>0</v>
      </c>
      <c r="AA1721">
        <v>0</v>
      </c>
      <c r="AB1721">
        <v>0</v>
      </c>
      <c r="AC1721">
        <v>0</v>
      </c>
      <c r="AD1721">
        <v>1</v>
      </c>
      <c r="AE1721">
        <v>0</v>
      </c>
      <c r="AF1721">
        <v>0</v>
      </c>
      <c r="AG1721">
        <v>0</v>
      </c>
      <c r="AH1721">
        <v>0</v>
      </c>
      <c r="AI1721">
        <v>0</v>
      </c>
      <c r="AJ1721">
        <v>0</v>
      </c>
      <c r="AK1721">
        <v>0</v>
      </c>
    </row>
    <row r="1722" spans="1:37" x14ac:dyDescent="0.3">
      <c r="A1722">
        <v>7979</v>
      </c>
      <c r="B1722" t="s">
        <v>219</v>
      </c>
      <c r="D1722" t="s">
        <v>327</v>
      </c>
      <c r="E1722">
        <v>99999999</v>
      </c>
      <c r="F1722">
        <v>11111111</v>
      </c>
      <c r="G1722">
        <v>1111111111</v>
      </c>
      <c r="H1722" t="s">
        <v>5291</v>
      </c>
      <c r="I1722">
        <v>99999999</v>
      </c>
      <c r="J1722" s="188">
        <v>45237</v>
      </c>
      <c r="K1722" t="s">
        <v>5291</v>
      </c>
      <c r="L1722" t="s">
        <v>5291</v>
      </c>
      <c r="M1722" t="s">
        <v>2374</v>
      </c>
      <c r="N1722" t="s">
        <v>130</v>
      </c>
      <c r="O1722" t="s">
        <v>2375</v>
      </c>
      <c r="P1722" t="s">
        <v>221</v>
      </c>
      <c r="Q1722" t="s">
        <v>82</v>
      </c>
      <c r="R1722">
        <v>6</v>
      </c>
      <c r="S1722">
        <v>30.6</v>
      </c>
      <c r="T1722">
        <v>0</v>
      </c>
      <c r="U1722">
        <v>1</v>
      </c>
      <c r="V1722">
        <v>1</v>
      </c>
      <c r="W1722">
        <v>47.49</v>
      </c>
      <c r="X1722">
        <v>0</v>
      </c>
      <c r="Y1722">
        <v>0</v>
      </c>
      <c r="Z1722">
        <v>0</v>
      </c>
      <c r="AA1722">
        <v>0</v>
      </c>
      <c r="AB1722">
        <v>0</v>
      </c>
      <c r="AC1722">
        <v>0</v>
      </c>
      <c r="AD1722">
        <v>6</v>
      </c>
      <c r="AE1722">
        <v>0</v>
      </c>
      <c r="AF1722">
        <v>0</v>
      </c>
      <c r="AG1722">
        <v>0</v>
      </c>
      <c r="AH1722">
        <v>0</v>
      </c>
      <c r="AI1722">
        <v>0</v>
      </c>
      <c r="AJ1722">
        <v>0</v>
      </c>
      <c r="AK1722">
        <v>0</v>
      </c>
    </row>
    <row r="1723" spans="1:37" x14ac:dyDescent="0.3">
      <c r="A1723">
        <v>7979</v>
      </c>
      <c r="B1723" t="s">
        <v>219</v>
      </c>
      <c r="D1723" t="s">
        <v>327</v>
      </c>
      <c r="E1723">
        <v>99999999</v>
      </c>
      <c r="F1723">
        <v>11111111</v>
      </c>
      <c r="G1723">
        <v>1111111111</v>
      </c>
      <c r="H1723" t="s">
        <v>5292</v>
      </c>
      <c r="I1723">
        <v>99999999</v>
      </c>
      <c r="J1723" s="188">
        <v>45237</v>
      </c>
      <c r="K1723" t="s">
        <v>5292</v>
      </c>
      <c r="L1723" t="s">
        <v>5292</v>
      </c>
      <c r="M1723" t="s">
        <v>191</v>
      </c>
      <c r="N1723" t="s">
        <v>135</v>
      </c>
      <c r="O1723" t="s">
        <v>2376</v>
      </c>
      <c r="P1723" t="s">
        <v>221</v>
      </c>
      <c r="Q1723" t="s">
        <v>82</v>
      </c>
      <c r="R1723">
        <v>3</v>
      </c>
      <c r="S1723">
        <v>10.32</v>
      </c>
      <c r="T1723">
        <v>0</v>
      </c>
      <c r="U1723">
        <v>1</v>
      </c>
      <c r="V1723">
        <v>2</v>
      </c>
      <c r="W1723">
        <v>24.65</v>
      </c>
      <c r="X1723">
        <v>0</v>
      </c>
      <c r="Y1723">
        <v>0</v>
      </c>
      <c r="Z1723">
        <v>0</v>
      </c>
      <c r="AA1723">
        <v>0</v>
      </c>
      <c r="AB1723">
        <v>0</v>
      </c>
      <c r="AC1723">
        <v>0</v>
      </c>
      <c r="AD1723">
        <v>3</v>
      </c>
      <c r="AE1723">
        <v>0</v>
      </c>
      <c r="AF1723">
        <v>0</v>
      </c>
      <c r="AG1723">
        <v>0</v>
      </c>
      <c r="AH1723">
        <v>0</v>
      </c>
      <c r="AI1723">
        <v>0</v>
      </c>
      <c r="AJ1723">
        <v>0</v>
      </c>
      <c r="AK1723">
        <v>0</v>
      </c>
    </row>
    <row r="1724" spans="1:37" x14ac:dyDescent="0.3">
      <c r="A1724">
        <v>7979</v>
      </c>
      <c r="B1724" t="s">
        <v>219</v>
      </c>
      <c r="D1724" t="s">
        <v>327</v>
      </c>
      <c r="E1724">
        <v>99999999</v>
      </c>
      <c r="F1724">
        <v>11111111</v>
      </c>
      <c r="G1724">
        <v>1111111111</v>
      </c>
      <c r="H1724" t="s">
        <v>5293</v>
      </c>
      <c r="I1724">
        <v>99999999</v>
      </c>
      <c r="J1724" s="188">
        <v>45237</v>
      </c>
      <c r="K1724" t="s">
        <v>5293</v>
      </c>
      <c r="L1724" t="s">
        <v>5293</v>
      </c>
      <c r="M1724" t="s">
        <v>624</v>
      </c>
      <c r="N1724" t="s">
        <v>164</v>
      </c>
      <c r="O1724" t="s">
        <v>2377</v>
      </c>
      <c r="P1724" t="s">
        <v>221</v>
      </c>
      <c r="Q1724" t="s">
        <v>82</v>
      </c>
      <c r="R1724">
        <v>2</v>
      </c>
      <c r="S1724">
        <v>11.46</v>
      </c>
      <c r="T1724">
        <v>0</v>
      </c>
      <c r="U1724">
        <v>1</v>
      </c>
      <c r="V1724">
        <v>2</v>
      </c>
      <c r="W1724">
        <v>24.83</v>
      </c>
      <c r="X1724">
        <v>0</v>
      </c>
      <c r="Y1724">
        <v>0</v>
      </c>
      <c r="Z1724">
        <v>0</v>
      </c>
      <c r="AA1724">
        <v>0</v>
      </c>
      <c r="AB1724">
        <v>0</v>
      </c>
      <c r="AC1724">
        <v>0</v>
      </c>
      <c r="AD1724">
        <v>2</v>
      </c>
      <c r="AE1724">
        <v>0</v>
      </c>
      <c r="AF1724">
        <v>0</v>
      </c>
      <c r="AG1724">
        <v>0</v>
      </c>
      <c r="AH1724">
        <v>0</v>
      </c>
      <c r="AI1724">
        <v>0</v>
      </c>
      <c r="AJ1724">
        <v>0</v>
      </c>
      <c r="AK1724">
        <v>0</v>
      </c>
    </row>
    <row r="1725" spans="1:37" x14ac:dyDescent="0.3">
      <c r="A1725">
        <v>7979</v>
      </c>
      <c r="B1725" t="s">
        <v>219</v>
      </c>
      <c r="D1725" t="s">
        <v>327</v>
      </c>
      <c r="E1725">
        <v>99999999</v>
      </c>
      <c r="F1725">
        <v>11111111</v>
      </c>
      <c r="G1725">
        <v>1111111111</v>
      </c>
      <c r="H1725" t="s">
        <v>5294</v>
      </c>
      <c r="I1725">
        <v>99999999</v>
      </c>
      <c r="J1725" s="188">
        <v>45237</v>
      </c>
      <c r="K1725" t="s">
        <v>5294</v>
      </c>
      <c r="L1725" t="s">
        <v>5294</v>
      </c>
      <c r="M1725" t="s">
        <v>2378</v>
      </c>
      <c r="N1725" t="s">
        <v>197</v>
      </c>
      <c r="O1725">
        <v>78626</v>
      </c>
      <c r="P1725" t="s">
        <v>221</v>
      </c>
      <c r="Q1725" t="s">
        <v>82</v>
      </c>
      <c r="R1725">
        <v>2</v>
      </c>
      <c r="S1725">
        <v>0.73</v>
      </c>
      <c r="T1725">
        <v>0</v>
      </c>
      <c r="U1725">
        <v>1</v>
      </c>
      <c r="V1725">
        <v>2</v>
      </c>
      <c r="W1725">
        <v>22.21</v>
      </c>
      <c r="X1725">
        <v>0</v>
      </c>
      <c r="Y1725">
        <v>0</v>
      </c>
      <c r="Z1725">
        <v>0</v>
      </c>
      <c r="AA1725">
        <v>0</v>
      </c>
      <c r="AB1725">
        <v>0</v>
      </c>
      <c r="AC1725">
        <v>0</v>
      </c>
      <c r="AD1725">
        <v>2</v>
      </c>
      <c r="AE1725">
        <v>0</v>
      </c>
      <c r="AF1725">
        <v>0</v>
      </c>
      <c r="AG1725">
        <v>0</v>
      </c>
      <c r="AH1725">
        <v>0</v>
      </c>
      <c r="AI1725">
        <v>0</v>
      </c>
      <c r="AJ1725">
        <v>0</v>
      </c>
      <c r="AK1725">
        <v>0</v>
      </c>
    </row>
    <row r="1726" spans="1:37" x14ac:dyDescent="0.3">
      <c r="A1726">
        <v>7979</v>
      </c>
      <c r="B1726" t="s">
        <v>219</v>
      </c>
      <c r="D1726" t="s">
        <v>327</v>
      </c>
      <c r="E1726">
        <v>99999999</v>
      </c>
      <c r="F1726">
        <v>11111111</v>
      </c>
      <c r="G1726">
        <v>1111111111</v>
      </c>
      <c r="H1726" t="s">
        <v>5295</v>
      </c>
      <c r="I1726">
        <v>99999999</v>
      </c>
      <c r="J1726" s="188">
        <v>45237</v>
      </c>
      <c r="K1726" t="s">
        <v>5295</v>
      </c>
      <c r="L1726" t="s">
        <v>5295</v>
      </c>
      <c r="M1726" t="s">
        <v>2379</v>
      </c>
      <c r="N1726" t="s">
        <v>99</v>
      </c>
      <c r="O1726" t="s">
        <v>2380</v>
      </c>
      <c r="P1726" t="s">
        <v>221</v>
      </c>
      <c r="Q1726" t="s">
        <v>82</v>
      </c>
      <c r="R1726">
        <v>3</v>
      </c>
      <c r="S1726">
        <v>11</v>
      </c>
      <c r="T1726">
        <v>0</v>
      </c>
      <c r="U1726">
        <v>1</v>
      </c>
      <c r="V1726">
        <v>2</v>
      </c>
      <c r="W1726">
        <v>33.090000000000003</v>
      </c>
      <c r="X1726">
        <v>0</v>
      </c>
      <c r="Y1726">
        <v>0</v>
      </c>
      <c r="Z1726">
        <v>0</v>
      </c>
      <c r="AA1726">
        <v>0</v>
      </c>
      <c r="AB1726">
        <v>0</v>
      </c>
      <c r="AC1726">
        <v>0</v>
      </c>
      <c r="AD1726">
        <v>3</v>
      </c>
      <c r="AE1726">
        <v>0</v>
      </c>
      <c r="AF1726">
        <v>0</v>
      </c>
      <c r="AG1726">
        <v>0</v>
      </c>
      <c r="AH1726">
        <v>0</v>
      </c>
      <c r="AI1726">
        <v>0</v>
      </c>
      <c r="AJ1726">
        <v>0</v>
      </c>
      <c r="AK1726">
        <v>0</v>
      </c>
    </row>
    <row r="1727" spans="1:37" x14ac:dyDescent="0.3">
      <c r="A1727">
        <v>7979</v>
      </c>
      <c r="B1727" t="s">
        <v>219</v>
      </c>
      <c r="D1727" t="s">
        <v>327</v>
      </c>
      <c r="E1727">
        <v>99999999</v>
      </c>
      <c r="F1727">
        <v>11111111</v>
      </c>
      <c r="G1727">
        <v>1111111111</v>
      </c>
      <c r="H1727" t="s">
        <v>5296</v>
      </c>
      <c r="I1727">
        <v>99999999</v>
      </c>
      <c r="J1727" s="188">
        <v>45237</v>
      </c>
      <c r="K1727" t="s">
        <v>5296</v>
      </c>
      <c r="L1727" t="s">
        <v>5296</v>
      </c>
      <c r="M1727" t="s">
        <v>2381</v>
      </c>
      <c r="N1727" t="s">
        <v>99</v>
      </c>
      <c r="O1727">
        <v>95139</v>
      </c>
      <c r="P1727" t="s">
        <v>221</v>
      </c>
      <c r="Q1727" t="s">
        <v>82</v>
      </c>
      <c r="R1727">
        <v>7</v>
      </c>
      <c r="S1727">
        <v>19.7</v>
      </c>
      <c r="T1727">
        <v>0</v>
      </c>
      <c r="U1727">
        <v>1</v>
      </c>
      <c r="V1727">
        <v>5</v>
      </c>
      <c r="W1727">
        <v>33.92</v>
      </c>
      <c r="X1727">
        <v>0</v>
      </c>
      <c r="Y1727">
        <v>0</v>
      </c>
      <c r="Z1727">
        <v>0</v>
      </c>
      <c r="AA1727">
        <v>0</v>
      </c>
      <c r="AB1727">
        <v>0</v>
      </c>
      <c r="AC1727">
        <v>0</v>
      </c>
      <c r="AD1727">
        <v>7</v>
      </c>
      <c r="AE1727">
        <v>0</v>
      </c>
      <c r="AF1727">
        <v>0</v>
      </c>
      <c r="AG1727">
        <v>0</v>
      </c>
      <c r="AH1727">
        <v>0</v>
      </c>
      <c r="AI1727">
        <v>0</v>
      </c>
      <c r="AJ1727">
        <v>0</v>
      </c>
      <c r="AK1727">
        <v>0</v>
      </c>
    </row>
    <row r="1728" spans="1:37" x14ac:dyDescent="0.3">
      <c r="A1728">
        <v>7979</v>
      </c>
      <c r="B1728" t="s">
        <v>219</v>
      </c>
      <c r="D1728" t="s">
        <v>327</v>
      </c>
      <c r="E1728">
        <v>99999999</v>
      </c>
      <c r="F1728">
        <v>11111111</v>
      </c>
      <c r="G1728">
        <v>1111111111</v>
      </c>
      <c r="H1728" t="s">
        <v>5297</v>
      </c>
      <c r="I1728">
        <v>99999999</v>
      </c>
      <c r="J1728" s="188">
        <v>45237</v>
      </c>
      <c r="K1728" t="s">
        <v>5297</v>
      </c>
      <c r="L1728" t="s">
        <v>5297</v>
      </c>
      <c r="M1728" t="s">
        <v>463</v>
      </c>
      <c r="N1728" t="s">
        <v>104</v>
      </c>
      <c r="O1728" t="s">
        <v>2382</v>
      </c>
      <c r="P1728" t="s">
        <v>221</v>
      </c>
      <c r="Q1728" t="s">
        <v>82</v>
      </c>
      <c r="R1728">
        <v>8</v>
      </c>
      <c r="S1728">
        <v>10.039999999999999</v>
      </c>
      <c r="T1728">
        <v>0</v>
      </c>
      <c r="U1728">
        <v>1</v>
      </c>
      <c r="V1728">
        <v>8</v>
      </c>
      <c r="W1728">
        <v>24.65</v>
      </c>
      <c r="X1728">
        <v>0</v>
      </c>
      <c r="Y1728">
        <v>0</v>
      </c>
      <c r="Z1728">
        <v>0</v>
      </c>
      <c r="AA1728">
        <v>0</v>
      </c>
      <c r="AB1728">
        <v>0</v>
      </c>
      <c r="AC1728">
        <v>0</v>
      </c>
      <c r="AD1728">
        <v>8</v>
      </c>
      <c r="AE1728">
        <v>0</v>
      </c>
      <c r="AF1728">
        <v>0</v>
      </c>
      <c r="AG1728">
        <v>0</v>
      </c>
      <c r="AH1728">
        <v>0</v>
      </c>
      <c r="AI1728">
        <v>0</v>
      </c>
      <c r="AJ1728">
        <v>0</v>
      </c>
      <c r="AK1728">
        <v>0</v>
      </c>
    </row>
    <row r="1729" spans="1:37" x14ac:dyDescent="0.3">
      <c r="A1729">
        <v>7979</v>
      </c>
      <c r="B1729" t="s">
        <v>219</v>
      </c>
      <c r="D1729" t="s">
        <v>327</v>
      </c>
      <c r="E1729">
        <v>99999999</v>
      </c>
      <c r="F1729">
        <v>11111111</v>
      </c>
      <c r="G1729">
        <v>1111111111</v>
      </c>
      <c r="H1729" t="s">
        <v>5298</v>
      </c>
      <c r="I1729">
        <v>99999999</v>
      </c>
      <c r="J1729" s="188">
        <v>45237</v>
      </c>
      <c r="K1729" t="s">
        <v>5298</v>
      </c>
      <c r="L1729" t="s">
        <v>5298</v>
      </c>
      <c r="M1729" t="s">
        <v>1770</v>
      </c>
      <c r="N1729" t="s">
        <v>99</v>
      </c>
      <c r="O1729" t="s">
        <v>2383</v>
      </c>
      <c r="P1729" t="s">
        <v>221</v>
      </c>
      <c r="Q1729" t="s">
        <v>82</v>
      </c>
      <c r="R1729">
        <v>3</v>
      </c>
      <c r="S1729">
        <v>20.149999999999999</v>
      </c>
      <c r="T1729">
        <v>0</v>
      </c>
      <c r="U1729">
        <v>1</v>
      </c>
      <c r="V1729">
        <v>2</v>
      </c>
      <c r="W1729">
        <v>28.56</v>
      </c>
      <c r="X1729">
        <v>0</v>
      </c>
      <c r="Y1729">
        <v>0</v>
      </c>
      <c r="Z1729">
        <v>0</v>
      </c>
      <c r="AA1729">
        <v>0</v>
      </c>
      <c r="AB1729">
        <v>0</v>
      </c>
      <c r="AC1729">
        <v>0</v>
      </c>
      <c r="AD1729">
        <v>3</v>
      </c>
      <c r="AE1729">
        <v>0</v>
      </c>
      <c r="AF1729">
        <v>0</v>
      </c>
      <c r="AG1729">
        <v>0</v>
      </c>
      <c r="AH1729">
        <v>0</v>
      </c>
      <c r="AI1729">
        <v>0</v>
      </c>
      <c r="AJ1729">
        <v>0</v>
      </c>
      <c r="AK1729">
        <v>0</v>
      </c>
    </row>
    <row r="1730" spans="1:37" x14ac:dyDescent="0.3">
      <c r="A1730">
        <v>7979</v>
      </c>
      <c r="B1730" t="s">
        <v>219</v>
      </c>
      <c r="D1730" t="s">
        <v>327</v>
      </c>
      <c r="E1730">
        <v>99999999</v>
      </c>
      <c r="F1730">
        <v>11111111</v>
      </c>
      <c r="G1730">
        <v>1111111111</v>
      </c>
      <c r="H1730" t="s">
        <v>5299</v>
      </c>
      <c r="I1730">
        <v>99999999</v>
      </c>
      <c r="J1730" s="188">
        <v>45237</v>
      </c>
      <c r="K1730" t="s">
        <v>5299</v>
      </c>
      <c r="L1730" t="s">
        <v>5299</v>
      </c>
      <c r="M1730" t="s">
        <v>1674</v>
      </c>
      <c r="N1730" t="s">
        <v>99</v>
      </c>
      <c r="O1730" t="s">
        <v>2384</v>
      </c>
      <c r="P1730" t="s">
        <v>221</v>
      </c>
      <c r="Q1730" t="s">
        <v>82</v>
      </c>
      <c r="R1730">
        <v>2</v>
      </c>
      <c r="S1730">
        <v>6.33</v>
      </c>
      <c r="T1730">
        <v>0</v>
      </c>
      <c r="U1730">
        <v>1</v>
      </c>
      <c r="V1730">
        <v>2</v>
      </c>
      <c r="W1730">
        <v>23.54</v>
      </c>
      <c r="X1730">
        <v>0</v>
      </c>
      <c r="Y1730">
        <v>0</v>
      </c>
      <c r="Z1730">
        <v>0</v>
      </c>
      <c r="AA1730">
        <v>0</v>
      </c>
      <c r="AB1730">
        <v>0</v>
      </c>
      <c r="AC1730">
        <v>0</v>
      </c>
      <c r="AD1730">
        <v>2</v>
      </c>
      <c r="AE1730">
        <v>0</v>
      </c>
      <c r="AF1730">
        <v>0</v>
      </c>
      <c r="AG1730">
        <v>0</v>
      </c>
      <c r="AH1730">
        <v>0</v>
      </c>
      <c r="AI1730">
        <v>0</v>
      </c>
      <c r="AJ1730">
        <v>0</v>
      </c>
      <c r="AK1730">
        <v>0</v>
      </c>
    </row>
    <row r="1731" spans="1:37" x14ac:dyDescent="0.3">
      <c r="A1731">
        <v>7979</v>
      </c>
      <c r="B1731" t="s">
        <v>219</v>
      </c>
      <c r="D1731" t="s">
        <v>327</v>
      </c>
      <c r="E1731">
        <v>99999999</v>
      </c>
      <c r="F1731">
        <v>11111111</v>
      </c>
      <c r="G1731">
        <v>1111111111</v>
      </c>
      <c r="H1731" t="s">
        <v>5300</v>
      </c>
      <c r="I1731">
        <v>99999999</v>
      </c>
      <c r="J1731" s="188">
        <v>45237</v>
      </c>
      <c r="K1731" t="s">
        <v>5300</v>
      </c>
      <c r="L1731" t="s">
        <v>5300</v>
      </c>
      <c r="M1731" t="s">
        <v>173</v>
      </c>
      <c r="N1731" t="s">
        <v>164</v>
      </c>
      <c r="O1731" t="s">
        <v>2385</v>
      </c>
      <c r="P1731" t="s">
        <v>221</v>
      </c>
      <c r="Q1731" t="s">
        <v>82</v>
      </c>
      <c r="R1731">
        <v>3</v>
      </c>
      <c r="S1731">
        <v>4.46</v>
      </c>
      <c r="T1731">
        <v>0</v>
      </c>
      <c r="U1731">
        <v>1</v>
      </c>
      <c r="V1731">
        <v>3</v>
      </c>
      <c r="W1731">
        <v>22.93</v>
      </c>
      <c r="X1731">
        <v>0</v>
      </c>
      <c r="Y1731">
        <v>0</v>
      </c>
      <c r="Z1731">
        <v>0</v>
      </c>
      <c r="AA1731">
        <v>0</v>
      </c>
      <c r="AB1731">
        <v>0</v>
      </c>
      <c r="AC1731">
        <v>0</v>
      </c>
      <c r="AD1731">
        <v>3</v>
      </c>
      <c r="AE1731">
        <v>0</v>
      </c>
      <c r="AF1731">
        <v>0</v>
      </c>
      <c r="AG1731">
        <v>0</v>
      </c>
      <c r="AH1731">
        <v>0</v>
      </c>
      <c r="AI1731">
        <v>0</v>
      </c>
      <c r="AJ1731">
        <v>0</v>
      </c>
      <c r="AK1731">
        <v>0</v>
      </c>
    </row>
    <row r="1732" spans="1:37" x14ac:dyDescent="0.3">
      <c r="A1732">
        <v>7979</v>
      </c>
      <c r="B1732" t="s">
        <v>219</v>
      </c>
      <c r="D1732" t="s">
        <v>327</v>
      </c>
      <c r="E1732">
        <v>99999999</v>
      </c>
      <c r="F1732">
        <v>11111111</v>
      </c>
      <c r="G1732">
        <v>1111111111</v>
      </c>
      <c r="H1732" t="s">
        <v>5301</v>
      </c>
      <c r="I1732">
        <v>99999999</v>
      </c>
      <c r="J1732" s="188">
        <v>45237</v>
      </c>
      <c r="K1732" t="s">
        <v>5301</v>
      </c>
      <c r="L1732" t="s">
        <v>5301</v>
      </c>
      <c r="M1732" t="s">
        <v>101</v>
      </c>
      <c r="N1732" t="s">
        <v>97</v>
      </c>
      <c r="O1732" t="s">
        <v>2386</v>
      </c>
      <c r="P1732" t="s">
        <v>221</v>
      </c>
      <c r="Q1732" t="s">
        <v>82</v>
      </c>
      <c r="R1732">
        <v>2</v>
      </c>
      <c r="S1732">
        <v>6.1</v>
      </c>
      <c r="T1732">
        <v>0</v>
      </c>
      <c r="U1732">
        <v>1</v>
      </c>
      <c r="V1732">
        <v>2</v>
      </c>
      <c r="W1732">
        <v>23.54</v>
      </c>
      <c r="X1732">
        <v>0</v>
      </c>
      <c r="Y1732">
        <v>0</v>
      </c>
      <c r="Z1732">
        <v>0</v>
      </c>
      <c r="AA1732">
        <v>0</v>
      </c>
      <c r="AB1732">
        <v>0</v>
      </c>
      <c r="AC1732">
        <v>0</v>
      </c>
      <c r="AD1732">
        <v>2</v>
      </c>
      <c r="AE1732">
        <v>0</v>
      </c>
      <c r="AF1732">
        <v>0</v>
      </c>
      <c r="AG1732">
        <v>0</v>
      </c>
      <c r="AH1732">
        <v>0</v>
      </c>
      <c r="AI1732">
        <v>0</v>
      </c>
      <c r="AJ1732">
        <v>0</v>
      </c>
      <c r="AK1732">
        <v>0</v>
      </c>
    </row>
    <row r="1733" spans="1:37" x14ac:dyDescent="0.3">
      <c r="A1733">
        <v>7979</v>
      </c>
      <c r="B1733" t="s">
        <v>219</v>
      </c>
      <c r="D1733" t="s">
        <v>327</v>
      </c>
      <c r="E1733">
        <v>99999999</v>
      </c>
      <c r="F1733">
        <v>11111111</v>
      </c>
      <c r="G1733">
        <v>1111111111</v>
      </c>
      <c r="H1733" t="s">
        <v>5302</v>
      </c>
      <c r="I1733">
        <v>99999999</v>
      </c>
      <c r="J1733" s="188">
        <v>45237</v>
      </c>
      <c r="K1733" t="s">
        <v>5302</v>
      </c>
      <c r="L1733" t="s">
        <v>5302</v>
      </c>
      <c r="M1733" t="s">
        <v>1653</v>
      </c>
      <c r="N1733" t="s">
        <v>97</v>
      </c>
      <c r="O1733" t="s">
        <v>2387</v>
      </c>
      <c r="P1733" t="s">
        <v>221</v>
      </c>
      <c r="Q1733" t="s">
        <v>82</v>
      </c>
      <c r="R1733">
        <v>6</v>
      </c>
      <c r="S1733">
        <v>7.24</v>
      </c>
      <c r="T1733">
        <v>0</v>
      </c>
      <c r="U1733">
        <v>1</v>
      </c>
      <c r="V1733">
        <v>6</v>
      </c>
      <c r="W1733">
        <v>24.15</v>
      </c>
      <c r="X1733">
        <v>0</v>
      </c>
      <c r="Y1733">
        <v>0</v>
      </c>
      <c r="Z1733">
        <v>0</v>
      </c>
      <c r="AA1733">
        <v>0</v>
      </c>
      <c r="AB1733">
        <v>0</v>
      </c>
      <c r="AC1733">
        <v>0</v>
      </c>
      <c r="AD1733">
        <v>6</v>
      </c>
      <c r="AE1733">
        <v>0</v>
      </c>
      <c r="AF1733">
        <v>0</v>
      </c>
      <c r="AG1733">
        <v>0</v>
      </c>
      <c r="AH1733">
        <v>0</v>
      </c>
      <c r="AI1733">
        <v>0</v>
      </c>
      <c r="AJ1733">
        <v>0</v>
      </c>
      <c r="AK1733">
        <v>0</v>
      </c>
    </row>
    <row r="1734" spans="1:37" x14ac:dyDescent="0.3">
      <c r="A1734">
        <v>7979</v>
      </c>
      <c r="B1734" t="s">
        <v>219</v>
      </c>
      <c r="D1734" t="s">
        <v>327</v>
      </c>
      <c r="E1734">
        <v>99999999</v>
      </c>
      <c r="F1734">
        <v>11111111</v>
      </c>
      <c r="G1734">
        <v>1111111111</v>
      </c>
      <c r="H1734" t="s">
        <v>5303</v>
      </c>
      <c r="I1734">
        <v>99999999</v>
      </c>
      <c r="J1734" s="188">
        <v>45237</v>
      </c>
      <c r="K1734" t="s">
        <v>5303</v>
      </c>
      <c r="L1734" t="s">
        <v>5303</v>
      </c>
      <c r="M1734" t="s">
        <v>297</v>
      </c>
      <c r="N1734" t="s">
        <v>197</v>
      </c>
      <c r="O1734" t="s">
        <v>2388</v>
      </c>
      <c r="P1734" t="s">
        <v>221</v>
      </c>
      <c r="Q1734" t="s">
        <v>82</v>
      </c>
      <c r="R1734">
        <v>3</v>
      </c>
      <c r="S1734">
        <v>8.7899999999999991</v>
      </c>
      <c r="T1734">
        <v>0</v>
      </c>
      <c r="U1734">
        <v>1</v>
      </c>
      <c r="V1734">
        <v>3</v>
      </c>
      <c r="W1734">
        <v>26.92</v>
      </c>
      <c r="X1734">
        <v>0</v>
      </c>
      <c r="Y1734">
        <v>0</v>
      </c>
      <c r="Z1734">
        <v>0</v>
      </c>
      <c r="AA1734">
        <v>0</v>
      </c>
      <c r="AB1734">
        <v>0</v>
      </c>
      <c r="AC1734">
        <v>0</v>
      </c>
      <c r="AD1734">
        <v>3</v>
      </c>
      <c r="AE1734">
        <v>0</v>
      </c>
      <c r="AF1734">
        <v>0</v>
      </c>
      <c r="AG1734">
        <v>0</v>
      </c>
      <c r="AH1734">
        <v>0</v>
      </c>
      <c r="AI1734">
        <v>0</v>
      </c>
      <c r="AJ1734">
        <v>0</v>
      </c>
      <c r="AK1734">
        <v>0</v>
      </c>
    </row>
    <row r="1735" spans="1:37" x14ac:dyDescent="0.3">
      <c r="A1735">
        <v>7979</v>
      </c>
      <c r="B1735" t="s">
        <v>219</v>
      </c>
      <c r="D1735" t="s">
        <v>327</v>
      </c>
      <c r="E1735">
        <v>99999999</v>
      </c>
      <c r="F1735">
        <v>11111111</v>
      </c>
      <c r="G1735">
        <v>1111111111</v>
      </c>
      <c r="H1735" t="s">
        <v>5304</v>
      </c>
      <c r="I1735">
        <v>99999999</v>
      </c>
      <c r="J1735" s="188">
        <v>45237</v>
      </c>
      <c r="K1735" t="s">
        <v>5304</v>
      </c>
      <c r="L1735" t="s">
        <v>5304</v>
      </c>
      <c r="M1735" t="s">
        <v>258</v>
      </c>
      <c r="N1735" t="s">
        <v>91</v>
      </c>
      <c r="O1735" t="s">
        <v>2389</v>
      </c>
      <c r="P1735" t="s">
        <v>221</v>
      </c>
      <c r="Q1735" t="s">
        <v>82</v>
      </c>
      <c r="R1735">
        <v>3</v>
      </c>
      <c r="S1735">
        <v>18.75</v>
      </c>
      <c r="T1735">
        <v>0</v>
      </c>
      <c r="U1735">
        <v>1</v>
      </c>
      <c r="V1735">
        <v>3</v>
      </c>
      <c r="W1735">
        <v>32.340000000000003</v>
      </c>
      <c r="X1735">
        <v>0</v>
      </c>
      <c r="Y1735">
        <v>0</v>
      </c>
      <c r="Z1735">
        <v>0</v>
      </c>
      <c r="AA1735">
        <v>0</v>
      </c>
      <c r="AB1735">
        <v>0</v>
      </c>
      <c r="AC1735">
        <v>0</v>
      </c>
      <c r="AD1735">
        <v>3</v>
      </c>
      <c r="AE1735">
        <v>0</v>
      </c>
      <c r="AF1735">
        <v>0</v>
      </c>
      <c r="AG1735">
        <v>0</v>
      </c>
      <c r="AH1735">
        <v>0</v>
      </c>
      <c r="AI1735">
        <v>0</v>
      </c>
      <c r="AJ1735">
        <v>0</v>
      </c>
      <c r="AK1735">
        <v>0</v>
      </c>
    </row>
    <row r="1736" spans="1:37" x14ac:dyDescent="0.3">
      <c r="A1736">
        <v>7979</v>
      </c>
      <c r="B1736" t="s">
        <v>219</v>
      </c>
      <c r="D1736" t="s">
        <v>327</v>
      </c>
      <c r="E1736">
        <v>99999999</v>
      </c>
      <c r="F1736">
        <v>11111111</v>
      </c>
      <c r="G1736">
        <v>1111111111</v>
      </c>
      <c r="H1736" t="s">
        <v>5305</v>
      </c>
      <c r="I1736">
        <v>99999999</v>
      </c>
      <c r="J1736" s="188">
        <v>45237</v>
      </c>
      <c r="K1736" t="s">
        <v>5305</v>
      </c>
      <c r="L1736" t="s">
        <v>5305</v>
      </c>
      <c r="M1736" t="s">
        <v>2390</v>
      </c>
      <c r="N1736" t="s">
        <v>99</v>
      </c>
      <c r="O1736" t="s">
        <v>2391</v>
      </c>
      <c r="P1736" t="s">
        <v>221</v>
      </c>
      <c r="Q1736" t="s">
        <v>82</v>
      </c>
      <c r="R1736">
        <v>2</v>
      </c>
      <c r="S1736">
        <v>11.28</v>
      </c>
      <c r="T1736">
        <v>0</v>
      </c>
      <c r="U1736">
        <v>1</v>
      </c>
      <c r="V1736">
        <v>2</v>
      </c>
      <c r="W1736">
        <v>24.83</v>
      </c>
      <c r="X1736">
        <v>0</v>
      </c>
      <c r="Y1736">
        <v>0</v>
      </c>
      <c r="Z1736">
        <v>0</v>
      </c>
      <c r="AA1736">
        <v>0</v>
      </c>
      <c r="AB1736">
        <v>0</v>
      </c>
      <c r="AC1736">
        <v>0</v>
      </c>
      <c r="AD1736">
        <v>2</v>
      </c>
      <c r="AE1736">
        <v>0</v>
      </c>
      <c r="AF1736">
        <v>0</v>
      </c>
      <c r="AG1736">
        <v>0</v>
      </c>
      <c r="AH1736">
        <v>0</v>
      </c>
      <c r="AI1736">
        <v>0</v>
      </c>
      <c r="AJ1736">
        <v>0</v>
      </c>
      <c r="AK1736">
        <v>0</v>
      </c>
    </row>
    <row r="1737" spans="1:37" x14ac:dyDescent="0.3">
      <c r="A1737">
        <v>7979</v>
      </c>
      <c r="B1737" t="s">
        <v>219</v>
      </c>
      <c r="D1737" t="s">
        <v>327</v>
      </c>
      <c r="E1737">
        <v>99999999</v>
      </c>
      <c r="F1737">
        <v>11111111</v>
      </c>
      <c r="G1737">
        <v>1111111111</v>
      </c>
      <c r="H1737" t="s">
        <v>5306</v>
      </c>
      <c r="I1737">
        <v>99999999</v>
      </c>
      <c r="J1737" s="188">
        <v>45237</v>
      </c>
      <c r="K1737" t="s">
        <v>5306</v>
      </c>
      <c r="L1737" t="s">
        <v>5306</v>
      </c>
      <c r="M1737" t="s">
        <v>2392</v>
      </c>
      <c r="N1737" t="s">
        <v>197</v>
      </c>
      <c r="O1737" t="s">
        <v>2393</v>
      </c>
      <c r="P1737" t="s">
        <v>221</v>
      </c>
      <c r="Q1737" t="s">
        <v>82</v>
      </c>
      <c r="R1737">
        <v>2</v>
      </c>
      <c r="S1737">
        <v>20.25</v>
      </c>
      <c r="T1737">
        <v>0</v>
      </c>
      <c r="U1737">
        <v>2</v>
      </c>
      <c r="V1737">
        <v>2</v>
      </c>
      <c r="W1737">
        <v>83.27</v>
      </c>
      <c r="X1737">
        <v>0</v>
      </c>
      <c r="Y1737">
        <v>0</v>
      </c>
      <c r="Z1737">
        <v>0</v>
      </c>
      <c r="AA1737">
        <v>0</v>
      </c>
      <c r="AB1737">
        <v>0</v>
      </c>
      <c r="AC1737">
        <v>0</v>
      </c>
      <c r="AD1737">
        <v>2</v>
      </c>
      <c r="AE1737">
        <v>0</v>
      </c>
      <c r="AF1737">
        <v>0</v>
      </c>
      <c r="AG1737">
        <v>0</v>
      </c>
      <c r="AH1737">
        <v>0</v>
      </c>
      <c r="AI1737">
        <v>0</v>
      </c>
      <c r="AJ1737">
        <v>0</v>
      </c>
      <c r="AK1737">
        <v>0</v>
      </c>
    </row>
    <row r="1738" spans="1:37" x14ac:dyDescent="0.3">
      <c r="A1738">
        <v>7979</v>
      </c>
      <c r="B1738" t="s">
        <v>219</v>
      </c>
      <c r="D1738" t="s">
        <v>327</v>
      </c>
      <c r="E1738">
        <v>99999999</v>
      </c>
      <c r="F1738">
        <v>11111111</v>
      </c>
      <c r="G1738">
        <v>1111111111</v>
      </c>
      <c r="H1738" t="s">
        <v>5307</v>
      </c>
      <c r="I1738">
        <v>99999999</v>
      </c>
      <c r="J1738" s="188">
        <v>45237</v>
      </c>
      <c r="K1738" t="s">
        <v>5307</v>
      </c>
      <c r="L1738" t="s">
        <v>5307</v>
      </c>
      <c r="M1738" t="s">
        <v>1120</v>
      </c>
      <c r="N1738" t="s">
        <v>164</v>
      </c>
      <c r="O1738" t="s">
        <v>2394</v>
      </c>
      <c r="P1738" t="s">
        <v>221</v>
      </c>
      <c r="Q1738" t="s">
        <v>82</v>
      </c>
      <c r="R1738">
        <v>2</v>
      </c>
      <c r="S1738">
        <v>15.62</v>
      </c>
      <c r="T1738">
        <v>0</v>
      </c>
      <c r="U1738">
        <v>1</v>
      </c>
      <c r="V1738">
        <v>2</v>
      </c>
      <c r="W1738">
        <v>34.340000000000003</v>
      </c>
      <c r="X1738">
        <v>0</v>
      </c>
      <c r="Y1738">
        <v>0</v>
      </c>
      <c r="Z1738">
        <v>0</v>
      </c>
      <c r="AA1738">
        <v>0</v>
      </c>
      <c r="AB1738">
        <v>0</v>
      </c>
      <c r="AC1738">
        <v>0</v>
      </c>
      <c r="AD1738">
        <v>2</v>
      </c>
      <c r="AE1738">
        <v>0</v>
      </c>
      <c r="AF1738">
        <v>0</v>
      </c>
      <c r="AG1738">
        <v>0</v>
      </c>
      <c r="AH1738">
        <v>0</v>
      </c>
      <c r="AI1738">
        <v>0</v>
      </c>
      <c r="AJ1738">
        <v>0</v>
      </c>
      <c r="AK1738">
        <v>0</v>
      </c>
    </row>
    <row r="1739" spans="1:37" x14ac:dyDescent="0.3">
      <c r="A1739">
        <v>7979</v>
      </c>
      <c r="B1739" t="s">
        <v>219</v>
      </c>
      <c r="D1739" t="s">
        <v>327</v>
      </c>
      <c r="E1739">
        <v>99999999</v>
      </c>
      <c r="F1739">
        <v>11111111</v>
      </c>
      <c r="G1739">
        <v>1111111111</v>
      </c>
      <c r="H1739" t="s">
        <v>5308</v>
      </c>
      <c r="I1739">
        <v>99999999</v>
      </c>
      <c r="J1739" s="188">
        <v>45237</v>
      </c>
      <c r="K1739" t="s">
        <v>5308</v>
      </c>
      <c r="L1739" t="s">
        <v>5308</v>
      </c>
      <c r="M1739" t="s">
        <v>2258</v>
      </c>
      <c r="N1739" t="s">
        <v>130</v>
      </c>
      <c r="O1739" t="s">
        <v>2395</v>
      </c>
      <c r="P1739" t="s">
        <v>221</v>
      </c>
      <c r="Q1739" t="s">
        <v>82</v>
      </c>
      <c r="R1739">
        <v>3</v>
      </c>
      <c r="S1739">
        <v>29</v>
      </c>
      <c r="T1739">
        <v>0</v>
      </c>
      <c r="U1739">
        <v>1</v>
      </c>
      <c r="V1739">
        <v>3</v>
      </c>
      <c r="W1739">
        <v>47.23</v>
      </c>
      <c r="X1739">
        <v>0</v>
      </c>
      <c r="Y1739">
        <v>0</v>
      </c>
      <c r="Z1739">
        <v>0</v>
      </c>
      <c r="AA1739">
        <v>0</v>
      </c>
      <c r="AB1739">
        <v>0</v>
      </c>
      <c r="AC1739">
        <v>0</v>
      </c>
      <c r="AD1739">
        <v>3</v>
      </c>
      <c r="AE1739">
        <v>0</v>
      </c>
      <c r="AF1739">
        <v>0</v>
      </c>
      <c r="AG1739">
        <v>0</v>
      </c>
      <c r="AH1739">
        <v>0</v>
      </c>
      <c r="AI1739">
        <v>0</v>
      </c>
      <c r="AJ1739">
        <v>0</v>
      </c>
      <c r="AK1739">
        <v>0</v>
      </c>
    </row>
    <row r="1740" spans="1:37" x14ac:dyDescent="0.3">
      <c r="A1740">
        <v>7979</v>
      </c>
      <c r="B1740" t="s">
        <v>219</v>
      </c>
      <c r="D1740" t="s">
        <v>327</v>
      </c>
      <c r="E1740">
        <v>99999999</v>
      </c>
      <c r="F1740">
        <v>11111111</v>
      </c>
      <c r="G1740">
        <v>1111111111</v>
      </c>
      <c r="H1740" t="s">
        <v>5309</v>
      </c>
      <c r="I1740">
        <v>99999999</v>
      </c>
      <c r="J1740" s="188">
        <v>45237</v>
      </c>
      <c r="K1740" t="s">
        <v>5309</v>
      </c>
      <c r="L1740" t="s">
        <v>5309</v>
      </c>
      <c r="M1740" t="s">
        <v>2396</v>
      </c>
      <c r="N1740" t="s">
        <v>151</v>
      </c>
      <c r="O1740" t="s">
        <v>2397</v>
      </c>
      <c r="P1740" t="s">
        <v>221</v>
      </c>
      <c r="Q1740" t="s">
        <v>82</v>
      </c>
      <c r="R1740">
        <v>2</v>
      </c>
      <c r="S1740">
        <v>1.2</v>
      </c>
      <c r="T1740">
        <v>0</v>
      </c>
      <c r="U1740">
        <v>1</v>
      </c>
      <c r="V1740">
        <v>1</v>
      </c>
      <c r="W1740">
        <v>31.36</v>
      </c>
      <c r="X1740">
        <v>0</v>
      </c>
      <c r="Y1740">
        <v>0</v>
      </c>
      <c r="Z1740">
        <v>0</v>
      </c>
      <c r="AA1740">
        <v>0</v>
      </c>
      <c r="AB1740">
        <v>0</v>
      </c>
      <c r="AC1740">
        <v>0</v>
      </c>
      <c r="AD1740">
        <v>2</v>
      </c>
      <c r="AE1740">
        <v>0</v>
      </c>
      <c r="AF1740">
        <v>0</v>
      </c>
      <c r="AG1740">
        <v>0</v>
      </c>
      <c r="AH1740">
        <v>0</v>
      </c>
      <c r="AI1740">
        <v>0</v>
      </c>
      <c r="AJ1740">
        <v>0</v>
      </c>
      <c r="AK1740">
        <v>0</v>
      </c>
    </row>
    <row r="1741" spans="1:37" x14ac:dyDescent="0.3">
      <c r="A1741">
        <v>7979</v>
      </c>
      <c r="B1741" t="s">
        <v>219</v>
      </c>
      <c r="D1741" t="s">
        <v>327</v>
      </c>
      <c r="E1741">
        <v>99999999</v>
      </c>
      <c r="F1741">
        <v>11111111</v>
      </c>
      <c r="G1741">
        <v>1111111111</v>
      </c>
      <c r="H1741" t="s">
        <v>5310</v>
      </c>
      <c r="I1741">
        <v>99999999</v>
      </c>
      <c r="J1741" s="188">
        <v>45237</v>
      </c>
      <c r="K1741" t="s">
        <v>5310</v>
      </c>
      <c r="L1741" t="s">
        <v>5310</v>
      </c>
      <c r="M1741" t="s">
        <v>2398</v>
      </c>
      <c r="N1741" t="s">
        <v>197</v>
      </c>
      <c r="O1741" t="s">
        <v>2399</v>
      </c>
      <c r="P1741" t="s">
        <v>221</v>
      </c>
      <c r="Q1741" t="s">
        <v>82</v>
      </c>
      <c r="R1741">
        <v>1</v>
      </c>
      <c r="S1741">
        <v>2.2000000000000002</v>
      </c>
      <c r="T1741">
        <v>0</v>
      </c>
      <c r="U1741">
        <v>1</v>
      </c>
      <c r="V1741">
        <v>1</v>
      </c>
      <c r="W1741">
        <v>23.35</v>
      </c>
      <c r="X1741">
        <v>0</v>
      </c>
      <c r="Y1741">
        <v>0</v>
      </c>
      <c r="Z1741">
        <v>0</v>
      </c>
      <c r="AA1741">
        <v>0</v>
      </c>
      <c r="AB1741">
        <v>0</v>
      </c>
      <c r="AC1741">
        <v>0</v>
      </c>
      <c r="AD1741">
        <v>1</v>
      </c>
      <c r="AE1741">
        <v>0</v>
      </c>
      <c r="AF1741">
        <v>0</v>
      </c>
      <c r="AG1741">
        <v>0</v>
      </c>
      <c r="AH1741">
        <v>0</v>
      </c>
      <c r="AI1741">
        <v>0</v>
      </c>
      <c r="AJ1741">
        <v>0</v>
      </c>
      <c r="AK1741">
        <v>0</v>
      </c>
    </row>
    <row r="1742" spans="1:37" x14ac:dyDescent="0.3">
      <c r="A1742">
        <v>7979</v>
      </c>
      <c r="B1742" t="s">
        <v>219</v>
      </c>
      <c r="D1742" t="s">
        <v>327</v>
      </c>
      <c r="E1742">
        <v>99999999</v>
      </c>
      <c r="F1742">
        <v>11111111</v>
      </c>
      <c r="G1742">
        <v>1111111111</v>
      </c>
      <c r="H1742" t="s">
        <v>5311</v>
      </c>
      <c r="I1742">
        <v>99999999</v>
      </c>
      <c r="J1742" s="188">
        <v>45237</v>
      </c>
      <c r="K1742" t="s">
        <v>5311</v>
      </c>
      <c r="L1742" t="s">
        <v>5311</v>
      </c>
      <c r="M1742" t="s">
        <v>514</v>
      </c>
      <c r="N1742" t="s">
        <v>99</v>
      </c>
      <c r="O1742">
        <v>95616</v>
      </c>
      <c r="P1742" t="s">
        <v>221</v>
      </c>
      <c r="Q1742" t="s">
        <v>82</v>
      </c>
      <c r="R1742">
        <v>4</v>
      </c>
      <c r="S1742">
        <v>6.2</v>
      </c>
      <c r="T1742">
        <v>0</v>
      </c>
      <c r="U1742">
        <v>1</v>
      </c>
      <c r="V1742">
        <v>2</v>
      </c>
      <c r="W1742">
        <v>20.8</v>
      </c>
      <c r="X1742">
        <v>0</v>
      </c>
      <c r="Y1742">
        <v>0</v>
      </c>
      <c r="Z1742">
        <v>0</v>
      </c>
      <c r="AA1742">
        <v>0</v>
      </c>
      <c r="AB1742">
        <v>0</v>
      </c>
      <c r="AC1742">
        <v>0</v>
      </c>
      <c r="AD1742">
        <v>4</v>
      </c>
      <c r="AE1742">
        <v>0</v>
      </c>
      <c r="AF1742">
        <v>0</v>
      </c>
      <c r="AG1742">
        <v>0</v>
      </c>
      <c r="AH1742">
        <v>0</v>
      </c>
      <c r="AI1742">
        <v>0</v>
      </c>
      <c r="AJ1742">
        <v>0</v>
      </c>
      <c r="AK1742">
        <v>0</v>
      </c>
    </row>
    <row r="1743" spans="1:37" x14ac:dyDescent="0.3">
      <c r="A1743">
        <v>7979</v>
      </c>
      <c r="B1743" t="s">
        <v>219</v>
      </c>
      <c r="D1743" t="s">
        <v>327</v>
      </c>
      <c r="E1743">
        <v>99999999</v>
      </c>
      <c r="F1743">
        <v>11111111</v>
      </c>
      <c r="G1743">
        <v>1111111111</v>
      </c>
      <c r="H1743" t="s">
        <v>5312</v>
      </c>
      <c r="I1743">
        <v>99999999</v>
      </c>
      <c r="J1743" s="188">
        <v>45237</v>
      </c>
      <c r="K1743" t="s">
        <v>5312</v>
      </c>
      <c r="L1743" t="s">
        <v>5312</v>
      </c>
      <c r="M1743" t="s">
        <v>749</v>
      </c>
      <c r="N1743" t="s">
        <v>130</v>
      </c>
      <c r="O1743" t="s">
        <v>2400</v>
      </c>
      <c r="P1743" t="s">
        <v>221</v>
      </c>
      <c r="Q1743" t="s">
        <v>82</v>
      </c>
      <c r="R1743">
        <v>1</v>
      </c>
      <c r="S1743">
        <v>5</v>
      </c>
      <c r="T1743">
        <v>0</v>
      </c>
      <c r="U1743">
        <v>1</v>
      </c>
      <c r="V1743">
        <v>1</v>
      </c>
      <c r="W1743">
        <v>30.56</v>
      </c>
      <c r="X1743">
        <v>0</v>
      </c>
      <c r="Y1743">
        <v>0</v>
      </c>
      <c r="Z1743">
        <v>0</v>
      </c>
      <c r="AA1743">
        <v>0</v>
      </c>
      <c r="AB1743">
        <v>0</v>
      </c>
      <c r="AC1743">
        <v>0</v>
      </c>
      <c r="AD1743">
        <v>1</v>
      </c>
      <c r="AE1743">
        <v>0</v>
      </c>
      <c r="AF1743">
        <v>0</v>
      </c>
      <c r="AG1743">
        <v>0</v>
      </c>
      <c r="AH1743">
        <v>0</v>
      </c>
      <c r="AI1743">
        <v>0</v>
      </c>
      <c r="AJ1743">
        <v>0</v>
      </c>
      <c r="AK1743">
        <v>0</v>
      </c>
    </row>
    <row r="1744" spans="1:37" x14ac:dyDescent="0.3">
      <c r="A1744">
        <v>7979</v>
      </c>
      <c r="B1744" t="s">
        <v>219</v>
      </c>
      <c r="D1744" t="s">
        <v>327</v>
      </c>
      <c r="E1744">
        <v>99999999</v>
      </c>
      <c r="F1744">
        <v>11111111</v>
      </c>
      <c r="G1744">
        <v>1111111111</v>
      </c>
      <c r="H1744" t="s">
        <v>5313</v>
      </c>
      <c r="I1744">
        <v>99999999</v>
      </c>
      <c r="J1744" s="188">
        <v>45237</v>
      </c>
      <c r="K1744" t="s">
        <v>5313</v>
      </c>
      <c r="L1744" t="s">
        <v>5313</v>
      </c>
      <c r="M1744" t="s">
        <v>618</v>
      </c>
      <c r="N1744" t="s">
        <v>99</v>
      </c>
      <c r="O1744" t="s">
        <v>2401</v>
      </c>
      <c r="P1744" t="s">
        <v>221</v>
      </c>
      <c r="Q1744" t="s">
        <v>82</v>
      </c>
      <c r="R1744">
        <v>1</v>
      </c>
      <c r="S1744">
        <v>6.6</v>
      </c>
      <c r="T1744">
        <v>0</v>
      </c>
      <c r="U1744">
        <v>1</v>
      </c>
      <c r="V1744">
        <v>1</v>
      </c>
      <c r="W1744">
        <v>22.42</v>
      </c>
      <c r="X1744">
        <v>0</v>
      </c>
      <c r="Y1744">
        <v>0</v>
      </c>
      <c r="Z1744">
        <v>0</v>
      </c>
      <c r="AA1744">
        <v>0</v>
      </c>
      <c r="AB1744">
        <v>0</v>
      </c>
      <c r="AC1744">
        <v>0</v>
      </c>
      <c r="AD1744">
        <v>1</v>
      </c>
      <c r="AE1744">
        <v>0</v>
      </c>
      <c r="AF1744">
        <v>0</v>
      </c>
      <c r="AG1744">
        <v>0</v>
      </c>
      <c r="AH1744">
        <v>0</v>
      </c>
      <c r="AI1744">
        <v>0</v>
      </c>
      <c r="AJ1744">
        <v>0</v>
      </c>
      <c r="AK1744">
        <v>0</v>
      </c>
    </row>
    <row r="1745" spans="1:37" x14ac:dyDescent="0.3">
      <c r="A1745">
        <v>7979</v>
      </c>
      <c r="B1745" t="s">
        <v>219</v>
      </c>
      <c r="D1745" t="s">
        <v>327</v>
      </c>
      <c r="E1745">
        <v>99999999</v>
      </c>
      <c r="F1745">
        <v>11111111</v>
      </c>
      <c r="G1745">
        <v>1111111111</v>
      </c>
      <c r="H1745" t="s">
        <v>5314</v>
      </c>
      <c r="I1745">
        <v>99999999</v>
      </c>
      <c r="J1745" s="188">
        <v>45237</v>
      </c>
      <c r="K1745" t="s">
        <v>5314</v>
      </c>
      <c r="L1745" t="s">
        <v>5314</v>
      </c>
      <c r="M1745" t="s">
        <v>915</v>
      </c>
      <c r="N1745" t="s">
        <v>164</v>
      </c>
      <c r="O1745" t="s">
        <v>1856</v>
      </c>
      <c r="P1745" t="s">
        <v>221</v>
      </c>
      <c r="Q1745" t="s">
        <v>82</v>
      </c>
      <c r="R1745">
        <v>1</v>
      </c>
      <c r="S1745">
        <v>2</v>
      </c>
      <c r="T1745">
        <v>0</v>
      </c>
      <c r="U1745">
        <v>1</v>
      </c>
      <c r="V1745">
        <v>1</v>
      </c>
      <c r="W1745">
        <v>21.88</v>
      </c>
      <c r="X1745">
        <v>0</v>
      </c>
      <c r="Y1745">
        <v>0</v>
      </c>
      <c r="Z1745">
        <v>0</v>
      </c>
      <c r="AA1745">
        <v>0</v>
      </c>
      <c r="AB1745">
        <v>0</v>
      </c>
      <c r="AC1745">
        <v>0</v>
      </c>
      <c r="AD1745">
        <v>1</v>
      </c>
      <c r="AE1745">
        <v>0</v>
      </c>
      <c r="AF1745">
        <v>0</v>
      </c>
      <c r="AG1745">
        <v>0</v>
      </c>
      <c r="AH1745">
        <v>0</v>
      </c>
      <c r="AI1745">
        <v>0</v>
      </c>
      <c r="AJ1745">
        <v>0</v>
      </c>
      <c r="AK1745">
        <v>0</v>
      </c>
    </row>
    <row r="1746" spans="1:37" x14ac:dyDescent="0.3">
      <c r="A1746">
        <v>7979</v>
      </c>
      <c r="B1746" t="s">
        <v>219</v>
      </c>
      <c r="D1746" t="s">
        <v>327</v>
      </c>
      <c r="E1746">
        <v>99999999</v>
      </c>
      <c r="F1746">
        <v>11111111</v>
      </c>
      <c r="G1746">
        <v>1111111111</v>
      </c>
      <c r="H1746" t="s">
        <v>5315</v>
      </c>
      <c r="I1746">
        <v>99999999</v>
      </c>
      <c r="J1746" s="188">
        <v>45237</v>
      </c>
      <c r="K1746" t="s">
        <v>5315</v>
      </c>
      <c r="L1746" t="s">
        <v>5315</v>
      </c>
      <c r="M1746" t="s">
        <v>2402</v>
      </c>
      <c r="N1746" t="s">
        <v>97</v>
      </c>
      <c r="O1746" t="s">
        <v>2403</v>
      </c>
      <c r="P1746" t="s">
        <v>221</v>
      </c>
      <c r="Q1746" t="s">
        <v>82</v>
      </c>
      <c r="R1746">
        <v>2</v>
      </c>
      <c r="S1746">
        <v>6.85</v>
      </c>
      <c r="T1746">
        <v>0</v>
      </c>
      <c r="U1746">
        <v>1</v>
      </c>
      <c r="V1746">
        <v>2</v>
      </c>
      <c r="W1746">
        <v>32.409999999999997</v>
      </c>
      <c r="X1746">
        <v>0</v>
      </c>
      <c r="Y1746">
        <v>0</v>
      </c>
      <c r="Z1746">
        <v>0</v>
      </c>
      <c r="AA1746">
        <v>0</v>
      </c>
      <c r="AB1746">
        <v>0</v>
      </c>
      <c r="AC1746">
        <v>0</v>
      </c>
      <c r="AD1746">
        <v>2</v>
      </c>
      <c r="AE1746">
        <v>0</v>
      </c>
      <c r="AF1746">
        <v>0</v>
      </c>
      <c r="AG1746">
        <v>0</v>
      </c>
      <c r="AH1746">
        <v>0</v>
      </c>
      <c r="AI1746">
        <v>0</v>
      </c>
      <c r="AJ1746">
        <v>0</v>
      </c>
      <c r="AK1746">
        <v>0</v>
      </c>
    </row>
    <row r="1747" spans="1:37" x14ac:dyDescent="0.3">
      <c r="A1747">
        <v>7979</v>
      </c>
      <c r="B1747" t="s">
        <v>219</v>
      </c>
      <c r="D1747" t="s">
        <v>327</v>
      </c>
      <c r="E1747">
        <v>99999999</v>
      </c>
      <c r="F1747">
        <v>11111111</v>
      </c>
      <c r="G1747">
        <v>1111111111</v>
      </c>
      <c r="H1747" t="s">
        <v>5316</v>
      </c>
      <c r="I1747">
        <v>99999999</v>
      </c>
      <c r="J1747" s="188">
        <v>45237</v>
      </c>
      <c r="K1747" t="s">
        <v>5316</v>
      </c>
      <c r="L1747" t="s">
        <v>5316</v>
      </c>
      <c r="M1747" t="s">
        <v>1197</v>
      </c>
      <c r="N1747" t="s">
        <v>99</v>
      </c>
      <c r="O1747" t="s">
        <v>2404</v>
      </c>
      <c r="P1747" t="s">
        <v>221</v>
      </c>
      <c r="Q1747" t="s">
        <v>82</v>
      </c>
      <c r="R1747">
        <v>4</v>
      </c>
      <c r="S1747">
        <v>3.2</v>
      </c>
      <c r="T1747">
        <v>0</v>
      </c>
      <c r="U1747">
        <v>1</v>
      </c>
      <c r="V1747">
        <v>1</v>
      </c>
      <c r="W1747">
        <v>26.89</v>
      </c>
      <c r="X1747">
        <v>0</v>
      </c>
      <c r="Y1747">
        <v>0</v>
      </c>
      <c r="Z1747">
        <v>0</v>
      </c>
      <c r="AA1747">
        <v>0</v>
      </c>
      <c r="AB1747">
        <v>0</v>
      </c>
      <c r="AC1747">
        <v>0</v>
      </c>
      <c r="AD1747">
        <v>4</v>
      </c>
      <c r="AE1747">
        <v>0</v>
      </c>
      <c r="AF1747">
        <v>0</v>
      </c>
      <c r="AG1747">
        <v>0</v>
      </c>
      <c r="AH1747">
        <v>0</v>
      </c>
      <c r="AI1747">
        <v>0</v>
      </c>
      <c r="AJ1747">
        <v>0</v>
      </c>
      <c r="AK1747">
        <v>0</v>
      </c>
    </row>
    <row r="1748" spans="1:37" x14ac:dyDescent="0.3">
      <c r="A1748">
        <v>7979</v>
      </c>
      <c r="B1748" t="s">
        <v>219</v>
      </c>
      <c r="D1748" t="s">
        <v>327</v>
      </c>
      <c r="E1748">
        <v>99999999</v>
      </c>
      <c r="F1748">
        <v>11111111</v>
      </c>
      <c r="G1748">
        <v>1111111111</v>
      </c>
      <c r="H1748" t="s">
        <v>5317</v>
      </c>
      <c r="I1748">
        <v>99999999</v>
      </c>
      <c r="J1748" s="188">
        <v>45237</v>
      </c>
      <c r="K1748" t="s">
        <v>5317</v>
      </c>
      <c r="L1748" t="s">
        <v>5317</v>
      </c>
      <c r="M1748" t="s">
        <v>2405</v>
      </c>
      <c r="N1748" t="s">
        <v>307</v>
      </c>
      <c r="O1748">
        <v>73054</v>
      </c>
      <c r="P1748" t="s">
        <v>221</v>
      </c>
      <c r="Q1748" t="s">
        <v>82</v>
      </c>
      <c r="R1748">
        <v>1</v>
      </c>
      <c r="S1748">
        <v>44</v>
      </c>
      <c r="T1748">
        <v>0</v>
      </c>
      <c r="U1748">
        <v>1</v>
      </c>
      <c r="V1748">
        <v>1</v>
      </c>
      <c r="W1748">
        <v>74.86</v>
      </c>
      <c r="X1748">
        <v>0</v>
      </c>
      <c r="Y1748">
        <v>0</v>
      </c>
      <c r="Z1748">
        <v>0</v>
      </c>
      <c r="AA1748">
        <v>0</v>
      </c>
      <c r="AB1748">
        <v>0</v>
      </c>
      <c r="AC1748">
        <v>0</v>
      </c>
      <c r="AD1748">
        <v>1</v>
      </c>
      <c r="AE1748">
        <v>0</v>
      </c>
      <c r="AF1748">
        <v>0</v>
      </c>
      <c r="AG1748">
        <v>0</v>
      </c>
      <c r="AH1748">
        <v>0</v>
      </c>
      <c r="AI1748">
        <v>0</v>
      </c>
      <c r="AJ1748">
        <v>0</v>
      </c>
      <c r="AK1748">
        <v>0</v>
      </c>
    </row>
    <row r="1749" spans="1:37" x14ac:dyDescent="0.3">
      <c r="A1749">
        <v>7979</v>
      </c>
      <c r="B1749" t="s">
        <v>219</v>
      </c>
      <c r="D1749" t="s">
        <v>327</v>
      </c>
      <c r="E1749">
        <v>99999999</v>
      </c>
      <c r="F1749">
        <v>11111111</v>
      </c>
      <c r="G1749">
        <v>1111111111</v>
      </c>
      <c r="H1749" t="s">
        <v>5318</v>
      </c>
      <c r="I1749">
        <v>99999999</v>
      </c>
      <c r="J1749" s="188">
        <v>45237</v>
      </c>
      <c r="K1749" t="s">
        <v>5318</v>
      </c>
      <c r="L1749" t="s">
        <v>5318</v>
      </c>
      <c r="M1749" t="s">
        <v>1301</v>
      </c>
      <c r="N1749" t="s">
        <v>99</v>
      </c>
      <c r="O1749" t="s">
        <v>1302</v>
      </c>
      <c r="P1749" t="s">
        <v>221</v>
      </c>
      <c r="Q1749" t="s">
        <v>82</v>
      </c>
      <c r="R1749">
        <v>1</v>
      </c>
      <c r="S1749">
        <v>14</v>
      </c>
      <c r="T1749">
        <v>0</v>
      </c>
      <c r="U1749">
        <v>1</v>
      </c>
      <c r="V1749">
        <v>1</v>
      </c>
      <c r="W1749">
        <v>29.44</v>
      </c>
      <c r="X1749">
        <v>0</v>
      </c>
      <c r="Y1749">
        <v>0</v>
      </c>
      <c r="Z1749">
        <v>0</v>
      </c>
      <c r="AA1749">
        <v>0</v>
      </c>
      <c r="AB1749">
        <v>0</v>
      </c>
      <c r="AC1749">
        <v>0</v>
      </c>
      <c r="AD1749">
        <v>1</v>
      </c>
      <c r="AE1749">
        <v>0</v>
      </c>
      <c r="AF1749">
        <v>0</v>
      </c>
      <c r="AG1749">
        <v>0</v>
      </c>
      <c r="AH1749">
        <v>0</v>
      </c>
      <c r="AI1749">
        <v>0</v>
      </c>
      <c r="AJ1749">
        <v>0</v>
      </c>
      <c r="AK1749">
        <v>0</v>
      </c>
    </row>
    <row r="1750" spans="1:37" x14ac:dyDescent="0.3">
      <c r="A1750">
        <v>7979</v>
      </c>
      <c r="B1750" t="s">
        <v>219</v>
      </c>
      <c r="D1750" t="s">
        <v>327</v>
      </c>
      <c r="E1750">
        <v>99999999</v>
      </c>
      <c r="F1750">
        <v>11111111</v>
      </c>
      <c r="G1750">
        <v>1111111111</v>
      </c>
      <c r="H1750" t="s">
        <v>5319</v>
      </c>
      <c r="I1750">
        <v>99999999</v>
      </c>
      <c r="J1750" s="188">
        <v>45237</v>
      </c>
      <c r="K1750" t="s">
        <v>5319</v>
      </c>
      <c r="L1750" t="s">
        <v>5319</v>
      </c>
      <c r="M1750" t="s">
        <v>2406</v>
      </c>
      <c r="N1750" t="s">
        <v>381</v>
      </c>
      <c r="O1750">
        <v>59760</v>
      </c>
      <c r="P1750" t="s">
        <v>221</v>
      </c>
      <c r="Q1750" t="s">
        <v>82</v>
      </c>
      <c r="R1750">
        <v>2</v>
      </c>
      <c r="S1750">
        <v>60</v>
      </c>
      <c r="T1750">
        <v>0</v>
      </c>
      <c r="U1750">
        <v>2</v>
      </c>
      <c r="V1750">
        <v>2</v>
      </c>
      <c r="W1750">
        <v>86.28</v>
      </c>
      <c r="X1750">
        <v>0</v>
      </c>
      <c r="Y1750">
        <v>0</v>
      </c>
      <c r="Z1750">
        <v>0</v>
      </c>
      <c r="AA1750">
        <v>0</v>
      </c>
      <c r="AB1750">
        <v>0</v>
      </c>
      <c r="AC1750">
        <v>0</v>
      </c>
      <c r="AD1750">
        <v>2</v>
      </c>
      <c r="AE1750">
        <v>0</v>
      </c>
      <c r="AF1750">
        <v>0</v>
      </c>
      <c r="AG1750">
        <v>0</v>
      </c>
      <c r="AH1750">
        <v>0</v>
      </c>
      <c r="AI1750">
        <v>0</v>
      </c>
      <c r="AJ1750">
        <v>0</v>
      </c>
      <c r="AK1750">
        <v>0</v>
      </c>
    </row>
    <row r="1751" spans="1:37" x14ac:dyDescent="0.3">
      <c r="A1751">
        <v>7979</v>
      </c>
      <c r="B1751" t="s">
        <v>219</v>
      </c>
      <c r="D1751" t="s">
        <v>327</v>
      </c>
      <c r="E1751">
        <v>99999999</v>
      </c>
      <c r="F1751">
        <v>11111111</v>
      </c>
      <c r="G1751">
        <v>1111111111</v>
      </c>
      <c r="H1751" t="s">
        <v>5320</v>
      </c>
      <c r="I1751">
        <v>99999999</v>
      </c>
      <c r="J1751" s="188">
        <v>45237</v>
      </c>
      <c r="K1751" t="s">
        <v>5320</v>
      </c>
      <c r="L1751" t="s">
        <v>5320</v>
      </c>
      <c r="M1751" t="s">
        <v>2407</v>
      </c>
      <c r="N1751" t="s">
        <v>99</v>
      </c>
      <c r="O1751" t="s">
        <v>2408</v>
      </c>
      <c r="P1751" t="s">
        <v>221</v>
      </c>
      <c r="Q1751" t="s">
        <v>82</v>
      </c>
      <c r="R1751">
        <v>3</v>
      </c>
      <c r="S1751">
        <v>5.45</v>
      </c>
      <c r="T1751">
        <v>0</v>
      </c>
      <c r="U1751">
        <v>1</v>
      </c>
      <c r="V1751">
        <v>3</v>
      </c>
      <c r="W1751">
        <v>29.75</v>
      </c>
      <c r="X1751">
        <v>0</v>
      </c>
      <c r="Y1751">
        <v>0</v>
      </c>
      <c r="Z1751">
        <v>0</v>
      </c>
      <c r="AA1751">
        <v>0</v>
      </c>
      <c r="AB1751">
        <v>0</v>
      </c>
      <c r="AC1751">
        <v>0</v>
      </c>
      <c r="AD1751">
        <v>3</v>
      </c>
      <c r="AE1751">
        <v>0</v>
      </c>
      <c r="AF1751">
        <v>0</v>
      </c>
      <c r="AG1751">
        <v>0</v>
      </c>
      <c r="AH1751">
        <v>0</v>
      </c>
      <c r="AI1751">
        <v>0</v>
      </c>
      <c r="AJ1751">
        <v>0</v>
      </c>
      <c r="AK1751">
        <v>0</v>
      </c>
    </row>
    <row r="1752" spans="1:37" x14ac:dyDescent="0.3">
      <c r="A1752">
        <v>7979</v>
      </c>
      <c r="B1752" t="s">
        <v>219</v>
      </c>
      <c r="D1752" t="s">
        <v>327</v>
      </c>
      <c r="E1752">
        <v>99999999</v>
      </c>
      <c r="F1752">
        <v>11111111</v>
      </c>
      <c r="G1752">
        <v>1111111111</v>
      </c>
      <c r="H1752" t="s">
        <v>5321</v>
      </c>
      <c r="I1752">
        <v>99999999</v>
      </c>
      <c r="J1752" s="188">
        <v>45237</v>
      </c>
      <c r="K1752" t="s">
        <v>5321</v>
      </c>
      <c r="L1752" t="s">
        <v>5321</v>
      </c>
      <c r="M1752" t="s">
        <v>861</v>
      </c>
      <c r="N1752" t="s">
        <v>97</v>
      </c>
      <c r="O1752" t="s">
        <v>2409</v>
      </c>
      <c r="P1752" t="s">
        <v>221</v>
      </c>
      <c r="Q1752" t="s">
        <v>82</v>
      </c>
      <c r="R1752">
        <v>1</v>
      </c>
      <c r="S1752">
        <v>2</v>
      </c>
      <c r="T1752">
        <v>0</v>
      </c>
      <c r="U1752">
        <v>1</v>
      </c>
      <c r="V1752">
        <v>1</v>
      </c>
      <c r="W1752">
        <v>30.13</v>
      </c>
      <c r="X1752">
        <v>0</v>
      </c>
      <c r="Y1752">
        <v>0</v>
      </c>
      <c r="Z1752">
        <v>0</v>
      </c>
      <c r="AA1752">
        <v>0</v>
      </c>
      <c r="AB1752">
        <v>0</v>
      </c>
      <c r="AC1752">
        <v>0</v>
      </c>
      <c r="AD1752">
        <v>1</v>
      </c>
      <c r="AE1752">
        <v>0</v>
      </c>
      <c r="AF1752">
        <v>0</v>
      </c>
      <c r="AG1752">
        <v>0</v>
      </c>
      <c r="AH1752">
        <v>0</v>
      </c>
      <c r="AI1752">
        <v>0</v>
      </c>
      <c r="AJ1752">
        <v>0</v>
      </c>
      <c r="AK1752">
        <v>0</v>
      </c>
    </row>
    <row r="1753" spans="1:37" x14ac:dyDescent="0.3">
      <c r="A1753">
        <v>7979</v>
      </c>
      <c r="B1753" t="s">
        <v>219</v>
      </c>
      <c r="D1753" t="s">
        <v>327</v>
      </c>
      <c r="E1753">
        <v>99999999</v>
      </c>
      <c r="F1753">
        <v>11111111</v>
      </c>
      <c r="G1753">
        <v>1111111111</v>
      </c>
      <c r="H1753" t="s">
        <v>5322</v>
      </c>
      <c r="I1753">
        <v>99999999</v>
      </c>
      <c r="J1753" s="188">
        <v>45237</v>
      </c>
      <c r="K1753" t="s">
        <v>5322</v>
      </c>
      <c r="L1753" t="s">
        <v>5322</v>
      </c>
      <c r="M1753" t="s">
        <v>2410</v>
      </c>
      <c r="N1753" t="s">
        <v>125</v>
      </c>
      <c r="O1753" t="s">
        <v>2411</v>
      </c>
      <c r="P1753" t="s">
        <v>221</v>
      </c>
      <c r="Q1753" t="s">
        <v>82</v>
      </c>
      <c r="R1753">
        <v>1</v>
      </c>
      <c r="S1753">
        <v>1</v>
      </c>
      <c r="T1753">
        <v>0</v>
      </c>
      <c r="U1753">
        <v>1</v>
      </c>
      <c r="V1753">
        <v>1</v>
      </c>
      <c r="W1753">
        <v>23.1</v>
      </c>
      <c r="X1753">
        <v>0</v>
      </c>
      <c r="Y1753">
        <v>0</v>
      </c>
      <c r="Z1753">
        <v>0</v>
      </c>
      <c r="AA1753">
        <v>0</v>
      </c>
      <c r="AB1753">
        <v>0</v>
      </c>
      <c r="AC1753">
        <v>0</v>
      </c>
      <c r="AD1753">
        <v>1</v>
      </c>
      <c r="AE1753">
        <v>0</v>
      </c>
      <c r="AF1753">
        <v>0</v>
      </c>
      <c r="AG1753">
        <v>0</v>
      </c>
      <c r="AH1753">
        <v>0</v>
      </c>
      <c r="AI1753">
        <v>0</v>
      </c>
      <c r="AJ1753">
        <v>0</v>
      </c>
      <c r="AK1753">
        <v>0</v>
      </c>
    </row>
    <row r="1754" spans="1:37" x14ac:dyDescent="0.3">
      <c r="A1754">
        <v>7979</v>
      </c>
      <c r="B1754" t="s">
        <v>219</v>
      </c>
      <c r="D1754" t="s">
        <v>327</v>
      </c>
      <c r="E1754">
        <v>99999999</v>
      </c>
      <c r="F1754">
        <v>11111111</v>
      </c>
      <c r="G1754">
        <v>1111111111</v>
      </c>
      <c r="H1754" t="s">
        <v>5323</v>
      </c>
      <c r="I1754">
        <v>99999999</v>
      </c>
      <c r="J1754" s="188">
        <v>45237</v>
      </c>
      <c r="K1754" t="s">
        <v>5323</v>
      </c>
      <c r="L1754" t="s">
        <v>5323</v>
      </c>
      <c r="M1754" t="s">
        <v>1110</v>
      </c>
      <c r="N1754" t="s">
        <v>97</v>
      </c>
      <c r="O1754" t="s">
        <v>2412</v>
      </c>
      <c r="P1754" t="s">
        <v>221</v>
      </c>
      <c r="Q1754" t="s">
        <v>82</v>
      </c>
      <c r="R1754">
        <v>1</v>
      </c>
      <c r="S1754">
        <v>3</v>
      </c>
      <c r="T1754">
        <v>0</v>
      </c>
      <c r="U1754">
        <v>1</v>
      </c>
      <c r="V1754">
        <v>1</v>
      </c>
      <c r="W1754">
        <v>22.52</v>
      </c>
      <c r="X1754">
        <v>0</v>
      </c>
      <c r="Y1754">
        <v>0</v>
      </c>
      <c r="Z1754">
        <v>0</v>
      </c>
      <c r="AA1754">
        <v>0</v>
      </c>
      <c r="AB1754">
        <v>0</v>
      </c>
      <c r="AC1754">
        <v>0</v>
      </c>
      <c r="AD1754">
        <v>1</v>
      </c>
      <c r="AE1754">
        <v>0</v>
      </c>
      <c r="AF1754">
        <v>0</v>
      </c>
      <c r="AG1754">
        <v>0</v>
      </c>
      <c r="AH1754">
        <v>0</v>
      </c>
      <c r="AI1754">
        <v>0</v>
      </c>
      <c r="AJ1754">
        <v>0</v>
      </c>
      <c r="AK1754">
        <v>0</v>
      </c>
    </row>
    <row r="1755" spans="1:37" x14ac:dyDescent="0.3">
      <c r="A1755">
        <v>7979</v>
      </c>
      <c r="B1755" t="s">
        <v>219</v>
      </c>
      <c r="D1755" t="s">
        <v>327</v>
      </c>
      <c r="E1755">
        <v>99999999</v>
      </c>
      <c r="F1755">
        <v>11111111</v>
      </c>
      <c r="G1755">
        <v>1111111111</v>
      </c>
      <c r="H1755" t="s">
        <v>5324</v>
      </c>
      <c r="I1755">
        <v>99999999</v>
      </c>
      <c r="J1755" s="188">
        <v>45237</v>
      </c>
      <c r="K1755" t="s">
        <v>5324</v>
      </c>
      <c r="L1755" t="s">
        <v>5324</v>
      </c>
      <c r="M1755" t="s">
        <v>2413</v>
      </c>
      <c r="N1755" t="s">
        <v>130</v>
      </c>
      <c r="O1755" t="s">
        <v>2414</v>
      </c>
      <c r="P1755" t="s">
        <v>221</v>
      </c>
      <c r="Q1755" t="s">
        <v>82</v>
      </c>
      <c r="R1755">
        <v>1</v>
      </c>
      <c r="S1755">
        <v>3</v>
      </c>
      <c r="T1755">
        <v>0</v>
      </c>
      <c r="U1755">
        <v>1</v>
      </c>
      <c r="V1755">
        <v>1</v>
      </c>
      <c r="W1755">
        <v>31.84</v>
      </c>
      <c r="X1755">
        <v>0</v>
      </c>
      <c r="Y1755">
        <v>0</v>
      </c>
      <c r="Z1755">
        <v>0</v>
      </c>
      <c r="AA1755">
        <v>0</v>
      </c>
      <c r="AB1755">
        <v>0</v>
      </c>
      <c r="AC1755">
        <v>0</v>
      </c>
      <c r="AD1755">
        <v>1</v>
      </c>
      <c r="AE1755">
        <v>0</v>
      </c>
      <c r="AF1755">
        <v>0</v>
      </c>
      <c r="AG1755">
        <v>0</v>
      </c>
      <c r="AH1755">
        <v>0</v>
      </c>
      <c r="AI1755">
        <v>0</v>
      </c>
      <c r="AJ1755">
        <v>0</v>
      </c>
      <c r="AK1755">
        <v>0</v>
      </c>
    </row>
    <row r="1756" spans="1:37" x14ac:dyDescent="0.3">
      <c r="A1756">
        <v>7979</v>
      </c>
      <c r="B1756" t="s">
        <v>219</v>
      </c>
      <c r="D1756" t="s">
        <v>327</v>
      </c>
      <c r="E1756">
        <v>99999999</v>
      </c>
      <c r="F1756">
        <v>11111111</v>
      </c>
      <c r="G1756">
        <v>1111111111</v>
      </c>
      <c r="H1756" t="s">
        <v>5325</v>
      </c>
      <c r="I1756">
        <v>99999999</v>
      </c>
      <c r="J1756" s="188">
        <v>45237</v>
      </c>
      <c r="K1756" t="s">
        <v>5325</v>
      </c>
      <c r="L1756" t="s">
        <v>5325</v>
      </c>
      <c r="M1756" t="s">
        <v>2415</v>
      </c>
      <c r="N1756" t="s">
        <v>125</v>
      </c>
      <c r="O1756" t="s">
        <v>2416</v>
      </c>
      <c r="P1756" t="s">
        <v>221</v>
      </c>
      <c r="Q1756" t="s">
        <v>82</v>
      </c>
      <c r="R1756">
        <v>2</v>
      </c>
      <c r="S1756">
        <v>0.8</v>
      </c>
      <c r="T1756">
        <v>0</v>
      </c>
      <c r="U1756">
        <v>1</v>
      </c>
      <c r="V1756">
        <v>1</v>
      </c>
      <c r="W1756">
        <v>22.81</v>
      </c>
      <c r="X1756">
        <v>0</v>
      </c>
      <c r="Y1756">
        <v>0</v>
      </c>
      <c r="Z1756">
        <v>0</v>
      </c>
      <c r="AA1756">
        <v>0</v>
      </c>
      <c r="AB1756">
        <v>0</v>
      </c>
      <c r="AC1756">
        <v>0</v>
      </c>
      <c r="AD1756">
        <v>2</v>
      </c>
      <c r="AE1756">
        <v>0</v>
      </c>
      <c r="AF1756">
        <v>0</v>
      </c>
      <c r="AG1756">
        <v>0</v>
      </c>
      <c r="AH1756">
        <v>0</v>
      </c>
      <c r="AI1756">
        <v>0</v>
      </c>
      <c r="AJ1756">
        <v>0</v>
      </c>
      <c r="AK1756">
        <v>0</v>
      </c>
    </row>
    <row r="1757" spans="1:37" x14ac:dyDescent="0.3">
      <c r="A1757">
        <v>7979</v>
      </c>
      <c r="B1757" t="s">
        <v>219</v>
      </c>
      <c r="D1757" t="s">
        <v>327</v>
      </c>
      <c r="E1757">
        <v>99999999</v>
      </c>
      <c r="F1757">
        <v>11111111</v>
      </c>
      <c r="G1757">
        <v>1111111111</v>
      </c>
      <c r="H1757" t="s">
        <v>5326</v>
      </c>
      <c r="I1757">
        <v>99999999</v>
      </c>
      <c r="J1757" s="188">
        <v>45237</v>
      </c>
      <c r="K1757" t="s">
        <v>5326</v>
      </c>
      <c r="L1757" t="s">
        <v>5326</v>
      </c>
      <c r="M1757" t="s">
        <v>816</v>
      </c>
      <c r="N1757" t="s">
        <v>381</v>
      </c>
      <c r="O1757" t="s">
        <v>2417</v>
      </c>
      <c r="P1757" t="s">
        <v>221</v>
      </c>
      <c r="Q1757" t="s">
        <v>82</v>
      </c>
      <c r="R1757">
        <v>1</v>
      </c>
      <c r="S1757">
        <v>2</v>
      </c>
      <c r="T1757">
        <v>0</v>
      </c>
      <c r="U1757">
        <v>1</v>
      </c>
      <c r="V1757">
        <v>1</v>
      </c>
      <c r="W1757">
        <v>21.88</v>
      </c>
      <c r="X1757">
        <v>0</v>
      </c>
      <c r="Y1757">
        <v>0</v>
      </c>
      <c r="Z1757">
        <v>0</v>
      </c>
      <c r="AA1757">
        <v>0</v>
      </c>
      <c r="AB1757">
        <v>0</v>
      </c>
      <c r="AC1757">
        <v>0</v>
      </c>
      <c r="AD1757">
        <v>1</v>
      </c>
      <c r="AE1757">
        <v>0</v>
      </c>
      <c r="AF1757">
        <v>0</v>
      </c>
      <c r="AG1757">
        <v>0</v>
      </c>
      <c r="AH1757">
        <v>0</v>
      </c>
      <c r="AI1757">
        <v>0</v>
      </c>
      <c r="AJ1757">
        <v>0</v>
      </c>
      <c r="AK1757">
        <v>0</v>
      </c>
    </row>
    <row r="1758" spans="1:37" x14ac:dyDescent="0.3">
      <c r="A1758">
        <v>7979</v>
      </c>
      <c r="B1758" t="s">
        <v>219</v>
      </c>
      <c r="D1758" t="s">
        <v>327</v>
      </c>
      <c r="E1758">
        <v>99999999</v>
      </c>
      <c r="F1758">
        <v>11111111</v>
      </c>
      <c r="G1758">
        <v>1111111111</v>
      </c>
      <c r="H1758" t="s">
        <v>5327</v>
      </c>
      <c r="I1758">
        <v>99999999</v>
      </c>
      <c r="J1758" s="188">
        <v>45237</v>
      </c>
      <c r="K1758" t="s">
        <v>5327</v>
      </c>
      <c r="L1758" t="s">
        <v>5327</v>
      </c>
      <c r="M1758" t="s">
        <v>2418</v>
      </c>
      <c r="N1758" t="s">
        <v>197</v>
      </c>
      <c r="O1758">
        <v>79086</v>
      </c>
      <c r="P1758" t="s">
        <v>221</v>
      </c>
      <c r="Q1758" t="s">
        <v>82</v>
      </c>
      <c r="R1758">
        <v>2</v>
      </c>
      <c r="S1758">
        <v>1.5</v>
      </c>
      <c r="T1758">
        <v>0</v>
      </c>
      <c r="U1758">
        <v>1</v>
      </c>
      <c r="V1758">
        <v>1</v>
      </c>
      <c r="W1758">
        <v>30.47</v>
      </c>
      <c r="X1758">
        <v>0</v>
      </c>
      <c r="Y1758">
        <v>0</v>
      </c>
      <c r="Z1758">
        <v>0</v>
      </c>
      <c r="AA1758">
        <v>0</v>
      </c>
      <c r="AB1758">
        <v>0</v>
      </c>
      <c r="AC1758">
        <v>0</v>
      </c>
      <c r="AD1758">
        <v>2</v>
      </c>
      <c r="AE1758">
        <v>0</v>
      </c>
      <c r="AF1758">
        <v>0</v>
      </c>
      <c r="AG1758">
        <v>0</v>
      </c>
      <c r="AH1758">
        <v>0</v>
      </c>
      <c r="AI1758">
        <v>0</v>
      </c>
      <c r="AJ1758">
        <v>0</v>
      </c>
      <c r="AK1758">
        <v>0</v>
      </c>
    </row>
    <row r="1759" spans="1:37" x14ac:dyDescent="0.3">
      <c r="A1759">
        <v>7979</v>
      </c>
      <c r="B1759" t="s">
        <v>219</v>
      </c>
      <c r="D1759" t="s">
        <v>327</v>
      </c>
      <c r="E1759">
        <v>99999999</v>
      </c>
      <c r="F1759">
        <v>11111111</v>
      </c>
      <c r="G1759">
        <v>1111111111</v>
      </c>
      <c r="H1759" t="s">
        <v>5328</v>
      </c>
      <c r="I1759">
        <v>99999999</v>
      </c>
      <c r="J1759" s="188">
        <v>45237</v>
      </c>
      <c r="K1759" t="s">
        <v>5328</v>
      </c>
      <c r="L1759" t="s">
        <v>5328</v>
      </c>
      <c r="M1759" t="s">
        <v>2419</v>
      </c>
      <c r="N1759" t="s">
        <v>231</v>
      </c>
      <c r="O1759" t="s">
        <v>2420</v>
      </c>
      <c r="P1759" t="s">
        <v>221</v>
      </c>
      <c r="Q1759" t="s">
        <v>82</v>
      </c>
      <c r="R1759">
        <v>1</v>
      </c>
      <c r="S1759">
        <v>1.1399999999999999</v>
      </c>
      <c r="T1759">
        <v>0</v>
      </c>
      <c r="U1759">
        <v>1</v>
      </c>
      <c r="V1759">
        <v>1</v>
      </c>
      <c r="W1759">
        <v>23.1</v>
      </c>
      <c r="X1759">
        <v>0</v>
      </c>
      <c r="Y1759">
        <v>0</v>
      </c>
      <c r="Z1759">
        <v>0</v>
      </c>
      <c r="AA1759">
        <v>0</v>
      </c>
      <c r="AB1759">
        <v>0</v>
      </c>
      <c r="AC1759">
        <v>0</v>
      </c>
      <c r="AD1759">
        <v>1</v>
      </c>
      <c r="AE1759">
        <v>0</v>
      </c>
      <c r="AF1759">
        <v>0</v>
      </c>
      <c r="AG1759">
        <v>0</v>
      </c>
      <c r="AH1759">
        <v>0</v>
      </c>
      <c r="AI1759">
        <v>0</v>
      </c>
      <c r="AJ1759">
        <v>0</v>
      </c>
      <c r="AK1759">
        <v>0</v>
      </c>
    </row>
    <row r="1760" spans="1:37" x14ac:dyDescent="0.3">
      <c r="A1760">
        <v>7979</v>
      </c>
      <c r="B1760" t="s">
        <v>219</v>
      </c>
      <c r="D1760" t="s">
        <v>327</v>
      </c>
      <c r="E1760">
        <v>99999999</v>
      </c>
      <c r="F1760">
        <v>11111111</v>
      </c>
      <c r="G1760">
        <v>1111111111</v>
      </c>
      <c r="H1760" t="s">
        <v>5329</v>
      </c>
      <c r="I1760">
        <v>99999999</v>
      </c>
      <c r="J1760" s="188">
        <v>45237</v>
      </c>
      <c r="K1760" t="s">
        <v>5329</v>
      </c>
      <c r="L1760" t="s">
        <v>5329</v>
      </c>
      <c r="M1760" t="s">
        <v>2421</v>
      </c>
      <c r="N1760" t="s">
        <v>307</v>
      </c>
      <c r="O1760">
        <v>73728</v>
      </c>
      <c r="P1760" t="s">
        <v>221</v>
      </c>
      <c r="Q1760" t="s">
        <v>82</v>
      </c>
      <c r="R1760">
        <v>1</v>
      </c>
      <c r="S1760">
        <v>2</v>
      </c>
      <c r="T1760">
        <v>0</v>
      </c>
      <c r="U1760">
        <v>1</v>
      </c>
      <c r="V1760">
        <v>1</v>
      </c>
      <c r="W1760">
        <v>31.61</v>
      </c>
      <c r="X1760">
        <v>0</v>
      </c>
      <c r="Y1760">
        <v>0</v>
      </c>
      <c r="Z1760">
        <v>0</v>
      </c>
      <c r="AA1760">
        <v>0</v>
      </c>
      <c r="AB1760">
        <v>0</v>
      </c>
      <c r="AC1760">
        <v>0</v>
      </c>
      <c r="AD1760">
        <v>1</v>
      </c>
      <c r="AE1760">
        <v>0</v>
      </c>
      <c r="AF1760">
        <v>0</v>
      </c>
      <c r="AG1760">
        <v>0</v>
      </c>
      <c r="AH1760">
        <v>0</v>
      </c>
      <c r="AI1760">
        <v>0</v>
      </c>
      <c r="AJ1760">
        <v>0</v>
      </c>
      <c r="AK1760">
        <v>0</v>
      </c>
    </row>
    <row r="1761" spans="1:37" x14ac:dyDescent="0.3">
      <c r="A1761">
        <v>7979</v>
      </c>
      <c r="B1761" t="s">
        <v>219</v>
      </c>
      <c r="D1761" t="s">
        <v>327</v>
      </c>
      <c r="E1761">
        <v>99999999</v>
      </c>
      <c r="F1761">
        <v>11111111</v>
      </c>
      <c r="G1761">
        <v>1111111111</v>
      </c>
      <c r="H1761" t="s">
        <v>5330</v>
      </c>
      <c r="I1761">
        <v>99999999</v>
      </c>
      <c r="J1761" s="188">
        <v>45237</v>
      </c>
      <c r="K1761" t="s">
        <v>5330</v>
      </c>
      <c r="L1761" t="s">
        <v>5330</v>
      </c>
      <c r="M1761" t="s">
        <v>1692</v>
      </c>
      <c r="N1761" t="s">
        <v>99</v>
      </c>
      <c r="O1761">
        <v>91105</v>
      </c>
      <c r="P1761" t="s">
        <v>221</v>
      </c>
      <c r="Q1761" t="s">
        <v>82</v>
      </c>
      <c r="R1761">
        <v>1</v>
      </c>
      <c r="S1761">
        <v>0.31</v>
      </c>
      <c r="T1761">
        <v>0</v>
      </c>
      <c r="U1761">
        <v>1</v>
      </c>
      <c r="V1761">
        <v>1</v>
      </c>
      <c r="W1761">
        <v>19.3</v>
      </c>
      <c r="X1761">
        <v>0</v>
      </c>
      <c r="Y1761">
        <v>0</v>
      </c>
      <c r="Z1761">
        <v>0</v>
      </c>
      <c r="AA1761">
        <v>0</v>
      </c>
      <c r="AB1761">
        <v>0</v>
      </c>
      <c r="AC1761">
        <v>0</v>
      </c>
      <c r="AD1761">
        <v>1</v>
      </c>
      <c r="AE1761">
        <v>0</v>
      </c>
      <c r="AF1761">
        <v>0</v>
      </c>
      <c r="AG1761">
        <v>0</v>
      </c>
      <c r="AH1761">
        <v>0</v>
      </c>
      <c r="AI1761">
        <v>0</v>
      </c>
      <c r="AJ1761">
        <v>0</v>
      </c>
      <c r="AK1761">
        <v>0</v>
      </c>
    </row>
    <row r="1762" spans="1:37" x14ac:dyDescent="0.3">
      <c r="A1762">
        <v>7979</v>
      </c>
      <c r="B1762" t="s">
        <v>219</v>
      </c>
      <c r="D1762" t="s">
        <v>327</v>
      </c>
      <c r="E1762">
        <v>99999999</v>
      </c>
      <c r="F1762">
        <v>11111111</v>
      </c>
      <c r="G1762">
        <v>1111111111</v>
      </c>
      <c r="H1762" t="s">
        <v>5331</v>
      </c>
      <c r="I1762">
        <v>99999999</v>
      </c>
      <c r="J1762" s="188">
        <v>45237</v>
      </c>
      <c r="K1762" t="s">
        <v>5331</v>
      </c>
      <c r="L1762" t="s">
        <v>5331</v>
      </c>
      <c r="M1762" t="s">
        <v>450</v>
      </c>
      <c r="N1762" t="s">
        <v>97</v>
      </c>
      <c r="O1762" t="s">
        <v>2422</v>
      </c>
      <c r="P1762" t="s">
        <v>221</v>
      </c>
      <c r="Q1762" t="s">
        <v>82</v>
      </c>
      <c r="R1762">
        <v>1</v>
      </c>
      <c r="S1762">
        <v>2.2999999999999998</v>
      </c>
      <c r="T1762">
        <v>0</v>
      </c>
      <c r="U1762">
        <v>1</v>
      </c>
      <c r="V1762">
        <v>1</v>
      </c>
      <c r="W1762">
        <v>21.88</v>
      </c>
      <c r="X1762">
        <v>0</v>
      </c>
      <c r="Y1762">
        <v>0</v>
      </c>
      <c r="Z1762">
        <v>0</v>
      </c>
      <c r="AA1762">
        <v>0</v>
      </c>
      <c r="AB1762">
        <v>0</v>
      </c>
      <c r="AC1762">
        <v>0</v>
      </c>
      <c r="AD1762">
        <v>1</v>
      </c>
      <c r="AE1762">
        <v>0</v>
      </c>
      <c r="AF1762">
        <v>0</v>
      </c>
      <c r="AG1762">
        <v>0</v>
      </c>
      <c r="AH1762">
        <v>0</v>
      </c>
      <c r="AI1762">
        <v>0</v>
      </c>
      <c r="AJ1762">
        <v>0</v>
      </c>
      <c r="AK1762">
        <v>0</v>
      </c>
    </row>
    <row r="1763" spans="1:37" x14ac:dyDescent="0.3">
      <c r="A1763">
        <v>7979</v>
      </c>
      <c r="B1763" t="s">
        <v>219</v>
      </c>
      <c r="D1763" t="s">
        <v>327</v>
      </c>
      <c r="E1763">
        <v>99999999</v>
      </c>
      <c r="F1763">
        <v>11111111</v>
      </c>
      <c r="G1763">
        <v>1111111111</v>
      </c>
      <c r="H1763" t="s">
        <v>5332</v>
      </c>
      <c r="I1763">
        <v>99999999</v>
      </c>
      <c r="J1763" s="188">
        <v>45237</v>
      </c>
      <c r="K1763" t="s">
        <v>5332</v>
      </c>
      <c r="L1763" t="s">
        <v>5332</v>
      </c>
      <c r="M1763" t="s">
        <v>2423</v>
      </c>
      <c r="N1763" t="s">
        <v>402</v>
      </c>
      <c r="O1763" t="s">
        <v>2424</v>
      </c>
      <c r="P1763" t="s">
        <v>221</v>
      </c>
      <c r="Q1763" t="s">
        <v>82</v>
      </c>
      <c r="R1763">
        <v>1</v>
      </c>
      <c r="S1763">
        <v>1.2</v>
      </c>
      <c r="T1763">
        <v>0</v>
      </c>
      <c r="U1763">
        <v>1</v>
      </c>
      <c r="V1763">
        <v>1</v>
      </c>
      <c r="W1763">
        <v>23.1</v>
      </c>
      <c r="X1763">
        <v>0</v>
      </c>
      <c r="Y1763">
        <v>0</v>
      </c>
      <c r="Z1763">
        <v>0</v>
      </c>
      <c r="AA1763">
        <v>0</v>
      </c>
      <c r="AB1763">
        <v>0</v>
      </c>
      <c r="AC1763">
        <v>0</v>
      </c>
      <c r="AD1763">
        <v>1</v>
      </c>
      <c r="AE1763">
        <v>0</v>
      </c>
      <c r="AF1763">
        <v>0</v>
      </c>
      <c r="AG1763">
        <v>0</v>
      </c>
      <c r="AH1763">
        <v>0</v>
      </c>
      <c r="AI1763">
        <v>0</v>
      </c>
      <c r="AJ1763">
        <v>0</v>
      </c>
      <c r="AK1763">
        <v>0</v>
      </c>
    </row>
    <row r="1764" spans="1:37" x14ac:dyDescent="0.3">
      <c r="A1764">
        <v>7979</v>
      </c>
      <c r="B1764" t="s">
        <v>219</v>
      </c>
      <c r="D1764" t="s">
        <v>327</v>
      </c>
      <c r="E1764">
        <v>99999999</v>
      </c>
      <c r="F1764">
        <v>11111111</v>
      </c>
      <c r="G1764">
        <v>1111111111</v>
      </c>
      <c r="H1764" t="s">
        <v>5333</v>
      </c>
      <c r="I1764">
        <v>99999999</v>
      </c>
      <c r="J1764" s="188">
        <v>45237</v>
      </c>
      <c r="K1764" t="s">
        <v>5333</v>
      </c>
      <c r="L1764" t="s">
        <v>5333</v>
      </c>
      <c r="M1764" t="s">
        <v>1174</v>
      </c>
      <c r="N1764" t="s">
        <v>130</v>
      </c>
      <c r="O1764" t="s">
        <v>2425</v>
      </c>
      <c r="P1764" t="s">
        <v>221</v>
      </c>
      <c r="Q1764" t="s">
        <v>82</v>
      </c>
      <c r="R1764">
        <v>1</v>
      </c>
      <c r="S1764">
        <v>2.2999999999999998</v>
      </c>
      <c r="T1764">
        <v>0</v>
      </c>
      <c r="U1764">
        <v>1</v>
      </c>
      <c r="V1764">
        <v>1</v>
      </c>
      <c r="W1764">
        <v>22.67</v>
      </c>
      <c r="X1764">
        <v>0</v>
      </c>
      <c r="Y1764">
        <v>0</v>
      </c>
      <c r="Z1764">
        <v>0</v>
      </c>
      <c r="AA1764">
        <v>0</v>
      </c>
      <c r="AB1764">
        <v>0</v>
      </c>
      <c r="AC1764">
        <v>0</v>
      </c>
      <c r="AD1764">
        <v>1</v>
      </c>
      <c r="AE1764">
        <v>0</v>
      </c>
      <c r="AF1764">
        <v>0</v>
      </c>
      <c r="AG1764">
        <v>0</v>
      </c>
      <c r="AH1764">
        <v>0</v>
      </c>
      <c r="AI1764">
        <v>0</v>
      </c>
      <c r="AJ1764">
        <v>0</v>
      </c>
      <c r="AK1764">
        <v>0</v>
      </c>
    </row>
    <row r="1765" spans="1:37" x14ac:dyDescent="0.3">
      <c r="A1765">
        <v>7979</v>
      </c>
      <c r="B1765" t="s">
        <v>219</v>
      </c>
      <c r="D1765" t="s">
        <v>327</v>
      </c>
      <c r="E1765">
        <v>99999999</v>
      </c>
      <c r="F1765">
        <v>11111111</v>
      </c>
      <c r="G1765">
        <v>1111111111</v>
      </c>
      <c r="H1765" t="s">
        <v>5334</v>
      </c>
      <c r="I1765">
        <v>99999999</v>
      </c>
      <c r="J1765" s="188">
        <v>45237</v>
      </c>
      <c r="K1765" t="s">
        <v>5334</v>
      </c>
      <c r="L1765" t="s">
        <v>5334</v>
      </c>
      <c r="M1765" t="s">
        <v>463</v>
      </c>
      <c r="N1765" t="s">
        <v>104</v>
      </c>
      <c r="O1765">
        <v>83714</v>
      </c>
      <c r="P1765" t="s">
        <v>221</v>
      </c>
      <c r="Q1765" t="s">
        <v>82</v>
      </c>
      <c r="R1765">
        <v>15</v>
      </c>
      <c r="S1765">
        <v>6</v>
      </c>
      <c r="T1765">
        <v>0</v>
      </c>
      <c r="U1765">
        <v>1</v>
      </c>
      <c r="V1765">
        <v>1</v>
      </c>
      <c r="W1765">
        <v>23.54</v>
      </c>
      <c r="X1765">
        <v>0</v>
      </c>
      <c r="Y1765">
        <v>0</v>
      </c>
      <c r="Z1765">
        <v>0</v>
      </c>
      <c r="AA1765">
        <v>0</v>
      </c>
      <c r="AB1765">
        <v>0</v>
      </c>
      <c r="AC1765">
        <v>0</v>
      </c>
      <c r="AD1765">
        <v>15</v>
      </c>
      <c r="AE1765">
        <v>0</v>
      </c>
      <c r="AF1765">
        <v>0</v>
      </c>
      <c r="AG1765">
        <v>0</v>
      </c>
      <c r="AH1765">
        <v>0</v>
      </c>
      <c r="AI1765">
        <v>0</v>
      </c>
      <c r="AJ1765">
        <v>0</v>
      </c>
      <c r="AK1765">
        <v>0</v>
      </c>
    </row>
    <row r="1766" spans="1:37" x14ac:dyDescent="0.3">
      <c r="A1766">
        <v>7979</v>
      </c>
      <c r="B1766" t="s">
        <v>219</v>
      </c>
      <c r="D1766" t="s">
        <v>327</v>
      </c>
      <c r="E1766">
        <v>99999999</v>
      </c>
      <c r="F1766">
        <v>11111111</v>
      </c>
      <c r="G1766">
        <v>1111111111</v>
      </c>
      <c r="H1766" t="s">
        <v>5335</v>
      </c>
      <c r="I1766">
        <v>99999999</v>
      </c>
      <c r="J1766" s="188">
        <v>45237</v>
      </c>
      <c r="K1766" t="s">
        <v>5335</v>
      </c>
      <c r="L1766" t="s">
        <v>5335</v>
      </c>
      <c r="M1766" t="s">
        <v>448</v>
      </c>
      <c r="N1766" t="s">
        <v>197</v>
      </c>
      <c r="O1766" t="s">
        <v>2426</v>
      </c>
      <c r="P1766" t="s">
        <v>221</v>
      </c>
      <c r="Q1766" t="s">
        <v>82</v>
      </c>
      <c r="R1766">
        <v>1</v>
      </c>
      <c r="S1766">
        <v>2.2000000000000002</v>
      </c>
      <c r="T1766">
        <v>0</v>
      </c>
      <c r="U1766">
        <v>1</v>
      </c>
      <c r="V1766">
        <v>1</v>
      </c>
      <c r="W1766">
        <v>23.93</v>
      </c>
      <c r="X1766">
        <v>0</v>
      </c>
      <c r="Y1766">
        <v>0</v>
      </c>
      <c r="Z1766">
        <v>0</v>
      </c>
      <c r="AA1766">
        <v>0</v>
      </c>
      <c r="AB1766">
        <v>0</v>
      </c>
      <c r="AC1766">
        <v>0</v>
      </c>
      <c r="AD1766">
        <v>1</v>
      </c>
      <c r="AE1766">
        <v>0</v>
      </c>
      <c r="AF1766">
        <v>0</v>
      </c>
      <c r="AG1766">
        <v>0</v>
      </c>
      <c r="AH1766">
        <v>0</v>
      </c>
      <c r="AI1766">
        <v>0</v>
      </c>
      <c r="AJ1766">
        <v>0</v>
      </c>
      <c r="AK1766">
        <v>0</v>
      </c>
    </row>
    <row r="1767" spans="1:37" x14ac:dyDescent="0.3">
      <c r="A1767">
        <v>7979</v>
      </c>
      <c r="B1767" t="s">
        <v>219</v>
      </c>
      <c r="D1767" t="s">
        <v>327</v>
      </c>
      <c r="E1767">
        <v>99999999</v>
      </c>
      <c r="F1767">
        <v>11111111</v>
      </c>
      <c r="G1767">
        <v>1111111111</v>
      </c>
      <c r="H1767" t="s">
        <v>5336</v>
      </c>
      <c r="I1767">
        <v>99999999</v>
      </c>
      <c r="J1767" s="188">
        <v>45237</v>
      </c>
      <c r="K1767" t="s">
        <v>5336</v>
      </c>
      <c r="L1767" t="s">
        <v>5336</v>
      </c>
      <c r="M1767" t="s">
        <v>1499</v>
      </c>
      <c r="N1767" t="s">
        <v>99</v>
      </c>
      <c r="O1767" t="s">
        <v>2427</v>
      </c>
      <c r="P1767" t="s">
        <v>221</v>
      </c>
      <c r="Q1767" t="s">
        <v>82</v>
      </c>
      <c r="R1767">
        <v>2</v>
      </c>
      <c r="S1767">
        <v>2</v>
      </c>
      <c r="T1767">
        <v>0</v>
      </c>
      <c r="U1767">
        <v>1</v>
      </c>
      <c r="V1767">
        <v>1</v>
      </c>
      <c r="W1767">
        <v>20.67</v>
      </c>
      <c r="X1767">
        <v>0</v>
      </c>
      <c r="Y1767">
        <v>0</v>
      </c>
      <c r="Z1767">
        <v>0</v>
      </c>
      <c r="AA1767">
        <v>0</v>
      </c>
      <c r="AB1767">
        <v>0</v>
      </c>
      <c r="AC1767">
        <v>0</v>
      </c>
      <c r="AD1767">
        <v>2</v>
      </c>
      <c r="AE1767">
        <v>0</v>
      </c>
      <c r="AF1767">
        <v>0</v>
      </c>
      <c r="AG1767">
        <v>0</v>
      </c>
      <c r="AH1767">
        <v>0</v>
      </c>
      <c r="AI1767">
        <v>0</v>
      </c>
      <c r="AJ1767">
        <v>0</v>
      </c>
      <c r="AK1767">
        <v>0</v>
      </c>
    </row>
    <row r="1768" spans="1:37" x14ac:dyDescent="0.3">
      <c r="A1768">
        <v>7979</v>
      </c>
      <c r="B1768" t="s">
        <v>219</v>
      </c>
      <c r="D1768" t="s">
        <v>327</v>
      </c>
      <c r="E1768">
        <v>99999999</v>
      </c>
      <c r="F1768">
        <v>11111111</v>
      </c>
      <c r="G1768">
        <v>1111111111</v>
      </c>
      <c r="H1768" t="s">
        <v>5337</v>
      </c>
      <c r="I1768">
        <v>99999999</v>
      </c>
      <c r="J1768" s="188">
        <v>45237</v>
      </c>
      <c r="K1768" t="s">
        <v>5337</v>
      </c>
      <c r="L1768" t="s">
        <v>5337</v>
      </c>
      <c r="M1768" t="s">
        <v>2428</v>
      </c>
      <c r="N1768" t="s">
        <v>135</v>
      </c>
      <c r="O1768" t="s">
        <v>2429</v>
      </c>
      <c r="P1768" t="s">
        <v>221</v>
      </c>
      <c r="Q1768" t="s">
        <v>82</v>
      </c>
      <c r="R1768">
        <v>1</v>
      </c>
      <c r="S1768">
        <v>1.663</v>
      </c>
      <c r="T1768">
        <v>0</v>
      </c>
      <c r="U1768">
        <v>1</v>
      </c>
      <c r="V1768">
        <v>1</v>
      </c>
      <c r="W1768">
        <v>21.88</v>
      </c>
      <c r="X1768">
        <v>0</v>
      </c>
      <c r="Y1768">
        <v>0</v>
      </c>
      <c r="Z1768">
        <v>0</v>
      </c>
      <c r="AA1768">
        <v>0</v>
      </c>
      <c r="AB1768">
        <v>0</v>
      </c>
      <c r="AC1768">
        <v>0</v>
      </c>
      <c r="AD1768">
        <v>1</v>
      </c>
      <c r="AE1768">
        <v>0</v>
      </c>
      <c r="AF1768">
        <v>0</v>
      </c>
      <c r="AG1768">
        <v>0</v>
      </c>
      <c r="AH1768">
        <v>0</v>
      </c>
      <c r="AI1768">
        <v>0</v>
      </c>
      <c r="AJ1768">
        <v>0</v>
      </c>
      <c r="AK1768">
        <v>0</v>
      </c>
    </row>
    <row r="1769" spans="1:37" x14ac:dyDescent="0.3">
      <c r="A1769">
        <v>7979</v>
      </c>
      <c r="B1769" t="s">
        <v>219</v>
      </c>
      <c r="D1769" t="s">
        <v>327</v>
      </c>
      <c r="E1769">
        <v>99999999</v>
      </c>
      <c r="F1769">
        <v>11111111</v>
      </c>
      <c r="G1769">
        <v>1111111111</v>
      </c>
      <c r="H1769" t="s">
        <v>5338</v>
      </c>
      <c r="I1769">
        <v>99999999</v>
      </c>
      <c r="J1769" s="188">
        <v>45237</v>
      </c>
      <c r="K1769" t="s">
        <v>5338</v>
      </c>
      <c r="L1769" t="s">
        <v>5338</v>
      </c>
      <c r="M1769" t="s">
        <v>2430</v>
      </c>
      <c r="N1769" t="s">
        <v>99</v>
      </c>
      <c r="O1769">
        <v>95528</v>
      </c>
      <c r="P1769" t="s">
        <v>221</v>
      </c>
      <c r="Q1769" t="s">
        <v>82</v>
      </c>
      <c r="R1769">
        <v>2</v>
      </c>
      <c r="S1769">
        <v>3</v>
      </c>
      <c r="T1769">
        <v>0</v>
      </c>
      <c r="U1769">
        <v>1</v>
      </c>
      <c r="V1769">
        <v>1</v>
      </c>
      <c r="W1769">
        <v>29.03</v>
      </c>
      <c r="X1769">
        <v>0</v>
      </c>
      <c r="Y1769">
        <v>0</v>
      </c>
      <c r="Z1769">
        <v>0</v>
      </c>
      <c r="AA1769">
        <v>0</v>
      </c>
      <c r="AB1769">
        <v>0</v>
      </c>
      <c r="AC1769">
        <v>0</v>
      </c>
      <c r="AD1769">
        <v>2</v>
      </c>
      <c r="AE1769">
        <v>0</v>
      </c>
      <c r="AF1769">
        <v>0</v>
      </c>
      <c r="AG1769">
        <v>0</v>
      </c>
      <c r="AH1769">
        <v>0</v>
      </c>
      <c r="AI1769">
        <v>0</v>
      </c>
      <c r="AJ1769">
        <v>0</v>
      </c>
      <c r="AK1769">
        <v>0</v>
      </c>
    </row>
    <row r="1770" spans="1:37" x14ac:dyDescent="0.3">
      <c r="A1770">
        <v>7979</v>
      </c>
      <c r="B1770" t="s">
        <v>219</v>
      </c>
      <c r="D1770" t="s">
        <v>327</v>
      </c>
      <c r="E1770">
        <v>99999999</v>
      </c>
      <c r="F1770">
        <v>11111111</v>
      </c>
      <c r="G1770">
        <v>1111111111</v>
      </c>
      <c r="H1770" t="s">
        <v>5339</v>
      </c>
      <c r="I1770">
        <v>99999999</v>
      </c>
      <c r="J1770" s="188">
        <v>45237</v>
      </c>
      <c r="K1770" t="s">
        <v>5339</v>
      </c>
      <c r="L1770" t="s">
        <v>5339</v>
      </c>
      <c r="M1770" t="s">
        <v>2431</v>
      </c>
      <c r="N1770" t="s">
        <v>980</v>
      </c>
      <c r="O1770" t="s">
        <v>2432</v>
      </c>
      <c r="P1770" t="s">
        <v>221</v>
      </c>
      <c r="Q1770" t="s">
        <v>82</v>
      </c>
      <c r="R1770">
        <v>1</v>
      </c>
      <c r="S1770">
        <v>0.88100000000000001</v>
      </c>
      <c r="T1770">
        <v>0</v>
      </c>
      <c r="U1770">
        <v>1</v>
      </c>
      <c r="V1770">
        <v>1</v>
      </c>
      <c r="W1770">
        <v>23.1</v>
      </c>
      <c r="X1770">
        <v>0</v>
      </c>
      <c r="Y1770">
        <v>0</v>
      </c>
      <c r="Z1770">
        <v>0</v>
      </c>
      <c r="AA1770">
        <v>0</v>
      </c>
      <c r="AB1770">
        <v>0</v>
      </c>
      <c r="AC1770">
        <v>0</v>
      </c>
      <c r="AD1770">
        <v>1</v>
      </c>
      <c r="AE1770">
        <v>0</v>
      </c>
      <c r="AF1770">
        <v>0</v>
      </c>
      <c r="AG1770">
        <v>0</v>
      </c>
      <c r="AH1770">
        <v>0</v>
      </c>
      <c r="AI1770">
        <v>0</v>
      </c>
      <c r="AJ1770">
        <v>0</v>
      </c>
      <c r="AK1770">
        <v>0</v>
      </c>
    </row>
    <row r="1771" spans="1:37" x14ac:dyDescent="0.3">
      <c r="A1771">
        <v>7979</v>
      </c>
      <c r="B1771" t="s">
        <v>219</v>
      </c>
      <c r="D1771" t="s">
        <v>327</v>
      </c>
      <c r="E1771">
        <v>99999999</v>
      </c>
      <c r="F1771">
        <v>11111111</v>
      </c>
      <c r="G1771">
        <v>1111111111</v>
      </c>
      <c r="H1771" t="s">
        <v>5340</v>
      </c>
      <c r="I1771">
        <v>99999999</v>
      </c>
      <c r="J1771" s="188">
        <v>45237</v>
      </c>
      <c r="K1771" t="s">
        <v>5340</v>
      </c>
      <c r="L1771" t="s">
        <v>5340</v>
      </c>
      <c r="M1771" t="s">
        <v>95</v>
      </c>
      <c r="N1771" t="s">
        <v>91</v>
      </c>
      <c r="O1771" t="s">
        <v>2433</v>
      </c>
      <c r="P1771" t="s">
        <v>221</v>
      </c>
      <c r="Q1771" t="s">
        <v>82</v>
      </c>
      <c r="R1771">
        <v>2</v>
      </c>
      <c r="S1771">
        <v>1.63</v>
      </c>
      <c r="T1771">
        <v>0</v>
      </c>
      <c r="U1771">
        <v>1</v>
      </c>
      <c r="V1771">
        <v>2</v>
      </c>
      <c r="W1771">
        <v>22.67</v>
      </c>
      <c r="X1771">
        <v>0</v>
      </c>
      <c r="Y1771">
        <v>0</v>
      </c>
      <c r="Z1771">
        <v>0</v>
      </c>
      <c r="AA1771">
        <v>0</v>
      </c>
      <c r="AB1771">
        <v>0</v>
      </c>
      <c r="AC1771">
        <v>0</v>
      </c>
      <c r="AD1771">
        <v>2</v>
      </c>
      <c r="AE1771">
        <v>0</v>
      </c>
      <c r="AF1771">
        <v>0</v>
      </c>
      <c r="AG1771">
        <v>0</v>
      </c>
      <c r="AH1771">
        <v>0</v>
      </c>
      <c r="AI1771">
        <v>0</v>
      </c>
      <c r="AJ1771">
        <v>0</v>
      </c>
      <c r="AK1771">
        <v>0</v>
      </c>
    </row>
    <row r="1772" spans="1:37" x14ac:dyDescent="0.3">
      <c r="A1772">
        <v>7979</v>
      </c>
      <c r="B1772" t="s">
        <v>219</v>
      </c>
      <c r="D1772" t="s">
        <v>327</v>
      </c>
      <c r="E1772">
        <v>99999999</v>
      </c>
      <c r="F1772">
        <v>11111111</v>
      </c>
      <c r="G1772">
        <v>1111111111</v>
      </c>
      <c r="H1772" t="s">
        <v>5341</v>
      </c>
      <c r="I1772">
        <v>99999999</v>
      </c>
      <c r="J1772" s="188">
        <v>45237</v>
      </c>
      <c r="K1772" t="s">
        <v>5341</v>
      </c>
      <c r="L1772" t="s">
        <v>5341</v>
      </c>
      <c r="M1772" t="s">
        <v>2434</v>
      </c>
      <c r="N1772" t="s">
        <v>151</v>
      </c>
      <c r="O1772">
        <v>27052</v>
      </c>
      <c r="P1772" t="s">
        <v>221</v>
      </c>
      <c r="Q1772" t="s">
        <v>82</v>
      </c>
      <c r="R1772">
        <v>1</v>
      </c>
      <c r="S1772">
        <v>0.8</v>
      </c>
      <c r="T1772">
        <v>0</v>
      </c>
      <c r="U1772">
        <v>1</v>
      </c>
      <c r="V1772">
        <v>1</v>
      </c>
      <c r="W1772">
        <v>29.22</v>
      </c>
      <c r="X1772">
        <v>0</v>
      </c>
      <c r="Y1772">
        <v>0</v>
      </c>
      <c r="Z1772">
        <v>0</v>
      </c>
      <c r="AA1772">
        <v>0</v>
      </c>
      <c r="AB1772">
        <v>0</v>
      </c>
      <c r="AC1772">
        <v>0</v>
      </c>
      <c r="AD1772">
        <v>1</v>
      </c>
      <c r="AE1772">
        <v>0</v>
      </c>
      <c r="AF1772">
        <v>0</v>
      </c>
      <c r="AG1772">
        <v>0</v>
      </c>
      <c r="AH1772">
        <v>0</v>
      </c>
      <c r="AI1772">
        <v>0</v>
      </c>
      <c r="AJ1772">
        <v>0</v>
      </c>
      <c r="AK1772">
        <v>0</v>
      </c>
    </row>
    <row r="1773" spans="1:37" x14ac:dyDescent="0.3">
      <c r="A1773">
        <v>7979</v>
      </c>
      <c r="B1773" t="s">
        <v>219</v>
      </c>
      <c r="D1773" t="s">
        <v>327</v>
      </c>
      <c r="E1773">
        <v>99999999</v>
      </c>
      <c r="F1773">
        <v>11111111</v>
      </c>
      <c r="G1773">
        <v>1111111111</v>
      </c>
      <c r="H1773" t="s">
        <v>5342</v>
      </c>
      <c r="I1773">
        <v>99999999</v>
      </c>
      <c r="J1773" s="188">
        <v>45237</v>
      </c>
      <c r="K1773" t="s">
        <v>5342</v>
      </c>
      <c r="L1773" t="s">
        <v>5342</v>
      </c>
      <c r="M1773" t="s">
        <v>2278</v>
      </c>
      <c r="N1773" t="s">
        <v>99</v>
      </c>
      <c r="O1773">
        <v>92201</v>
      </c>
      <c r="P1773" t="s">
        <v>221</v>
      </c>
      <c r="Q1773" t="s">
        <v>82</v>
      </c>
      <c r="R1773">
        <v>1</v>
      </c>
      <c r="S1773">
        <v>1.1000000000000001</v>
      </c>
      <c r="T1773">
        <v>0</v>
      </c>
      <c r="U1773">
        <v>1</v>
      </c>
      <c r="V1773">
        <v>1</v>
      </c>
      <c r="W1773">
        <v>21.54</v>
      </c>
      <c r="X1773">
        <v>0</v>
      </c>
      <c r="Y1773">
        <v>0</v>
      </c>
      <c r="Z1773">
        <v>0</v>
      </c>
      <c r="AA1773">
        <v>0</v>
      </c>
      <c r="AB1773">
        <v>0</v>
      </c>
      <c r="AC1773">
        <v>0</v>
      </c>
      <c r="AD1773">
        <v>1</v>
      </c>
      <c r="AE1773">
        <v>0</v>
      </c>
      <c r="AF1773">
        <v>0</v>
      </c>
      <c r="AG1773">
        <v>0</v>
      </c>
      <c r="AH1773">
        <v>0</v>
      </c>
      <c r="AI1773">
        <v>0</v>
      </c>
      <c r="AJ1773">
        <v>0</v>
      </c>
      <c r="AK1773">
        <v>0</v>
      </c>
    </row>
    <row r="1774" spans="1:37" x14ac:dyDescent="0.3">
      <c r="A1774">
        <v>7979</v>
      </c>
      <c r="B1774" t="s">
        <v>219</v>
      </c>
      <c r="D1774" t="s">
        <v>327</v>
      </c>
      <c r="E1774">
        <v>99999999</v>
      </c>
      <c r="F1774">
        <v>11111111</v>
      </c>
      <c r="G1774">
        <v>1111111111</v>
      </c>
      <c r="H1774" t="s">
        <v>5343</v>
      </c>
      <c r="I1774">
        <v>99999999</v>
      </c>
      <c r="J1774" s="188">
        <v>45237</v>
      </c>
      <c r="K1774" t="s">
        <v>5343</v>
      </c>
      <c r="L1774" t="s">
        <v>5343</v>
      </c>
      <c r="M1774" t="s">
        <v>2435</v>
      </c>
      <c r="N1774" t="s">
        <v>206</v>
      </c>
      <c r="O1774" t="s">
        <v>2436</v>
      </c>
      <c r="P1774" t="s">
        <v>221</v>
      </c>
      <c r="Q1774" t="s">
        <v>82</v>
      </c>
      <c r="R1774">
        <v>1</v>
      </c>
      <c r="S1774">
        <v>0.8</v>
      </c>
      <c r="T1774">
        <v>0</v>
      </c>
      <c r="U1774">
        <v>1</v>
      </c>
      <c r="V1774">
        <v>1</v>
      </c>
      <c r="W1774">
        <v>22.81</v>
      </c>
      <c r="X1774">
        <v>0</v>
      </c>
      <c r="Y1774">
        <v>0</v>
      </c>
      <c r="Z1774">
        <v>0</v>
      </c>
      <c r="AA1774">
        <v>0</v>
      </c>
      <c r="AB1774">
        <v>0</v>
      </c>
      <c r="AC1774">
        <v>0</v>
      </c>
      <c r="AD1774">
        <v>1</v>
      </c>
      <c r="AE1774">
        <v>0</v>
      </c>
      <c r="AF1774">
        <v>0</v>
      </c>
      <c r="AG1774">
        <v>0</v>
      </c>
      <c r="AH1774">
        <v>0</v>
      </c>
      <c r="AI1774">
        <v>0</v>
      </c>
      <c r="AJ1774">
        <v>0</v>
      </c>
      <c r="AK1774">
        <v>0</v>
      </c>
    </row>
    <row r="1775" spans="1:37" x14ac:dyDescent="0.3">
      <c r="A1775">
        <v>7979</v>
      </c>
      <c r="B1775" t="s">
        <v>219</v>
      </c>
      <c r="D1775" t="s">
        <v>327</v>
      </c>
      <c r="E1775">
        <v>99999999</v>
      </c>
      <c r="F1775">
        <v>11111111</v>
      </c>
      <c r="G1775">
        <v>1111111111</v>
      </c>
      <c r="H1775" t="s">
        <v>5344</v>
      </c>
      <c r="I1775">
        <v>99999999</v>
      </c>
      <c r="J1775" s="188">
        <v>45237</v>
      </c>
      <c r="K1775" t="s">
        <v>5344</v>
      </c>
      <c r="L1775" t="s">
        <v>5344</v>
      </c>
      <c r="M1775" t="s">
        <v>865</v>
      </c>
      <c r="N1775" t="s">
        <v>91</v>
      </c>
      <c r="O1775" t="s">
        <v>2437</v>
      </c>
      <c r="P1775" t="s">
        <v>221</v>
      </c>
      <c r="Q1775" t="s">
        <v>82</v>
      </c>
      <c r="R1775">
        <v>1</v>
      </c>
      <c r="S1775">
        <v>0.13</v>
      </c>
      <c r="T1775">
        <v>0</v>
      </c>
      <c r="U1775">
        <v>1</v>
      </c>
      <c r="V1775">
        <v>1</v>
      </c>
      <c r="W1775">
        <v>19.899999999999999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1</v>
      </c>
      <c r="AE1775">
        <v>0</v>
      </c>
      <c r="AF1775">
        <v>0</v>
      </c>
      <c r="AG1775">
        <v>0</v>
      </c>
      <c r="AH1775">
        <v>0</v>
      </c>
      <c r="AI1775">
        <v>0</v>
      </c>
      <c r="AJ1775">
        <v>0</v>
      </c>
      <c r="AK1775">
        <v>0</v>
      </c>
    </row>
    <row r="1776" spans="1:37" x14ac:dyDescent="0.3">
      <c r="A1776">
        <v>7979</v>
      </c>
      <c r="B1776" t="s">
        <v>219</v>
      </c>
      <c r="D1776" t="s">
        <v>327</v>
      </c>
      <c r="E1776">
        <v>99999999</v>
      </c>
      <c r="F1776">
        <v>11111111</v>
      </c>
      <c r="G1776">
        <v>1111111111</v>
      </c>
      <c r="H1776" t="s">
        <v>5345</v>
      </c>
      <c r="I1776">
        <v>99999999</v>
      </c>
      <c r="J1776" s="188">
        <v>45237</v>
      </c>
      <c r="K1776" t="s">
        <v>5345</v>
      </c>
      <c r="L1776" t="s">
        <v>5345</v>
      </c>
      <c r="M1776" t="s">
        <v>1492</v>
      </c>
      <c r="N1776" t="s">
        <v>164</v>
      </c>
      <c r="O1776" t="s">
        <v>2438</v>
      </c>
      <c r="P1776" t="s">
        <v>221</v>
      </c>
      <c r="Q1776" t="s">
        <v>82</v>
      </c>
      <c r="R1776">
        <v>1</v>
      </c>
      <c r="S1776">
        <v>0.2</v>
      </c>
      <c r="T1776">
        <v>0</v>
      </c>
      <c r="U1776">
        <v>1</v>
      </c>
      <c r="V1776">
        <v>1</v>
      </c>
      <c r="W1776">
        <v>19.3</v>
      </c>
      <c r="X1776">
        <v>0</v>
      </c>
      <c r="Y1776">
        <v>0</v>
      </c>
      <c r="Z1776">
        <v>0</v>
      </c>
      <c r="AA1776">
        <v>0</v>
      </c>
      <c r="AB1776">
        <v>0</v>
      </c>
      <c r="AC1776">
        <v>0</v>
      </c>
      <c r="AD1776">
        <v>1</v>
      </c>
      <c r="AE1776">
        <v>0</v>
      </c>
      <c r="AF1776">
        <v>0</v>
      </c>
      <c r="AG1776">
        <v>0</v>
      </c>
      <c r="AH1776">
        <v>0</v>
      </c>
      <c r="AI1776">
        <v>0</v>
      </c>
      <c r="AJ1776">
        <v>0</v>
      </c>
      <c r="AK1776">
        <v>0</v>
      </c>
    </row>
    <row r="1777" spans="1:37" x14ac:dyDescent="0.3">
      <c r="A1777">
        <v>7979</v>
      </c>
      <c r="B1777" t="s">
        <v>219</v>
      </c>
      <c r="D1777" t="s">
        <v>327</v>
      </c>
      <c r="E1777">
        <v>99999999</v>
      </c>
      <c r="F1777">
        <v>11111111</v>
      </c>
      <c r="G1777">
        <v>1111111111</v>
      </c>
      <c r="H1777" t="s">
        <v>5346</v>
      </c>
      <c r="I1777">
        <v>99999999</v>
      </c>
      <c r="J1777" s="188">
        <v>45237</v>
      </c>
      <c r="K1777" t="s">
        <v>5346</v>
      </c>
      <c r="L1777" t="s">
        <v>5346</v>
      </c>
      <c r="M1777" t="s">
        <v>258</v>
      </c>
      <c r="N1777" t="s">
        <v>91</v>
      </c>
      <c r="O1777" t="s">
        <v>2439</v>
      </c>
      <c r="P1777" t="s">
        <v>221</v>
      </c>
      <c r="Q1777" t="s">
        <v>82</v>
      </c>
      <c r="R1777">
        <v>2</v>
      </c>
      <c r="S1777">
        <v>1.6</v>
      </c>
      <c r="T1777">
        <v>0</v>
      </c>
      <c r="U1777">
        <v>1</v>
      </c>
      <c r="V1777">
        <v>1</v>
      </c>
      <c r="W1777">
        <v>22.67</v>
      </c>
      <c r="X1777">
        <v>0</v>
      </c>
      <c r="Y1777">
        <v>0</v>
      </c>
      <c r="Z1777">
        <v>0</v>
      </c>
      <c r="AA1777">
        <v>0</v>
      </c>
      <c r="AB1777">
        <v>0</v>
      </c>
      <c r="AC1777">
        <v>0</v>
      </c>
      <c r="AD1777">
        <v>2</v>
      </c>
      <c r="AE1777">
        <v>0</v>
      </c>
      <c r="AF1777">
        <v>0</v>
      </c>
      <c r="AG1777">
        <v>0</v>
      </c>
      <c r="AH1777">
        <v>0</v>
      </c>
      <c r="AI1777">
        <v>0</v>
      </c>
      <c r="AJ1777">
        <v>0</v>
      </c>
      <c r="AK1777">
        <v>0</v>
      </c>
    </row>
    <row r="1778" spans="1:37" x14ac:dyDescent="0.3">
      <c r="A1778">
        <v>7979</v>
      </c>
      <c r="B1778" t="s">
        <v>219</v>
      </c>
      <c r="D1778" t="s">
        <v>327</v>
      </c>
      <c r="E1778">
        <v>99999999</v>
      </c>
      <c r="F1778">
        <v>11111111</v>
      </c>
      <c r="G1778">
        <v>1111111111</v>
      </c>
      <c r="H1778" t="s">
        <v>5347</v>
      </c>
      <c r="I1778">
        <v>99999999</v>
      </c>
      <c r="J1778" s="188">
        <v>45237</v>
      </c>
      <c r="K1778" t="s">
        <v>5347</v>
      </c>
      <c r="L1778" t="s">
        <v>5347</v>
      </c>
      <c r="M1778" t="s">
        <v>2440</v>
      </c>
      <c r="N1778" t="s">
        <v>161</v>
      </c>
      <c r="O1778" t="s">
        <v>2441</v>
      </c>
      <c r="P1778" t="s">
        <v>221</v>
      </c>
      <c r="Q1778" t="s">
        <v>82</v>
      </c>
      <c r="R1778">
        <v>1</v>
      </c>
      <c r="S1778">
        <v>1.1000000000000001</v>
      </c>
      <c r="T1778">
        <v>0</v>
      </c>
      <c r="U1778">
        <v>1</v>
      </c>
      <c r="V1778">
        <v>1</v>
      </c>
      <c r="W1778">
        <v>28.93</v>
      </c>
      <c r="X1778">
        <v>0</v>
      </c>
      <c r="Y1778">
        <v>0</v>
      </c>
      <c r="Z1778">
        <v>0</v>
      </c>
      <c r="AA1778">
        <v>0</v>
      </c>
      <c r="AB1778">
        <v>0</v>
      </c>
      <c r="AC1778">
        <v>0</v>
      </c>
      <c r="AD1778">
        <v>1</v>
      </c>
      <c r="AE1778">
        <v>0</v>
      </c>
      <c r="AF1778">
        <v>0</v>
      </c>
      <c r="AG1778">
        <v>0</v>
      </c>
      <c r="AH1778">
        <v>0</v>
      </c>
      <c r="AI1778">
        <v>0</v>
      </c>
      <c r="AJ1778">
        <v>0</v>
      </c>
      <c r="AK1778">
        <v>0</v>
      </c>
    </row>
    <row r="1779" spans="1:37" x14ac:dyDescent="0.3">
      <c r="A1779">
        <v>7979</v>
      </c>
      <c r="B1779" t="s">
        <v>219</v>
      </c>
      <c r="D1779" t="s">
        <v>327</v>
      </c>
      <c r="E1779">
        <v>99999999</v>
      </c>
      <c r="F1779">
        <v>11111111</v>
      </c>
      <c r="G1779">
        <v>1111111111</v>
      </c>
      <c r="H1779" t="s">
        <v>5348</v>
      </c>
      <c r="I1779">
        <v>99999999</v>
      </c>
      <c r="J1779" s="188">
        <v>45237</v>
      </c>
      <c r="K1779" t="s">
        <v>5348</v>
      </c>
      <c r="L1779" t="s">
        <v>5348</v>
      </c>
      <c r="M1779" t="s">
        <v>2442</v>
      </c>
      <c r="N1779" t="s">
        <v>118</v>
      </c>
      <c r="O1779" t="s">
        <v>2443</v>
      </c>
      <c r="P1779" t="s">
        <v>221</v>
      </c>
      <c r="Q1779" t="s">
        <v>82</v>
      </c>
      <c r="R1779">
        <v>1</v>
      </c>
      <c r="S1779">
        <v>0.03</v>
      </c>
      <c r="T1779">
        <v>0</v>
      </c>
      <c r="U1779">
        <v>1</v>
      </c>
      <c r="V1779">
        <v>1</v>
      </c>
      <c r="W1779">
        <v>20.78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1</v>
      </c>
      <c r="AE1779">
        <v>0</v>
      </c>
      <c r="AF1779">
        <v>0</v>
      </c>
      <c r="AG1779">
        <v>0</v>
      </c>
      <c r="AH1779">
        <v>0</v>
      </c>
      <c r="AI1779">
        <v>0</v>
      </c>
      <c r="AJ1779">
        <v>0</v>
      </c>
      <c r="AK1779">
        <v>0</v>
      </c>
    </row>
    <row r="1780" spans="1:37" x14ac:dyDescent="0.3">
      <c r="A1780">
        <v>7979</v>
      </c>
      <c r="B1780" t="s">
        <v>219</v>
      </c>
      <c r="D1780" t="s">
        <v>327</v>
      </c>
      <c r="E1780">
        <v>99999999</v>
      </c>
      <c r="F1780">
        <v>11111111</v>
      </c>
      <c r="G1780">
        <v>1111111111</v>
      </c>
      <c r="H1780" t="s">
        <v>5349</v>
      </c>
      <c r="I1780">
        <v>99999999</v>
      </c>
      <c r="J1780" s="188">
        <v>45237</v>
      </c>
      <c r="K1780" t="s">
        <v>5349</v>
      </c>
      <c r="L1780" t="s">
        <v>5349</v>
      </c>
      <c r="M1780" t="s">
        <v>2444</v>
      </c>
      <c r="N1780" t="s">
        <v>307</v>
      </c>
      <c r="O1780" t="s">
        <v>2445</v>
      </c>
      <c r="P1780" t="s">
        <v>221</v>
      </c>
      <c r="Q1780" t="s">
        <v>82</v>
      </c>
      <c r="R1780">
        <v>1</v>
      </c>
      <c r="S1780">
        <v>5.8</v>
      </c>
      <c r="T1780">
        <v>0</v>
      </c>
      <c r="U1780">
        <v>1</v>
      </c>
      <c r="V1780">
        <v>1</v>
      </c>
      <c r="W1780">
        <v>31.59</v>
      </c>
      <c r="X1780">
        <v>0</v>
      </c>
      <c r="Y1780">
        <v>0</v>
      </c>
      <c r="Z1780">
        <v>0</v>
      </c>
      <c r="AA1780">
        <v>0</v>
      </c>
      <c r="AB1780">
        <v>0</v>
      </c>
      <c r="AC1780">
        <v>0</v>
      </c>
      <c r="AD1780">
        <v>1</v>
      </c>
      <c r="AE1780">
        <v>0</v>
      </c>
      <c r="AF1780">
        <v>0</v>
      </c>
      <c r="AG1780">
        <v>0</v>
      </c>
      <c r="AH1780">
        <v>0</v>
      </c>
      <c r="AI1780">
        <v>0</v>
      </c>
      <c r="AJ1780">
        <v>0</v>
      </c>
      <c r="AK1780">
        <v>0</v>
      </c>
    </row>
    <row r="1781" spans="1:37" x14ac:dyDescent="0.3">
      <c r="A1781">
        <v>7979</v>
      </c>
      <c r="B1781" t="s">
        <v>219</v>
      </c>
      <c r="D1781" t="s">
        <v>327</v>
      </c>
      <c r="E1781">
        <v>99999999</v>
      </c>
      <c r="F1781">
        <v>11111111</v>
      </c>
      <c r="G1781">
        <v>1111111111</v>
      </c>
      <c r="H1781" t="s">
        <v>5350</v>
      </c>
      <c r="I1781">
        <v>99999999</v>
      </c>
      <c r="J1781" s="188">
        <v>45237</v>
      </c>
      <c r="K1781" t="s">
        <v>5350</v>
      </c>
      <c r="L1781" t="s">
        <v>5350</v>
      </c>
      <c r="M1781" t="s">
        <v>2064</v>
      </c>
      <c r="N1781" t="s">
        <v>97</v>
      </c>
      <c r="O1781" t="s">
        <v>2065</v>
      </c>
      <c r="P1781" t="s">
        <v>221</v>
      </c>
      <c r="Q1781" t="s">
        <v>82</v>
      </c>
      <c r="R1781">
        <v>1</v>
      </c>
      <c r="S1781">
        <v>0.45</v>
      </c>
      <c r="T1781">
        <v>0</v>
      </c>
      <c r="U1781">
        <v>1</v>
      </c>
      <c r="V1781">
        <v>1</v>
      </c>
      <c r="W1781">
        <v>25.42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1</v>
      </c>
      <c r="AE1781">
        <v>0</v>
      </c>
      <c r="AF1781">
        <v>0</v>
      </c>
      <c r="AG1781">
        <v>0</v>
      </c>
      <c r="AH1781">
        <v>0</v>
      </c>
      <c r="AI1781">
        <v>0</v>
      </c>
      <c r="AJ1781">
        <v>0</v>
      </c>
      <c r="AK1781">
        <v>0</v>
      </c>
    </row>
    <row r="1782" spans="1:37" x14ac:dyDescent="0.3">
      <c r="A1782">
        <v>7979</v>
      </c>
      <c r="B1782" t="s">
        <v>219</v>
      </c>
      <c r="D1782" t="s">
        <v>327</v>
      </c>
      <c r="E1782">
        <v>99999999</v>
      </c>
      <c r="F1782">
        <v>11111111</v>
      </c>
      <c r="G1782">
        <v>1111111111</v>
      </c>
      <c r="H1782" t="s">
        <v>5351</v>
      </c>
      <c r="I1782">
        <v>99999999</v>
      </c>
      <c r="J1782" s="188">
        <v>45237</v>
      </c>
      <c r="K1782" t="s">
        <v>5351</v>
      </c>
      <c r="L1782" t="s">
        <v>5351</v>
      </c>
      <c r="M1782" t="s">
        <v>988</v>
      </c>
      <c r="N1782" t="s">
        <v>99</v>
      </c>
      <c r="O1782" t="s">
        <v>2446</v>
      </c>
      <c r="P1782" t="s">
        <v>221</v>
      </c>
      <c r="Q1782" t="s">
        <v>82</v>
      </c>
      <c r="R1782">
        <v>1</v>
      </c>
      <c r="S1782">
        <v>4.8109999999999999</v>
      </c>
      <c r="T1782">
        <v>0</v>
      </c>
      <c r="U1782">
        <v>1</v>
      </c>
      <c r="V1782">
        <v>1</v>
      </c>
      <c r="W1782">
        <v>23.09</v>
      </c>
      <c r="X1782">
        <v>0</v>
      </c>
      <c r="Y1782">
        <v>0</v>
      </c>
      <c r="Z1782">
        <v>0</v>
      </c>
      <c r="AA1782">
        <v>0</v>
      </c>
      <c r="AB1782">
        <v>0</v>
      </c>
      <c r="AC1782">
        <v>0</v>
      </c>
      <c r="AD1782">
        <v>1</v>
      </c>
      <c r="AE1782">
        <v>0</v>
      </c>
      <c r="AF1782">
        <v>0</v>
      </c>
      <c r="AG1782">
        <v>0</v>
      </c>
      <c r="AH1782">
        <v>0</v>
      </c>
      <c r="AI1782">
        <v>0</v>
      </c>
      <c r="AJ1782">
        <v>0</v>
      </c>
      <c r="AK1782">
        <v>0</v>
      </c>
    </row>
    <row r="1783" spans="1:37" x14ac:dyDescent="0.3">
      <c r="A1783">
        <v>7979</v>
      </c>
      <c r="B1783" t="s">
        <v>219</v>
      </c>
      <c r="D1783" t="s">
        <v>327</v>
      </c>
      <c r="E1783">
        <v>99999999</v>
      </c>
      <c r="F1783">
        <v>11111111</v>
      </c>
      <c r="G1783">
        <v>1111111111</v>
      </c>
      <c r="H1783" t="s">
        <v>5352</v>
      </c>
      <c r="I1783">
        <v>99999999</v>
      </c>
      <c r="J1783" s="188">
        <v>45237</v>
      </c>
      <c r="K1783" t="s">
        <v>5352</v>
      </c>
      <c r="L1783" t="s">
        <v>5352</v>
      </c>
      <c r="M1783" t="s">
        <v>2447</v>
      </c>
      <c r="N1783" t="s">
        <v>135</v>
      </c>
      <c r="O1783" t="s">
        <v>2448</v>
      </c>
      <c r="P1783" t="s">
        <v>221</v>
      </c>
      <c r="Q1783" t="s">
        <v>82</v>
      </c>
      <c r="R1783">
        <v>1</v>
      </c>
      <c r="S1783">
        <v>0.95</v>
      </c>
      <c r="T1783">
        <v>0</v>
      </c>
      <c r="U1783">
        <v>1</v>
      </c>
      <c r="V1783">
        <v>1</v>
      </c>
      <c r="W1783">
        <v>21.21</v>
      </c>
      <c r="X1783">
        <v>0</v>
      </c>
      <c r="Y1783">
        <v>0</v>
      </c>
      <c r="Z1783">
        <v>0</v>
      </c>
      <c r="AA1783">
        <v>0</v>
      </c>
      <c r="AB1783">
        <v>0</v>
      </c>
      <c r="AC1783">
        <v>0</v>
      </c>
      <c r="AD1783">
        <v>1</v>
      </c>
      <c r="AE1783">
        <v>0</v>
      </c>
      <c r="AF1783">
        <v>0</v>
      </c>
      <c r="AG1783">
        <v>0</v>
      </c>
      <c r="AH1783">
        <v>0</v>
      </c>
      <c r="AI1783">
        <v>0</v>
      </c>
      <c r="AJ1783">
        <v>0</v>
      </c>
      <c r="AK1783">
        <v>0</v>
      </c>
    </row>
    <row r="1784" spans="1:37" x14ac:dyDescent="0.3">
      <c r="A1784">
        <v>7979</v>
      </c>
      <c r="B1784" t="s">
        <v>219</v>
      </c>
      <c r="D1784" t="s">
        <v>327</v>
      </c>
      <c r="E1784">
        <v>99999999</v>
      </c>
      <c r="F1784">
        <v>11111111</v>
      </c>
      <c r="G1784">
        <v>1111111111</v>
      </c>
      <c r="H1784" t="s">
        <v>5353</v>
      </c>
      <c r="I1784">
        <v>99999999</v>
      </c>
      <c r="J1784" s="188">
        <v>45237</v>
      </c>
      <c r="K1784" t="s">
        <v>5353</v>
      </c>
      <c r="L1784" t="s">
        <v>5353</v>
      </c>
      <c r="M1784" t="s">
        <v>103</v>
      </c>
      <c r="N1784" t="s">
        <v>104</v>
      </c>
      <c r="O1784" t="s">
        <v>2449</v>
      </c>
      <c r="P1784" t="s">
        <v>221</v>
      </c>
      <c r="Q1784" t="s">
        <v>82</v>
      </c>
      <c r="R1784">
        <v>1</v>
      </c>
      <c r="S1784">
        <v>1.1299999999999999</v>
      </c>
      <c r="T1784">
        <v>0</v>
      </c>
      <c r="U1784">
        <v>1</v>
      </c>
      <c r="V1784">
        <v>1</v>
      </c>
      <c r="W1784">
        <v>27.33</v>
      </c>
      <c r="X1784">
        <v>0</v>
      </c>
      <c r="Y1784">
        <v>0</v>
      </c>
      <c r="Z1784">
        <v>0</v>
      </c>
      <c r="AA1784">
        <v>0</v>
      </c>
      <c r="AB1784">
        <v>0</v>
      </c>
      <c r="AC1784">
        <v>0</v>
      </c>
      <c r="AD1784">
        <v>1</v>
      </c>
      <c r="AE1784">
        <v>0</v>
      </c>
      <c r="AF1784">
        <v>0</v>
      </c>
      <c r="AG1784">
        <v>0</v>
      </c>
      <c r="AH1784">
        <v>0</v>
      </c>
      <c r="AI1784">
        <v>0</v>
      </c>
      <c r="AJ1784">
        <v>0</v>
      </c>
      <c r="AK1784">
        <v>0</v>
      </c>
    </row>
    <row r="1785" spans="1:37" x14ac:dyDescent="0.3">
      <c r="A1785">
        <v>7979</v>
      </c>
      <c r="B1785" t="s">
        <v>219</v>
      </c>
      <c r="D1785" t="s">
        <v>327</v>
      </c>
      <c r="E1785">
        <v>99999999</v>
      </c>
      <c r="F1785">
        <v>11111111</v>
      </c>
      <c r="G1785">
        <v>1111111111</v>
      </c>
      <c r="H1785" t="s">
        <v>5354</v>
      </c>
      <c r="I1785">
        <v>99999999</v>
      </c>
      <c r="J1785" s="188">
        <v>45237</v>
      </c>
      <c r="K1785" t="s">
        <v>5354</v>
      </c>
      <c r="L1785" t="s">
        <v>5354</v>
      </c>
      <c r="M1785" t="s">
        <v>2450</v>
      </c>
      <c r="N1785" t="s">
        <v>231</v>
      </c>
      <c r="O1785" t="s">
        <v>2451</v>
      </c>
      <c r="P1785" t="s">
        <v>221</v>
      </c>
      <c r="Q1785" t="s">
        <v>82</v>
      </c>
      <c r="R1785">
        <v>1</v>
      </c>
      <c r="S1785">
        <v>1</v>
      </c>
      <c r="T1785">
        <v>0</v>
      </c>
      <c r="U1785">
        <v>1</v>
      </c>
      <c r="V1785">
        <v>1</v>
      </c>
      <c r="W1785">
        <v>23.1</v>
      </c>
      <c r="X1785">
        <v>0</v>
      </c>
      <c r="Y1785">
        <v>0</v>
      </c>
      <c r="Z1785">
        <v>0</v>
      </c>
      <c r="AA1785">
        <v>0</v>
      </c>
      <c r="AB1785">
        <v>0</v>
      </c>
      <c r="AC1785">
        <v>0</v>
      </c>
      <c r="AD1785">
        <v>1</v>
      </c>
      <c r="AE1785">
        <v>0</v>
      </c>
      <c r="AF1785">
        <v>0</v>
      </c>
      <c r="AG1785">
        <v>0</v>
      </c>
      <c r="AH1785">
        <v>0</v>
      </c>
      <c r="AI1785">
        <v>0</v>
      </c>
      <c r="AJ1785">
        <v>0</v>
      </c>
      <c r="AK1785">
        <v>0</v>
      </c>
    </row>
    <row r="1786" spans="1:37" x14ac:dyDescent="0.3">
      <c r="A1786">
        <v>7979</v>
      </c>
      <c r="B1786" t="s">
        <v>219</v>
      </c>
      <c r="D1786" t="s">
        <v>327</v>
      </c>
      <c r="E1786">
        <v>99999999</v>
      </c>
      <c r="F1786">
        <v>11111111</v>
      </c>
      <c r="G1786">
        <v>1111111111</v>
      </c>
      <c r="H1786" t="s">
        <v>5355</v>
      </c>
      <c r="I1786">
        <v>99999999</v>
      </c>
      <c r="J1786" s="188">
        <v>45237</v>
      </c>
      <c r="K1786" t="s">
        <v>5355</v>
      </c>
      <c r="L1786" t="s">
        <v>5355</v>
      </c>
      <c r="M1786" t="s">
        <v>2452</v>
      </c>
      <c r="N1786" t="s">
        <v>122</v>
      </c>
      <c r="O1786" t="s">
        <v>2453</v>
      </c>
      <c r="P1786" t="s">
        <v>221</v>
      </c>
      <c r="Q1786" t="s">
        <v>82</v>
      </c>
      <c r="R1786">
        <v>3</v>
      </c>
      <c r="S1786">
        <v>4.5</v>
      </c>
      <c r="T1786">
        <v>0</v>
      </c>
      <c r="U1786">
        <v>1</v>
      </c>
      <c r="V1786">
        <v>3</v>
      </c>
      <c r="W1786">
        <v>39.44</v>
      </c>
      <c r="X1786">
        <v>0</v>
      </c>
      <c r="Y1786">
        <v>0</v>
      </c>
      <c r="Z1786">
        <v>0</v>
      </c>
      <c r="AA1786">
        <v>0</v>
      </c>
      <c r="AB1786">
        <v>0</v>
      </c>
      <c r="AC1786">
        <v>0</v>
      </c>
      <c r="AD1786">
        <v>3</v>
      </c>
      <c r="AE1786">
        <v>0</v>
      </c>
      <c r="AF1786">
        <v>0</v>
      </c>
      <c r="AG1786">
        <v>0</v>
      </c>
      <c r="AH1786">
        <v>0</v>
      </c>
      <c r="AI1786">
        <v>0</v>
      </c>
      <c r="AJ1786">
        <v>0</v>
      </c>
      <c r="AK1786">
        <v>0</v>
      </c>
    </row>
    <row r="1787" spans="1:37" x14ac:dyDescent="0.3">
      <c r="A1787">
        <v>7979</v>
      </c>
      <c r="B1787" t="s">
        <v>219</v>
      </c>
      <c r="D1787" t="s">
        <v>327</v>
      </c>
      <c r="E1787">
        <v>99999999</v>
      </c>
      <c r="F1787">
        <v>11111111</v>
      </c>
      <c r="G1787">
        <v>1111111111</v>
      </c>
      <c r="H1787" t="s">
        <v>5356</v>
      </c>
      <c r="I1787">
        <v>99999999</v>
      </c>
      <c r="J1787" s="188">
        <v>45237</v>
      </c>
      <c r="K1787" t="s">
        <v>5356</v>
      </c>
      <c r="L1787" t="s">
        <v>5356</v>
      </c>
      <c r="M1787" t="s">
        <v>1090</v>
      </c>
      <c r="N1787" t="s">
        <v>265</v>
      </c>
      <c r="O1787">
        <v>29803</v>
      </c>
      <c r="P1787" t="s">
        <v>221</v>
      </c>
      <c r="Q1787" t="s">
        <v>82</v>
      </c>
      <c r="R1787">
        <v>1</v>
      </c>
      <c r="S1787">
        <v>0.5</v>
      </c>
      <c r="T1787">
        <v>0</v>
      </c>
      <c r="U1787">
        <v>1</v>
      </c>
      <c r="V1787">
        <v>1</v>
      </c>
      <c r="W1787">
        <v>20.78</v>
      </c>
      <c r="X1787">
        <v>0</v>
      </c>
      <c r="Y1787">
        <v>0</v>
      </c>
      <c r="Z1787">
        <v>0</v>
      </c>
      <c r="AA1787">
        <v>0</v>
      </c>
      <c r="AB1787">
        <v>0</v>
      </c>
      <c r="AC1787">
        <v>0</v>
      </c>
      <c r="AD1787">
        <v>1</v>
      </c>
      <c r="AE1787">
        <v>0</v>
      </c>
      <c r="AF1787">
        <v>0</v>
      </c>
      <c r="AG1787">
        <v>0</v>
      </c>
      <c r="AH1787">
        <v>0</v>
      </c>
      <c r="AI1787">
        <v>0</v>
      </c>
      <c r="AJ1787">
        <v>0</v>
      </c>
      <c r="AK1787">
        <v>0</v>
      </c>
    </row>
    <row r="1788" spans="1:37" x14ac:dyDescent="0.3">
      <c r="A1788">
        <v>7979</v>
      </c>
      <c r="B1788" t="s">
        <v>219</v>
      </c>
      <c r="D1788" t="s">
        <v>327</v>
      </c>
      <c r="E1788">
        <v>99999999</v>
      </c>
      <c r="F1788">
        <v>11111111</v>
      </c>
      <c r="G1788">
        <v>1111111111</v>
      </c>
      <c r="H1788" t="s">
        <v>5357</v>
      </c>
      <c r="I1788">
        <v>99999999</v>
      </c>
      <c r="J1788" s="188">
        <v>45237</v>
      </c>
      <c r="K1788" t="s">
        <v>5357</v>
      </c>
      <c r="L1788" t="s">
        <v>5357</v>
      </c>
      <c r="M1788" t="s">
        <v>941</v>
      </c>
      <c r="N1788" t="s">
        <v>99</v>
      </c>
      <c r="O1788" t="s">
        <v>2454</v>
      </c>
      <c r="P1788" t="s">
        <v>221</v>
      </c>
      <c r="Q1788" t="s">
        <v>82</v>
      </c>
      <c r="R1788">
        <v>1</v>
      </c>
      <c r="S1788">
        <v>1</v>
      </c>
      <c r="T1788">
        <v>0</v>
      </c>
      <c r="U1788">
        <v>1</v>
      </c>
      <c r="V1788">
        <v>1</v>
      </c>
      <c r="W1788">
        <v>19.940000000000001</v>
      </c>
      <c r="X1788">
        <v>0</v>
      </c>
      <c r="Y1788">
        <v>0</v>
      </c>
      <c r="Z1788">
        <v>0</v>
      </c>
      <c r="AA1788">
        <v>0</v>
      </c>
      <c r="AB1788">
        <v>0</v>
      </c>
      <c r="AC1788">
        <v>0</v>
      </c>
      <c r="AD1788">
        <v>1</v>
      </c>
      <c r="AE1788">
        <v>0</v>
      </c>
      <c r="AF1788">
        <v>0</v>
      </c>
      <c r="AG1788">
        <v>0</v>
      </c>
      <c r="AH1788">
        <v>0</v>
      </c>
      <c r="AI1788">
        <v>0</v>
      </c>
      <c r="AJ1788">
        <v>0</v>
      </c>
      <c r="AK1788">
        <v>0</v>
      </c>
    </row>
    <row r="1789" spans="1:37" x14ac:dyDescent="0.3">
      <c r="A1789">
        <v>7979</v>
      </c>
      <c r="B1789" t="s">
        <v>219</v>
      </c>
      <c r="D1789" t="s">
        <v>327</v>
      </c>
      <c r="E1789">
        <v>99999999</v>
      </c>
      <c r="F1789">
        <v>11111111</v>
      </c>
      <c r="G1789">
        <v>1111111111</v>
      </c>
      <c r="H1789" t="s">
        <v>5358</v>
      </c>
      <c r="I1789">
        <v>99999999</v>
      </c>
      <c r="J1789" s="188">
        <v>45237</v>
      </c>
      <c r="K1789" t="s">
        <v>5358</v>
      </c>
      <c r="L1789" t="s">
        <v>5358</v>
      </c>
      <c r="M1789" t="s">
        <v>2455</v>
      </c>
      <c r="N1789" t="s">
        <v>164</v>
      </c>
      <c r="O1789" t="s">
        <v>2456</v>
      </c>
      <c r="P1789" t="s">
        <v>221</v>
      </c>
      <c r="Q1789" t="s">
        <v>82</v>
      </c>
      <c r="R1789">
        <v>2</v>
      </c>
      <c r="S1789">
        <v>2.64</v>
      </c>
      <c r="T1789">
        <v>0</v>
      </c>
      <c r="U1789">
        <v>1</v>
      </c>
      <c r="V1789">
        <v>1</v>
      </c>
      <c r="W1789">
        <v>28.64</v>
      </c>
      <c r="X1789">
        <v>0</v>
      </c>
      <c r="Y1789">
        <v>0</v>
      </c>
      <c r="Z1789">
        <v>0</v>
      </c>
      <c r="AA1789">
        <v>0</v>
      </c>
      <c r="AB1789">
        <v>0</v>
      </c>
      <c r="AC1789">
        <v>0</v>
      </c>
      <c r="AD1789">
        <v>2</v>
      </c>
      <c r="AE1789">
        <v>0</v>
      </c>
      <c r="AF1789">
        <v>0</v>
      </c>
      <c r="AG1789">
        <v>0</v>
      </c>
      <c r="AH1789">
        <v>0</v>
      </c>
      <c r="AI1789">
        <v>0</v>
      </c>
      <c r="AJ1789">
        <v>0</v>
      </c>
      <c r="AK1789">
        <v>0</v>
      </c>
    </row>
    <row r="1790" spans="1:37" x14ac:dyDescent="0.3">
      <c r="A1790">
        <v>7979</v>
      </c>
      <c r="B1790" t="s">
        <v>219</v>
      </c>
      <c r="D1790" t="s">
        <v>327</v>
      </c>
      <c r="E1790">
        <v>99999999</v>
      </c>
      <c r="F1790">
        <v>11111111</v>
      </c>
      <c r="G1790">
        <v>1111111111</v>
      </c>
      <c r="H1790" t="s">
        <v>5359</v>
      </c>
      <c r="I1790">
        <v>99999999</v>
      </c>
      <c r="J1790" s="188">
        <v>45237</v>
      </c>
      <c r="K1790" t="s">
        <v>5359</v>
      </c>
      <c r="L1790" t="s">
        <v>5359</v>
      </c>
      <c r="M1790" t="s">
        <v>111</v>
      </c>
      <c r="N1790" t="s">
        <v>226</v>
      </c>
      <c r="O1790" t="s">
        <v>2457</v>
      </c>
      <c r="P1790" t="s">
        <v>221</v>
      </c>
      <c r="Q1790" t="s">
        <v>82</v>
      </c>
      <c r="R1790">
        <v>1</v>
      </c>
      <c r="S1790">
        <v>1.07</v>
      </c>
      <c r="T1790">
        <v>0</v>
      </c>
      <c r="U1790">
        <v>1</v>
      </c>
      <c r="V1790">
        <v>1</v>
      </c>
      <c r="W1790">
        <v>23.1</v>
      </c>
      <c r="X1790">
        <v>0</v>
      </c>
      <c r="Y1790">
        <v>0</v>
      </c>
      <c r="Z1790">
        <v>0</v>
      </c>
      <c r="AA1790">
        <v>0</v>
      </c>
      <c r="AB1790">
        <v>0</v>
      </c>
      <c r="AC1790">
        <v>0</v>
      </c>
      <c r="AD1790">
        <v>1</v>
      </c>
      <c r="AE1790">
        <v>0</v>
      </c>
      <c r="AF1790">
        <v>0</v>
      </c>
      <c r="AG1790">
        <v>0</v>
      </c>
      <c r="AH1790">
        <v>0</v>
      </c>
      <c r="AI1790">
        <v>0</v>
      </c>
      <c r="AJ1790">
        <v>0</v>
      </c>
      <c r="AK1790">
        <v>0</v>
      </c>
    </row>
    <row r="1791" spans="1:37" x14ac:dyDescent="0.3">
      <c r="A1791">
        <v>7979</v>
      </c>
      <c r="B1791" t="s">
        <v>219</v>
      </c>
      <c r="D1791" t="s">
        <v>327</v>
      </c>
      <c r="E1791">
        <v>99999999</v>
      </c>
      <c r="F1791">
        <v>11111111</v>
      </c>
      <c r="G1791">
        <v>1111111111</v>
      </c>
      <c r="H1791" t="s">
        <v>5360</v>
      </c>
      <c r="I1791">
        <v>99999999</v>
      </c>
      <c r="J1791" s="188">
        <v>45237</v>
      </c>
      <c r="K1791" t="s">
        <v>5360</v>
      </c>
      <c r="L1791" t="s">
        <v>5360</v>
      </c>
      <c r="M1791" t="s">
        <v>129</v>
      </c>
      <c r="N1791" t="s">
        <v>130</v>
      </c>
      <c r="O1791" t="s">
        <v>2458</v>
      </c>
      <c r="P1791" t="s">
        <v>221</v>
      </c>
      <c r="Q1791" t="s">
        <v>82</v>
      </c>
      <c r="R1791">
        <v>1</v>
      </c>
      <c r="S1791">
        <v>1.07</v>
      </c>
      <c r="T1791">
        <v>0</v>
      </c>
      <c r="U1791">
        <v>1</v>
      </c>
      <c r="V1791">
        <v>1</v>
      </c>
      <c r="W1791">
        <v>21.54</v>
      </c>
      <c r="X1791">
        <v>0</v>
      </c>
      <c r="Y1791">
        <v>0</v>
      </c>
      <c r="Z1791">
        <v>0</v>
      </c>
      <c r="AA1791">
        <v>0</v>
      </c>
      <c r="AB1791">
        <v>0</v>
      </c>
      <c r="AC1791">
        <v>0</v>
      </c>
      <c r="AD1791">
        <v>1</v>
      </c>
      <c r="AE1791">
        <v>0</v>
      </c>
      <c r="AF1791">
        <v>0</v>
      </c>
      <c r="AG1791">
        <v>0</v>
      </c>
      <c r="AH1791">
        <v>0</v>
      </c>
      <c r="AI1791">
        <v>0</v>
      </c>
      <c r="AJ1791">
        <v>0</v>
      </c>
      <c r="AK1791">
        <v>0</v>
      </c>
    </row>
    <row r="1792" spans="1:37" x14ac:dyDescent="0.3">
      <c r="A1792">
        <v>7979</v>
      </c>
      <c r="B1792" t="s">
        <v>219</v>
      </c>
      <c r="D1792" t="s">
        <v>327</v>
      </c>
      <c r="E1792">
        <v>99999999</v>
      </c>
      <c r="F1792">
        <v>11111111</v>
      </c>
      <c r="G1792">
        <v>1111111111</v>
      </c>
      <c r="H1792" t="s">
        <v>5361</v>
      </c>
      <c r="I1792">
        <v>99999999</v>
      </c>
      <c r="J1792" s="188">
        <v>45237</v>
      </c>
      <c r="K1792" t="s">
        <v>5361</v>
      </c>
      <c r="L1792" t="s">
        <v>5361</v>
      </c>
      <c r="M1792" t="s">
        <v>605</v>
      </c>
      <c r="N1792" t="s">
        <v>130</v>
      </c>
      <c r="O1792" t="s">
        <v>2459</v>
      </c>
      <c r="P1792" t="s">
        <v>221</v>
      </c>
      <c r="Q1792" t="s">
        <v>82</v>
      </c>
      <c r="R1792">
        <v>2</v>
      </c>
      <c r="S1792">
        <v>21.22</v>
      </c>
      <c r="T1792">
        <v>0</v>
      </c>
      <c r="U1792">
        <v>1</v>
      </c>
      <c r="V1792">
        <v>2</v>
      </c>
      <c r="W1792">
        <v>39.69</v>
      </c>
      <c r="X1792">
        <v>0</v>
      </c>
      <c r="Y1792">
        <v>0</v>
      </c>
      <c r="Z1792">
        <v>0</v>
      </c>
      <c r="AA1792">
        <v>0</v>
      </c>
      <c r="AB1792">
        <v>0</v>
      </c>
      <c r="AC1792">
        <v>0</v>
      </c>
      <c r="AD1792">
        <v>2</v>
      </c>
      <c r="AE1792">
        <v>0</v>
      </c>
      <c r="AF1792">
        <v>0</v>
      </c>
      <c r="AG1792">
        <v>0</v>
      </c>
      <c r="AH1792">
        <v>0</v>
      </c>
      <c r="AI1792">
        <v>0</v>
      </c>
      <c r="AJ1792">
        <v>0</v>
      </c>
      <c r="AK1792">
        <v>0</v>
      </c>
    </row>
    <row r="1793" spans="1:37" x14ac:dyDescent="0.3">
      <c r="A1793">
        <v>7979</v>
      </c>
      <c r="B1793" t="s">
        <v>219</v>
      </c>
      <c r="D1793" t="s">
        <v>327</v>
      </c>
      <c r="E1793">
        <v>99999999</v>
      </c>
      <c r="F1793">
        <v>11111111</v>
      </c>
      <c r="G1793">
        <v>1111111111</v>
      </c>
      <c r="H1793" t="s">
        <v>5362</v>
      </c>
      <c r="I1793">
        <v>99999999</v>
      </c>
      <c r="J1793" s="188">
        <v>45237</v>
      </c>
      <c r="K1793" t="s">
        <v>5362</v>
      </c>
      <c r="L1793" t="s">
        <v>5362</v>
      </c>
      <c r="M1793" t="s">
        <v>2460</v>
      </c>
      <c r="N1793" t="s">
        <v>135</v>
      </c>
      <c r="O1793" t="s">
        <v>2461</v>
      </c>
      <c r="P1793" t="s">
        <v>221</v>
      </c>
      <c r="Q1793" t="s">
        <v>82</v>
      </c>
      <c r="R1793">
        <v>1</v>
      </c>
      <c r="S1793">
        <v>3.97</v>
      </c>
      <c r="T1793">
        <v>0</v>
      </c>
      <c r="U1793">
        <v>1</v>
      </c>
      <c r="V1793">
        <v>1</v>
      </c>
      <c r="W1793">
        <v>22.93</v>
      </c>
      <c r="X1793">
        <v>0</v>
      </c>
      <c r="Y1793">
        <v>0</v>
      </c>
      <c r="Z1793">
        <v>0</v>
      </c>
      <c r="AA1793">
        <v>0</v>
      </c>
      <c r="AB1793">
        <v>0</v>
      </c>
      <c r="AC1793">
        <v>0</v>
      </c>
      <c r="AD1793">
        <v>1</v>
      </c>
      <c r="AE1793">
        <v>0</v>
      </c>
      <c r="AF1793">
        <v>0</v>
      </c>
      <c r="AG1793">
        <v>0</v>
      </c>
      <c r="AH1793">
        <v>0</v>
      </c>
      <c r="AI1793">
        <v>0</v>
      </c>
      <c r="AJ1793">
        <v>0</v>
      </c>
      <c r="AK1793">
        <v>0</v>
      </c>
    </row>
    <row r="1794" spans="1:37" x14ac:dyDescent="0.3">
      <c r="A1794">
        <v>7979</v>
      </c>
      <c r="B1794" t="s">
        <v>219</v>
      </c>
      <c r="D1794" t="s">
        <v>327</v>
      </c>
      <c r="E1794">
        <v>99999999</v>
      </c>
      <c r="F1794">
        <v>11111111</v>
      </c>
      <c r="G1794">
        <v>1111111111</v>
      </c>
      <c r="H1794" t="s">
        <v>5363</v>
      </c>
      <c r="I1794">
        <v>99999999</v>
      </c>
      <c r="J1794" s="188">
        <v>45237</v>
      </c>
      <c r="K1794" t="s">
        <v>5363</v>
      </c>
      <c r="L1794" t="s">
        <v>5363</v>
      </c>
      <c r="M1794" t="s">
        <v>1912</v>
      </c>
      <c r="N1794" t="s">
        <v>99</v>
      </c>
      <c r="O1794" t="s">
        <v>2462</v>
      </c>
      <c r="P1794" t="s">
        <v>221</v>
      </c>
      <c r="Q1794" t="s">
        <v>82</v>
      </c>
      <c r="R1794">
        <v>2</v>
      </c>
      <c r="S1794">
        <v>6.19</v>
      </c>
      <c r="T1794">
        <v>0</v>
      </c>
      <c r="U1794">
        <v>1</v>
      </c>
      <c r="V1794">
        <v>2</v>
      </c>
      <c r="W1794">
        <v>21.84</v>
      </c>
      <c r="X1794">
        <v>0</v>
      </c>
      <c r="Y1794">
        <v>0</v>
      </c>
      <c r="Z1794">
        <v>0</v>
      </c>
      <c r="AA1794">
        <v>0</v>
      </c>
      <c r="AB1794">
        <v>0</v>
      </c>
      <c r="AC1794">
        <v>0</v>
      </c>
      <c r="AD1794">
        <v>2</v>
      </c>
      <c r="AE1794">
        <v>0</v>
      </c>
      <c r="AF1794">
        <v>0</v>
      </c>
      <c r="AG1794">
        <v>0</v>
      </c>
      <c r="AH1794">
        <v>0</v>
      </c>
      <c r="AI1794">
        <v>0</v>
      </c>
      <c r="AJ1794">
        <v>0</v>
      </c>
      <c r="AK1794">
        <v>0</v>
      </c>
    </row>
    <row r="1795" spans="1:37" x14ac:dyDescent="0.3">
      <c r="A1795">
        <v>7979</v>
      </c>
      <c r="B1795" t="s">
        <v>219</v>
      </c>
      <c r="D1795" t="s">
        <v>327</v>
      </c>
      <c r="E1795">
        <v>99999999</v>
      </c>
      <c r="F1795">
        <v>11111111</v>
      </c>
      <c r="G1795">
        <v>1111111111</v>
      </c>
      <c r="H1795" t="s">
        <v>5364</v>
      </c>
      <c r="I1795">
        <v>99999999</v>
      </c>
      <c r="J1795" s="188">
        <v>45237</v>
      </c>
      <c r="K1795" t="s">
        <v>5364</v>
      </c>
      <c r="L1795" t="s">
        <v>5364</v>
      </c>
      <c r="M1795" t="s">
        <v>2310</v>
      </c>
      <c r="N1795" t="s">
        <v>99</v>
      </c>
      <c r="O1795" t="s">
        <v>2463</v>
      </c>
      <c r="P1795" t="s">
        <v>221</v>
      </c>
      <c r="Q1795" t="s">
        <v>82</v>
      </c>
      <c r="R1795">
        <v>1</v>
      </c>
      <c r="S1795">
        <v>1</v>
      </c>
      <c r="T1795">
        <v>0</v>
      </c>
      <c r="U1795">
        <v>1</v>
      </c>
      <c r="V1795">
        <v>1</v>
      </c>
      <c r="W1795">
        <v>19.940000000000001</v>
      </c>
      <c r="X1795">
        <v>0</v>
      </c>
      <c r="Y1795">
        <v>0</v>
      </c>
      <c r="Z1795">
        <v>0</v>
      </c>
      <c r="AA1795">
        <v>0</v>
      </c>
      <c r="AB1795">
        <v>0</v>
      </c>
      <c r="AC1795">
        <v>0</v>
      </c>
      <c r="AD1795">
        <v>1</v>
      </c>
      <c r="AE1795">
        <v>0</v>
      </c>
      <c r="AF1795">
        <v>0</v>
      </c>
      <c r="AG1795">
        <v>0</v>
      </c>
      <c r="AH1795">
        <v>0</v>
      </c>
      <c r="AI1795">
        <v>0</v>
      </c>
      <c r="AJ1795">
        <v>0</v>
      </c>
      <c r="AK1795">
        <v>0</v>
      </c>
    </row>
    <row r="1796" spans="1:37" x14ac:dyDescent="0.3">
      <c r="A1796">
        <v>7979</v>
      </c>
      <c r="B1796" t="s">
        <v>219</v>
      </c>
      <c r="D1796" t="s">
        <v>327</v>
      </c>
      <c r="E1796">
        <v>99999999</v>
      </c>
      <c r="F1796">
        <v>11111111</v>
      </c>
      <c r="G1796">
        <v>1111111111</v>
      </c>
      <c r="H1796" t="s">
        <v>5365</v>
      </c>
      <c r="I1796">
        <v>99999999</v>
      </c>
      <c r="J1796" s="188">
        <v>45237</v>
      </c>
      <c r="K1796" t="s">
        <v>5365</v>
      </c>
      <c r="L1796" t="s">
        <v>5365</v>
      </c>
      <c r="M1796" t="s">
        <v>659</v>
      </c>
      <c r="N1796" t="s">
        <v>99</v>
      </c>
      <c r="O1796" t="s">
        <v>2464</v>
      </c>
      <c r="P1796" t="s">
        <v>221</v>
      </c>
      <c r="Q1796" t="s">
        <v>82</v>
      </c>
      <c r="R1796">
        <v>1</v>
      </c>
      <c r="S1796">
        <v>15.24</v>
      </c>
      <c r="T1796">
        <v>0</v>
      </c>
      <c r="U1796">
        <v>1</v>
      </c>
      <c r="V1796">
        <v>1</v>
      </c>
      <c r="W1796">
        <v>31.35</v>
      </c>
      <c r="X1796">
        <v>0</v>
      </c>
      <c r="Y1796">
        <v>0</v>
      </c>
      <c r="Z1796">
        <v>0</v>
      </c>
      <c r="AA1796">
        <v>0</v>
      </c>
      <c r="AB1796">
        <v>0</v>
      </c>
      <c r="AC1796">
        <v>0</v>
      </c>
      <c r="AD1796">
        <v>1</v>
      </c>
      <c r="AE1796">
        <v>0</v>
      </c>
      <c r="AF1796">
        <v>0</v>
      </c>
      <c r="AG1796">
        <v>0</v>
      </c>
      <c r="AH1796">
        <v>0</v>
      </c>
      <c r="AI1796">
        <v>0</v>
      </c>
      <c r="AJ1796">
        <v>0</v>
      </c>
      <c r="AK1796">
        <v>0</v>
      </c>
    </row>
    <row r="1797" spans="1:37" x14ac:dyDescent="0.3">
      <c r="A1797">
        <v>7979</v>
      </c>
      <c r="B1797" t="s">
        <v>219</v>
      </c>
      <c r="D1797" t="s">
        <v>327</v>
      </c>
      <c r="E1797">
        <v>99999999</v>
      </c>
      <c r="F1797">
        <v>11111111</v>
      </c>
      <c r="G1797">
        <v>1111111111</v>
      </c>
      <c r="H1797" t="s">
        <v>5366</v>
      </c>
      <c r="I1797">
        <v>99999999</v>
      </c>
      <c r="J1797" s="188">
        <v>45237</v>
      </c>
      <c r="K1797" t="s">
        <v>5366</v>
      </c>
      <c r="L1797" t="s">
        <v>5366</v>
      </c>
      <c r="M1797" t="s">
        <v>189</v>
      </c>
      <c r="N1797" t="s">
        <v>99</v>
      </c>
      <c r="O1797" t="s">
        <v>2465</v>
      </c>
      <c r="P1797" t="s">
        <v>221</v>
      </c>
      <c r="Q1797" t="s">
        <v>82</v>
      </c>
      <c r="R1797">
        <v>1</v>
      </c>
      <c r="S1797">
        <v>15</v>
      </c>
      <c r="T1797">
        <v>0</v>
      </c>
      <c r="U1797">
        <v>1</v>
      </c>
      <c r="V1797">
        <v>1</v>
      </c>
      <c r="W1797">
        <v>25.23</v>
      </c>
      <c r="X1797">
        <v>0</v>
      </c>
      <c r="Y1797">
        <v>0</v>
      </c>
      <c r="Z1797">
        <v>0</v>
      </c>
      <c r="AA1797">
        <v>0</v>
      </c>
      <c r="AB1797">
        <v>0</v>
      </c>
      <c r="AC1797">
        <v>0</v>
      </c>
      <c r="AD1797">
        <v>1</v>
      </c>
      <c r="AE1797">
        <v>0</v>
      </c>
      <c r="AF1797">
        <v>0</v>
      </c>
      <c r="AG1797">
        <v>0</v>
      </c>
      <c r="AH1797">
        <v>0</v>
      </c>
      <c r="AI1797">
        <v>0</v>
      </c>
      <c r="AJ1797">
        <v>0</v>
      </c>
      <c r="AK1797">
        <v>0</v>
      </c>
    </row>
    <row r="1798" spans="1:37" x14ac:dyDescent="0.3">
      <c r="A1798">
        <v>7979</v>
      </c>
      <c r="B1798" t="s">
        <v>219</v>
      </c>
      <c r="D1798" t="s">
        <v>327</v>
      </c>
      <c r="E1798">
        <v>99999999</v>
      </c>
      <c r="F1798">
        <v>11111111</v>
      </c>
      <c r="G1798">
        <v>1111111111</v>
      </c>
      <c r="H1798" t="s">
        <v>5367</v>
      </c>
      <c r="I1798">
        <v>99999999</v>
      </c>
      <c r="J1798" s="188">
        <v>45237</v>
      </c>
      <c r="K1798" t="s">
        <v>5367</v>
      </c>
      <c r="L1798" t="s">
        <v>5367</v>
      </c>
      <c r="M1798" t="s">
        <v>672</v>
      </c>
      <c r="N1798" t="s">
        <v>91</v>
      </c>
      <c r="O1798" t="s">
        <v>2466</v>
      </c>
      <c r="P1798" t="s">
        <v>221</v>
      </c>
      <c r="Q1798" t="s">
        <v>82</v>
      </c>
      <c r="R1798">
        <v>1</v>
      </c>
      <c r="S1798">
        <v>1.1879999999999999</v>
      </c>
      <c r="T1798">
        <v>0</v>
      </c>
      <c r="U1798">
        <v>1</v>
      </c>
      <c r="V1798">
        <v>1</v>
      </c>
      <c r="W1798">
        <v>27.33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1</v>
      </c>
      <c r="AE1798">
        <v>0</v>
      </c>
      <c r="AF1798">
        <v>0</v>
      </c>
      <c r="AG1798">
        <v>0</v>
      </c>
      <c r="AH1798">
        <v>0</v>
      </c>
      <c r="AI1798">
        <v>0</v>
      </c>
      <c r="AJ1798">
        <v>0</v>
      </c>
      <c r="AK1798">
        <v>0</v>
      </c>
    </row>
    <row r="1799" spans="1:37" x14ac:dyDescent="0.3">
      <c r="A1799">
        <v>7979</v>
      </c>
      <c r="B1799" t="s">
        <v>219</v>
      </c>
      <c r="D1799" t="s">
        <v>327</v>
      </c>
      <c r="E1799">
        <v>99999999</v>
      </c>
      <c r="F1799">
        <v>11111111</v>
      </c>
      <c r="G1799">
        <v>1111111111</v>
      </c>
      <c r="H1799" t="s">
        <v>5368</v>
      </c>
      <c r="I1799">
        <v>99999999</v>
      </c>
      <c r="J1799" s="188">
        <v>45237</v>
      </c>
      <c r="K1799" t="s">
        <v>5368</v>
      </c>
      <c r="L1799" t="s">
        <v>5368</v>
      </c>
      <c r="M1799" t="s">
        <v>1843</v>
      </c>
      <c r="N1799" t="s">
        <v>91</v>
      </c>
      <c r="O1799" t="s">
        <v>2467</v>
      </c>
      <c r="P1799" t="s">
        <v>221</v>
      </c>
      <c r="Q1799" t="s">
        <v>82</v>
      </c>
      <c r="R1799">
        <v>1</v>
      </c>
      <c r="S1799">
        <v>1.9</v>
      </c>
      <c r="T1799">
        <v>0</v>
      </c>
      <c r="U1799">
        <v>1</v>
      </c>
      <c r="V1799">
        <v>1</v>
      </c>
      <c r="W1799">
        <v>28.79</v>
      </c>
      <c r="X1799">
        <v>0</v>
      </c>
      <c r="Y1799">
        <v>0</v>
      </c>
      <c r="Z1799">
        <v>0</v>
      </c>
      <c r="AA1799">
        <v>0</v>
      </c>
      <c r="AB1799">
        <v>0</v>
      </c>
      <c r="AC1799">
        <v>0</v>
      </c>
      <c r="AD1799">
        <v>1</v>
      </c>
      <c r="AE1799">
        <v>0</v>
      </c>
      <c r="AF1799">
        <v>0</v>
      </c>
      <c r="AG1799">
        <v>0</v>
      </c>
      <c r="AH1799">
        <v>0</v>
      </c>
      <c r="AI1799">
        <v>0</v>
      </c>
      <c r="AJ1799">
        <v>0</v>
      </c>
      <c r="AK1799">
        <v>0</v>
      </c>
    </row>
    <row r="1800" spans="1:37" x14ac:dyDescent="0.3">
      <c r="A1800">
        <v>7979</v>
      </c>
      <c r="B1800" t="s">
        <v>219</v>
      </c>
      <c r="D1800" t="s">
        <v>327</v>
      </c>
      <c r="E1800">
        <v>99999999</v>
      </c>
      <c r="F1800">
        <v>11111111</v>
      </c>
      <c r="G1800">
        <v>1111111111</v>
      </c>
      <c r="H1800" t="s">
        <v>5369</v>
      </c>
      <c r="I1800">
        <v>99999999</v>
      </c>
      <c r="J1800" s="188">
        <v>45237</v>
      </c>
      <c r="K1800" t="s">
        <v>5369</v>
      </c>
      <c r="L1800" t="s">
        <v>5369</v>
      </c>
      <c r="M1800" t="s">
        <v>1137</v>
      </c>
      <c r="N1800" t="s">
        <v>99</v>
      </c>
      <c r="O1800" t="s">
        <v>2468</v>
      </c>
      <c r="P1800" t="s">
        <v>221</v>
      </c>
      <c r="Q1800" t="s">
        <v>82</v>
      </c>
      <c r="R1800">
        <v>1</v>
      </c>
      <c r="S1800">
        <v>0.9</v>
      </c>
      <c r="T1800">
        <v>0</v>
      </c>
      <c r="U1800">
        <v>1</v>
      </c>
      <c r="V1800">
        <v>1</v>
      </c>
      <c r="W1800">
        <v>21.21</v>
      </c>
      <c r="X1800">
        <v>0</v>
      </c>
      <c r="Y1800">
        <v>0</v>
      </c>
      <c r="Z1800">
        <v>0</v>
      </c>
      <c r="AA1800">
        <v>0</v>
      </c>
      <c r="AB1800">
        <v>0</v>
      </c>
      <c r="AC1800">
        <v>0</v>
      </c>
      <c r="AD1800">
        <v>1</v>
      </c>
      <c r="AE1800">
        <v>0</v>
      </c>
      <c r="AF1800">
        <v>0</v>
      </c>
      <c r="AG1800">
        <v>0</v>
      </c>
      <c r="AH1800">
        <v>0</v>
      </c>
      <c r="AI1800">
        <v>0</v>
      </c>
      <c r="AJ1800">
        <v>0</v>
      </c>
      <c r="AK1800">
        <v>0</v>
      </c>
    </row>
    <row r="1801" spans="1:37" x14ac:dyDescent="0.3">
      <c r="A1801">
        <v>7979</v>
      </c>
      <c r="B1801" t="s">
        <v>219</v>
      </c>
      <c r="D1801" t="s">
        <v>327</v>
      </c>
      <c r="E1801">
        <v>99999999</v>
      </c>
      <c r="F1801">
        <v>11111111</v>
      </c>
      <c r="G1801">
        <v>1111111111</v>
      </c>
      <c r="H1801" t="s">
        <v>5370</v>
      </c>
      <c r="I1801">
        <v>99999999</v>
      </c>
      <c r="J1801" s="188">
        <v>45237</v>
      </c>
      <c r="K1801" t="s">
        <v>5370</v>
      </c>
      <c r="L1801" t="s">
        <v>5370</v>
      </c>
      <c r="M1801" t="s">
        <v>2469</v>
      </c>
      <c r="N1801" t="s">
        <v>381</v>
      </c>
      <c r="O1801" t="s">
        <v>2470</v>
      </c>
      <c r="P1801" t="s">
        <v>221</v>
      </c>
      <c r="Q1801" t="s">
        <v>82</v>
      </c>
      <c r="R1801">
        <v>1</v>
      </c>
      <c r="S1801">
        <v>1.32</v>
      </c>
      <c r="T1801">
        <v>0</v>
      </c>
      <c r="U1801">
        <v>1</v>
      </c>
      <c r="V1801">
        <v>1</v>
      </c>
      <c r="W1801">
        <v>29.8</v>
      </c>
      <c r="X1801">
        <v>0</v>
      </c>
      <c r="Y1801">
        <v>0</v>
      </c>
      <c r="Z1801">
        <v>0</v>
      </c>
      <c r="AA1801">
        <v>0</v>
      </c>
      <c r="AB1801">
        <v>0</v>
      </c>
      <c r="AC1801">
        <v>0</v>
      </c>
      <c r="AD1801">
        <v>1</v>
      </c>
      <c r="AE1801">
        <v>0</v>
      </c>
      <c r="AF1801">
        <v>0</v>
      </c>
      <c r="AG1801">
        <v>0</v>
      </c>
      <c r="AH1801">
        <v>0</v>
      </c>
      <c r="AI1801">
        <v>0</v>
      </c>
      <c r="AJ1801">
        <v>0</v>
      </c>
      <c r="AK1801">
        <v>0</v>
      </c>
    </row>
    <row r="1802" spans="1:37" x14ac:dyDescent="0.3">
      <c r="A1802">
        <v>7979</v>
      </c>
      <c r="B1802" t="s">
        <v>219</v>
      </c>
      <c r="D1802" t="s">
        <v>327</v>
      </c>
      <c r="E1802">
        <v>99999999</v>
      </c>
      <c r="F1802">
        <v>11111111</v>
      </c>
      <c r="G1802">
        <v>1111111111</v>
      </c>
      <c r="H1802" t="s">
        <v>5371</v>
      </c>
      <c r="I1802">
        <v>99999999</v>
      </c>
      <c r="J1802" s="188">
        <v>45237</v>
      </c>
      <c r="K1802" t="s">
        <v>5371</v>
      </c>
      <c r="L1802" t="s">
        <v>5371</v>
      </c>
      <c r="M1802" t="s">
        <v>1492</v>
      </c>
      <c r="N1802" t="s">
        <v>164</v>
      </c>
      <c r="O1802">
        <v>97302</v>
      </c>
      <c r="P1802" t="s">
        <v>221</v>
      </c>
      <c r="Q1802" t="s">
        <v>82</v>
      </c>
      <c r="R1802">
        <v>1</v>
      </c>
      <c r="S1802">
        <v>15.75</v>
      </c>
      <c r="T1802">
        <v>0</v>
      </c>
      <c r="U1802">
        <v>1</v>
      </c>
      <c r="V1802">
        <v>1</v>
      </c>
      <c r="W1802">
        <v>26.08</v>
      </c>
      <c r="X1802">
        <v>0</v>
      </c>
      <c r="Y1802">
        <v>0</v>
      </c>
      <c r="Z1802">
        <v>0</v>
      </c>
      <c r="AA1802">
        <v>0</v>
      </c>
      <c r="AB1802">
        <v>0</v>
      </c>
      <c r="AC1802">
        <v>0</v>
      </c>
      <c r="AD1802">
        <v>1</v>
      </c>
      <c r="AE1802">
        <v>0</v>
      </c>
      <c r="AF1802">
        <v>0</v>
      </c>
      <c r="AG1802">
        <v>0</v>
      </c>
      <c r="AH1802">
        <v>0</v>
      </c>
      <c r="AI1802">
        <v>0</v>
      </c>
      <c r="AJ1802">
        <v>0</v>
      </c>
      <c r="AK1802">
        <v>0</v>
      </c>
    </row>
    <row r="1803" spans="1:37" x14ac:dyDescent="0.3">
      <c r="A1803">
        <v>7979</v>
      </c>
      <c r="B1803" t="s">
        <v>219</v>
      </c>
      <c r="D1803" t="s">
        <v>327</v>
      </c>
      <c r="E1803">
        <v>99999999</v>
      </c>
      <c r="F1803">
        <v>11111111</v>
      </c>
      <c r="G1803">
        <v>1111111111</v>
      </c>
      <c r="H1803" t="s">
        <v>5372</v>
      </c>
      <c r="I1803">
        <v>99999999</v>
      </c>
      <c r="J1803" s="188">
        <v>45237</v>
      </c>
      <c r="K1803" t="s">
        <v>5372</v>
      </c>
      <c r="L1803" t="s">
        <v>5372</v>
      </c>
      <c r="M1803" t="s">
        <v>147</v>
      </c>
      <c r="N1803" t="s">
        <v>99</v>
      </c>
      <c r="O1803" t="s">
        <v>2471</v>
      </c>
      <c r="P1803" t="s">
        <v>221</v>
      </c>
      <c r="Q1803" t="s">
        <v>82</v>
      </c>
      <c r="R1803">
        <v>1</v>
      </c>
      <c r="S1803">
        <v>6.84</v>
      </c>
      <c r="T1803">
        <v>0</v>
      </c>
      <c r="U1803">
        <v>1</v>
      </c>
      <c r="V1803">
        <v>1</v>
      </c>
      <c r="W1803">
        <v>30.27</v>
      </c>
      <c r="X1803">
        <v>0</v>
      </c>
      <c r="Y1803">
        <v>0</v>
      </c>
      <c r="Z1803">
        <v>0</v>
      </c>
      <c r="AA1803">
        <v>0</v>
      </c>
      <c r="AB1803">
        <v>0</v>
      </c>
      <c r="AC1803">
        <v>0</v>
      </c>
      <c r="AD1803">
        <v>1</v>
      </c>
      <c r="AE1803">
        <v>0</v>
      </c>
      <c r="AF1803">
        <v>0</v>
      </c>
      <c r="AG1803">
        <v>0</v>
      </c>
      <c r="AH1803">
        <v>0</v>
      </c>
      <c r="AI1803">
        <v>0</v>
      </c>
      <c r="AJ1803">
        <v>0</v>
      </c>
      <c r="AK1803">
        <v>0</v>
      </c>
    </row>
    <row r="1804" spans="1:37" x14ac:dyDescent="0.3">
      <c r="A1804">
        <v>7979</v>
      </c>
      <c r="B1804" t="s">
        <v>219</v>
      </c>
      <c r="D1804" t="s">
        <v>327</v>
      </c>
      <c r="E1804">
        <v>99999999</v>
      </c>
      <c r="F1804">
        <v>11111111</v>
      </c>
      <c r="G1804">
        <v>1111111111</v>
      </c>
      <c r="H1804" t="s">
        <v>5373</v>
      </c>
      <c r="I1804">
        <v>99999999</v>
      </c>
      <c r="J1804" s="188">
        <v>45237</v>
      </c>
      <c r="K1804" t="s">
        <v>5373</v>
      </c>
      <c r="L1804" t="s">
        <v>5373</v>
      </c>
      <c r="M1804" t="s">
        <v>448</v>
      </c>
      <c r="N1804" t="s">
        <v>197</v>
      </c>
      <c r="O1804" t="s">
        <v>2472</v>
      </c>
      <c r="P1804" t="s">
        <v>221</v>
      </c>
      <c r="Q1804" t="s">
        <v>82</v>
      </c>
      <c r="R1804">
        <v>4</v>
      </c>
      <c r="S1804">
        <v>2.7</v>
      </c>
      <c r="T1804">
        <v>0</v>
      </c>
      <c r="U1804">
        <v>1</v>
      </c>
      <c r="V1804">
        <v>4</v>
      </c>
      <c r="W1804">
        <v>25.25</v>
      </c>
      <c r="X1804">
        <v>0</v>
      </c>
      <c r="Y1804">
        <v>0</v>
      </c>
      <c r="Z1804">
        <v>0</v>
      </c>
      <c r="AA1804">
        <v>0</v>
      </c>
      <c r="AB1804">
        <v>0</v>
      </c>
      <c r="AC1804">
        <v>0</v>
      </c>
      <c r="AD1804">
        <v>4</v>
      </c>
      <c r="AE1804">
        <v>0</v>
      </c>
      <c r="AF1804">
        <v>0</v>
      </c>
      <c r="AG1804">
        <v>0</v>
      </c>
      <c r="AH1804">
        <v>0</v>
      </c>
      <c r="AI1804">
        <v>0</v>
      </c>
      <c r="AJ1804">
        <v>0</v>
      </c>
      <c r="AK1804">
        <v>0</v>
      </c>
    </row>
    <row r="1805" spans="1:37" x14ac:dyDescent="0.3">
      <c r="A1805">
        <v>7979</v>
      </c>
      <c r="B1805" t="s">
        <v>219</v>
      </c>
      <c r="D1805" t="s">
        <v>327</v>
      </c>
      <c r="E1805">
        <v>99999999</v>
      </c>
      <c r="F1805">
        <v>11111111</v>
      </c>
      <c r="G1805">
        <v>1111111111</v>
      </c>
      <c r="H1805" t="s">
        <v>5374</v>
      </c>
      <c r="I1805">
        <v>99999999</v>
      </c>
      <c r="J1805" s="188">
        <v>45237</v>
      </c>
      <c r="K1805" t="s">
        <v>5374</v>
      </c>
      <c r="L1805" t="s">
        <v>5374</v>
      </c>
      <c r="M1805" t="s">
        <v>380</v>
      </c>
      <c r="N1805" t="s">
        <v>381</v>
      </c>
      <c r="O1805" t="s">
        <v>2473</v>
      </c>
      <c r="P1805" t="s">
        <v>221</v>
      </c>
      <c r="Q1805" t="s">
        <v>82</v>
      </c>
      <c r="R1805">
        <v>2</v>
      </c>
      <c r="S1805">
        <v>1.248</v>
      </c>
      <c r="T1805">
        <v>0</v>
      </c>
      <c r="U1805">
        <v>1</v>
      </c>
      <c r="V1805">
        <v>2</v>
      </c>
      <c r="W1805">
        <v>21.54</v>
      </c>
      <c r="X1805">
        <v>0</v>
      </c>
      <c r="Y1805">
        <v>0</v>
      </c>
      <c r="Z1805">
        <v>0</v>
      </c>
      <c r="AA1805">
        <v>0</v>
      </c>
      <c r="AB1805">
        <v>0</v>
      </c>
      <c r="AC1805">
        <v>0</v>
      </c>
      <c r="AD1805">
        <v>2</v>
      </c>
      <c r="AE1805">
        <v>0</v>
      </c>
      <c r="AF1805">
        <v>0</v>
      </c>
      <c r="AG1805">
        <v>0</v>
      </c>
      <c r="AH1805">
        <v>0</v>
      </c>
      <c r="AI1805">
        <v>0</v>
      </c>
      <c r="AJ1805">
        <v>0</v>
      </c>
      <c r="AK1805">
        <v>0</v>
      </c>
    </row>
    <row r="1806" spans="1:37" x14ac:dyDescent="0.3">
      <c r="A1806">
        <v>7979</v>
      </c>
      <c r="B1806" t="s">
        <v>219</v>
      </c>
      <c r="D1806" t="s">
        <v>327</v>
      </c>
      <c r="E1806">
        <v>99999999</v>
      </c>
      <c r="F1806">
        <v>11111111</v>
      </c>
      <c r="G1806">
        <v>1111111111</v>
      </c>
      <c r="H1806" t="s">
        <v>5375</v>
      </c>
      <c r="I1806">
        <v>99999999</v>
      </c>
      <c r="J1806" s="188">
        <v>45237</v>
      </c>
      <c r="K1806" t="s">
        <v>5375</v>
      </c>
      <c r="L1806" t="s">
        <v>5375</v>
      </c>
      <c r="M1806" t="s">
        <v>2474</v>
      </c>
      <c r="N1806" t="s">
        <v>80</v>
      </c>
      <c r="O1806" t="s">
        <v>2475</v>
      </c>
      <c r="P1806" t="s">
        <v>221</v>
      </c>
      <c r="Q1806" t="s">
        <v>82</v>
      </c>
      <c r="R1806">
        <v>2</v>
      </c>
      <c r="S1806">
        <v>2.08</v>
      </c>
      <c r="T1806">
        <v>0</v>
      </c>
      <c r="U1806">
        <v>1</v>
      </c>
      <c r="V1806">
        <v>2</v>
      </c>
      <c r="W1806">
        <v>30.05</v>
      </c>
      <c r="X1806">
        <v>0</v>
      </c>
      <c r="Y1806">
        <v>0</v>
      </c>
      <c r="Z1806">
        <v>0</v>
      </c>
      <c r="AA1806">
        <v>0</v>
      </c>
      <c r="AB1806">
        <v>0</v>
      </c>
      <c r="AC1806">
        <v>0</v>
      </c>
      <c r="AD1806">
        <v>2</v>
      </c>
      <c r="AE1806">
        <v>0</v>
      </c>
      <c r="AF1806">
        <v>0</v>
      </c>
      <c r="AG1806">
        <v>0</v>
      </c>
      <c r="AH1806">
        <v>0</v>
      </c>
      <c r="AI1806">
        <v>0</v>
      </c>
      <c r="AJ1806">
        <v>0</v>
      </c>
      <c r="AK1806">
        <v>0</v>
      </c>
    </row>
    <row r="1807" spans="1:37" x14ac:dyDescent="0.3">
      <c r="A1807">
        <v>7979</v>
      </c>
      <c r="B1807" t="s">
        <v>219</v>
      </c>
      <c r="D1807" t="s">
        <v>327</v>
      </c>
      <c r="E1807">
        <v>99999999</v>
      </c>
      <c r="F1807">
        <v>11111111</v>
      </c>
      <c r="G1807">
        <v>1111111111</v>
      </c>
      <c r="H1807" t="s">
        <v>5376</v>
      </c>
      <c r="I1807">
        <v>99999999</v>
      </c>
      <c r="J1807" s="188">
        <v>45237</v>
      </c>
      <c r="K1807" t="s">
        <v>5376</v>
      </c>
      <c r="L1807" t="s">
        <v>5376</v>
      </c>
      <c r="M1807" t="s">
        <v>410</v>
      </c>
      <c r="N1807" t="s">
        <v>130</v>
      </c>
      <c r="O1807">
        <v>80118</v>
      </c>
      <c r="P1807" t="s">
        <v>221</v>
      </c>
      <c r="Q1807" t="s">
        <v>82</v>
      </c>
      <c r="R1807">
        <v>5</v>
      </c>
      <c r="S1807">
        <v>10.199999999999999</v>
      </c>
      <c r="T1807">
        <v>0</v>
      </c>
      <c r="U1807">
        <v>1</v>
      </c>
      <c r="V1807">
        <v>2</v>
      </c>
      <c r="W1807">
        <v>34.53</v>
      </c>
      <c r="X1807">
        <v>0</v>
      </c>
      <c r="Y1807">
        <v>0</v>
      </c>
      <c r="Z1807">
        <v>0</v>
      </c>
      <c r="AA1807">
        <v>0</v>
      </c>
      <c r="AB1807">
        <v>0</v>
      </c>
      <c r="AC1807">
        <v>0</v>
      </c>
      <c r="AD1807">
        <v>5</v>
      </c>
      <c r="AE1807">
        <v>0</v>
      </c>
      <c r="AF1807">
        <v>0</v>
      </c>
      <c r="AG1807">
        <v>0</v>
      </c>
      <c r="AH1807">
        <v>0</v>
      </c>
      <c r="AI1807">
        <v>0</v>
      </c>
      <c r="AJ1807">
        <v>0</v>
      </c>
      <c r="AK1807">
        <v>0</v>
      </c>
    </row>
    <row r="1808" spans="1:37" x14ac:dyDescent="0.3">
      <c r="A1808">
        <v>7979</v>
      </c>
      <c r="B1808" t="s">
        <v>219</v>
      </c>
      <c r="D1808" t="s">
        <v>327</v>
      </c>
      <c r="E1808">
        <v>99999999</v>
      </c>
      <c r="F1808">
        <v>11111111</v>
      </c>
      <c r="G1808">
        <v>1111111111</v>
      </c>
      <c r="H1808" t="s">
        <v>5377</v>
      </c>
      <c r="I1808">
        <v>99999999</v>
      </c>
      <c r="J1808" s="188">
        <v>45237</v>
      </c>
      <c r="K1808" t="s">
        <v>5377</v>
      </c>
      <c r="L1808" t="s">
        <v>5377</v>
      </c>
      <c r="M1808" t="s">
        <v>358</v>
      </c>
      <c r="N1808" t="s">
        <v>197</v>
      </c>
      <c r="O1808" t="s">
        <v>2476</v>
      </c>
      <c r="P1808" t="s">
        <v>221</v>
      </c>
      <c r="Q1808" t="s">
        <v>82</v>
      </c>
      <c r="R1808">
        <v>8</v>
      </c>
      <c r="S1808">
        <v>2.032</v>
      </c>
      <c r="T1808">
        <v>0</v>
      </c>
      <c r="U1808">
        <v>1</v>
      </c>
      <c r="V1808">
        <v>2</v>
      </c>
      <c r="W1808">
        <v>23.35</v>
      </c>
      <c r="X1808">
        <v>0</v>
      </c>
      <c r="Y1808">
        <v>0</v>
      </c>
      <c r="Z1808">
        <v>0</v>
      </c>
      <c r="AA1808">
        <v>0</v>
      </c>
      <c r="AB1808">
        <v>0</v>
      </c>
      <c r="AC1808">
        <v>0</v>
      </c>
      <c r="AD1808">
        <v>8</v>
      </c>
      <c r="AE1808">
        <v>0</v>
      </c>
      <c r="AF1808">
        <v>0</v>
      </c>
      <c r="AG1808">
        <v>0</v>
      </c>
      <c r="AH1808">
        <v>0</v>
      </c>
      <c r="AI1808">
        <v>0</v>
      </c>
      <c r="AJ1808">
        <v>0</v>
      </c>
      <c r="AK1808">
        <v>0</v>
      </c>
    </row>
    <row r="1809" spans="1:37" x14ac:dyDescent="0.3">
      <c r="A1809">
        <v>7979</v>
      </c>
      <c r="B1809" t="s">
        <v>219</v>
      </c>
      <c r="D1809" t="s">
        <v>327</v>
      </c>
      <c r="E1809">
        <v>99999999</v>
      </c>
      <c r="F1809">
        <v>11111111</v>
      </c>
      <c r="G1809">
        <v>1111111111</v>
      </c>
      <c r="H1809" t="s">
        <v>5378</v>
      </c>
      <c r="I1809">
        <v>99999999</v>
      </c>
      <c r="J1809" s="188">
        <v>45237</v>
      </c>
      <c r="K1809" t="s">
        <v>5378</v>
      </c>
      <c r="L1809" t="s">
        <v>5378</v>
      </c>
      <c r="M1809" t="s">
        <v>2477</v>
      </c>
      <c r="N1809" t="s">
        <v>99</v>
      </c>
      <c r="O1809" t="s">
        <v>2478</v>
      </c>
      <c r="P1809" t="s">
        <v>221</v>
      </c>
      <c r="Q1809" t="s">
        <v>82</v>
      </c>
      <c r="R1809">
        <v>3</v>
      </c>
      <c r="S1809">
        <v>4.6500000000000004</v>
      </c>
      <c r="T1809">
        <v>0</v>
      </c>
      <c r="U1809">
        <v>1</v>
      </c>
      <c r="V1809">
        <v>3</v>
      </c>
      <c r="W1809">
        <v>20.02</v>
      </c>
      <c r="X1809">
        <v>0</v>
      </c>
      <c r="Y1809">
        <v>0</v>
      </c>
      <c r="Z1809">
        <v>0</v>
      </c>
      <c r="AA1809">
        <v>0</v>
      </c>
      <c r="AB1809">
        <v>0</v>
      </c>
      <c r="AC1809">
        <v>0</v>
      </c>
      <c r="AD1809">
        <v>3</v>
      </c>
      <c r="AE1809">
        <v>0</v>
      </c>
      <c r="AF1809">
        <v>0</v>
      </c>
      <c r="AG1809">
        <v>0</v>
      </c>
      <c r="AH1809">
        <v>0</v>
      </c>
      <c r="AI1809">
        <v>0</v>
      </c>
      <c r="AJ1809">
        <v>0</v>
      </c>
      <c r="AK1809">
        <v>0</v>
      </c>
    </row>
    <row r="1810" spans="1:37" x14ac:dyDescent="0.3">
      <c r="A1810">
        <v>7979</v>
      </c>
      <c r="B1810" t="s">
        <v>219</v>
      </c>
      <c r="D1810" t="s">
        <v>327</v>
      </c>
      <c r="E1810">
        <v>99999999</v>
      </c>
      <c r="F1810">
        <v>11111111</v>
      </c>
      <c r="G1810">
        <v>1111111111</v>
      </c>
      <c r="H1810" t="s">
        <v>5379</v>
      </c>
      <c r="I1810">
        <v>99999999</v>
      </c>
      <c r="J1810" s="188">
        <v>45237</v>
      </c>
      <c r="K1810" t="s">
        <v>5379</v>
      </c>
      <c r="L1810" t="s">
        <v>5379</v>
      </c>
      <c r="M1810" t="s">
        <v>677</v>
      </c>
      <c r="N1810" t="s">
        <v>85</v>
      </c>
      <c r="O1810" t="s">
        <v>2479</v>
      </c>
      <c r="P1810" t="s">
        <v>221</v>
      </c>
      <c r="Q1810" t="s">
        <v>82</v>
      </c>
      <c r="R1810">
        <v>2</v>
      </c>
      <c r="S1810">
        <v>2.36</v>
      </c>
      <c r="T1810">
        <v>0</v>
      </c>
      <c r="U1810">
        <v>1</v>
      </c>
      <c r="V1810">
        <v>2</v>
      </c>
      <c r="W1810">
        <v>21.88</v>
      </c>
      <c r="X1810">
        <v>0</v>
      </c>
      <c r="Y1810">
        <v>0</v>
      </c>
      <c r="Z1810">
        <v>0</v>
      </c>
      <c r="AA1810">
        <v>0</v>
      </c>
      <c r="AB1810">
        <v>0</v>
      </c>
      <c r="AC1810">
        <v>0</v>
      </c>
      <c r="AD1810">
        <v>2</v>
      </c>
      <c r="AE1810">
        <v>0</v>
      </c>
      <c r="AF1810">
        <v>0</v>
      </c>
      <c r="AG1810">
        <v>0</v>
      </c>
      <c r="AH1810">
        <v>0</v>
      </c>
      <c r="AI1810">
        <v>0</v>
      </c>
      <c r="AJ1810">
        <v>0</v>
      </c>
      <c r="AK1810">
        <v>0</v>
      </c>
    </row>
    <row r="1811" spans="1:37" x14ac:dyDescent="0.3">
      <c r="A1811">
        <v>7979</v>
      </c>
      <c r="B1811" t="s">
        <v>219</v>
      </c>
      <c r="D1811" t="s">
        <v>327</v>
      </c>
      <c r="E1811">
        <v>99999999</v>
      </c>
      <c r="F1811">
        <v>11111111</v>
      </c>
      <c r="G1811">
        <v>1111111111</v>
      </c>
      <c r="H1811" t="s">
        <v>5380</v>
      </c>
      <c r="I1811">
        <v>99999999</v>
      </c>
      <c r="J1811" s="188">
        <v>45237</v>
      </c>
      <c r="K1811" t="s">
        <v>5380</v>
      </c>
      <c r="L1811" t="s">
        <v>5380</v>
      </c>
      <c r="M1811" t="s">
        <v>246</v>
      </c>
      <c r="N1811" t="s">
        <v>99</v>
      </c>
      <c r="O1811">
        <v>94123</v>
      </c>
      <c r="P1811" t="s">
        <v>221</v>
      </c>
      <c r="Q1811" t="s">
        <v>82</v>
      </c>
      <c r="R1811">
        <v>2</v>
      </c>
      <c r="S1811">
        <v>5.82</v>
      </c>
      <c r="T1811">
        <v>0</v>
      </c>
      <c r="U1811">
        <v>1</v>
      </c>
      <c r="V1811">
        <v>2</v>
      </c>
      <c r="W1811">
        <v>21.84</v>
      </c>
      <c r="X1811">
        <v>0</v>
      </c>
      <c r="Y1811">
        <v>0</v>
      </c>
      <c r="Z1811">
        <v>0</v>
      </c>
      <c r="AA1811">
        <v>0</v>
      </c>
      <c r="AB1811">
        <v>0</v>
      </c>
      <c r="AC1811">
        <v>0</v>
      </c>
      <c r="AD1811">
        <v>2</v>
      </c>
      <c r="AE1811">
        <v>0</v>
      </c>
      <c r="AF1811">
        <v>0</v>
      </c>
      <c r="AG1811">
        <v>0</v>
      </c>
      <c r="AH1811">
        <v>0</v>
      </c>
      <c r="AI1811">
        <v>0</v>
      </c>
      <c r="AJ1811">
        <v>0</v>
      </c>
      <c r="AK1811">
        <v>0</v>
      </c>
    </row>
    <row r="1812" spans="1:37" x14ac:dyDescent="0.3">
      <c r="A1812">
        <v>7979</v>
      </c>
      <c r="B1812" t="s">
        <v>219</v>
      </c>
      <c r="D1812" t="s">
        <v>327</v>
      </c>
      <c r="E1812">
        <v>99999999</v>
      </c>
      <c r="F1812">
        <v>11111111</v>
      </c>
      <c r="G1812">
        <v>1111111111</v>
      </c>
      <c r="H1812" t="s">
        <v>5381</v>
      </c>
      <c r="I1812">
        <v>99999999</v>
      </c>
      <c r="J1812" s="188">
        <v>45237</v>
      </c>
      <c r="K1812" t="s">
        <v>5381</v>
      </c>
      <c r="L1812" t="s">
        <v>5381</v>
      </c>
      <c r="M1812" t="s">
        <v>2480</v>
      </c>
      <c r="N1812" t="s">
        <v>99</v>
      </c>
      <c r="O1812" t="s">
        <v>2481</v>
      </c>
      <c r="P1812" t="s">
        <v>221</v>
      </c>
      <c r="Q1812" t="s">
        <v>82</v>
      </c>
      <c r="R1812">
        <v>8</v>
      </c>
      <c r="S1812">
        <v>8.76</v>
      </c>
      <c r="T1812">
        <v>0</v>
      </c>
      <c r="U1812">
        <v>1</v>
      </c>
      <c r="V1812">
        <v>3</v>
      </c>
      <c r="W1812">
        <v>24.41</v>
      </c>
      <c r="X1812">
        <v>0</v>
      </c>
      <c r="Y1812">
        <v>0</v>
      </c>
      <c r="Z1812">
        <v>0</v>
      </c>
      <c r="AA1812">
        <v>0</v>
      </c>
      <c r="AB1812">
        <v>0</v>
      </c>
      <c r="AC1812">
        <v>0</v>
      </c>
      <c r="AD1812">
        <v>8</v>
      </c>
      <c r="AE1812">
        <v>0</v>
      </c>
      <c r="AF1812">
        <v>0</v>
      </c>
      <c r="AG1812">
        <v>0</v>
      </c>
      <c r="AH1812">
        <v>0</v>
      </c>
      <c r="AI1812">
        <v>0</v>
      </c>
      <c r="AJ1812">
        <v>0</v>
      </c>
      <c r="AK1812">
        <v>0</v>
      </c>
    </row>
    <row r="1813" spans="1:37" x14ac:dyDescent="0.3">
      <c r="A1813">
        <v>7979</v>
      </c>
      <c r="B1813" t="s">
        <v>219</v>
      </c>
      <c r="D1813" t="s">
        <v>327</v>
      </c>
      <c r="E1813">
        <v>99999999</v>
      </c>
      <c r="F1813">
        <v>11111111</v>
      </c>
      <c r="G1813">
        <v>1111111111</v>
      </c>
      <c r="H1813" t="s">
        <v>5382</v>
      </c>
      <c r="I1813">
        <v>99999999</v>
      </c>
      <c r="J1813" s="188">
        <v>45237</v>
      </c>
      <c r="K1813" t="s">
        <v>5382</v>
      </c>
      <c r="L1813" t="s">
        <v>5382</v>
      </c>
      <c r="M1813" t="s">
        <v>1269</v>
      </c>
      <c r="N1813" t="s">
        <v>91</v>
      </c>
      <c r="O1813">
        <v>85331</v>
      </c>
      <c r="P1813" t="s">
        <v>221</v>
      </c>
      <c r="Q1813" t="s">
        <v>82</v>
      </c>
      <c r="R1813">
        <v>3</v>
      </c>
      <c r="S1813">
        <v>3.0419999999999998</v>
      </c>
      <c r="T1813">
        <v>0</v>
      </c>
      <c r="U1813">
        <v>1</v>
      </c>
      <c r="V1813">
        <v>3</v>
      </c>
      <c r="W1813">
        <v>29.71</v>
      </c>
      <c r="X1813">
        <v>0</v>
      </c>
      <c r="Y1813">
        <v>0</v>
      </c>
      <c r="Z1813">
        <v>0</v>
      </c>
      <c r="AA1813">
        <v>0</v>
      </c>
      <c r="AB1813">
        <v>0</v>
      </c>
      <c r="AC1813">
        <v>0</v>
      </c>
      <c r="AD1813">
        <v>3</v>
      </c>
      <c r="AE1813">
        <v>0</v>
      </c>
      <c r="AF1813">
        <v>0</v>
      </c>
      <c r="AG1813">
        <v>0</v>
      </c>
      <c r="AH1813">
        <v>0</v>
      </c>
      <c r="AI1813">
        <v>0</v>
      </c>
      <c r="AJ1813">
        <v>0</v>
      </c>
      <c r="AK1813">
        <v>0</v>
      </c>
    </row>
    <row r="1814" spans="1:37" x14ac:dyDescent="0.3">
      <c r="A1814">
        <v>7979</v>
      </c>
      <c r="B1814" t="s">
        <v>219</v>
      </c>
      <c r="D1814" t="s">
        <v>327</v>
      </c>
      <c r="E1814">
        <v>99999999</v>
      </c>
      <c r="F1814">
        <v>11111111</v>
      </c>
      <c r="G1814">
        <v>1111111111</v>
      </c>
      <c r="H1814" t="s">
        <v>5383</v>
      </c>
      <c r="I1814">
        <v>99999999</v>
      </c>
      <c r="J1814" s="188">
        <v>45237</v>
      </c>
      <c r="K1814" t="s">
        <v>5383</v>
      </c>
      <c r="L1814" t="s">
        <v>5383</v>
      </c>
      <c r="M1814" t="s">
        <v>334</v>
      </c>
      <c r="N1814" t="s">
        <v>97</v>
      </c>
      <c r="O1814" t="s">
        <v>2482</v>
      </c>
      <c r="P1814" t="s">
        <v>221</v>
      </c>
      <c r="Q1814" t="s">
        <v>82</v>
      </c>
      <c r="R1814">
        <v>6</v>
      </c>
      <c r="S1814">
        <v>9.2100000000000009</v>
      </c>
      <c r="T1814">
        <v>0</v>
      </c>
      <c r="U1814">
        <v>1</v>
      </c>
      <c r="V1814">
        <v>3</v>
      </c>
      <c r="W1814">
        <v>30.53</v>
      </c>
      <c r="X1814">
        <v>0</v>
      </c>
      <c r="Y1814">
        <v>0</v>
      </c>
      <c r="Z1814">
        <v>0</v>
      </c>
      <c r="AA1814">
        <v>0</v>
      </c>
      <c r="AB1814">
        <v>0</v>
      </c>
      <c r="AC1814">
        <v>0</v>
      </c>
      <c r="AD1814">
        <v>6</v>
      </c>
      <c r="AE1814">
        <v>0</v>
      </c>
      <c r="AF1814">
        <v>0</v>
      </c>
      <c r="AG1814">
        <v>0</v>
      </c>
      <c r="AH1814">
        <v>0</v>
      </c>
      <c r="AI1814">
        <v>0</v>
      </c>
      <c r="AJ1814">
        <v>0</v>
      </c>
      <c r="AK1814">
        <v>0</v>
      </c>
    </row>
    <row r="1815" spans="1:37" x14ac:dyDescent="0.3">
      <c r="A1815">
        <v>7979</v>
      </c>
      <c r="B1815" t="s">
        <v>219</v>
      </c>
      <c r="D1815" t="s">
        <v>327</v>
      </c>
      <c r="E1815">
        <v>99999999</v>
      </c>
      <c r="F1815">
        <v>11111111</v>
      </c>
      <c r="G1815">
        <v>1111111111</v>
      </c>
      <c r="H1815" t="s">
        <v>5384</v>
      </c>
      <c r="I1815">
        <v>99999999</v>
      </c>
      <c r="J1815" s="188">
        <v>45237</v>
      </c>
      <c r="K1815" t="s">
        <v>5384</v>
      </c>
      <c r="L1815" t="s">
        <v>5384</v>
      </c>
      <c r="M1815" t="s">
        <v>2483</v>
      </c>
      <c r="N1815" t="s">
        <v>91</v>
      </c>
      <c r="O1815" t="s">
        <v>2484</v>
      </c>
      <c r="P1815" t="s">
        <v>221</v>
      </c>
      <c r="Q1815" t="s">
        <v>82</v>
      </c>
      <c r="R1815">
        <v>3</v>
      </c>
      <c r="S1815">
        <v>3.54</v>
      </c>
      <c r="T1815">
        <v>0</v>
      </c>
      <c r="U1815">
        <v>1</v>
      </c>
      <c r="V1815">
        <v>2</v>
      </c>
      <c r="W1815">
        <v>24.37</v>
      </c>
      <c r="X1815">
        <v>0</v>
      </c>
      <c r="Y1815">
        <v>0</v>
      </c>
      <c r="Z1815">
        <v>0</v>
      </c>
      <c r="AA1815">
        <v>0</v>
      </c>
      <c r="AB1815">
        <v>0</v>
      </c>
      <c r="AC1815">
        <v>0</v>
      </c>
      <c r="AD1815">
        <v>3</v>
      </c>
      <c r="AE1815">
        <v>0</v>
      </c>
      <c r="AF1815">
        <v>0</v>
      </c>
      <c r="AG1815">
        <v>0</v>
      </c>
      <c r="AH1815">
        <v>0</v>
      </c>
      <c r="AI1815">
        <v>0</v>
      </c>
      <c r="AJ1815">
        <v>0</v>
      </c>
      <c r="AK1815">
        <v>0</v>
      </c>
    </row>
    <row r="1816" spans="1:37" x14ac:dyDescent="0.3">
      <c r="A1816">
        <v>7979</v>
      </c>
      <c r="B1816" t="s">
        <v>219</v>
      </c>
      <c r="D1816" t="s">
        <v>327</v>
      </c>
      <c r="E1816">
        <v>99999999</v>
      </c>
      <c r="F1816">
        <v>11111111</v>
      </c>
      <c r="G1816">
        <v>1111111111</v>
      </c>
      <c r="H1816" t="s">
        <v>5385</v>
      </c>
      <c r="I1816">
        <v>99999999</v>
      </c>
      <c r="J1816" s="188">
        <v>45237</v>
      </c>
      <c r="K1816" t="s">
        <v>5385</v>
      </c>
      <c r="L1816" t="s">
        <v>5385</v>
      </c>
      <c r="M1816" t="s">
        <v>1174</v>
      </c>
      <c r="N1816" t="s">
        <v>130</v>
      </c>
      <c r="O1816">
        <v>80023</v>
      </c>
      <c r="P1816" t="s">
        <v>221</v>
      </c>
      <c r="Q1816" t="s">
        <v>82</v>
      </c>
      <c r="R1816">
        <v>5</v>
      </c>
      <c r="S1816">
        <v>12.45</v>
      </c>
      <c r="T1816">
        <v>0</v>
      </c>
      <c r="U1816">
        <v>1</v>
      </c>
      <c r="V1816">
        <v>2</v>
      </c>
      <c r="W1816">
        <v>26.9</v>
      </c>
      <c r="X1816">
        <v>0</v>
      </c>
      <c r="Y1816">
        <v>0</v>
      </c>
      <c r="Z1816">
        <v>0</v>
      </c>
      <c r="AA1816">
        <v>0</v>
      </c>
      <c r="AB1816">
        <v>0</v>
      </c>
      <c r="AC1816">
        <v>0</v>
      </c>
      <c r="AD1816">
        <v>5</v>
      </c>
      <c r="AE1816">
        <v>0</v>
      </c>
      <c r="AF1816">
        <v>0</v>
      </c>
      <c r="AG1816">
        <v>0</v>
      </c>
      <c r="AH1816">
        <v>0</v>
      </c>
      <c r="AI1816">
        <v>0</v>
      </c>
      <c r="AJ1816">
        <v>0</v>
      </c>
      <c r="AK1816">
        <v>0</v>
      </c>
    </row>
    <row r="1817" spans="1:37" x14ac:dyDescent="0.3">
      <c r="A1817">
        <v>7979</v>
      </c>
      <c r="B1817" t="s">
        <v>219</v>
      </c>
      <c r="D1817" t="s">
        <v>327</v>
      </c>
      <c r="E1817">
        <v>99999999</v>
      </c>
      <c r="F1817">
        <v>11111111</v>
      </c>
      <c r="G1817">
        <v>1111111111</v>
      </c>
      <c r="H1817" t="s">
        <v>5386</v>
      </c>
      <c r="I1817">
        <v>99999999</v>
      </c>
      <c r="J1817" s="188">
        <v>45237</v>
      </c>
      <c r="K1817" t="s">
        <v>5386</v>
      </c>
      <c r="L1817" t="s">
        <v>5386</v>
      </c>
      <c r="M1817" t="s">
        <v>2485</v>
      </c>
      <c r="N1817" t="s">
        <v>197</v>
      </c>
      <c r="O1817" t="s">
        <v>2486</v>
      </c>
      <c r="P1817" t="s">
        <v>221</v>
      </c>
      <c r="Q1817" t="s">
        <v>82</v>
      </c>
      <c r="R1817">
        <v>3</v>
      </c>
      <c r="S1817">
        <v>17.43</v>
      </c>
      <c r="T1817">
        <v>0</v>
      </c>
      <c r="U1817">
        <v>1</v>
      </c>
      <c r="V1817">
        <v>3</v>
      </c>
      <c r="W1817">
        <v>41.03</v>
      </c>
      <c r="X1817">
        <v>0</v>
      </c>
      <c r="Y1817">
        <v>0</v>
      </c>
      <c r="Z1817">
        <v>0</v>
      </c>
      <c r="AA1817">
        <v>0</v>
      </c>
      <c r="AB1817">
        <v>0</v>
      </c>
      <c r="AC1817">
        <v>0</v>
      </c>
      <c r="AD1817">
        <v>3</v>
      </c>
      <c r="AE1817">
        <v>0</v>
      </c>
      <c r="AF1817">
        <v>0</v>
      </c>
      <c r="AG1817">
        <v>0</v>
      </c>
      <c r="AH1817">
        <v>0</v>
      </c>
      <c r="AI1817">
        <v>0</v>
      </c>
      <c r="AJ1817">
        <v>0</v>
      </c>
      <c r="AK1817">
        <v>0</v>
      </c>
    </row>
    <row r="1818" spans="1:37" x14ac:dyDescent="0.3">
      <c r="A1818">
        <v>7979</v>
      </c>
      <c r="B1818" t="s">
        <v>219</v>
      </c>
      <c r="D1818" t="s">
        <v>327</v>
      </c>
      <c r="E1818">
        <v>99999999</v>
      </c>
      <c r="F1818">
        <v>11111111</v>
      </c>
      <c r="G1818">
        <v>1111111111</v>
      </c>
      <c r="H1818" t="s">
        <v>5387</v>
      </c>
      <c r="I1818">
        <v>99999999</v>
      </c>
      <c r="J1818" s="188">
        <v>45237</v>
      </c>
      <c r="K1818" t="s">
        <v>5387</v>
      </c>
      <c r="L1818" t="s">
        <v>5387</v>
      </c>
      <c r="M1818" t="s">
        <v>514</v>
      </c>
      <c r="N1818" t="s">
        <v>99</v>
      </c>
      <c r="O1818" t="s">
        <v>2487</v>
      </c>
      <c r="P1818" t="s">
        <v>221</v>
      </c>
      <c r="Q1818" t="s">
        <v>82</v>
      </c>
      <c r="R1818">
        <v>3</v>
      </c>
      <c r="S1818">
        <v>6.96</v>
      </c>
      <c r="T1818">
        <v>0</v>
      </c>
      <c r="U1818">
        <v>1</v>
      </c>
      <c r="V1818">
        <v>3</v>
      </c>
      <c r="W1818">
        <v>21.23</v>
      </c>
      <c r="X1818">
        <v>0</v>
      </c>
      <c r="Y1818">
        <v>0</v>
      </c>
      <c r="Z1818">
        <v>0</v>
      </c>
      <c r="AA1818">
        <v>0</v>
      </c>
      <c r="AB1818">
        <v>0</v>
      </c>
      <c r="AC1818">
        <v>0</v>
      </c>
      <c r="AD1818">
        <v>3</v>
      </c>
      <c r="AE1818">
        <v>0</v>
      </c>
      <c r="AF1818">
        <v>0</v>
      </c>
      <c r="AG1818">
        <v>0</v>
      </c>
      <c r="AH1818">
        <v>0</v>
      </c>
      <c r="AI1818">
        <v>0</v>
      </c>
      <c r="AJ1818">
        <v>0</v>
      </c>
      <c r="AK1818">
        <v>0</v>
      </c>
    </row>
    <row r="1819" spans="1:37" x14ac:dyDescent="0.3">
      <c r="A1819">
        <v>7979</v>
      </c>
      <c r="B1819" t="s">
        <v>219</v>
      </c>
      <c r="D1819" t="s">
        <v>327</v>
      </c>
      <c r="E1819">
        <v>99999999</v>
      </c>
      <c r="F1819">
        <v>11111111</v>
      </c>
      <c r="G1819">
        <v>1111111111</v>
      </c>
      <c r="H1819" t="s">
        <v>5388</v>
      </c>
      <c r="I1819">
        <v>99999999</v>
      </c>
      <c r="J1819" s="188">
        <v>45237</v>
      </c>
      <c r="K1819" t="s">
        <v>5388</v>
      </c>
      <c r="L1819" t="s">
        <v>5388</v>
      </c>
      <c r="M1819" t="s">
        <v>193</v>
      </c>
      <c r="N1819" t="s">
        <v>85</v>
      </c>
      <c r="O1819" t="s">
        <v>2488</v>
      </c>
      <c r="P1819" t="s">
        <v>221</v>
      </c>
      <c r="Q1819" t="s">
        <v>82</v>
      </c>
      <c r="R1819">
        <v>4</v>
      </c>
      <c r="S1819">
        <v>2.86</v>
      </c>
      <c r="T1819">
        <v>0</v>
      </c>
      <c r="U1819">
        <v>2</v>
      </c>
      <c r="V1819">
        <v>4</v>
      </c>
      <c r="W1819">
        <v>41.18</v>
      </c>
      <c r="X1819">
        <v>0</v>
      </c>
      <c r="Y1819">
        <v>0</v>
      </c>
      <c r="Z1819">
        <v>0</v>
      </c>
      <c r="AA1819">
        <v>0</v>
      </c>
      <c r="AB1819">
        <v>0</v>
      </c>
      <c r="AC1819">
        <v>0</v>
      </c>
      <c r="AD1819">
        <v>4</v>
      </c>
      <c r="AE1819">
        <v>0</v>
      </c>
      <c r="AF1819">
        <v>0</v>
      </c>
      <c r="AG1819">
        <v>0</v>
      </c>
      <c r="AH1819">
        <v>0</v>
      </c>
      <c r="AI1819">
        <v>0</v>
      </c>
      <c r="AJ1819">
        <v>0</v>
      </c>
      <c r="AK1819">
        <v>0</v>
      </c>
    </row>
    <row r="1820" spans="1:37" x14ac:dyDescent="0.3">
      <c r="A1820">
        <v>7979</v>
      </c>
      <c r="B1820" t="s">
        <v>219</v>
      </c>
      <c r="D1820" t="s">
        <v>327</v>
      </c>
      <c r="E1820">
        <v>99999999</v>
      </c>
      <c r="F1820">
        <v>11111111</v>
      </c>
      <c r="G1820">
        <v>1111111111</v>
      </c>
      <c r="H1820" t="s">
        <v>5389</v>
      </c>
      <c r="I1820">
        <v>99999999</v>
      </c>
      <c r="J1820" s="188">
        <v>45237</v>
      </c>
      <c r="K1820" t="s">
        <v>5389</v>
      </c>
      <c r="L1820" t="s">
        <v>5389</v>
      </c>
      <c r="M1820" t="s">
        <v>626</v>
      </c>
      <c r="N1820" t="s">
        <v>197</v>
      </c>
      <c r="O1820">
        <v>76126</v>
      </c>
      <c r="P1820" t="s">
        <v>221</v>
      </c>
      <c r="Q1820" t="s">
        <v>82</v>
      </c>
      <c r="R1820">
        <v>1</v>
      </c>
      <c r="S1820">
        <v>4</v>
      </c>
      <c r="T1820">
        <v>0</v>
      </c>
      <c r="U1820">
        <v>1</v>
      </c>
      <c r="V1820">
        <v>1</v>
      </c>
      <c r="W1820">
        <v>25.12</v>
      </c>
      <c r="X1820">
        <v>0</v>
      </c>
      <c r="Y1820">
        <v>0</v>
      </c>
      <c r="Z1820">
        <v>0</v>
      </c>
      <c r="AA1820">
        <v>0</v>
      </c>
      <c r="AB1820">
        <v>0</v>
      </c>
      <c r="AC1820">
        <v>0</v>
      </c>
      <c r="AD1820">
        <v>1</v>
      </c>
      <c r="AE1820">
        <v>0</v>
      </c>
      <c r="AF1820">
        <v>0</v>
      </c>
      <c r="AG1820">
        <v>0</v>
      </c>
      <c r="AH1820">
        <v>0</v>
      </c>
      <c r="AI1820">
        <v>0</v>
      </c>
      <c r="AJ1820">
        <v>0</v>
      </c>
      <c r="AK1820">
        <v>0</v>
      </c>
    </row>
    <row r="1821" spans="1:37" x14ac:dyDescent="0.3">
      <c r="A1821">
        <v>7979</v>
      </c>
      <c r="B1821" t="s">
        <v>219</v>
      </c>
      <c r="D1821" t="s">
        <v>327</v>
      </c>
      <c r="E1821">
        <v>99999999</v>
      </c>
      <c r="F1821">
        <v>11111111</v>
      </c>
      <c r="G1821">
        <v>1111111111</v>
      </c>
      <c r="H1821" t="s">
        <v>5390</v>
      </c>
      <c r="I1821">
        <v>99999999</v>
      </c>
      <c r="J1821" s="188">
        <v>45237</v>
      </c>
      <c r="K1821" t="s">
        <v>5390</v>
      </c>
      <c r="L1821" t="s">
        <v>5390</v>
      </c>
      <c r="M1821" t="s">
        <v>2489</v>
      </c>
      <c r="N1821" t="s">
        <v>99</v>
      </c>
      <c r="O1821" t="s">
        <v>2490</v>
      </c>
      <c r="P1821" t="s">
        <v>221</v>
      </c>
      <c r="Q1821" t="s">
        <v>82</v>
      </c>
      <c r="R1821">
        <v>11</v>
      </c>
      <c r="S1821">
        <v>51.45</v>
      </c>
      <c r="T1821">
        <v>0</v>
      </c>
      <c r="U1821">
        <v>2</v>
      </c>
      <c r="V1821">
        <v>5</v>
      </c>
      <c r="W1821">
        <v>107.77</v>
      </c>
      <c r="X1821">
        <v>0</v>
      </c>
      <c r="Y1821">
        <v>0</v>
      </c>
      <c r="Z1821">
        <v>0</v>
      </c>
      <c r="AA1821">
        <v>0</v>
      </c>
      <c r="AB1821">
        <v>0</v>
      </c>
      <c r="AC1821">
        <v>0</v>
      </c>
      <c r="AD1821">
        <v>11</v>
      </c>
      <c r="AE1821">
        <v>0</v>
      </c>
      <c r="AF1821">
        <v>0</v>
      </c>
      <c r="AG1821">
        <v>0</v>
      </c>
      <c r="AH1821">
        <v>0</v>
      </c>
      <c r="AI1821">
        <v>0</v>
      </c>
      <c r="AJ1821">
        <v>0</v>
      </c>
      <c r="AK1821">
        <v>0</v>
      </c>
    </row>
    <row r="1822" spans="1:37" x14ac:dyDescent="0.3">
      <c r="A1822">
        <v>7979</v>
      </c>
      <c r="B1822" t="s">
        <v>219</v>
      </c>
      <c r="D1822" t="s">
        <v>327</v>
      </c>
      <c r="E1822">
        <v>99999999</v>
      </c>
      <c r="F1822">
        <v>11111111</v>
      </c>
      <c r="G1822">
        <v>1111111111</v>
      </c>
      <c r="H1822" t="s">
        <v>5391</v>
      </c>
      <c r="I1822">
        <v>99999999</v>
      </c>
      <c r="J1822" s="188">
        <v>45237</v>
      </c>
      <c r="K1822" t="s">
        <v>5391</v>
      </c>
      <c r="L1822" t="s">
        <v>5391</v>
      </c>
      <c r="M1822" t="s">
        <v>323</v>
      </c>
      <c r="N1822" t="s">
        <v>122</v>
      </c>
      <c r="O1822" t="s">
        <v>2491</v>
      </c>
      <c r="P1822" t="s">
        <v>221</v>
      </c>
      <c r="Q1822" t="s">
        <v>82</v>
      </c>
      <c r="R1822">
        <v>18</v>
      </c>
      <c r="S1822">
        <v>72</v>
      </c>
      <c r="T1822">
        <v>0</v>
      </c>
      <c r="U1822">
        <v>3</v>
      </c>
      <c r="V1822">
        <v>2</v>
      </c>
      <c r="W1822">
        <v>131.5</v>
      </c>
      <c r="X1822">
        <v>0</v>
      </c>
      <c r="Y1822">
        <v>0</v>
      </c>
      <c r="Z1822">
        <v>0</v>
      </c>
      <c r="AA1822">
        <v>0</v>
      </c>
      <c r="AB1822">
        <v>0</v>
      </c>
      <c r="AC1822">
        <v>0</v>
      </c>
      <c r="AD1822">
        <v>18</v>
      </c>
      <c r="AE1822">
        <v>0</v>
      </c>
      <c r="AF1822">
        <v>0</v>
      </c>
      <c r="AG1822">
        <v>0</v>
      </c>
      <c r="AH1822">
        <v>0</v>
      </c>
      <c r="AI1822">
        <v>0</v>
      </c>
      <c r="AJ1822">
        <v>0</v>
      </c>
      <c r="AK1822">
        <v>0</v>
      </c>
    </row>
    <row r="1823" spans="1:37" x14ac:dyDescent="0.3">
      <c r="A1823">
        <v>7979</v>
      </c>
      <c r="B1823" t="s">
        <v>219</v>
      </c>
      <c r="D1823" t="s">
        <v>327</v>
      </c>
      <c r="E1823">
        <v>99999999</v>
      </c>
      <c r="F1823">
        <v>11111111</v>
      </c>
      <c r="G1823">
        <v>1111111111</v>
      </c>
      <c r="H1823" t="s">
        <v>5392</v>
      </c>
      <c r="I1823">
        <v>99999999</v>
      </c>
      <c r="J1823" s="188">
        <v>45237</v>
      </c>
      <c r="K1823" t="s">
        <v>5392</v>
      </c>
      <c r="L1823" t="s">
        <v>5392</v>
      </c>
      <c r="M1823" t="s">
        <v>128</v>
      </c>
      <c r="N1823" t="s">
        <v>85</v>
      </c>
      <c r="O1823" t="s">
        <v>2492</v>
      </c>
      <c r="P1823" t="s">
        <v>221</v>
      </c>
      <c r="Q1823" t="s">
        <v>82</v>
      </c>
      <c r="R1823">
        <v>8</v>
      </c>
      <c r="S1823">
        <v>8</v>
      </c>
      <c r="T1823">
        <v>0</v>
      </c>
      <c r="U1823">
        <v>4</v>
      </c>
      <c r="V1823">
        <v>1</v>
      </c>
      <c r="W1823">
        <v>86.76</v>
      </c>
      <c r="X1823">
        <v>0</v>
      </c>
      <c r="Y1823">
        <v>0</v>
      </c>
      <c r="Z1823">
        <v>0</v>
      </c>
      <c r="AA1823">
        <v>0</v>
      </c>
      <c r="AB1823">
        <v>0</v>
      </c>
      <c r="AC1823">
        <v>0</v>
      </c>
      <c r="AD1823">
        <v>8</v>
      </c>
      <c r="AE1823">
        <v>0</v>
      </c>
      <c r="AF1823">
        <v>0</v>
      </c>
      <c r="AG1823">
        <v>0</v>
      </c>
      <c r="AH1823">
        <v>0</v>
      </c>
      <c r="AI1823">
        <v>0</v>
      </c>
      <c r="AJ1823">
        <v>0</v>
      </c>
      <c r="AK1823">
        <v>0</v>
      </c>
    </row>
    <row r="1824" spans="1:37" x14ac:dyDescent="0.3">
      <c r="A1824">
        <v>7979</v>
      </c>
      <c r="B1824" t="s">
        <v>219</v>
      </c>
      <c r="D1824" t="s">
        <v>327</v>
      </c>
      <c r="E1824">
        <v>99999999</v>
      </c>
      <c r="F1824">
        <v>11111111</v>
      </c>
      <c r="G1824">
        <v>1111111111</v>
      </c>
      <c r="H1824" t="s">
        <v>5393</v>
      </c>
      <c r="I1824">
        <v>99999999</v>
      </c>
      <c r="J1824" s="188">
        <v>45237</v>
      </c>
      <c r="K1824" t="s">
        <v>5393</v>
      </c>
      <c r="L1824" t="s">
        <v>5393</v>
      </c>
      <c r="M1824" t="s">
        <v>1912</v>
      </c>
      <c r="N1824" t="s">
        <v>99</v>
      </c>
      <c r="O1824" t="s">
        <v>2493</v>
      </c>
      <c r="P1824" t="s">
        <v>221</v>
      </c>
      <c r="Q1824" t="s">
        <v>82</v>
      </c>
      <c r="R1824">
        <v>1</v>
      </c>
      <c r="S1824">
        <v>8.58</v>
      </c>
      <c r="T1824">
        <v>0</v>
      </c>
      <c r="U1824">
        <v>1</v>
      </c>
      <c r="V1824">
        <v>1</v>
      </c>
      <c r="W1824">
        <v>22.82</v>
      </c>
      <c r="X1824">
        <v>0</v>
      </c>
      <c r="Y1824">
        <v>0</v>
      </c>
      <c r="Z1824">
        <v>0</v>
      </c>
      <c r="AA1824">
        <v>0</v>
      </c>
      <c r="AB1824">
        <v>0</v>
      </c>
      <c r="AC1824">
        <v>0</v>
      </c>
      <c r="AD1824">
        <v>1</v>
      </c>
      <c r="AE1824">
        <v>0</v>
      </c>
      <c r="AF1824">
        <v>0</v>
      </c>
      <c r="AG1824">
        <v>0</v>
      </c>
      <c r="AH1824">
        <v>0</v>
      </c>
      <c r="AI1824">
        <v>0</v>
      </c>
      <c r="AJ1824">
        <v>0</v>
      </c>
      <c r="AK1824">
        <v>0</v>
      </c>
    </row>
    <row r="1825" spans="1:37" x14ac:dyDescent="0.3">
      <c r="A1825">
        <v>7979</v>
      </c>
      <c r="B1825" t="s">
        <v>219</v>
      </c>
      <c r="D1825" t="s">
        <v>327</v>
      </c>
      <c r="E1825">
        <v>99999999</v>
      </c>
      <c r="F1825">
        <v>11111111</v>
      </c>
      <c r="G1825">
        <v>1111111111</v>
      </c>
      <c r="H1825" t="s">
        <v>5394</v>
      </c>
      <c r="I1825">
        <v>99999999</v>
      </c>
      <c r="J1825" s="188">
        <v>45237</v>
      </c>
      <c r="K1825" t="s">
        <v>5394</v>
      </c>
      <c r="L1825" t="s">
        <v>5394</v>
      </c>
      <c r="M1825" t="s">
        <v>1286</v>
      </c>
      <c r="N1825" t="s">
        <v>99</v>
      </c>
      <c r="O1825" t="s">
        <v>2230</v>
      </c>
      <c r="P1825" t="s">
        <v>221</v>
      </c>
      <c r="Q1825" t="s">
        <v>82</v>
      </c>
      <c r="R1825">
        <v>1</v>
      </c>
      <c r="S1825">
        <v>8.64</v>
      </c>
      <c r="T1825">
        <v>0</v>
      </c>
      <c r="U1825">
        <v>1</v>
      </c>
      <c r="V1825">
        <v>1</v>
      </c>
      <c r="W1825">
        <v>28.94</v>
      </c>
      <c r="X1825">
        <v>0</v>
      </c>
      <c r="Y1825">
        <v>0</v>
      </c>
      <c r="Z1825">
        <v>0</v>
      </c>
      <c r="AA1825">
        <v>0</v>
      </c>
      <c r="AB1825">
        <v>0</v>
      </c>
      <c r="AC1825">
        <v>0</v>
      </c>
      <c r="AD1825">
        <v>1</v>
      </c>
      <c r="AE1825">
        <v>0</v>
      </c>
      <c r="AF1825">
        <v>0</v>
      </c>
      <c r="AG1825">
        <v>0</v>
      </c>
      <c r="AH1825">
        <v>0</v>
      </c>
      <c r="AI1825">
        <v>0</v>
      </c>
      <c r="AJ1825">
        <v>0</v>
      </c>
      <c r="AK1825">
        <v>0</v>
      </c>
    </row>
    <row r="1826" spans="1:37" x14ac:dyDescent="0.3">
      <c r="A1826">
        <v>7979</v>
      </c>
      <c r="B1826" t="s">
        <v>219</v>
      </c>
      <c r="D1826" t="s">
        <v>327</v>
      </c>
      <c r="E1826">
        <v>99999999</v>
      </c>
      <c r="F1826">
        <v>11111111</v>
      </c>
      <c r="G1826">
        <v>1111111111</v>
      </c>
      <c r="H1826" t="s">
        <v>5395</v>
      </c>
      <c r="I1826">
        <v>99999999</v>
      </c>
      <c r="J1826" s="188">
        <v>45237</v>
      </c>
      <c r="K1826" t="s">
        <v>5395</v>
      </c>
      <c r="L1826" t="s">
        <v>5395</v>
      </c>
      <c r="M1826" t="s">
        <v>2494</v>
      </c>
      <c r="N1826" t="s">
        <v>99</v>
      </c>
      <c r="O1826">
        <v>96103</v>
      </c>
      <c r="P1826" t="s">
        <v>221</v>
      </c>
      <c r="Q1826" t="s">
        <v>82</v>
      </c>
      <c r="R1826">
        <v>1</v>
      </c>
      <c r="S1826">
        <v>7</v>
      </c>
      <c r="T1826">
        <v>0</v>
      </c>
      <c r="U1826">
        <v>1</v>
      </c>
      <c r="V1826">
        <v>1</v>
      </c>
      <c r="W1826">
        <v>29.49</v>
      </c>
      <c r="X1826">
        <v>0</v>
      </c>
      <c r="Y1826">
        <v>0</v>
      </c>
      <c r="Z1826">
        <v>0</v>
      </c>
      <c r="AA1826">
        <v>0</v>
      </c>
      <c r="AB1826">
        <v>0</v>
      </c>
      <c r="AC1826">
        <v>0</v>
      </c>
      <c r="AD1826">
        <v>1</v>
      </c>
      <c r="AE1826">
        <v>0</v>
      </c>
      <c r="AF1826">
        <v>0</v>
      </c>
      <c r="AG1826">
        <v>0</v>
      </c>
      <c r="AH1826">
        <v>0</v>
      </c>
      <c r="AI1826">
        <v>0</v>
      </c>
      <c r="AJ1826">
        <v>0</v>
      </c>
      <c r="AK1826">
        <v>0</v>
      </c>
    </row>
    <row r="1827" spans="1:37" x14ac:dyDescent="0.3">
      <c r="A1827">
        <v>7979</v>
      </c>
      <c r="B1827" t="s">
        <v>219</v>
      </c>
      <c r="D1827" t="s">
        <v>327</v>
      </c>
      <c r="E1827">
        <v>99999999</v>
      </c>
      <c r="F1827">
        <v>11111111</v>
      </c>
      <c r="G1827">
        <v>1111111111</v>
      </c>
      <c r="H1827" t="s">
        <v>5396</v>
      </c>
      <c r="I1827">
        <v>99999999</v>
      </c>
      <c r="J1827" s="188">
        <v>45237</v>
      </c>
      <c r="K1827" t="s">
        <v>5396</v>
      </c>
      <c r="L1827" t="s">
        <v>5396</v>
      </c>
      <c r="M1827" t="s">
        <v>2495</v>
      </c>
      <c r="N1827" t="s">
        <v>99</v>
      </c>
      <c r="O1827">
        <v>91350</v>
      </c>
      <c r="P1827" t="s">
        <v>221</v>
      </c>
      <c r="Q1827" t="s">
        <v>82</v>
      </c>
      <c r="R1827">
        <v>1</v>
      </c>
      <c r="S1827">
        <v>8.8000000000000007</v>
      </c>
      <c r="T1827">
        <v>0</v>
      </c>
      <c r="U1827">
        <v>1</v>
      </c>
      <c r="V1827">
        <v>1</v>
      </c>
      <c r="W1827">
        <v>24.41</v>
      </c>
      <c r="X1827">
        <v>0</v>
      </c>
      <c r="Y1827">
        <v>0</v>
      </c>
      <c r="Z1827">
        <v>0</v>
      </c>
      <c r="AA1827">
        <v>0</v>
      </c>
      <c r="AB1827">
        <v>0</v>
      </c>
      <c r="AC1827">
        <v>0</v>
      </c>
      <c r="AD1827">
        <v>1</v>
      </c>
      <c r="AE1827">
        <v>0</v>
      </c>
      <c r="AF1827">
        <v>0</v>
      </c>
      <c r="AG1827">
        <v>0</v>
      </c>
      <c r="AH1827">
        <v>0</v>
      </c>
      <c r="AI1827">
        <v>0</v>
      </c>
      <c r="AJ1827">
        <v>0</v>
      </c>
      <c r="AK1827">
        <v>0</v>
      </c>
    </row>
    <row r="1828" spans="1:37" x14ac:dyDescent="0.3">
      <c r="A1828">
        <v>7979</v>
      </c>
      <c r="B1828" t="s">
        <v>219</v>
      </c>
      <c r="D1828" t="s">
        <v>327</v>
      </c>
      <c r="E1828">
        <v>99999999</v>
      </c>
      <c r="F1828">
        <v>11111111</v>
      </c>
      <c r="G1828">
        <v>1111111111</v>
      </c>
      <c r="H1828" t="s">
        <v>5397</v>
      </c>
      <c r="I1828">
        <v>99999999</v>
      </c>
      <c r="J1828" s="188">
        <v>45237</v>
      </c>
      <c r="K1828" t="s">
        <v>5397</v>
      </c>
      <c r="L1828" t="s">
        <v>5397</v>
      </c>
      <c r="M1828" t="s">
        <v>2496</v>
      </c>
      <c r="N1828" t="s">
        <v>233</v>
      </c>
      <c r="O1828">
        <v>13491</v>
      </c>
      <c r="P1828" t="s">
        <v>221</v>
      </c>
      <c r="Q1828" t="s">
        <v>82</v>
      </c>
      <c r="R1828">
        <v>1</v>
      </c>
      <c r="S1828">
        <v>1.1000000000000001</v>
      </c>
      <c r="T1828">
        <v>0</v>
      </c>
      <c r="U1828">
        <v>1</v>
      </c>
      <c r="V1828">
        <v>1</v>
      </c>
      <c r="W1828">
        <v>31.36</v>
      </c>
      <c r="X1828">
        <v>0</v>
      </c>
      <c r="Y1828">
        <v>0</v>
      </c>
      <c r="Z1828">
        <v>0</v>
      </c>
      <c r="AA1828">
        <v>0</v>
      </c>
      <c r="AB1828">
        <v>0</v>
      </c>
      <c r="AC1828">
        <v>0</v>
      </c>
      <c r="AD1828">
        <v>1</v>
      </c>
      <c r="AE1828">
        <v>0</v>
      </c>
      <c r="AF1828">
        <v>0</v>
      </c>
      <c r="AG1828">
        <v>0</v>
      </c>
      <c r="AH1828">
        <v>0</v>
      </c>
      <c r="AI1828">
        <v>0</v>
      </c>
      <c r="AJ1828">
        <v>0</v>
      </c>
      <c r="AK1828">
        <v>0</v>
      </c>
    </row>
    <row r="1829" spans="1:37" x14ac:dyDescent="0.3">
      <c r="A1829">
        <v>7979</v>
      </c>
      <c r="B1829" t="s">
        <v>219</v>
      </c>
      <c r="D1829" t="s">
        <v>327</v>
      </c>
      <c r="E1829">
        <v>99999999</v>
      </c>
      <c r="F1829">
        <v>11111111</v>
      </c>
      <c r="G1829">
        <v>1111111111</v>
      </c>
      <c r="H1829" t="s">
        <v>5398</v>
      </c>
      <c r="I1829">
        <v>99999999</v>
      </c>
      <c r="J1829" s="188">
        <v>45237</v>
      </c>
      <c r="K1829" t="s">
        <v>5398</v>
      </c>
      <c r="L1829" t="s">
        <v>5398</v>
      </c>
      <c r="M1829" t="s">
        <v>420</v>
      </c>
      <c r="N1829" t="s">
        <v>164</v>
      </c>
      <c r="O1829" t="s">
        <v>421</v>
      </c>
      <c r="P1829" t="s">
        <v>221</v>
      </c>
      <c r="Q1829" t="s">
        <v>82</v>
      </c>
      <c r="R1829">
        <v>2</v>
      </c>
      <c r="S1829">
        <v>3.54</v>
      </c>
      <c r="T1829">
        <v>0</v>
      </c>
      <c r="U1829">
        <v>1</v>
      </c>
      <c r="V1829">
        <v>1</v>
      </c>
      <c r="W1829">
        <v>29.05</v>
      </c>
      <c r="X1829">
        <v>0</v>
      </c>
      <c r="Y1829">
        <v>0</v>
      </c>
      <c r="Z1829">
        <v>0</v>
      </c>
      <c r="AA1829">
        <v>0</v>
      </c>
      <c r="AB1829">
        <v>0</v>
      </c>
      <c r="AC1829">
        <v>0</v>
      </c>
      <c r="AD1829">
        <v>2</v>
      </c>
      <c r="AE1829">
        <v>0</v>
      </c>
      <c r="AF1829">
        <v>0</v>
      </c>
      <c r="AG1829">
        <v>0</v>
      </c>
      <c r="AH1829">
        <v>0</v>
      </c>
      <c r="AI1829">
        <v>0</v>
      </c>
      <c r="AJ1829">
        <v>0</v>
      </c>
      <c r="AK1829">
        <v>0</v>
      </c>
    </row>
    <row r="1830" spans="1:37" x14ac:dyDescent="0.3">
      <c r="A1830">
        <v>7979</v>
      </c>
      <c r="B1830" t="s">
        <v>219</v>
      </c>
      <c r="D1830" t="s">
        <v>327</v>
      </c>
      <c r="E1830">
        <v>99999999</v>
      </c>
      <c r="F1830">
        <v>11111111</v>
      </c>
      <c r="G1830">
        <v>1111111111</v>
      </c>
      <c r="H1830" t="s">
        <v>5399</v>
      </c>
      <c r="I1830">
        <v>99999999</v>
      </c>
      <c r="J1830" s="188">
        <v>45237</v>
      </c>
      <c r="K1830" t="s">
        <v>5399</v>
      </c>
      <c r="L1830" t="s">
        <v>5399</v>
      </c>
      <c r="M1830" t="s">
        <v>2407</v>
      </c>
      <c r="N1830" t="s">
        <v>99</v>
      </c>
      <c r="O1830" t="s">
        <v>2408</v>
      </c>
      <c r="P1830" t="s">
        <v>221</v>
      </c>
      <c r="Q1830" t="s">
        <v>82</v>
      </c>
      <c r="R1830">
        <v>1</v>
      </c>
      <c r="S1830">
        <v>2</v>
      </c>
      <c r="T1830">
        <v>0</v>
      </c>
      <c r="U1830">
        <v>1</v>
      </c>
      <c r="V1830">
        <v>1</v>
      </c>
      <c r="W1830">
        <v>28.93</v>
      </c>
      <c r="X1830">
        <v>0</v>
      </c>
      <c r="Y1830">
        <v>0</v>
      </c>
      <c r="Z1830">
        <v>0</v>
      </c>
      <c r="AA1830">
        <v>0</v>
      </c>
      <c r="AB1830">
        <v>0</v>
      </c>
      <c r="AC1830">
        <v>0</v>
      </c>
      <c r="AD1830">
        <v>1</v>
      </c>
      <c r="AE1830">
        <v>0</v>
      </c>
      <c r="AF1830">
        <v>0</v>
      </c>
      <c r="AG1830">
        <v>0</v>
      </c>
      <c r="AH1830">
        <v>0</v>
      </c>
      <c r="AI1830">
        <v>0</v>
      </c>
      <c r="AJ1830">
        <v>0</v>
      </c>
      <c r="AK1830">
        <v>0</v>
      </c>
    </row>
    <row r="1831" spans="1:37" x14ac:dyDescent="0.3">
      <c r="A1831">
        <v>7979</v>
      </c>
      <c r="B1831" t="s">
        <v>219</v>
      </c>
      <c r="D1831" t="s">
        <v>327</v>
      </c>
      <c r="E1831">
        <v>99999999</v>
      </c>
      <c r="F1831">
        <v>11111111</v>
      </c>
      <c r="G1831">
        <v>1111111111</v>
      </c>
      <c r="H1831" t="s">
        <v>5400</v>
      </c>
      <c r="I1831">
        <v>99999999</v>
      </c>
      <c r="J1831" s="188">
        <v>45237</v>
      </c>
      <c r="K1831" t="s">
        <v>5400</v>
      </c>
      <c r="L1831" t="s">
        <v>5400</v>
      </c>
      <c r="M1831" t="s">
        <v>1668</v>
      </c>
      <c r="N1831" t="s">
        <v>130</v>
      </c>
      <c r="O1831" t="s">
        <v>2497</v>
      </c>
      <c r="P1831" t="s">
        <v>221</v>
      </c>
      <c r="Q1831" t="s">
        <v>82</v>
      </c>
      <c r="R1831">
        <v>3</v>
      </c>
      <c r="S1831">
        <v>2.94</v>
      </c>
      <c r="T1831">
        <v>0</v>
      </c>
      <c r="U1831">
        <v>1</v>
      </c>
      <c r="V1831">
        <v>2</v>
      </c>
      <c r="W1831">
        <v>29.71</v>
      </c>
      <c r="X1831">
        <v>0</v>
      </c>
      <c r="Y1831">
        <v>0</v>
      </c>
      <c r="Z1831">
        <v>0</v>
      </c>
      <c r="AA1831">
        <v>0</v>
      </c>
      <c r="AB1831">
        <v>0</v>
      </c>
      <c r="AC1831">
        <v>0</v>
      </c>
      <c r="AD1831">
        <v>3</v>
      </c>
      <c r="AE1831">
        <v>0</v>
      </c>
      <c r="AF1831">
        <v>0</v>
      </c>
      <c r="AG1831">
        <v>0</v>
      </c>
      <c r="AH1831">
        <v>0</v>
      </c>
      <c r="AI1831">
        <v>0</v>
      </c>
      <c r="AJ1831">
        <v>0</v>
      </c>
      <c r="AK1831">
        <v>0</v>
      </c>
    </row>
    <row r="1832" spans="1:37" x14ac:dyDescent="0.3">
      <c r="A1832">
        <v>7979</v>
      </c>
      <c r="B1832" t="s">
        <v>219</v>
      </c>
      <c r="D1832" t="s">
        <v>327</v>
      </c>
      <c r="E1832">
        <v>99999999</v>
      </c>
      <c r="F1832">
        <v>11111111</v>
      </c>
      <c r="G1832">
        <v>1111111111</v>
      </c>
      <c r="H1832" t="s">
        <v>5401</v>
      </c>
      <c r="I1832">
        <v>99999999</v>
      </c>
      <c r="J1832" s="188">
        <v>45237</v>
      </c>
      <c r="K1832" t="s">
        <v>5401</v>
      </c>
      <c r="L1832" t="s">
        <v>5401</v>
      </c>
      <c r="M1832" t="s">
        <v>514</v>
      </c>
      <c r="N1832" t="s">
        <v>99</v>
      </c>
      <c r="O1832">
        <v>95616</v>
      </c>
      <c r="P1832" t="s">
        <v>221</v>
      </c>
      <c r="Q1832" t="s">
        <v>82</v>
      </c>
      <c r="R1832">
        <v>2</v>
      </c>
      <c r="S1832">
        <v>7.4</v>
      </c>
      <c r="T1832">
        <v>0</v>
      </c>
      <c r="U1832">
        <v>1</v>
      </c>
      <c r="V1832">
        <v>1</v>
      </c>
      <c r="W1832">
        <v>21.23</v>
      </c>
      <c r="X1832">
        <v>0</v>
      </c>
      <c r="Y1832">
        <v>0</v>
      </c>
      <c r="Z1832">
        <v>0</v>
      </c>
      <c r="AA1832">
        <v>0</v>
      </c>
      <c r="AB1832">
        <v>0</v>
      </c>
      <c r="AC1832">
        <v>0</v>
      </c>
      <c r="AD1832">
        <v>2</v>
      </c>
      <c r="AE1832">
        <v>0</v>
      </c>
      <c r="AF1832">
        <v>0</v>
      </c>
      <c r="AG1832">
        <v>0</v>
      </c>
      <c r="AH1832">
        <v>0</v>
      </c>
      <c r="AI1832">
        <v>0</v>
      </c>
      <c r="AJ1832">
        <v>0</v>
      </c>
      <c r="AK1832">
        <v>0</v>
      </c>
    </row>
    <row r="1833" spans="1:37" x14ac:dyDescent="0.3">
      <c r="A1833">
        <v>7979</v>
      </c>
      <c r="B1833" t="s">
        <v>219</v>
      </c>
      <c r="D1833" t="s">
        <v>327</v>
      </c>
      <c r="E1833">
        <v>99999999</v>
      </c>
      <c r="F1833">
        <v>11111111</v>
      </c>
      <c r="G1833">
        <v>1111111111</v>
      </c>
      <c r="H1833" t="s">
        <v>5402</v>
      </c>
      <c r="I1833">
        <v>99999999</v>
      </c>
      <c r="J1833" s="188">
        <v>45237</v>
      </c>
      <c r="K1833" t="s">
        <v>5402</v>
      </c>
      <c r="L1833" t="s">
        <v>5402</v>
      </c>
      <c r="M1833" t="s">
        <v>2498</v>
      </c>
      <c r="N1833" t="s">
        <v>99</v>
      </c>
      <c r="O1833" t="s">
        <v>2499</v>
      </c>
      <c r="P1833" t="s">
        <v>221</v>
      </c>
      <c r="Q1833" t="s">
        <v>82</v>
      </c>
      <c r="R1833">
        <v>1</v>
      </c>
      <c r="S1833">
        <v>2</v>
      </c>
      <c r="T1833">
        <v>0</v>
      </c>
      <c r="U1833">
        <v>1</v>
      </c>
      <c r="V1833">
        <v>1</v>
      </c>
      <c r="W1833">
        <v>21.88</v>
      </c>
      <c r="X1833">
        <v>0</v>
      </c>
      <c r="Y1833">
        <v>0</v>
      </c>
      <c r="Z1833">
        <v>0</v>
      </c>
      <c r="AA1833">
        <v>0</v>
      </c>
      <c r="AB1833">
        <v>0</v>
      </c>
      <c r="AC1833">
        <v>0</v>
      </c>
      <c r="AD1833">
        <v>1</v>
      </c>
      <c r="AE1833">
        <v>0</v>
      </c>
      <c r="AF1833">
        <v>0</v>
      </c>
      <c r="AG1833">
        <v>0</v>
      </c>
      <c r="AH1833">
        <v>0</v>
      </c>
      <c r="AI1833">
        <v>0</v>
      </c>
      <c r="AJ1833">
        <v>0</v>
      </c>
      <c r="AK1833">
        <v>0</v>
      </c>
    </row>
    <row r="1834" spans="1:37" x14ac:dyDescent="0.3">
      <c r="A1834">
        <v>7979</v>
      </c>
      <c r="B1834" t="s">
        <v>219</v>
      </c>
      <c r="D1834" t="s">
        <v>327</v>
      </c>
      <c r="E1834">
        <v>99999999</v>
      </c>
      <c r="F1834">
        <v>11111111</v>
      </c>
      <c r="G1834">
        <v>1111111111</v>
      </c>
      <c r="H1834" t="s">
        <v>5403</v>
      </c>
      <c r="I1834">
        <v>99999999</v>
      </c>
      <c r="J1834" s="188">
        <v>45237</v>
      </c>
      <c r="K1834" t="s">
        <v>5403</v>
      </c>
      <c r="L1834" t="s">
        <v>5403</v>
      </c>
      <c r="M1834" t="s">
        <v>2500</v>
      </c>
      <c r="N1834" t="s">
        <v>97</v>
      </c>
      <c r="O1834">
        <v>98368</v>
      </c>
      <c r="P1834" t="s">
        <v>221</v>
      </c>
      <c r="Q1834" t="s">
        <v>82</v>
      </c>
      <c r="R1834">
        <v>2</v>
      </c>
      <c r="S1834">
        <v>43.4</v>
      </c>
      <c r="T1834">
        <v>0</v>
      </c>
      <c r="U1834">
        <v>1</v>
      </c>
      <c r="V1834">
        <v>2</v>
      </c>
      <c r="W1834">
        <v>45.88</v>
      </c>
      <c r="X1834">
        <v>0</v>
      </c>
      <c r="Y1834">
        <v>0</v>
      </c>
      <c r="Z1834">
        <v>0</v>
      </c>
      <c r="AA1834">
        <v>0</v>
      </c>
      <c r="AB1834">
        <v>0</v>
      </c>
      <c r="AC1834">
        <v>0</v>
      </c>
      <c r="AD1834">
        <v>2</v>
      </c>
      <c r="AE1834">
        <v>0</v>
      </c>
      <c r="AF1834">
        <v>0</v>
      </c>
      <c r="AG1834">
        <v>0</v>
      </c>
      <c r="AH1834">
        <v>0</v>
      </c>
      <c r="AI1834">
        <v>0</v>
      </c>
      <c r="AJ1834">
        <v>0</v>
      </c>
      <c r="AK1834">
        <v>0</v>
      </c>
    </row>
    <row r="1835" spans="1:37" x14ac:dyDescent="0.3">
      <c r="A1835">
        <v>7979</v>
      </c>
      <c r="B1835" t="s">
        <v>219</v>
      </c>
      <c r="D1835" t="s">
        <v>327</v>
      </c>
      <c r="E1835">
        <v>99999999</v>
      </c>
      <c r="F1835">
        <v>11111111</v>
      </c>
      <c r="G1835">
        <v>1111111111</v>
      </c>
      <c r="H1835" t="s">
        <v>5404</v>
      </c>
      <c r="I1835">
        <v>99999999</v>
      </c>
      <c r="J1835" s="188">
        <v>45237</v>
      </c>
      <c r="K1835" t="s">
        <v>5404</v>
      </c>
      <c r="L1835" t="s">
        <v>5404</v>
      </c>
      <c r="M1835" t="s">
        <v>1626</v>
      </c>
      <c r="N1835" t="s">
        <v>130</v>
      </c>
      <c r="O1835">
        <v>80125</v>
      </c>
      <c r="P1835" t="s">
        <v>221</v>
      </c>
      <c r="Q1835" t="s">
        <v>82</v>
      </c>
      <c r="R1835">
        <v>1</v>
      </c>
      <c r="S1835">
        <v>6</v>
      </c>
      <c r="T1835">
        <v>0</v>
      </c>
      <c r="U1835">
        <v>1</v>
      </c>
      <c r="V1835">
        <v>1</v>
      </c>
      <c r="W1835">
        <v>25.03</v>
      </c>
      <c r="X1835">
        <v>0</v>
      </c>
      <c r="Y1835">
        <v>0</v>
      </c>
      <c r="Z1835">
        <v>0</v>
      </c>
      <c r="AA1835">
        <v>0</v>
      </c>
      <c r="AB1835">
        <v>0</v>
      </c>
      <c r="AC1835">
        <v>0</v>
      </c>
      <c r="AD1835">
        <v>1</v>
      </c>
      <c r="AE1835">
        <v>0</v>
      </c>
      <c r="AF1835">
        <v>0</v>
      </c>
      <c r="AG1835">
        <v>0</v>
      </c>
      <c r="AH1835">
        <v>0</v>
      </c>
      <c r="AI1835">
        <v>0</v>
      </c>
      <c r="AJ1835">
        <v>0</v>
      </c>
      <c r="AK1835">
        <v>0</v>
      </c>
    </row>
    <row r="1836" spans="1:37" x14ac:dyDescent="0.3">
      <c r="A1836">
        <v>7979</v>
      </c>
      <c r="B1836" t="s">
        <v>219</v>
      </c>
      <c r="D1836" t="s">
        <v>327</v>
      </c>
      <c r="E1836">
        <v>99999999</v>
      </c>
      <c r="F1836">
        <v>11111111</v>
      </c>
      <c r="G1836">
        <v>1111111111</v>
      </c>
      <c r="H1836" t="s">
        <v>5405</v>
      </c>
      <c r="I1836">
        <v>99999999</v>
      </c>
      <c r="J1836" s="188">
        <v>45237</v>
      </c>
      <c r="K1836" t="s">
        <v>5405</v>
      </c>
      <c r="L1836" t="s">
        <v>5405</v>
      </c>
      <c r="M1836" t="s">
        <v>258</v>
      </c>
      <c r="N1836" t="s">
        <v>91</v>
      </c>
      <c r="O1836" t="s">
        <v>2439</v>
      </c>
      <c r="P1836" t="s">
        <v>221</v>
      </c>
      <c r="Q1836" t="s">
        <v>82</v>
      </c>
      <c r="R1836">
        <v>1</v>
      </c>
      <c r="S1836">
        <v>1.6</v>
      </c>
      <c r="T1836">
        <v>0</v>
      </c>
      <c r="U1836">
        <v>1</v>
      </c>
      <c r="V1836">
        <v>1</v>
      </c>
      <c r="W1836">
        <v>22.67</v>
      </c>
      <c r="X1836">
        <v>0</v>
      </c>
      <c r="Y1836">
        <v>0</v>
      </c>
      <c r="Z1836">
        <v>0</v>
      </c>
      <c r="AA1836">
        <v>0</v>
      </c>
      <c r="AB1836">
        <v>0</v>
      </c>
      <c r="AC1836">
        <v>0</v>
      </c>
      <c r="AD1836">
        <v>1</v>
      </c>
      <c r="AE1836">
        <v>0</v>
      </c>
      <c r="AF1836">
        <v>0</v>
      </c>
      <c r="AG1836">
        <v>0</v>
      </c>
      <c r="AH1836">
        <v>0</v>
      </c>
      <c r="AI1836">
        <v>0</v>
      </c>
      <c r="AJ1836">
        <v>0</v>
      </c>
      <c r="AK1836">
        <v>0</v>
      </c>
    </row>
    <row r="1837" spans="1:37" x14ac:dyDescent="0.3">
      <c r="A1837">
        <v>7979</v>
      </c>
      <c r="B1837" t="s">
        <v>219</v>
      </c>
      <c r="D1837" t="s">
        <v>327</v>
      </c>
      <c r="E1837">
        <v>99999999</v>
      </c>
      <c r="F1837">
        <v>11111111</v>
      </c>
      <c r="G1837">
        <v>1111111111</v>
      </c>
      <c r="H1837" t="s">
        <v>5406</v>
      </c>
      <c r="I1837">
        <v>99999999</v>
      </c>
      <c r="J1837" s="188">
        <v>45237</v>
      </c>
      <c r="K1837" t="s">
        <v>5406</v>
      </c>
      <c r="L1837" t="s">
        <v>5406</v>
      </c>
      <c r="M1837" t="s">
        <v>1206</v>
      </c>
      <c r="N1837" t="s">
        <v>99</v>
      </c>
      <c r="O1837" t="s">
        <v>2501</v>
      </c>
      <c r="P1837" t="s">
        <v>221</v>
      </c>
      <c r="Q1837" t="s">
        <v>82</v>
      </c>
      <c r="R1837">
        <v>4</v>
      </c>
      <c r="S1837">
        <v>3.14</v>
      </c>
      <c r="T1837">
        <v>0</v>
      </c>
      <c r="U1837">
        <v>1</v>
      </c>
      <c r="V1837">
        <v>4</v>
      </c>
      <c r="W1837">
        <v>19.54</v>
      </c>
      <c r="X1837">
        <v>0</v>
      </c>
      <c r="Y1837">
        <v>0</v>
      </c>
      <c r="Z1837">
        <v>0</v>
      </c>
      <c r="AA1837">
        <v>0</v>
      </c>
      <c r="AB1837">
        <v>0</v>
      </c>
      <c r="AC1837">
        <v>0</v>
      </c>
      <c r="AD1837">
        <v>4</v>
      </c>
      <c r="AE1837">
        <v>0</v>
      </c>
      <c r="AF1837">
        <v>0</v>
      </c>
      <c r="AG1837">
        <v>0</v>
      </c>
      <c r="AH1837">
        <v>0</v>
      </c>
      <c r="AI1837">
        <v>0</v>
      </c>
      <c r="AJ1837">
        <v>0</v>
      </c>
      <c r="AK1837">
        <v>0</v>
      </c>
    </row>
    <row r="1838" spans="1:37" x14ac:dyDescent="0.3">
      <c r="A1838">
        <v>7979</v>
      </c>
      <c r="B1838" t="s">
        <v>219</v>
      </c>
      <c r="D1838" t="s">
        <v>327</v>
      </c>
      <c r="E1838">
        <v>99999999</v>
      </c>
      <c r="F1838">
        <v>11111111</v>
      </c>
      <c r="G1838">
        <v>1111111111</v>
      </c>
      <c r="H1838" t="s">
        <v>5407</v>
      </c>
      <c r="I1838">
        <v>99999999</v>
      </c>
      <c r="J1838" s="188">
        <v>45237</v>
      </c>
      <c r="K1838" t="s">
        <v>5407</v>
      </c>
      <c r="L1838" t="s">
        <v>5407</v>
      </c>
      <c r="M1838" t="s">
        <v>2502</v>
      </c>
      <c r="N1838" t="s">
        <v>233</v>
      </c>
      <c r="O1838" t="s">
        <v>2503</v>
      </c>
      <c r="P1838" t="s">
        <v>221</v>
      </c>
      <c r="Q1838" t="s">
        <v>82</v>
      </c>
      <c r="R1838">
        <v>1</v>
      </c>
      <c r="S1838">
        <v>2.5350000000000001</v>
      </c>
      <c r="T1838">
        <v>0</v>
      </c>
      <c r="U1838">
        <v>1</v>
      </c>
      <c r="V1838">
        <v>1</v>
      </c>
      <c r="W1838">
        <v>26.15</v>
      </c>
      <c r="X1838">
        <v>0</v>
      </c>
      <c r="Y1838">
        <v>0</v>
      </c>
      <c r="Z1838">
        <v>0</v>
      </c>
      <c r="AA1838">
        <v>0</v>
      </c>
      <c r="AB1838">
        <v>0</v>
      </c>
      <c r="AC1838">
        <v>0</v>
      </c>
      <c r="AD1838">
        <v>1</v>
      </c>
      <c r="AE1838">
        <v>0</v>
      </c>
      <c r="AF1838">
        <v>0</v>
      </c>
      <c r="AG1838">
        <v>0</v>
      </c>
      <c r="AH1838">
        <v>0</v>
      </c>
      <c r="AI1838">
        <v>0</v>
      </c>
      <c r="AJ1838">
        <v>0</v>
      </c>
      <c r="AK1838">
        <v>0</v>
      </c>
    </row>
    <row r="1839" spans="1:37" x14ac:dyDescent="0.3">
      <c r="A1839">
        <v>7979</v>
      </c>
      <c r="B1839" t="s">
        <v>219</v>
      </c>
      <c r="D1839" t="s">
        <v>327</v>
      </c>
      <c r="E1839">
        <v>99999999</v>
      </c>
      <c r="F1839">
        <v>11111111</v>
      </c>
      <c r="G1839">
        <v>1111111111</v>
      </c>
      <c r="H1839" t="s">
        <v>5408</v>
      </c>
      <c r="I1839">
        <v>99999999</v>
      </c>
      <c r="J1839" s="188">
        <v>45237</v>
      </c>
      <c r="K1839" t="s">
        <v>5408</v>
      </c>
      <c r="L1839" t="s">
        <v>5408</v>
      </c>
      <c r="M1839" t="s">
        <v>332</v>
      </c>
      <c r="N1839" t="s">
        <v>186</v>
      </c>
      <c r="O1839" t="s">
        <v>2504</v>
      </c>
      <c r="P1839" t="s">
        <v>221</v>
      </c>
      <c r="Q1839" t="s">
        <v>82</v>
      </c>
      <c r="R1839">
        <v>1</v>
      </c>
      <c r="S1839">
        <v>2.5350000000000001</v>
      </c>
      <c r="T1839">
        <v>0</v>
      </c>
      <c r="U1839">
        <v>1</v>
      </c>
      <c r="V1839">
        <v>1</v>
      </c>
      <c r="W1839">
        <v>26.15</v>
      </c>
      <c r="X1839">
        <v>0</v>
      </c>
      <c r="Y1839">
        <v>0</v>
      </c>
      <c r="Z1839">
        <v>0</v>
      </c>
      <c r="AA1839">
        <v>0</v>
      </c>
      <c r="AB1839">
        <v>0</v>
      </c>
      <c r="AC1839">
        <v>0</v>
      </c>
      <c r="AD1839">
        <v>1</v>
      </c>
      <c r="AE1839">
        <v>0</v>
      </c>
      <c r="AF1839">
        <v>0</v>
      </c>
      <c r="AG1839">
        <v>0</v>
      </c>
      <c r="AH1839">
        <v>0</v>
      </c>
      <c r="AI1839">
        <v>0</v>
      </c>
      <c r="AJ1839">
        <v>0</v>
      </c>
      <c r="AK1839">
        <v>0</v>
      </c>
    </row>
    <row r="1840" spans="1:37" x14ac:dyDescent="0.3">
      <c r="A1840">
        <v>7979</v>
      </c>
      <c r="B1840" t="s">
        <v>219</v>
      </c>
      <c r="D1840" t="s">
        <v>327</v>
      </c>
      <c r="E1840">
        <v>99999999</v>
      </c>
      <c r="F1840">
        <v>11111111</v>
      </c>
      <c r="G1840">
        <v>1111111111</v>
      </c>
      <c r="H1840" t="s">
        <v>5409</v>
      </c>
      <c r="I1840">
        <v>99999999</v>
      </c>
      <c r="J1840" s="188">
        <v>45237</v>
      </c>
      <c r="K1840" t="s">
        <v>5409</v>
      </c>
      <c r="L1840" t="s">
        <v>5409</v>
      </c>
      <c r="M1840" t="s">
        <v>879</v>
      </c>
      <c r="N1840" t="s">
        <v>164</v>
      </c>
      <c r="O1840">
        <v>97330</v>
      </c>
      <c r="P1840" t="s">
        <v>221</v>
      </c>
      <c r="Q1840" t="s">
        <v>82</v>
      </c>
      <c r="R1840">
        <v>1</v>
      </c>
      <c r="S1840">
        <v>1.05</v>
      </c>
      <c r="T1840">
        <v>0</v>
      </c>
      <c r="U1840">
        <v>1</v>
      </c>
      <c r="V1840">
        <v>1</v>
      </c>
      <c r="W1840">
        <v>21.21</v>
      </c>
      <c r="X1840">
        <v>0</v>
      </c>
      <c r="Y1840">
        <v>0</v>
      </c>
      <c r="Z1840">
        <v>0</v>
      </c>
      <c r="AA1840">
        <v>0</v>
      </c>
      <c r="AB1840">
        <v>0</v>
      </c>
      <c r="AC1840">
        <v>0</v>
      </c>
      <c r="AD1840">
        <v>1</v>
      </c>
      <c r="AE1840">
        <v>0</v>
      </c>
      <c r="AF1840">
        <v>0</v>
      </c>
      <c r="AG1840">
        <v>0</v>
      </c>
      <c r="AH1840">
        <v>0</v>
      </c>
      <c r="AI1840">
        <v>0</v>
      </c>
      <c r="AJ1840">
        <v>0</v>
      </c>
      <c r="AK1840">
        <v>0</v>
      </c>
    </row>
    <row r="1841" spans="1:37" x14ac:dyDescent="0.3">
      <c r="A1841">
        <v>7979</v>
      </c>
      <c r="B1841" t="s">
        <v>219</v>
      </c>
      <c r="D1841" t="s">
        <v>327</v>
      </c>
      <c r="E1841">
        <v>99999999</v>
      </c>
      <c r="F1841">
        <v>11111111</v>
      </c>
      <c r="G1841">
        <v>1111111111</v>
      </c>
      <c r="H1841" t="s">
        <v>5410</v>
      </c>
      <c r="I1841">
        <v>99999999</v>
      </c>
      <c r="J1841" s="188">
        <v>45237</v>
      </c>
      <c r="K1841" t="s">
        <v>5410</v>
      </c>
      <c r="L1841" t="s">
        <v>5410</v>
      </c>
      <c r="M1841" t="s">
        <v>1056</v>
      </c>
      <c r="N1841" t="s">
        <v>197</v>
      </c>
      <c r="O1841" t="s">
        <v>2505</v>
      </c>
      <c r="P1841" t="s">
        <v>221</v>
      </c>
      <c r="Q1841" t="s">
        <v>82</v>
      </c>
      <c r="R1841">
        <v>2</v>
      </c>
      <c r="S1841">
        <v>2.14</v>
      </c>
      <c r="T1841">
        <v>0</v>
      </c>
      <c r="U1841">
        <v>1</v>
      </c>
      <c r="V1841">
        <v>2</v>
      </c>
      <c r="W1841">
        <v>29.48</v>
      </c>
      <c r="X1841">
        <v>0</v>
      </c>
      <c r="Y1841">
        <v>0</v>
      </c>
      <c r="Z1841">
        <v>0</v>
      </c>
      <c r="AA1841">
        <v>0</v>
      </c>
      <c r="AB1841">
        <v>0</v>
      </c>
      <c r="AC1841">
        <v>0</v>
      </c>
      <c r="AD1841">
        <v>2</v>
      </c>
      <c r="AE1841">
        <v>0</v>
      </c>
      <c r="AF1841">
        <v>0</v>
      </c>
      <c r="AG1841">
        <v>0</v>
      </c>
      <c r="AH1841">
        <v>0</v>
      </c>
      <c r="AI1841">
        <v>0</v>
      </c>
      <c r="AJ1841">
        <v>0</v>
      </c>
      <c r="AK1841">
        <v>0</v>
      </c>
    </row>
    <row r="1842" spans="1:37" x14ac:dyDescent="0.3">
      <c r="A1842">
        <v>7979</v>
      </c>
      <c r="B1842" t="s">
        <v>219</v>
      </c>
      <c r="D1842" t="s">
        <v>327</v>
      </c>
      <c r="E1842">
        <v>99999999</v>
      </c>
      <c r="F1842">
        <v>11111111</v>
      </c>
      <c r="G1842">
        <v>1111111111</v>
      </c>
      <c r="H1842" t="s">
        <v>5411</v>
      </c>
      <c r="I1842">
        <v>99999999</v>
      </c>
      <c r="J1842" s="188">
        <v>45237</v>
      </c>
      <c r="K1842" t="s">
        <v>5411</v>
      </c>
      <c r="L1842" t="s">
        <v>5411</v>
      </c>
      <c r="M1842" t="s">
        <v>1610</v>
      </c>
      <c r="N1842" t="s">
        <v>97</v>
      </c>
      <c r="O1842" t="s">
        <v>2506</v>
      </c>
      <c r="P1842" t="s">
        <v>221</v>
      </c>
      <c r="Q1842" t="s">
        <v>82</v>
      </c>
      <c r="R1842">
        <v>6</v>
      </c>
      <c r="S1842">
        <v>7.8</v>
      </c>
      <c r="T1842">
        <v>0</v>
      </c>
      <c r="U1842">
        <v>1</v>
      </c>
      <c r="V1842">
        <v>1</v>
      </c>
      <c r="W1842">
        <v>30.34</v>
      </c>
      <c r="X1842">
        <v>0</v>
      </c>
      <c r="Y1842">
        <v>0</v>
      </c>
      <c r="Z1842">
        <v>0</v>
      </c>
      <c r="AA1842">
        <v>0</v>
      </c>
      <c r="AB1842">
        <v>0</v>
      </c>
      <c r="AC1842">
        <v>0</v>
      </c>
      <c r="AD1842">
        <v>6</v>
      </c>
      <c r="AE1842">
        <v>0</v>
      </c>
      <c r="AF1842">
        <v>0</v>
      </c>
      <c r="AG1842">
        <v>0</v>
      </c>
      <c r="AH1842">
        <v>0</v>
      </c>
      <c r="AI1842">
        <v>0</v>
      </c>
      <c r="AJ1842">
        <v>0</v>
      </c>
      <c r="AK1842">
        <v>0</v>
      </c>
    </row>
    <row r="1843" spans="1:37" x14ac:dyDescent="0.3">
      <c r="A1843">
        <v>7979</v>
      </c>
      <c r="B1843" t="s">
        <v>219</v>
      </c>
      <c r="D1843" t="s">
        <v>327</v>
      </c>
      <c r="E1843">
        <v>99999999</v>
      </c>
      <c r="F1843">
        <v>11111111</v>
      </c>
      <c r="G1843">
        <v>1111111111</v>
      </c>
      <c r="H1843" t="s">
        <v>5412</v>
      </c>
      <c r="I1843">
        <v>99999999</v>
      </c>
      <c r="J1843" s="188">
        <v>45237</v>
      </c>
      <c r="K1843" t="s">
        <v>5412</v>
      </c>
      <c r="L1843" t="s">
        <v>5412</v>
      </c>
      <c r="M1843" t="s">
        <v>2372</v>
      </c>
      <c r="N1843" t="s">
        <v>164</v>
      </c>
      <c r="O1843" t="s">
        <v>2507</v>
      </c>
      <c r="P1843" t="s">
        <v>221</v>
      </c>
      <c r="Q1843" t="s">
        <v>82</v>
      </c>
      <c r="R1843">
        <v>1</v>
      </c>
      <c r="S1843">
        <v>1.2</v>
      </c>
      <c r="T1843">
        <v>0</v>
      </c>
      <c r="U1843">
        <v>1</v>
      </c>
      <c r="V1843">
        <v>1</v>
      </c>
      <c r="W1843">
        <v>21.21</v>
      </c>
      <c r="X1843">
        <v>0</v>
      </c>
      <c r="Y1843">
        <v>0</v>
      </c>
      <c r="Z1843">
        <v>0</v>
      </c>
      <c r="AA1843">
        <v>0</v>
      </c>
      <c r="AB1843">
        <v>0</v>
      </c>
      <c r="AC1843">
        <v>0</v>
      </c>
      <c r="AD1843">
        <v>1</v>
      </c>
      <c r="AE1843">
        <v>0</v>
      </c>
      <c r="AF1843">
        <v>0</v>
      </c>
      <c r="AG1843">
        <v>0</v>
      </c>
      <c r="AH1843">
        <v>0</v>
      </c>
      <c r="AI1843">
        <v>0</v>
      </c>
      <c r="AJ1843">
        <v>0</v>
      </c>
      <c r="AK1843">
        <v>0</v>
      </c>
    </row>
    <row r="1844" spans="1:37" x14ac:dyDescent="0.3">
      <c r="A1844">
        <v>7979</v>
      </c>
      <c r="B1844" t="s">
        <v>219</v>
      </c>
      <c r="D1844" t="s">
        <v>327</v>
      </c>
      <c r="E1844">
        <v>99999999</v>
      </c>
      <c r="F1844">
        <v>11111111</v>
      </c>
      <c r="G1844">
        <v>1111111111</v>
      </c>
      <c r="H1844" t="s">
        <v>5413</v>
      </c>
      <c r="I1844">
        <v>99999999</v>
      </c>
      <c r="J1844" s="188">
        <v>45237</v>
      </c>
      <c r="K1844" t="s">
        <v>5413</v>
      </c>
      <c r="L1844" t="s">
        <v>5413</v>
      </c>
      <c r="M1844" t="s">
        <v>1324</v>
      </c>
      <c r="N1844" t="s">
        <v>381</v>
      </c>
      <c r="O1844" t="s">
        <v>2508</v>
      </c>
      <c r="P1844" t="s">
        <v>221</v>
      </c>
      <c r="Q1844" t="s">
        <v>82</v>
      </c>
      <c r="R1844">
        <v>1</v>
      </c>
      <c r="S1844">
        <v>10</v>
      </c>
      <c r="T1844">
        <v>0</v>
      </c>
      <c r="U1844">
        <v>1</v>
      </c>
      <c r="V1844">
        <v>1</v>
      </c>
      <c r="W1844">
        <v>34.53</v>
      </c>
      <c r="X1844">
        <v>0</v>
      </c>
      <c r="Y1844">
        <v>0</v>
      </c>
      <c r="Z1844">
        <v>0</v>
      </c>
      <c r="AA1844">
        <v>0</v>
      </c>
      <c r="AB1844">
        <v>0</v>
      </c>
      <c r="AC1844">
        <v>0</v>
      </c>
      <c r="AD1844">
        <v>1</v>
      </c>
      <c r="AE1844">
        <v>0</v>
      </c>
      <c r="AF1844">
        <v>0</v>
      </c>
      <c r="AG1844">
        <v>0</v>
      </c>
      <c r="AH1844">
        <v>0</v>
      </c>
      <c r="AI1844">
        <v>0</v>
      </c>
      <c r="AJ1844">
        <v>0</v>
      </c>
      <c r="AK1844">
        <v>0</v>
      </c>
    </row>
    <row r="1845" spans="1:37" x14ac:dyDescent="0.3">
      <c r="A1845">
        <v>7979</v>
      </c>
      <c r="B1845" t="s">
        <v>219</v>
      </c>
      <c r="D1845" t="s">
        <v>327</v>
      </c>
      <c r="E1845">
        <v>99999999</v>
      </c>
      <c r="F1845">
        <v>11111111</v>
      </c>
      <c r="G1845">
        <v>1111111111</v>
      </c>
      <c r="H1845" t="s">
        <v>5414</v>
      </c>
      <c r="I1845">
        <v>99999999</v>
      </c>
      <c r="J1845" s="188">
        <v>45237</v>
      </c>
      <c r="K1845" t="s">
        <v>5414</v>
      </c>
      <c r="L1845" t="s">
        <v>5414</v>
      </c>
      <c r="M1845" t="s">
        <v>2509</v>
      </c>
      <c r="N1845" t="s">
        <v>97</v>
      </c>
      <c r="O1845" t="s">
        <v>2510</v>
      </c>
      <c r="P1845" t="s">
        <v>221</v>
      </c>
      <c r="Q1845" t="s">
        <v>82</v>
      </c>
      <c r="R1845">
        <v>2</v>
      </c>
      <c r="S1845">
        <v>2.2000000000000002</v>
      </c>
      <c r="T1845">
        <v>0</v>
      </c>
      <c r="U1845">
        <v>1</v>
      </c>
      <c r="V1845">
        <v>2</v>
      </c>
      <c r="W1845">
        <v>28</v>
      </c>
      <c r="X1845">
        <v>0</v>
      </c>
      <c r="Y1845">
        <v>0</v>
      </c>
      <c r="Z1845">
        <v>0</v>
      </c>
      <c r="AA1845">
        <v>0</v>
      </c>
      <c r="AB1845">
        <v>0</v>
      </c>
      <c r="AC1845">
        <v>0</v>
      </c>
      <c r="AD1845">
        <v>2</v>
      </c>
      <c r="AE1845">
        <v>0</v>
      </c>
      <c r="AF1845">
        <v>0</v>
      </c>
      <c r="AG1845">
        <v>0</v>
      </c>
      <c r="AH1845">
        <v>0</v>
      </c>
      <c r="AI1845">
        <v>0</v>
      </c>
      <c r="AJ1845">
        <v>0</v>
      </c>
      <c r="AK1845">
        <v>0</v>
      </c>
    </row>
    <row r="1846" spans="1:37" x14ac:dyDescent="0.3">
      <c r="A1846">
        <v>7979</v>
      </c>
      <c r="B1846" t="s">
        <v>219</v>
      </c>
      <c r="D1846" t="s">
        <v>327</v>
      </c>
      <c r="E1846">
        <v>99999999</v>
      </c>
      <c r="F1846">
        <v>11111111</v>
      </c>
      <c r="G1846">
        <v>1111111111</v>
      </c>
      <c r="H1846" t="s">
        <v>5415</v>
      </c>
      <c r="I1846">
        <v>99999999</v>
      </c>
      <c r="J1846" s="188">
        <v>45237</v>
      </c>
      <c r="K1846" t="s">
        <v>5415</v>
      </c>
      <c r="L1846" t="s">
        <v>5415</v>
      </c>
      <c r="M1846" t="s">
        <v>2511</v>
      </c>
      <c r="N1846" t="s">
        <v>97</v>
      </c>
      <c r="O1846">
        <v>98503</v>
      </c>
      <c r="P1846" t="s">
        <v>221</v>
      </c>
      <c r="Q1846" t="s">
        <v>82</v>
      </c>
      <c r="R1846">
        <v>1</v>
      </c>
      <c r="S1846">
        <v>1.014</v>
      </c>
      <c r="T1846">
        <v>0</v>
      </c>
      <c r="U1846">
        <v>1</v>
      </c>
      <c r="V1846">
        <v>1</v>
      </c>
      <c r="W1846">
        <v>21.21</v>
      </c>
      <c r="X1846">
        <v>0</v>
      </c>
      <c r="Y1846">
        <v>0</v>
      </c>
      <c r="Z1846">
        <v>0</v>
      </c>
      <c r="AA1846">
        <v>0</v>
      </c>
      <c r="AB1846">
        <v>0</v>
      </c>
      <c r="AC1846">
        <v>0</v>
      </c>
      <c r="AD1846">
        <v>1</v>
      </c>
      <c r="AE1846">
        <v>0</v>
      </c>
      <c r="AF1846">
        <v>0</v>
      </c>
      <c r="AG1846">
        <v>0</v>
      </c>
      <c r="AH1846">
        <v>0</v>
      </c>
      <c r="AI1846">
        <v>0</v>
      </c>
      <c r="AJ1846">
        <v>0</v>
      </c>
      <c r="AK1846">
        <v>0</v>
      </c>
    </row>
    <row r="1847" spans="1:37" x14ac:dyDescent="0.3">
      <c r="A1847">
        <v>7979</v>
      </c>
      <c r="B1847" t="s">
        <v>219</v>
      </c>
      <c r="D1847" t="s">
        <v>327</v>
      </c>
      <c r="E1847">
        <v>99999999</v>
      </c>
      <c r="F1847">
        <v>11111111</v>
      </c>
      <c r="G1847">
        <v>1111111111</v>
      </c>
      <c r="H1847" t="s">
        <v>5416</v>
      </c>
      <c r="I1847">
        <v>99999999</v>
      </c>
      <c r="J1847" s="188">
        <v>45237</v>
      </c>
      <c r="K1847" t="s">
        <v>5416</v>
      </c>
      <c r="L1847" t="s">
        <v>5416</v>
      </c>
      <c r="M1847" t="s">
        <v>309</v>
      </c>
      <c r="N1847" t="s">
        <v>97</v>
      </c>
      <c r="O1847" t="s">
        <v>2512</v>
      </c>
      <c r="P1847" t="s">
        <v>221</v>
      </c>
      <c r="Q1847" t="s">
        <v>82</v>
      </c>
      <c r="R1847">
        <v>2</v>
      </c>
      <c r="S1847">
        <v>9.5</v>
      </c>
      <c r="T1847">
        <v>0</v>
      </c>
      <c r="U1847">
        <v>1</v>
      </c>
      <c r="V1847">
        <v>2</v>
      </c>
      <c r="W1847">
        <v>24.41</v>
      </c>
      <c r="X1847">
        <v>0</v>
      </c>
      <c r="Y1847">
        <v>0</v>
      </c>
      <c r="Z1847">
        <v>0</v>
      </c>
      <c r="AA1847">
        <v>0</v>
      </c>
      <c r="AB1847">
        <v>0</v>
      </c>
      <c r="AC1847">
        <v>0</v>
      </c>
      <c r="AD1847">
        <v>2</v>
      </c>
      <c r="AE1847">
        <v>0</v>
      </c>
      <c r="AF1847">
        <v>0</v>
      </c>
      <c r="AG1847">
        <v>0</v>
      </c>
      <c r="AH1847">
        <v>0</v>
      </c>
      <c r="AI1847">
        <v>0</v>
      </c>
      <c r="AJ1847">
        <v>0</v>
      </c>
      <c r="AK1847">
        <v>0</v>
      </c>
    </row>
    <row r="1848" spans="1:37" x14ac:dyDescent="0.3">
      <c r="A1848">
        <v>7979</v>
      </c>
      <c r="B1848" t="s">
        <v>219</v>
      </c>
      <c r="D1848" t="s">
        <v>327</v>
      </c>
      <c r="E1848">
        <v>99999999</v>
      </c>
      <c r="F1848">
        <v>11111111</v>
      </c>
      <c r="G1848">
        <v>1111111111</v>
      </c>
      <c r="H1848" t="s">
        <v>5417</v>
      </c>
      <c r="I1848">
        <v>99999999</v>
      </c>
      <c r="J1848" s="188">
        <v>45237</v>
      </c>
      <c r="K1848" t="s">
        <v>5417</v>
      </c>
      <c r="L1848" t="s">
        <v>5417</v>
      </c>
      <c r="M1848" t="s">
        <v>111</v>
      </c>
      <c r="N1848" t="s">
        <v>99</v>
      </c>
      <c r="O1848" t="s">
        <v>2513</v>
      </c>
      <c r="P1848" t="s">
        <v>221</v>
      </c>
      <c r="Q1848" t="s">
        <v>82</v>
      </c>
      <c r="R1848">
        <v>2</v>
      </c>
      <c r="S1848">
        <v>6.4</v>
      </c>
      <c r="T1848">
        <v>0</v>
      </c>
      <c r="U1848">
        <v>1</v>
      </c>
      <c r="V1848">
        <v>2</v>
      </c>
      <c r="W1848">
        <v>26.92</v>
      </c>
      <c r="X1848">
        <v>0</v>
      </c>
      <c r="Y1848">
        <v>0</v>
      </c>
      <c r="Z1848">
        <v>0</v>
      </c>
      <c r="AA1848">
        <v>0</v>
      </c>
      <c r="AB1848">
        <v>0</v>
      </c>
      <c r="AC1848">
        <v>0</v>
      </c>
      <c r="AD1848">
        <v>2</v>
      </c>
      <c r="AE1848">
        <v>0</v>
      </c>
      <c r="AF1848">
        <v>0</v>
      </c>
      <c r="AG1848">
        <v>0</v>
      </c>
      <c r="AH1848">
        <v>0</v>
      </c>
      <c r="AI1848">
        <v>0</v>
      </c>
      <c r="AJ1848">
        <v>0</v>
      </c>
      <c r="AK1848">
        <v>0</v>
      </c>
    </row>
    <row r="1849" spans="1:37" x14ac:dyDescent="0.3">
      <c r="A1849">
        <v>7979</v>
      </c>
      <c r="B1849" t="s">
        <v>219</v>
      </c>
      <c r="D1849" t="s">
        <v>327</v>
      </c>
      <c r="E1849">
        <v>99999999</v>
      </c>
      <c r="F1849">
        <v>11111111</v>
      </c>
      <c r="G1849">
        <v>1111111111</v>
      </c>
      <c r="H1849" t="s">
        <v>5418</v>
      </c>
      <c r="I1849">
        <v>99999999</v>
      </c>
      <c r="J1849" s="188">
        <v>45237</v>
      </c>
      <c r="K1849" t="s">
        <v>5418</v>
      </c>
      <c r="L1849" t="s">
        <v>5418</v>
      </c>
      <c r="M1849" t="s">
        <v>174</v>
      </c>
      <c r="N1849" t="s">
        <v>91</v>
      </c>
      <c r="O1849" t="s">
        <v>2514</v>
      </c>
      <c r="P1849" t="s">
        <v>221</v>
      </c>
      <c r="Q1849" t="s">
        <v>82</v>
      </c>
      <c r="R1849">
        <v>1</v>
      </c>
      <c r="S1849">
        <v>0.77</v>
      </c>
      <c r="T1849">
        <v>0</v>
      </c>
      <c r="U1849">
        <v>1</v>
      </c>
      <c r="V1849">
        <v>1</v>
      </c>
      <c r="W1849">
        <v>21.54</v>
      </c>
      <c r="X1849">
        <v>0</v>
      </c>
      <c r="Y1849">
        <v>0</v>
      </c>
      <c r="Z1849">
        <v>0</v>
      </c>
      <c r="AA1849">
        <v>0</v>
      </c>
      <c r="AB1849">
        <v>0</v>
      </c>
      <c r="AC1849">
        <v>0</v>
      </c>
      <c r="AD1849">
        <v>1</v>
      </c>
      <c r="AE1849">
        <v>0</v>
      </c>
      <c r="AF1849">
        <v>0</v>
      </c>
      <c r="AG1849">
        <v>0</v>
      </c>
      <c r="AH1849">
        <v>0</v>
      </c>
      <c r="AI1849">
        <v>0</v>
      </c>
      <c r="AJ1849">
        <v>0</v>
      </c>
      <c r="AK1849">
        <v>0</v>
      </c>
    </row>
    <row r="1850" spans="1:37" x14ac:dyDescent="0.3">
      <c r="A1850">
        <v>7979</v>
      </c>
      <c r="B1850" t="s">
        <v>219</v>
      </c>
      <c r="D1850" t="s">
        <v>327</v>
      </c>
      <c r="E1850">
        <v>99999999</v>
      </c>
      <c r="F1850">
        <v>11111111</v>
      </c>
      <c r="G1850">
        <v>1111111111</v>
      </c>
      <c r="H1850" t="s">
        <v>5419</v>
      </c>
      <c r="I1850">
        <v>99999999</v>
      </c>
      <c r="J1850" s="188">
        <v>45237</v>
      </c>
      <c r="K1850" t="s">
        <v>5419</v>
      </c>
      <c r="L1850" t="s">
        <v>5419</v>
      </c>
      <c r="M1850" t="s">
        <v>423</v>
      </c>
      <c r="N1850" t="s">
        <v>130</v>
      </c>
      <c r="O1850" t="s">
        <v>2515</v>
      </c>
      <c r="P1850" t="s">
        <v>221</v>
      </c>
      <c r="Q1850" t="s">
        <v>82</v>
      </c>
      <c r="R1850">
        <v>1</v>
      </c>
      <c r="S1850">
        <v>1.1299999999999999</v>
      </c>
      <c r="T1850">
        <v>0</v>
      </c>
      <c r="U1850">
        <v>1</v>
      </c>
      <c r="V1850">
        <v>1</v>
      </c>
      <c r="W1850">
        <v>21.54</v>
      </c>
      <c r="X1850">
        <v>0</v>
      </c>
      <c r="Y1850">
        <v>0</v>
      </c>
      <c r="Z1850">
        <v>0</v>
      </c>
      <c r="AA1850">
        <v>0</v>
      </c>
      <c r="AB1850">
        <v>0</v>
      </c>
      <c r="AC1850">
        <v>0</v>
      </c>
      <c r="AD1850">
        <v>1</v>
      </c>
      <c r="AE1850">
        <v>0</v>
      </c>
      <c r="AF1850">
        <v>0</v>
      </c>
      <c r="AG1850">
        <v>0</v>
      </c>
      <c r="AH1850">
        <v>0</v>
      </c>
      <c r="AI1850">
        <v>0</v>
      </c>
      <c r="AJ1850">
        <v>0</v>
      </c>
      <c r="AK1850">
        <v>0</v>
      </c>
    </row>
    <row r="1851" spans="1:37" x14ac:dyDescent="0.3">
      <c r="A1851">
        <v>7979</v>
      </c>
      <c r="B1851" t="s">
        <v>219</v>
      </c>
      <c r="D1851" t="s">
        <v>327</v>
      </c>
      <c r="E1851">
        <v>99999999</v>
      </c>
      <c r="F1851">
        <v>11111111</v>
      </c>
      <c r="G1851">
        <v>1111111111</v>
      </c>
      <c r="H1851" t="s">
        <v>5420</v>
      </c>
      <c r="I1851">
        <v>99999999</v>
      </c>
      <c r="J1851" s="188">
        <v>45237</v>
      </c>
      <c r="K1851" t="s">
        <v>5420</v>
      </c>
      <c r="L1851" t="s">
        <v>5420</v>
      </c>
      <c r="M1851" t="s">
        <v>2516</v>
      </c>
      <c r="N1851" t="s">
        <v>130</v>
      </c>
      <c r="O1851" t="s">
        <v>2517</v>
      </c>
      <c r="P1851" t="s">
        <v>221</v>
      </c>
      <c r="Q1851" t="s">
        <v>82</v>
      </c>
      <c r="R1851">
        <v>1</v>
      </c>
      <c r="S1851">
        <v>2</v>
      </c>
      <c r="T1851">
        <v>0</v>
      </c>
      <c r="U1851">
        <v>1</v>
      </c>
      <c r="V1851">
        <v>1</v>
      </c>
      <c r="W1851">
        <v>22.67</v>
      </c>
      <c r="X1851">
        <v>0</v>
      </c>
      <c r="Y1851">
        <v>0</v>
      </c>
      <c r="Z1851">
        <v>0</v>
      </c>
      <c r="AA1851">
        <v>0</v>
      </c>
      <c r="AB1851">
        <v>0</v>
      </c>
      <c r="AC1851">
        <v>0</v>
      </c>
      <c r="AD1851">
        <v>1</v>
      </c>
      <c r="AE1851">
        <v>0</v>
      </c>
      <c r="AF1851">
        <v>0</v>
      </c>
      <c r="AG1851">
        <v>0</v>
      </c>
      <c r="AH1851">
        <v>0</v>
      </c>
      <c r="AI1851">
        <v>0</v>
      </c>
      <c r="AJ1851">
        <v>0</v>
      </c>
      <c r="AK1851">
        <v>0</v>
      </c>
    </row>
    <row r="1852" spans="1:37" x14ac:dyDescent="0.3">
      <c r="A1852">
        <v>7979</v>
      </c>
      <c r="B1852" t="s">
        <v>219</v>
      </c>
      <c r="D1852" t="s">
        <v>327</v>
      </c>
      <c r="E1852">
        <v>99999999</v>
      </c>
      <c r="F1852">
        <v>11111111</v>
      </c>
      <c r="G1852">
        <v>1111111111</v>
      </c>
      <c r="H1852" t="s">
        <v>5421</v>
      </c>
      <c r="I1852">
        <v>99999999</v>
      </c>
      <c r="J1852" s="188">
        <v>45237</v>
      </c>
      <c r="K1852" t="s">
        <v>5421</v>
      </c>
      <c r="L1852" t="s">
        <v>5421</v>
      </c>
      <c r="M1852" t="s">
        <v>278</v>
      </c>
      <c r="N1852" t="s">
        <v>99</v>
      </c>
      <c r="O1852" t="s">
        <v>2518</v>
      </c>
      <c r="P1852" t="s">
        <v>221</v>
      </c>
      <c r="Q1852" t="s">
        <v>82</v>
      </c>
      <c r="R1852">
        <v>3</v>
      </c>
      <c r="S1852">
        <v>8</v>
      </c>
      <c r="T1852">
        <v>0</v>
      </c>
      <c r="U1852">
        <v>1</v>
      </c>
      <c r="V1852">
        <v>2</v>
      </c>
      <c r="W1852">
        <v>24.22</v>
      </c>
      <c r="X1852">
        <v>0</v>
      </c>
      <c r="Y1852">
        <v>0</v>
      </c>
      <c r="Z1852">
        <v>0</v>
      </c>
      <c r="AA1852">
        <v>0</v>
      </c>
      <c r="AB1852">
        <v>0</v>
      </c>
      <c r="AC1852">
        <v>0</v>
      </c>
      <c r="AD1852">
        <v>3</v>
      </c>
      <c r="AE1852">
        <v>0</v>
      </c>
      <c r="AF1852">
        <v>0</v>
      </c>
      <c r="AG1852">
        <v>0</v>
      </c>
      <c r="AH1852">
        <v>0</v>
      </c>
      <c r="AI1852">
        <v>0</v>
      </c>
      <c r="AJ1852">
        <v>0</v>
      </c>
      <c r="AK1852">
        <v>0</v>
      </c>
    </row>
    <row r="1853" spans="1:37" x14ac:dyDescent="0.3">
      <c r="A1853">
        <v>7979</v>
      </c>
      <c r="B1853" t="s">
        <v>219</v>
      </c>
      <c r="D1853" t="s">
        <v>327</v>
      </c>
      <c r="E1853">
        <v>99999999</v>
      </c>
      <c r="F1853">
        <v>11111111</v>
      </c>
      <c r="G1853">
        <v>1111111111</v>
      </c>
      <c r="H1853" t="s">
        <v>5422</v>
      </c>
      <c r="I1853">
        <v>99999999</v>
      </c>
      <c r="J1853" s="188">
        <v>45237</v>
      </c>
      <c r="K1853" t="s">
        <v>5422</v>
      </c>
      <c r="L1853" t="s">
        <v>5422</v>
      </c>
      <c r="M1853" t="s">
        <v>745</v>
      </c>
      <c r="N1853" t="s">
        <v>197</v>
      </c>
      <c r="O1853" t="s">
        <v>2519</v>
      </c>
      <c r="P1853" t="s">
        <v>221</v>
      </c>
      <c r="Q1853" t="s">
        <v>82</v>
      </c>
      <c r="R1853">
        <v>2</v>
      </c>
      <c r="S1853">
        <v>4.5</v>
      </c>
      <c r="T1853">
        <v>0</v>
      </c>
      <c r="U1853">
        <v>1</v>
      </c>
      <c r="V1853">
        <v>1</v>
      </c>
      <c r="W1853">
        <v>31.23</v>
      </c>
      <c r="X1853">
        <v>0</v>
      </c>
      <c r="Y1853">
        <v>0</v>
      </c>
      <c r="Z1853">
        <v>0</v>
      </c>
      <c r="AA1853">
        <v>0</v>
      </c>
      <c r="AB1853">
        <v>0</v>
      </c>
      <c r="AC1853">
        <v>0</v>
      </c>
      <c r="AD1853">
        <v>2</v>
      </c>
      <c r="AE1853">
        <v>0</v>
      </c>
      <c r="AF1853">
        <v>0</v>
      </c>
      <c r="AG1853">
        <v>0</v>
      </c>
      <c r="AH1853">
        <v>0</v>
      </c>
      <c r="AI1853">
        <v>0</v>
      </c>
      <c r="AJ1853">
        <v>0</v>
      </c>
      <c r="AK1853">
        <v>0</v>
      </c>
    </row>
    <row r="1854" spans="1:37" x14ac:dyDescent="0.3">
      <c r="A1854">
        <v>7979</v>
      </c>
      <c r="B1854" t="s">
        <v>219</v>
      </c>
      <c r="D1854" t="s">
        <v>327</v>
      </c>
      <c r="E1854">
        <v>99999999</v>
      </c>
      <c r="F1854">
        <v>11111111</v>
      </c>
      <c r="G1854">
        <v>1111111111</v>
      </c>
      <c r="H1854" t="s">
        <v>5423</v>
      </c>
      <c r="I1854">
        <v>99999999</v>
      </c>
      <c r="J1854" s="188">
        <v>45237</v>
      </c>
      <c r="K1854" t="s">
        <v>5423</v>
      </c>
      <c r="L1854" t="s">
        <v>5423</v>
      </c>
      <c r="M1854" t="s">
        <v>309</v>
      </c>
      <c r="N1854" t="s">
        <v>97</v>
      </c>
      <c r="O1854">
        <v>98110</v>
      </c>
      <c r="P1854" t="s">
        <v>221</v>
      </c>
      <c r="Q1854" t="s">
        <v>82</v>
      </c>
      <c r="R1854">
        <v>6</v>
      </c>
      <c r="S1854">
        <v>4.8</v>
      </c>
      <c r="T1854">
        <v>0</v>
      </c>
      <c r="U1854">
        <v>1</v>
      </c>
      <c r="V1854">
        <v>1</v>
      </c>
      <c r="W1854">
        <v>23.09</v>
      </c>
      <c r="X1854">
        <v>0</v>
      </c>
      <c r="Y1854">
        <v>0</v>
      </c>
      <c r="Z1854">
        <v>0</v>
      </c>
      <c r="AA1854">
        <v>0</v>
      </c>
      <c r="AB1854">
        <v>0</v>
      </c>
      <c r="AC1854">
        <v>0</v>
      </c>
      <c r="AD1854">
        <v>6</v>
      </c>
      <c r="AE1854">
        <v>0</v>
      </c>
      <c r="AF1854">
        <v>0</v>
      </c>
      <c r="AG1854">
        <v>0</v>
      </c>
      <c r="AH1854">
        <v>0</v>
      </c>
      <c r="AI1854">
        <v>0</v>
      </c>
      <c r="AJ1854">
        <v>0</v>
      </c>
      <c r="AK1854">
        <v>0</v>
      </c>
    </row>
    <row r="1855" spans="1:37" x14ac:dyDescent="0.3">
      <c r="A1855">
        <v>7979</v>
      </c>
      <c r="B1855" t="s">
        <v>219</v>
      </c>
      <c r="D1855" t="s">
        <v>327</v>
      </c>
      <c r="E1855">
        <v>99999999</v>
      </c>
      <c r="F1855">
        <v>11111111</v>
      </c>
      <c r="G1855">
        <v>1111111111</v>
      </c>
      <c r="H1855" t="s">
        <v>5424</v>
      </c>
      <c r="I1855">
        <v>99999999</v>
      </c>
      <c r="J1855" s="188">
        <v>45237</v>
      </c>
      <c r="K1855" t="s">
        <v>5424</v>
      </c>
      <c r="L1855" t="s">
        <v>5424</v>
      </c>
      <c r="M1855" t="s">
        <v>838</v>
      </c>
      <c r="N1855" t="s">
        <v>197</v>
      </c>
      <c r="O1855" t="s">
        <v>2520</v>
      </c>
      <c r="P1855" t="s">
        <v>221</v>
      </c>
      <c r="Q1855" t="s">
        <v>82</v>
      </c>
      <c r="R1855">
        <v>2</v>
      </c>
      <c r="S1855">
        <v>2.65</v>
      </c>
      <c r="T1855">
        <v>0</v>
      </c>
      <c r="U1855">
        <v>2</v>
      </c>
      <c r="V1855">
        <v>2</v>
      </c>
      <c r="W1855">
        <v>45.62</v>
      </c>
      <c r="X1855">
        <v>0</v>
      </c>
      <c r="Y1855">
        <v>0</v>
      </c>
      <c r="Z1855">
        <v>0</v>
      </c>
      <c r="AA1855">
        <v>0</v>
      </c>
      <c r="AB1855">
        <v>0</v>
      </c>
      <c r="AC1855">
        <v>0</v>
      </c>
      <c r="AD1855">
        <v>2</v>
      </c>
      <c r="AE1855">
        <v>0</v>
      </c>
      <c r="AF1855">
        <v>0</v>
      </c>
      <c r="AG1855">
        <v>0</v>
      </c>
      <c r="AH1855">
        <v>0</v>
      </c>
      <c r="AI1855">
        <v>0</v>
      </c>
      <c r="AJ1855">
        <v>0</v>
      </c>
      <c r="AK1855">
        <v>0</v>
      </c>
    </row>
    <row r="1856" spans="1:37" x14ac:dyDescent="0.3">
      <c r="A1856">
        <v>7979</v>
      </c>
      <c r="B1856" t="s">
        <v>219</v>
      </c>
      <c r="D1856" t="s">
        <v>327</v>
      </c>
      <c r="E1856">
        <v>99999999</v>
      </c>
      <c r="F1856">
        <v>11111111</v>
      </c>
      <c r="G1856">
        <v>1111111111</v>
      </c>
      <c r="H1856" t="s">
        <v>5425</v>
      </c>
      <c r="I1856">
        <v>99999999</v>
      </c>
      <c r="J1856" s="188">
        <v>45237</v>
      </c>
      <c r="K1856" t="s">
        <v>5425</v>
      </c>
      <c r="L1856" t="s">
        <v>5425</v>
      </c>
      <c r="M1856" t="s">
        <v>749</v>
      </c>
      <c r="N1856" t="s">
        <v>130</v>
      </c>
      <c r="O1856" t="s">
        <v>2521</v>
      </c>
      <c r="P1856" t="s">
        <v>221</v>
      </c>
      <c r="Q1856" t="s">
        <v>82</v>
      </c>
      <c r="R1856">
        <v>1</v>
      </c>
      <c r="S1856">
        <v>7.15</v>
      </c>
      <c r="T1856">
        <v>0</v>
      </c>
      <c r="U1856">
        <v>1</v>
      </c>
      <c r="V1856">
        <v>1</v>
      </c>
      <c r="W1856">
        <v>25.57</v>
      </c>
      <c r="X1856">
        <v>0</v>
      </c>
      <c r="Y1856">
        <v>0</v>
      </c>
      <c r="Z1856">
        <v>0</v>
      </c>
      <c r="AA1856">
        <v>0</v>
      </c>
      <c r="AB1856">
        <v>0</v>
      </c>
      <c r="AC1856">
        <v>0</v>
      </c>
      <c r="AD1856">
        <v>1</v>
      </c>
      <c r="AE1856">
        <v>0</v>
      </c>
      <c r="AF1856">
        <v>0</v>
      </c>
      <c r="AG1856">
        <v>0</v>
      </c>
      <c r="AH1856">
        <v>0</v>
      </c>
      <c r="AI1856">
        <v>0</v>
      </c>
      <c r="AJ1856">
        <v>0</v>
      </c>
      <c r="AK1856">
        <v>0</v>
      </c>
    </row>
    <row r="1857" spans="1:37" x14ac:dyDescent="0.3">
      <c r="A1857">
        <v>7979</v>
      </c>
      <c r="B1857" t="s">
        <v>219</v>
      </c>
      <c r="D1857" t="s">
        <v>327</v>
      </c>
      <c r="E1857">
        <v>99999999</v>
      </c>
      <c r="F1857">
        <v>11111111</v>
      </c>
      <c r="G1857">
        <v>1111111111</v>
      </c>
      <c r="H1857" t="s">
        <v>5426</v>
      </c>
      <c r="I1857">
        <v>99999999</v>
      </c>
      <c r="J1857" s="188">
        <v>45237</v>
      </c>
      <c r="K1857" t="s">
        <v>5426</v>
      </c>
      <c r="L1857" t="s">
        <v>5426</v>
      </c>
      <c r="M1857" t="s">
        <v>2522</v>
      </c>
      <c r="N1857" t="s">
        <v>197</v>
      </c>
      <c r="O1857" t="s">
        <v>2523</v>
      </c>
      <c r="P1857" t="s">
        <v>221</v>
      </c>
      <c r="Q1857" t="s">
        <v>82</v>
      </c>
      <c r="R1857">
        <v>1</v>
      </c>
      <c r="S1857">
        <v>3</v>
      </c>
      <c r="T1857">
        <v>0</v>
      </c>
      <c r="U1857">
        <v>1</v>
      </c>
      <c r="V1857">
        <v>1</v>
      </c>
      <c r="W1857">
        <v>30.19</v>
      </c>
      <c r="X1857">
        <v>0</v>
      </c>
      <c r="Y1857">
        <v>0</v>
      </c>
      <c r="Z1857">
        <v>0</v>
      </c>
      <c r="AA1857">
        <v>0</v>
      </c>
      <c r="AB1857">
        <v>0</v>
      </c>
      <c r="AC1857">
        <v>0</v>
      </c>
      <c r="AD1857">
        <v>1</v>
      </c>
      <c r="AE1857">
        <v>0</v>
      </c>
      <c r="AF1857">
        <v>0</v>
      </c>
      <c r="AG1857">
        <v>0</v>
      </c>
      <c r="AH1857">
        <v>0</v>
      </c>
      <c r="AI1857">
        <v>0</v>
      </c>
      <c r="AJ1857">
        <v>0</v>
      </c>
      <c r="AK1857">
        <v>0</v>
      </c>
    </row>
    <row r="1858" spans="1:37" x14ac:dyDescent="0.3">
      <c r="A1858">
        <v>7979</v>
      </c>
      <c r="B1858" t="s">
        <v>219</v>
      </c>
      <c r="D1858" t="s">
        <v>327</v>
      </c>
      <c r="E1858">
        <v>99999999</v>
      </c>
      <c r="F1858">
        <v>11111111</v>
      </c>
      <c r="G1858">
        <v>1111111111</v>
      </c>
      <c r="H1858" t="s">
        <v>5427</v>
      </c>
      <c r="I1858">
        <v>99999999</v>
      </c>
      <c r="J1858" s="188">
        <v>45237</v>
      </c>
      <c r="K1858" t="s">
        <v>5427</v>
      </c>
      <c r="L1858" t="s">
        <v>5427</v>
      </c>
      <c r="M1858" t="s">
        <v>1465</v>
      </c>
      <c r="N1858" t="s">
        <v>97</v>
      </c>
      <c r="O1858" t="s">
        <v>2524</v>
      </c>
      <c r="P1858" t="s">
        <v>221</v>
      </c>
      <c r="Q1858" t="s">
        <v>82</v>
      </c>
      <c r="R1858">
        <v>1</v>
      </c>
      <c r="S1858">
        <v>0.45</v>
      </c>
      <c r="T1858">
        <v>0</v>
      </c>
      <c r="U1858">
        <v>1</v>
      </c>
      <c r="V1858">
        <v>1</v>
      </c>
      <c r="W1858">
        <v>19.3</v>
      </c>
      <c r="X1858">
        <v>0</v>
      </c>
      <c r="Y1858">
        <v>0</v>
      </c>
      <c r="Z1858">
        <v>0</v>
      </c>
      <c r="AA1858">
        <v>0</v>
      </c>
      <c r="AB1858">
        <v>0</v>
      </c>
      <c r="AC1858">
        <v>0</v>
      </c>
      <c r="AD1858">
        <v>1</v>
      </c>
      <c r="AE1858">
        <v>0</v>
      </c>
      <c r="AF1858">
        <v>0</v>
      </c>
      <c r="AG1858">
        <v>0</v>
      </c>
      <c r="AH1858">
        <v>0</v>
      </c>
      <c r="AI1858">
        <v>0</v>
      </c>
      <c r="AJ1858">
        <v>0</v>
      </c>
      <c r="AK1858">
        <v>0</v>
      </c>
    </row>
    <row r="1859" spans="1:37" x14ac:dyDescent="0.3">
      <c r="A1859">
        <v>7979</v>
      </c>
      <c r="B1859" t="s">
        <v>219</v>
      </c>
      <c r="D1859" t="s">
        <v>327</v>
      </c>
      <c r="E1859">
        <v>99999999</v>
      </c>
      <c r="F1859">
        <v>11111111</v>
      </c>
      <c r="G1859">
        <v>1111111111</v>
      </c>
      <c r="H1859" t="s">
        <v>5428</v>
      </c>
      <c r="I1859">
        <v>99999999</v>
      </c>
      <c r="J1859" s="188">
        <v>45237</v>
      </c>
      <c r="K1859" t="s">
        <v>5428</v>
      </c>
      <c r="L1859" t="s">
        <v>5428</v>
      </c>
      <c r="M1859" t="s">
        <v>2525</v>
      </c>
      <c r="N1859" t="s">
        <v>381</v>
      </c>
      <c r="O1859">
        <v>59741</v>
      </c>
      <c r="P1859" t="s">
        <v>221</v>
      </c>
      <c r="Q1859" t="s">
        <v>82</v>
      </c>
      <c r="R1859">
        <v>1</v>
      </c>
      <c r="S1859">
        <v>5</v>
      </c>
      <c r="T1859">
        <v>0</v>
      </c>
      <c r="U1859">
        <v>1</v>
      </c>
      <c r="V1859">
        <v>1</v>
      </c>
      <c r="W1859">
        <v>31.35</v>
      </c>
      <c r="X1859">
        <v>0</v>
      </c>
      <c r="Y1859">
        <v>0</v>
      </c>
      <c r="Z1859">
        <v>0</v>
      </c>
      <c r="AA1859">
        <v>0</v>
      </c>
      <c r="AB1859">
        <v>0</v>
      </c>
      <c r="AC1859">
        <v>0</v>
      </c>
      <c r="AD1859">
        <v>1</v>
      </c>
      <c r="AE1859">
        <v>0</v>
      </c>
      <c r="AF1859">
        <v>0</v>
      </c>
      <c r="AG1859">
        <v>0</v>
      </c>
      <c r="AH1859">
        <v>0</v>
      </c>
      <c r="AI1859">
        <v>0</v>
      </c>
      <c r="AJ1859">
        <v>0</v>
      </c>
      <c r="AK1859">
        <v>0</v>
      </c>
    </row>
    <row r="1860" spans="1:37" x14ac:dyDescent="0.3">
      <c r="A1860">
        <v>7979</v>
      </c>
      <c r="B1860" t="s">
        <v>219</v>
      </c>
      <c r="D1860" t="s">
        <v>327</v>
      </c>
      <c r="E1860">
        <v>99999999</v>
      </c>
      <c r="F1860">
        <v>11111111</v>
      </c>
      <c r="G1860">
        <v>1111111111</v>
      </c>
      <c r="H1860" t="s">
        <v>5429</v>
      </c>
      <c r="I1860">
        <v>99999999</v>
      </c>
      <c r="J1860" s="188">
        <v>45237</v>
      </c>
      <c r="K1860" t="s">
        <v>5429</v>
      </c>
      <c r="L1860" t="s">
        <v>5429</v>
      </c>
      <c r="M1860" t="s">
        <v>905</v>
      </c>
      <c r="N1860" t="s">
        <v>99</v>
      </c>
      <c r="O1860">
        <v>90277</v>
      </c>
      <c r="P1860" t="s">
        <v>221</v>
      </c>
      <c r="Q1860" t="s">
        <v>82</v>
      </c>
      <c r="R1860">
        <v>1</v>
      </c>
      <c r="S1860">
        <v>3.3</v>
      </c>
      <c r="T1860">
        <v>0</v>
      </c>
      <c r="U1860">
        <v>1</v>
      </c>
      <c r="V1860">
        <v>1</v>
      </c>
      <c r="W1860">
        <v>22.52</v>
      </c>
      <c r="X1860">
        <v>0</v>
      </c>
      <c r="Y1860">
        <v>0</v>
      </c>
      <c r="Z1860">
        <v>0</v>
      </c>
      <c r="AA1860">
        <v>0</v>
      </c>
      <c r="AB1860">
        <v>0</v>
      </c>
      <c r="AC1860">
        <v>0</v>
      </c>
      <c r="AD1860">
        <v>1</v>
      </c>
      <c r="AE1860">
        <v>0</v>
      </c>
      <c r="AF1860">
        <v>0</v>
      </c>
      <c r="AG1860">
        <v>0</v>
      </c>
      <c r="AH1860">
        <v>0</v>
      </c>
      <c r="AI1860">
        <v>0</v>
      </c>
      <c r="AJ1860">
        <v>0</v>
      </c>
      <c r="AK1860">
        <v>0</v>
      </c>
    </row>
    <row r="1861" spans="1:37" x14ac:dyDescent="0.3">
      <c r="A1861">
        <v>7979</v>
      </c>
      <c r="B1861" t="s">
        <v>219</v>
      </c>
      <c r="D1861" t="s">
        <v>327</v>
      </c>
      <c r="E1861">
        <v>99999999</v>
      </c>
      <c r="F1861">
        <v>11111111</v>
      </c>
      <c r="G1861">
        <v>1111111111</v>
      </c>
      <c r="H1861" t="s">
        <v>5430</v>
      </c>
      <c r="I1861">
        <v>99999999</v>
      </c>
      <c r="J1861" s="188">
        <v>45237</v>
      </c>
      <c r="K1861" t="s">
        <v>5430</v>
      </c>
      <c r="L1861" t="s">
        <v>5430</v>
      </c>
      <c r="M1861" t="s">
        <v>699</v>
      </c>
      <c r="N1861" t="s">
        <v>99</v>
      </c>
      <c r="O1861" t="s">
        <v>2526</v>
      </c>
      <c r="P1861" t="s">
        <v>221</v>
      </c>
      <c r="Q1861" t="s">
        <v>82</v>
      </c>
      <c r="R1861">
        <v>2</v>
      </c>
      <c r="S1861">
        <v>14.96</v>
      </c>
      <c r="T1861">
        <v>0</v>
      </c>
      <c r="U1861">
        <v>1</v>
      </c>
      <c r="V1861">
        <v>2</v>
      </c>
      <c r="W1861">
        <v>31.35</v>
      </c>
      <c r="X1861">
        <v>0</v>
      </c>
      <c r="Y1861">
        <v>0</v>
      </c>
      <c r="Z1861">
        <v>0</v>
      </c>
      <c r="AA1861">
        <v>0</v>
      </c>
      <c r="AB1861">
        <v>0</v>
      </c>
      <c r="AC1861">
        <v>0</v>
      </c>
      <c r="AD1861">
        <v>2</v>
      </c>
      <c r="AE1861">
        <v>0</v>
      </c>
      <c r="AF1861">
        <v>0</v>
      </c>
      <c r="AG1861">
        <v>0</v>
      </c>
      <c r="AH1861">
        <v>0</v>
      </c>
      <c r="AI1861">
        <v>0</v>
      </c>
      <c r="AJ1861">
        <v>0</v>
      </c>
      <c r="AK1861">
        <v>0</v>
      </c>
    </row>
    <row r="1862" spans="1:37" x14ac:dyDescent="0.3">
      <c r="A1862">
        <v>7979</v>
      </c>
      <c r="B1862" t="s">
        <v>219</v>
      </c>
      <c r="D1862" t="s">
        <v>327</v>
      </c>
      <c r="E1862">
        <v>99999999</v>
      </c>
      <c r="F1862">
        <v>11111111</v>
      </c>
      <c r="G1862">
        <v>1111111111</v>
      </c>
      <c r="H1862" t="s">
        <v>5431</v>
      </c>
      <c r="I1862">
        <v>99999999</v>
      </c>
      <c r="J1862" s="188">
        <v>45237</v>
      </c>
      <c r="K1862" t="s">
        <v>5431</v>
      </c>
      <c r="L1862" t="s">
        <v>5431</v>
      </c>
      <c r="M1862" t="s">
        <v>1445</v>
      </c>
      <c r="N1862" t="s">
        <v>99</v>
      </c>
      <c r="O1862" t="s">
        <v>2527</v>
      </c>
      <c r="P1862" t="s">
        <v>221</v>
      </c>
      <c r="Q1862" t="s">
        <v>82</v>
      </c>
      <c r="R1862">
        <v>1</v>
      </c>
      <c r="S1862">
        <v>2</v>
      </c>
      <c r="T1862">
        <v>0</v>
      </c>
      <c r="U1862">
        <v>1</v>
      </c>
      <c r="V1862">
        <v>1</v>
      </c>
      <c r="W1862">
        <v>20.67</v>
      </c>
      <c r="X1862">
        <v>0</v>
      </c>
      <c r="Y1862">
        <v>0</v>
      </c>
      <c r="Z1862">
        <v>0</v>
      </c>
      <c r="AA1862">
        <v>0</v>
      </c>
      <c r="AB1862">
        <v>0</v>
      </c>
      <c r="AC1862">
        <v>0</v>
      </c>
      <c r="AD1862">
        <v>1</v>
      </c>
      <c r="AE1862">
        <v>0</v>
      </c>
      <c r="AF1862">
        <v>0</v>
      </c>
      <c r="AG1862">
        <v>0</v>
      </c>
      <c r="AH1862">
        <v>0</v>
      </c>
      <c r="AI1862">
        <v>0</v>
      </c>
      <c r="AJ1862">
        <v>0</v>
      </c>
      <c r="AK1862">
        <v>0</v>
      </c>
    </row>
    <row r="1863" spans="1:37" x14ac:dyDescent="0.3">
      <c r="A1863">
        <v>7979</v>
      </c>
      <c r="B1863" t="s">
        <v>219</v>
      </c>
      <c r="D1863" t="s">
        <v>327</v>
      </c>
      <c r="E1863">
        <v>99999999</v>
      </c>
      <c r="F1863">
        <v>11111111</v>
      </c>
      <c r="G1863">
        <v>1111111111</v>
      </c>
      <c r="H1863" t="s">
        <v>5432</v>
      </c>
      <c r="I1863">
        <v>99999999</v>
      </c>
      <c r="J1863" s="188">
        <v>45237</v>
      </c>
      <c r="K1863" t="s">
        <v>5432</v>
      </c>
      <c r="L1863" t="s">
        <v>5432</v>
      </c>
      <c r="M1863" t="s">
        <v>2329</v>
      </c>
      <c r="N1863" t="s">
        <v>135</v>
      </c>
      <c r="O1863" t="s">
        <v>2528</v>
      </c>
      <c r="P1863" t="s">
        <v>221</v>
      </c>
      <c r="Q1863" t="s">
        <v>82</v>
      </c>
      <c r="R1863">
        <v>1</v>
      </c>
      <c r="S1863">
        <v>7.41</v>
      </c>
      <c r="T1863">
        <v>0</v>
      </c>
      <c r="U1863">
        <v>1</v>
      </c>
      <c r="V1863">
        <v>1</v>
      </c>
      <c r="W1863">
        <v>32.409999999999997</v>
      </c>
      <c r="X1863">
        <v>0</v>
      </c>
      <c r="Y1863">
        <v>0</v>
      </c>
      <c r="Z1863">
        <v>0</v>
      </c>
      <c r="AA1863">
        <v>0</v>
      </c>
      <c r="AB1863">
        <v>0</v>
      </c>
      <c r="AC1863">
        <v>0</v>
      </c>
      <c r="AD1863">
        <v>1</v>
      </c>
      <c r="AE1863">
        <v>0</v>
      </c>
      <c r="AF1863">
        <v>0</v>
      </c>
      <c r="AG1863">
        <v>0</v>
      </c>
      <c r="AH1863">
        <v>0</v>
      </c>
      <c r="AI1863">
        <v>0</v>
      </c>
      <c r="AJ1863">
        <v>0</v>
      </c>
      <c r="AK1863">
        <v>0</v>
      </c>
    </row>
    <row r="1864" spans="1:37" x14ac:dyDescent="0.3">
      <c r="A1864">
        <v>7979</v>
      </c>
      <c r="B1864" t="s">
        <v>219</v>
      </c>
      <c r="D1864" t="s">
        <v>327</v>
      </c>
      <c r="E1864">
        <v>99999999</v>
      </c>
      <c r="F1864">
        <v>11111111</v>
      </c>
      <c r="G1864">
        <v>1111111111</v>
      </c>
      <c r="H1864" t="s">
        <v>5433</v>
      </c>
      <c r="I1864">
        <v>99999999</v>
      </c>
      <c r="J1864" s="188">
        <v>45237</v>
      </c>
      <c r="K1864" t="s">
        <v>5433</v>
      </c>
      <c r="L1864" t="s">
        <v>5433</v>
      </c>
      <c r="M1864" t="s">
        <v>2529</v>
      </c>
      <c r="N1864" t="s">
        <v>164</v>
      </c>
      <c r="O1864" t="s">
        <v>2530</v>
      </c>
      <c r="P1864" t="s">
        <v>221</v>
      </c>
      <c r="Q1864" t="s">
        <v>82</v>
      </c>
      <c r="R1864">
        <v>1</v>
      </c>
      <c r="S1864">
        <v>1.8</v>
      </c>
      <c r="T1864">
        <v>0</v>
      </c>
      <c r="U1864">
        <v>1</v>
      </c>
      <c r="V1864">
        <v>1</v>
      </c>
      <c r="W1864">
        <v>28</v>
      </c>
      <c r="X1864">
        <v>0</v>
      </c>
      <c r="Y1864">
        <v>0</v>
      </c>
      <c r="Z1864">
        <v>0</v>
      </c>
      <c r="AA1864">
        <v>0</v>
      </c>
      <c r="AB1864">
        <v>0</v>
      </c>
      <c r="AC1864">
        <v>0</v>
      </c>
      <c r="AD1864">
        <v>1</v>
      </c>
      <c r="AE1864">
        <v>0</v>
      </c>
      <c r="AF1864">
        <v>0</v>
      </c>
      <c r="AG1864">
        <v>0</v>
      </c>
      <c r="AH1864">
        <v>0</v>
      </c>
      <c r="AI1864">
        <v>0</v>
      </c>
      <c r="AJ1864">
        <v>0</v>
      </c>
      <c r="AK1864">
        <v>0</v>
      </c>
    </row>
    <row r="1865" spans="1:37" x14ac:dyDescent="0.3">
      <c r="A1865">
        <v>7979</v>
      </c>
      <c r="B1865" t="s">
        <v>219</v>
      </c>
      <c r="D1865" t="s">
        <v>327</v>
      </c>
      <c r="E1865">
        <v>99999999</v>
      </c>
      <c r="F1865">
        <v>11111111</v>
      </c>
      <c r="G1865">
        <v>1111111111</v>
      </c>
      <c r="H1865" t="s">
        <v>5434</v>
      </c>
      <c r="I1865">
        <v>99999999</v>
      </c>
      <c r="J1865" s="188">
        <v>45237</v>
      </c>
      <c r="K1865" t="s">
        <v>5434</v>
      </c>
      <c r="L1865" t="s">
        <v>5434</v>
      </c>
      <c r="M1865" t="s">
        <v>2531</v>
      </c>
      <c r="N1865" t="s">
        <v>197</v>
      </c>
      <c r="O1865" t="s">
        <v>2532</v>
      </c>
      <c r="P1865" t="s">
        <v>221</v>
      </c>
      <c r="Q1865" t="s">
        <v>82</v>
      </c>
      <c r="R1865">
        <v>1</v>
      </c>
      <c r="S1865">
        <v>4.6399999999999997</v>
      </c>
      <c r="T1865">
        <v>0</v>
      </c>
      <c r="U1865">
        <v>1</v>
      </c>
      <c r="V1865">
        <v>1</v>
      </c>
      <c r="W1865">
        <v>32.270000000000003</v>
      </c>
      <c r="X1865">
        <v>0</v>
      </c>
      <c r="Y1865">
        <v>0</v>
      </c>
      <c r="Z1865">
        <v>0</v>
      </c>
      <c r="AA1865">
        <v>0</v>
      </c>
      <c r="AB1865">
        <v>0</v>
      </c>
      <c r="AC1865">
        <v>0</v>
      </c>
      <c r="AD1865">
        <v>1</v>
      </c>
      <c r="AE1865">
        <v>0</v>
      </c>
      <c r="AF1865">
        <v>0</v>
      </c>
      <c r="AG1865">
        <v>0</v>
      </c>
      <c r="AH1865">
        <v>0</v>
      </c>
      <c r="AI1865">
        <v>0</v>
      </c>
      <c r="AJ1865">
        <v>0</v>
      </c>
      <c r="AK1865">
        <v>0</v>
      </c>
    </row>
    <row r="1866" spans="1:37" x14ac:dyDescent="0.3">
      <c r="A1866">
        <v>7979</v>
      </c>
      <c r="B1866" t="s">
        <v>219</v>
      </c>
      <c r="D1866" t="s">
        <v>327</v>
      </c>
      <c r="E1866">
        <v>99999999</v>
      </c>
      <c r="F1866">
        <v>11111111</v>
      </c>
      <c r="G1866">
        <v>1111111111</v>
      </c>
      <c r="H1866" t="s">
        <v>5435</v>
      </c>
      <c r="I1866">
        <v>99999999</v>
      </c>
      <c r="J1866" s="188">
        <v>45237</v>
      </c>
      <c r="K1866" t="s">
        <v>5435</v>
      </c>
      <c r="L1866" t="s">
        <v>5435</v>
      </c>
      <c r="M1866" t="s">
        <v>174</v>
      </c>
      <c r="N1866" t="s">
        <v>91</v>
      </c>
      <c r="O1866" t="s">
        <v>2533</v>
      </c>
      <c r="P1866" t="s">
        <v>221</v>
      </c>
      <c r="Q1866" t="s">
        <v>82</v>
      </c>
      <c r="R1866">
        <v>4</v>
      </c>
      <c r="S1866">
        <v>5.45</v>
      </c>
      <c r="T1866">
        <v>0</v>
      </c>
      <c r="U1866">
        <v>1</v>
      </c>
      <c r="V1866">
        <v>3</v>
      </c>
      <c r="W1866">
        <v>24.44</v>
      </c>
      <c r="X1866">
        <v>0</v>
      </c>
      <c r="Y1866">
        <v>0</v>
      </c>
      <c r="Z1866">
        <v>0</v>
      </c>
      <c r="AA1866">
        <v>0</v>
      </c>
      <c r="AB1866">
        <v>0</v>
      </c>
      <c r="AC1866">
        <v>0</v>
      </c>
      <c r="AD1866">
        <v>4</v>
      </c>
      <c r="AE1866">
        <v>0</v>
      </c>
      <c r="AF1866">
        <v>0</v>
      </c>
      <c r="AG1866">
        <v>0</v>
      </c>
      <c r="AH1866">
        <v>0</v>
      </c>
      <c r="AI1866">
        <v>0</v>
      </c>
      <c r="AJ1866">
        <v>0</v>
      </c>
      <c r="AK1866">
        <v>0</v>
      </c>
    </row>
    <row r="1867" spans="1:37" x14ac:dyDescent="0.3">
      <c r="A1867">
        <v>7979</v>
      </c>
      <c r="B1867" t="s">
        <v>219</v>
      </c>
      <c r="D1867" t="s">
        <v>327</v>
      </c>
      <c r="E1867">
        <v>99999999</v>
      </c>
      <c r="F1867">
        <v>11111111</v>
      </c>
      <c r="G1867">
        <v>1111111111</v>
      </c>
      <c r="H1867" t="s">
        <v>5436</v>
      </c>
      <c r="I1867">
        <v>99999999</v>
      </c>
      <c r="J1867" s="188">
        <v>45237</v>
      </c>
      <c r="K1867" t="s">
        <v>5436</v>
      </c>
      <c r="L1867" t="s">
        <v>5436</v>
      </c>
      <c r="M1867" t="s">
        <v>1773</v>
      </c>
      <c r="N1867" t="s">
        <v>99</v>
      </c>
      <c r="O1867" t="s">
        <v>2534</v>
      </c>
      <c r="P1867" t="s">
        <v>221</v>
      </c>
      <c r="Q1867" t="s">
        <v>82</v>
      </c>
      <c r="R1867">
        <v>2</v>
      </c>
      <c r="S1867">
        <v>5.0999999999999996</v>
      </c>
      <c r="T1867">
        <v>0</v>
      </c>
      <c r="U1867">
        <v>1</v>
      </c>
      <c r="V1867">
        <v>2</v>
      </c>
      <c r="W1867">
        <v>23.09</v>
      </c>
      <c r="X1867">
        <v>0</v>
      </c>
      <c r="Y1867">
        <v>0</v>
      </c>
      <c r="Z1867">
        <v>0</v>
      </c>
      <c r="AA1867">
        <v>0</v>
      </c>
      <c r="AB1867">
        <v>0</v>
      </c>
      <c r="AC1867">
        <v>0</v>
      </c>
      <c r="AD1867">
        <v>2</v>
      </c>
      <c r="AE1867">
        <v>0</v>
      </c>
      <c r="AF1867">
        <v>0</v>
      </c>
      <c r="AG1867">
        <v>0</v>
      </c>
      <c r="AH1867">
        <v>0</v>
      </c>
      <c r="AI1867">
        <v>0</v>
      </c>
      <c r="AJ1867">
        <v>0</v>
      </c>
      <c r="AK1867">
        <v>0</v>
      </c>
    </row>
    <row r="1868" spans="1:37" x14ac:dyDescent="0.3">
      <c r="A1868">
        <v>7979</v>
      </c>
      <c r="B1868" t="s">
        <v>219</v>
      </c>
      <c r="D1868" t="s">
        <v>327</v>
      </c>
      <c r="E1868">
        <v>99999999</v>
      </c>
      <c r="F1868">
        <v>11111111</v>
      </c>
      <c r="G1868">
        <v>1111111111</v>
      </c>
      <c r="H1868" t="s">
        <v>5437</v>
      </c>
      <c r="I1868">
        <v>99999999</v>
      </c>
      <c r="J1868" s="188">
        <v>45237</v>
      </c>
      <c r="K1868" t="s">
        <v>5437</v>
      </c>
      <c r="L1868" t="s">
        <v>5437</v>
      </c>
      <c r="M1868" t="s">
        <v>2535</v>
      </c>
      <c r="N1868" t="s">
        <v>99</v>
      </c>
      <c r="O1868" t="s">
        <v>2536</v>
      </c>
      <c r="P1868" t="s">
        <v>221</v>
      </c>
      <c r="Q1868" t="s">
        <v>82</v>
      </c>
      <c r="R1868">
        <v>4</v>
      </c>
      <c r="S1868">
        <v>3.78</v>
      </c>
      <c r="T1868">
        <v>0</v>
      </c>
      <c r="U1868">
        <v>1</v>
      </c>
      <c r="V1868">
        <v>4</v>
      </c>
      <c r="W1868">
        <v>28.16</v>
      </c>
      <c r="X1868">
        <v>0</v>
      </c>
      <c r="Y1868">
        <v>0</v>
      </c>
      <c r="Z1868">
        <v>0</v>
      </c>
      <c r="AA1868">
        <v>0</v>
      </c>
      <c r="AB1868">
        <v>0</v>
      </c>
      <c r="AC1868">
        <v>0</v>
      </c>
      <c r="AD1868">
        <v>4</v>
      </c>
      <c r="AE1868">
        <v>0</v>
      </c>
      <c r="AF1868">
        <v>0</v>
      </c>
      <c r="AG1868">
        <v>0</v>
      </c>
      <c r="AH1868">
        <v>0</v>
      </c>
      <c r="AI1868">
        <v>0</v>
      </c>
      <c r="AJ1868">
        <v>0</v>
      </c>
      <c r="AK1868">
        <v>0</v>
      </c>
    </row>
    <row r="1869" spans="1:37" x14ac:dyDescent="0.3">
      <c r="A1869">
        <v>7979</v>
      </c>
      <c r="B1869" t="s">
        <v>219</v>
      </c>
      <c r="D1869" t="s">
        <v>327</v>
      </c>
      <c r="E1869">
        <v>99999999</v>
      </c>
      <c r="F1869">
        <v>11111111</v>
      </c>
      <c r="G1869">
        <v>1111111111</v>
      </c>
      <c r="H1869" t="s">
        <v>5438</v>
      </c>
      <c r="I1869">
        <v>99999999</v>
      </c>
      <c r="J1869" s="188">
        <v>45237</v>
      </c>
      <c r="K1869" t="s">
        <v>5438</v>
      </c>
      <c r="L1869" t="s">
        <v>5438</v>
      </c>
      <c r="M1869" t="s">
        <v>249</v>
      </c>
      <c r="N1869" t="s">
        <v>164</v>
      </c>
      <c r="O1869" t="s">
        <v>2537</v>
      </c>
      <c r="P1869" t="s">
        <v>221</v>
      </c>
      <c r="Q1869" t="s">
        <v>82</v>
      </c>
      <c r="R1869">
        <v>2</v>
      </c>
      <c r="S1869">
        <v>1.571</v>
      </c>
      <c r="T1869">
        <v>0</v>
      </c>
      <c r="U1869">
        <v>1</v>
      </c>
      <c r="V1869">
        <v>2</v>
      </c>
      <c r="W1869">
        <v>28</v>
      </c>
      <c r="X1869">
        <v>0</v>
      </c>
      <c r="Y1869">
        <v>0</v>
      </c>
      <c r="Z1869">
        <v>0</v>
      </c>
      <c r="AA1869">
        <v>0</v>
      </c>
      <c r="AB1869">
        <v>0</v>
      </c>
      <c r="AC1869">
        <v>0</v>
      </c>
      <c r="AD1869">
        <v>2</v>
      </c>
      <c r="AE1869">
        <v>0</v>
      </c>
      <c r="AF1869">
        <v>0</v>
      </c>
      <c r="AG1869">
        <v>0</v>
      </c>
      <c r="AH1869">
        <v>0</v>
      </c>
      <c r="AI1869">
        <v>0</v>
      </c>
      <c r="AJ1869">
        <v>0</v>
      </c>
      <c r="AK1869">
        <v>0</v>
      </c>
    </row>
    <row r="1870" spans="1:37" x14ac:dyDescent="0.3">
      <c r="A1870">
        <v>7979</v>
      </c>
      <c r="B1870" t="s">
        <v>219</v>
      </c>
      <c r="D1870" t="s">
        <v>327</v>
      </c>
      <c r="E1870">
        <v>99999999</v>
      </c>
      <c r="F1870">
        <v>11111111</v>
      </c>
      <c r="G1870">
        <v>1111111111</v>
      </c>
      <c r="H1870" t="s">
        <v>5439</v>
      </c>
      <c r="I1870">
        <v>99999999</v>
      </c>
      <c r="J1870" s="188">
        <v>45237</v>
      </c>
      <c r="K1870" t="s">
        <v>5439</v>
      </c>
      <c r="L1870" t="s">
        <v>5439</v>
      </c>
      <c r="M1870" t="s">
        <v>2103</v>
      </c>
      <c r="N1870" t="s">
        <v>130</v>
      </c>
      <c r="O1870" t="s">
        <v>2538</v>
      </c>
      <c r="P1870" t="s">
        <v>221</v>
      </c>
      <c r="Q1870" t="s">
        <v>82</v>
      </c>
      <c r="R1870">
        <v>5</v>
      </c>
      <c r="S1870">
        <v>9.58</v>
      </c>
      <c r="T1870">
        <v>0</v>
      </c>
      <c r="U1870">
        <v>1</v>
      </c>
      <c r="V1870">
        <v>4</v>
      </c>
      <c r="W1870">
        <v>26.28</v>
      </c>
      <c r="X1870">
        <v>0</v>
      </c>
      <c r="Y1870">
        <v>0</v>
      </c>
      <c r="Z1870">
        <v>0</v>
      </c>
      <c r="AA1870">
        <v>0</v>
      </c>
      <c r="AB1870">
        <v>0</v>
      </c>
      <c r="AC1870">
        <v>0</v>
      </c>
      <c r="AD1870">
        <v>5</v>
      </c>
      <c r="AE1870">
        <v>0</v>
      </c>
      <c r="AF1870">
        <v>0</v>
      </c>
      <c r="AG1870">
        <v>0</v>
      </c>
      <c r="AH1870">
        <v>0</v>
      </c>
      <c r="AI1870">
        <v>0</v>
      </c>
      <c r="AJ1870">
        <v>0</v>
      </c>
      <c r="AK1870">
        <v>0</v>
      </c>
    </row>
    <row r="1871" spans="1:37" x14ac:dyDescent="0.3">
      <c r="A1871">
        <v>7979</v>
      </c>
      <c r="B1871" t="s">
        <v>219</v>
      </c>
      <c r="D1871" t="s">
        <v>327</v>
      </c>
      <c r="E1871">
        <v>99999999</v>
      </c>
      <c r="F1871">
        <v>11111111</v>
      </c>
      <c r="G1871">
        <v>1111111111</v>
      </c>
      <c r="H1871" t="s">
        <v>5440</v>
      </c>
      <c r="I1871">
        <v>99999999</v>
      </c>
      <c r="J1871" s="188">
        <v>45237</v>
      </c>
      <c r="K1871" t="s">
        <v>5440</v>
      </c>
      <c r="L1871" t="s">
        <v>5440</v>
      </c>
      <c r="M1871" t="s">
        <v>121</v>
      </c>
      <c r="N1871" t="s">
        <v>122</v>
      </c>
      <c r="O1871" t="s">
        <v>2366</v>
      </c>
      <c r="P1871" t="s">
        <v>221</v>
      </c>
      <c r="Q1871" t="s">
        <v>82</v>
      </c>
      <c r="R1871">
        <v>3</v>
      </c>
      <c r="S1871">
        <v>7.35</v>
      </c>
      <c r="T1871">
        <v>0</v>
      </c>
      <c r="U1871">
        <v>1</v>
      </c>
      <c r="V1871">
        <v>3</v>
      </c>
      <c r="W1871">
        <v>25.57</v>
      </c>
      <c r="X1871">
        <v>0</v>
      </c>
      <c r="Y1871">
        <v>0</v>
      </c>
      <c r="Z1871">
        <v>0</v>
      </c>
      <c r="AA1871">
        <v>0</v>
      </c>
      <c r="AB1871">
        <v>0</v>
      </c>
      <c r="AC1871">
        <v>0</v>
      </c>
      <c r="AD1871">
        <v>3</v>
      </c>
      <c r="AE1871">
        <v>0</v>
      </c>
      <c r="AF1871">
        <v>0</v>
      </c>
      <c r="AG1871">
        <v>0</v>
      </c>
      <c r="AH1871">
        <v>0</v>
      </c>
      <c r="AI1871">
        <v>0</v>
      </c>
      <c r="AJ1871">
        <v>0</v>
      </c>
      <c r="AK1871">
        <v>0</v>
      </c>
    </row>
    <row r="1872" spans="1:37" x14ac:dyDescent="0.3">
      <c r="A1872">
        <v>7979</v>
      </c>
      <c r="B1872" t="s">
        <v>219</v>
      </c>
      <c r="D1872" t="s">
        <v>327</v>
      </c>
      <c r="E1872">
        <v>99999999</v>
      </c>
      <c r="F1872">
        <v>11111111</v>
      </c>
      <c r="G1872">
        <v>1111111111</v>
      </c>
      <c r="H1872" t="s">
        <v>5441</v>
      </c>
      <c r="I1872">
        <v>99999999</v>
      </c>
      <c r="J1872" s="188">
        <v>45238</v>
      </c>
      <c r="K1872" t="s">
        <v>5441</v>
      </c>
      <c r="L1872" t="s">
        <v>5441</v>
      </c>
      <c r="M1872" t="s">
        <v>129</v>
      </c>
      <c r="N1872" t="s">
        <v>130</v>
      </c>
      <c r="O1872" t="s">
        <v>2539</v>
      </c>
      <c r="P1872" t="s">
        <v>221</v>
      </c>
      <c r="Q1872" t="s">
        <v>82</v>
      </c>
      <c r="R1872">
        <v>5</v>
      </c>
      <c r="S1872">
        <v>12.79</v>
      </c>
      <c r="T1872">
        <v>0</v>
      </c>
      <c r="U1872">
        <v>1</v>
      </c>
      <c r="V1872">
        <v>5</v>
      </c>
      <c r="W1872">
        <v>27.41</v>
      </c>
      <c r="X1872">
        <v>0</v>
      </c>
      <c r="Y1872">
        <v>0</v>
      </c>
      <c r="Z1872">
        <v>0</v>
      </c>
      <c r="AA1872">
        <v>0</v>
      </c>
      <c r="AB1872">
        <v>0</v>
      </c>
      <c r="AC1872">
        <v>0</v>
      </c>
      <c r="AD1872">
        <v>5</v>
      </c>
      <c r="AE1872">
        <v>0</v>
      </c>
      <c r="AF1872">
        <v>0</v>
      </c>
      <c r="AG1872">
        <v>0</v>
      </c>
      <c r="AH1872">
        <v>0</v>
      </c>
      <c r="AI1872">
        <v>0</v>
      </c>
      <c r="AJ1872">
        <v>0</v>
      </c>
      <c r="AK1872">
        <v>0</v>
      </c>
    </row>
    <row r="1873" spans="1:37" x14ac:dyDescent="0.3">
      <c r="A1873">
        <v>7979</v>
      </c>
      <c r="B1873" t="s">
        <v>219</v>
      </c>
      <c r="D1873" t="s">
        <v>327</v>
      </c>
      <c r="E1873">
        <v>99999999</v>
      </c>
      <c r="F1873">
        <v>11111111</v>
      </c>
      <c r="G1873">
        <v>1111111111</v>
      </c>
      <c r="H1873" t="s">
        <v>5442</v>
      </c>
      <c r="I1873">
        <v>99999999</v>
      </c>
      <c r="J1873" s="188">
        <v>45237</v>
      </c>
      <c r="K1873" t="s">
        <v>5442</v>
      </c>
      <c r="L1873" t="s">
        <v>5442</v>
      </c>
      <c r="M1873" t="s">
        <v>1049</v>
      </c>
      <c r="N1873" t="s">
        <v>99</v>
      </c>
      <c r="O1873" t="s">
        <v>2540</v>
      </c>
      <c r="P1873" t="s">
        <v>221</v>
      </c>
      <c r="Q1873" t="s">
        <v>82</v>
      </c>
      <c r="R1873">
        <v>1</v>
      </c>
      <c r="S1873">
        <v>20</v>
      </c>
      <c r="T1873">
        <v>0</v>
      </c>
      <c r="U1873">
        <v>1</v>
      </c>
      <c r="V1873">
        <v>1</v>
      </c>
      <c r="W1873">
        <v>27.8</v>
      </c>
      <c r="X1873">
        <v>0</v>
      </c>
      <c r="Y1873">
        <v>0</v>
      </c>
      <c r="Z1873">
        <v>0</v>
      </c>
      <c r="AA1873">
        <v>0</v>
      </c>
      <c r="AB1873">
        <v>0</v>
      </c>
      <c r="AC1873">
        <v>0</v>
      </c>
      <c r="AD1873">
        <v>1</v>
      </c>
      <c r="AE1873">
        <v>0</v>
      </c>
      <c r="AF1873">
        <v>0</v>
      </c>
      <c r="AG1873">
        <v>0</v>
      </c>
      <c r="AH1873">
        <v>0</v>
      </c>
      <c r="AI1873">
        <v>0</v>
      </c>
      <c r="AJ1873">
        <v>0</v>
      </c>
      <c r="AK1873">
        <v>0</v>
      </c>
    </row>
    <row r="1874" spans="1:37" x14ac:dyDescent="0.3">
      <c r="A1874">
        <v>7979</v>
      </c>
      <c r="B1874" t="s">
        <v>219</v>
      </c>
      <c r="D1874" t="s">
        <v>327</v>
      </c>
      <c r="E1874">
        <v>99999999</v>
      </c>
      <c r="F1874">
        <v>11111111</v>
      </c>
      <c r="G1874">
        <v>1111111111</v>
      </c>
      <c r="H1874" t="s">
        <v>5443</v>
      </c>
      <c r="I1874">
        <v>99999999</v>
      </c>
      <c r="J1874" s="188">
        <v>45237</v>
      </c>
      <c r="K1874" t="s">
        <v>5443</v>
      </c>
      <c r="L1874" t="s">
        <v>5443</v>
      </c>
      <c r="M1874" t="s">
        <v>1220</v>
      </c>
      <c r="N1874" t="s">
        <v>97</v>
      </c>
      <c r="O1874" t="s">
        <v>2541</v>
      </c>
      <c r="P1874" t="s">
        <v>221</v>
      </c>
      <c r="Q1874" t="s">
        <v>82</v>
      </c>
      <c r="R1874">
        <v>1</v>
      </c>
      <c r="S1874">
        <v>21</v>
      </c>
      <c r="T1874">
        <v>0</v>
      </c>
      <c r="U1874">
        <v>1</v>
      </c>
      <c r="V1874">
        <v>1</v>
      </c>
      <c r="W1874">
        <v>29.18</v>
      </c>
      <c r="X1874">
        <v>0</v>
      </c>
      <c r="Y1874">
        <v>0</v>
      </c>
      <c r="Z1874">
        <v>0</v>
      </c>
      <c r="AA1874">
        <v>0</v>
      </c>
      <c r="AB1874">
        <v>0</v>
      </c>
      <c r="AC1874">
        <v>0</v>
      </c>
      <c r="AD1874">
        <v>1</v>
      </c>
      <c r="AE1874">
        <v>0</v>
      </c>
      <c r="AF1874">
        <v>0</v>
      </c>
      <c r="AG1874">
        <v>0</v>
      </c>
      <c r="AH1874">
        <v>0</v>
      </c>
      <c r="AI1874">
        <v>0</v>
      </c>
      <c r="AJ1874">
        <v>0</v>
      </c>
      <c r="AK1874">
        <v>0</v>
      </c>
    </row>
    <row r="1875" spans="1:37" x14ac:dyDescent="0.3">
      <c r="A1875">
        <v>7979</v>
      </c>
      <c r="B1875" t="s">
        <v>219</v>
      </c>
      <c r="D1875" t="s">
        <v>327</v>
      </c>
      <c r="E1875">
        <v>99999999</v>
      </c>
      <c r="F1875">
        <v>11111111</v>
      </c>
      <c r="G1875">
        <v>1111111111</v>
      </c>
      <c r="H1875" t="s">
        <v>5444</v>
      </c>
      <c r="I1875">
        <v>99999999</v>
      </c>
      <c r="J1875" s="188">
        <v>45237</v>
      </c>
      <c r="K1875" t="s">
        <v>5444</v>
      </c>
      <c r="L1875" t="s">
        <v>5444</v>
      </c>
      <c r="M1875" t="s">
        <v>2542</v>
      </c>
      <c r="N1875" t="s">
        <v>99</v>
      </c>
      <c r="O1875" t="s">
        <v>2543</v>
      </c>
      <c r="P1875" t="s">
        <v>221</v>
      </c>
      <c r="Q1875" t="s">
        <v>82</v>
      </c>
      <c r="R1875">
        <v>1</v>
      </c>
      <c r="S1875">
        <v>30.2</v>
      </c>
      <c r="T1875">
        <v>0</v>
      </c>
      <c r="U1875">
        <v>1</v>
      </c>
      <c r="V1875">
        <v>1</v>
      </c>
      <c r="W1875">
        <v>44.02</v>
      </c>
      <c r="X1875">
        <v>0</v>
      </c>
      <c r="Y1875">
        <v>0</v>
      </c>
      <c r="Z1875">
        <v>0</v>
      </c>
      <c r="AA1875">
        <v>0</v>
      </c>
      <c r="AB1875">
        <v>0</v>
      </c>
      <c r="AC1875">
        <v>0</v>
      </c>
      <c r="AD1875">
        <v>1</v>
      </c>
      <c r="AE1875">
        <v>0</v>
      </c>
      <c r="AF1875">
        <v>0</v>
      </c>
      <c r="AG1875">
        <v>0</v>
      </c>
      <c r="AH1875">
        <v>0</v>
      </c>
      <c r="AI1875">
        <v>0</v>
      </c>
      <c r="AJ1875">
        <v>0</v>
      </c>
      <c r="AK1875">
        <v>0</v>
      </c>
    </row>
    <row r="1876" spans="1:37" x14ac:dyDescent="0.3">
      <c r="A1876">
        <v>7979</v>
      </c>
      <c r="B1876" t="s">
        <v>219</v>
      </c>
      <c r="D1876" t="s">
        <v>327</v>
      </c>
      <c r="E1876">
        <v>99999999</v>
      </c>
      <c r="F1876">
        <v>11111111</v>
      </c>
      <c r="G1876">
        <v>1111111111</v>
      </c>
      <c r="H1876" t="s">
        <v>5445</v>
      </c>
      <c r="I1876">
        <v>99999999</v>
      </c>
      <c r="J1876" s="188">
        <v>45237</v>
      </c>
      <c r="K1876" t="s">
        <v>5445</v>
      </c>
      <c r="L1876" t="s">
        <v>5445</v>
      </c>
      <c r="M1876" t="s">
        <v>2154</v>
      </c>
      <c r="N1876" t="s">
        <v>402</v>
      </c>
      <c r="O1876" t="s">
        <v>2544</v>
      </c>
      <c r="P1876" t="s">
        <v>221</v>
      </c>
      <c r="Q1876" t="s">
        <v>82</v>
      </c>
      <c r="R1876">
        <v>1</v>
      </c>
      <c r="S1876">
        <v>2.25</v>
      </c>
      <c r="T1876">
        <v>0</v>
      </c>
      <c r="U1876">
        <v>1</v>
      </c>
      <c r="V1876">
        <v>1</v>
      </c>
      <c r="W1876">
        <v>24.81</v>
      </c>
      <c r="X1876">
        <v>0</v>
      </c>
      <c r="Y1876">
        <v>0</v>
      </c>
      <c r="Z1876">
        <v>0</v>
      </c>
      <c r="AA1876">
        <v>0</v>
      </c>
      <c r="AB1876">
        <v>0</v>
      </c>
      <c r="AC1876">
        <v>0</v>
      </c>
      <c r="AD1876">
        <v>1</v>
      </c>
      <c r="AE1876">
        <v>0</v>
      </c>
      <c r="AF1876">
        <v>0</v>
      </c>
      <c r="AG1876">
        <v>0</v>
      </c>
      <c r="AH1876">
        <v>0</v>
      </c>
      <c r="AI1876">
        <v>0</v>
      </c>
      <c r="AJ1876">
        <v>0</v>
      </c>
      <c r="AK1876">
        <v>0</v>
      </c>
    </row>
    <row r="1877" spans="1:37" x14ac:dyDescent="0.3">
      <c r="A1877">
        <v>7979</v>
      </c>
      <c r="B1877" t="s">
        <v>219</v>
      </c>
      <c r="D1877" t="s">
        <v>327</v>
      </c>
      <c r="E1877">
        <v>99999999</v>
      </c>
      <c r="F1877">
        <v>11111111</v>
      </c>
      <c r="G1877">
        <v>1111111111</v>
      </c>
      <c r="H1877" t="s">
        <v>5446</v>
      </c>
      <c r="I1877">
        <v>99999999</v>
      </c>
      <c r="J1877" s="188">
        <v>45237</v>
      </c>
      <c r="K1877" t="s">
        <v>5446</v>
      </c>
      <c r="L1877" t="s">
        <v>5446</v>
      </c>
      <c r="M1877" t="s">
        <v>2545</v>
      </c>
      <c r="N1877" t="s">
        <v>99</v>
      </c>
      <c r="O1877" t="s">
        <v>2546</v>
      </c>
      <c r="P1877" t="s">
        <v>221</v>
      </c>
      <c r="Q1877" t="s">
        <v>82</v>
      </c>
      <c r="R1877">
        <v>1</v>
      </c>
      <c r="S1877">
        <v>22</v>
      </c>
      <c r="T1877">
        <v>0</v>
      </c>
      <c r="U1877">
        <v>1</v>
      </c>
      <c r="V1877">
        <v>1</v>
      </c>
      <c r="W1877">
        <v>44.92</v>
      </c>
      <c r="X1877">
        <v>0</v>
      </c>
      <c r="Y1877">
        <v>0</v>
      </c>
      <c r="Z1877">
        <v>0</v>
      </c>
      <c r="AA1877">
        <v>0</v>
      </c>
      <c r="AB1877">
        <v>0</v>
      </c>
      <c r="AC1877">
        <v>0</v>
      </c>
      <c r="AD1877">
        <v>1</v>
      </c>
      <c r="AE1877">
        <v>0</v>
      </c>
      <c r="AF1877">
        <v>0</v>
      </c>
      <c r="AG1877">
        <v>0</v>
      </c>
      <c r="AH1877">
        <v>0</v>
      </c>
      <c r="AI1877">
        <v>0</v>
      </c>
      <c r="AJ1877">
        <v>0</v>
      </c>
      <c r="AK1877">
        <v>0</v>
      </c>
    </row>
    <row r="1878" spans="1:37" x14ac:dyDescent="0.3">
      <c r="A1878">
        <v>7979</v>
      </c>
      <c r="B1878" t="s">
        <v>219</v>
      </c>
      <c r="D1878" t="s">
        <v>327</v>
      </c>
      <c r="E1878">
        <v>99999999</v>
      </c>
      <c r="F1878">
        <v>11111111</v>
      </c>
      <c r="G1878">
        <v>1111111111</v>
      </c>
      <c r="H1878" t="s">
        <v>5447</v>
      </c>
      <c r="I1878">
        <v>99999999</v>
      </c>
      <c r="J1878" s="188">
        <v>45237</v>
      </c>
      <c r="K1878" t="s">
        <v>5447</v>
      </c>
      <c r="L1878" t="s">
        <v>5447</v>
      </c>
      <c r="M1878" t="s">
        <v>330</v>
      </c>
      <c r="N1878" t="s">
        <v>99</v>
      </c>
      <c r="O1878" t="s">
        <v>2547</v>
      </c>
      <c r="P1878" t="s">
        <v>221</v>
      </c>
      <c r="Q1878" t="s">
        <v>82</v>
      </c>
      <c r="R1878">
        <v>1</v>
      </c>
      <c r="S1878">
        <v>28.4</v>
      </c>
      <c r="T1878">
        <v>0</v>
      </c>
      <c r="U1878">
        <v>1</v>
      </c>
      <c r="V1878">
        <v>1</v>
      </c>
      <c r="W1878">
        <v>31.88</v>
      </c>
      <c r="X1878">
        <v>0</v>
      </c>
      <c r="Y1878">
        <v>0</v>
      </c>
      <c r="Z1878">
        <v>0</v>
      </c>
      <c r="AA1878">
        <v>0</v>
      </c>
      <c r="AB1878">
        <v>0</v>
      </c>
      <c r="AC1878">
        <v>0</v>
      </c>
      <c r="AD1878">
        <v>1</v>
      </c>
      <c r="AE1878">
        <v>0</v>
      </c>
      <c r="AF1878">
        <v>0</v>
      </c>
      <c r="AG1878">
        <v>0</v>
      </c>
      <c r="AH1878">
        <v>0</v>
      </c>
      <c r="AI1878">
        <v>0</v>
      </c>
      <c r="AJ1878">
        <v>0</v>
      </c>
      <c r="AK1878">
        <v>0</v>
      </c>
    </row>
    <row r="1879" spans="1:37" x14ac:dyDescent="0.3">
      <c r="A1879">
        <v>7979</v>
      </c>
      <c r="B1879" t="s">
        <v>219</v>
      </c>
      <c r="D1879" t="s">
        <v>327</v>
      </c>
      <c r="E1879">
        <v>99999999</v>
      </c>
      <c r="F1879">
        <v>11111111</v>
      </c>
      <c r="G1879">
        <v>1111111111</v>
      </c>
      <c r="H1879" t="s">
        <v>5448</v>
      </c>
      <c r="I1879">
        <v>99999999</v>
      </c>
      <c r="J1879" s="188">
        <v>45237</v>
      </c>
      <c r="K1879" t="s">
        <v>5448</v>
      </c>
      <c r="L1879" t="s">
        <v>5448</v>
      </c>
      <c r="M1879" t="s">
        <v>1636</v>
      </c>
      <c r="N1879" t="s">
        <v>99</v>
      </c>
      <c r="O1879" t="s">
        <v>2548</v>
      </c>
      <c r="P1879" t="s">
        <v>221</v>
      </c>
      <c r="Q1879" t="s">
        <v>82</v>
      </c>
      <c r="R1879">
        <v>1</v>
      </c>
      <c r="S1879">
        <v>24.7</v>
      </c>
      <c r="T1879">
        <v>0</v>
      </c>
      <c r="U1879">
        <v>1</v>
      </c>
      <c r="V1879">
        <v>1</v>
      </c>
      <c r="W1879">
        <v>38.479999999999997</v>
      </c>
      <c r="X1879">
        <v>0</v>
      </c>
      <c r="Y1879">
        <v>0</v>
      </c>
      <c r="Z1879">
        <v>0</v>
      </c>
      <c r="AA1879">
        <v>0</v>
      </c>
      <c r="AB1879">
        <v>0</v>
      </c>
      <c r="AC1879">
        <v>0</v>
      </c>
      <c r="AD1879">
        <v>1</v>
      </c>
      <c r="AE1879">
        <v>0</v>
      </c>
      <c r="AF1879">
        <v>0</v>
      </c>
      <c r="AG1879">
        <v>0</v>
      </c>
      <c r="AH1879">
        <v>0</v>
      </c>
      <c r="AI1879">
        <v>0</v>
      </c>
      <c r="AJ1879">
        <v>0</v>
      </c>
      <c r="AK1879">
        <v>0</v>
      </c>
    </row>
    <row r="1880" spans="1:37" x14ac:dyDescent="0.3">
      <c r="A1880">
        <v>7979</v>
      </c>
      <c r="B1880" t="s">
        <v>219</v>
      </c>
      <c r="D1880" t="s">
        <v>327</v>
      </c>
      <c r="E1880">
        <v>99999999</v>
      </c>
      <c r="F1880">
        <v>11111111</v>
      </c>
      <c r="G1880">
        <v>1111111111</v>
      </c>
      <c r="H1880" t="s">
        <v>5449</v>
      </c>
      <c r="I1880">
        <v>99999999</v>
      </c>
      <c r="J1880" s="188">
        <v>45238</v>
      </c>
      <c r="K1880" t="s">
        <v>5449</v>
      </c>
      <c r="L1880" t="s">
        <v>5449</v>
      </c>
      <c r="M1880" t="s">
        <v>362</v>
      </c>
      <c r="N1880" t="s">
        <v>122</v>
      </c>
      <c r="O1880" t="s">
        <v>2549</v>
      </c>
      <c r="P1880" t="s">
        <v>221</v>
      </c>
      <c r="Q1880" t="s">
        <v>82</v>
      </c>
      <c r="R1880">
        <v>2</v>
      </c>
      <c r="S1880">
        <v>3</v>
      </c>
      <c r="T1880">
        <v>0</v>
      </c>
      <c r="U1880">
        <v>1</v>
      </c>
      <c r="V1880">
        <v>1</v>
      </c>
      <c r="W1880">
        <v>29.71</v>
      </c>
      <c r="X1880">
        <v>0</v>
      </c>
      <c r="Y1880">
        <v>0</v>
      </c>
      <c r="Z1880">
        <v>0</v>
      </c>
      <c r="AA1880">
        <v>0</v>
      </c>
      <c r="AB1880">
        <v>0</v>
      </c>
      <c r="AC1880">
        <v>0</v>
      </c>
      <c r="AD1880">
        <v>2</v>
      </c>
      <c r="AE1880">
        <v>0</v>
      </c>
      <c r="AF1880">
        <v>0</v>
      </c>
      <c r="AG1880">
        <v>0</v>
      </c>
      <c r="AH1880">
        <v>0</v>
      </c>
      <c r="AI1880">
        <v>0</v>
      </c>
      <c r="AJ1880">
        <v>0</v>
      </c>
      <c r="AK1880">
        <v>0</v>
      </c>
    </row>
    <row r="1881" spans="1:37" x14ac:dyDescent="0.3">
      <c r="A1881">
        <v>7979</v>
      </c>
      <c r="B1881" t="s">
        <v>219</v>
      </c>
      <c r="D1881" t="s">
        <v>327</v>
      </c>
      <c r="E1881">
        <v>99999999</v>
      </c>
      <c r="F1881">
        <v>11111111</v>
      </c>
      <c r="G1881">
        <v>1111111111</v>
      </c>
      <c r="H1881" t="s">
        <v>5450</v>
      </c>
      <c r="I1881">
        <v>99999999</v>
      </c>
      <c r="J1881" s="188">
        <v>45238</v>
      </c>
      <c r="K1881" t="s">
        <v>5450</v>
      </c>
      <c r="L1881" t="s">
        <v>5450</v>
      </c>
      <c r="M1881" t="s">
        <v>2550</v>
      </c>
      <c r="N1881" t="s">
        <v>186</v>
      </c>
      <c r="O1881" t="s">
        <v>2551</v>
      </c>
      <c r="P1881" t="s">
        <v>221</v>
      </c>
      <c r="Q1881" t="s">
        <v>82</v>
      </c>
      <c r="R1881">
        <v>1</v>
      </c>
      <c r="S1881">
        <v>2.2000000000000002</v>
      </c>
      <c r="T1881">
        <v>0</v>
      </c>
      <c r="U1881">
        <v>1</v>
      </c>
      <c r="V1881">
        <v>1</v>
      </c>
      <c r="W1881">
        <v>24.81</v>
      </c>
      <c r="X1881">
        <v>0</v>
      </c>
      <c r="Y1881">
        <v>0</v>
      </c>
      <c r="Z1881">
        <v>0</v>
      </c>
      <c r="AA1881">
        <v>0</v>
      </c>
      <c r="AB1881">
        <v>0</v>
      </c>
      <c r="AC1881">
        <v>0</v>
      </c>
      <c r="AD1881">
        <v>1</v>
      </c>
      <c r="AE1881">
        <v>0</v>
      </c>
      <c r="AF1881">
        <v>0</v>
      </c>
      <c r="AG1881">
        <v>0</v>
      </c>
      <c r="AH1881">
        <v>0</v>
      </c>
      <c r="AI1881">
        <v>0</v>
      </c>
      <c r="AJ1881">
        <v>0</v>
      </c>
      <c r="AK1881">
        <v>0</v>
      </c>
    </row>
    <row r="1882" spans="1:37" x14ac:dyDescent="0.3">
      <c r="A1882">
        <v>7979</v>
      </c>
      <c r="B1882" t="s">
        <v>219</v>
      </c>
      <c r="D1882" t="s">
        <v>327</v>
      </c>
      <c r="E1882">
        <v>99999999</v>
      </c>
      <c r="F1882">
        <v>11111111</v>
      </c>
      <c r="G1882">
        <v>1111111111</v>
      </c>
      <c r="H1882" t="s">
        <v>5451</v>
      </c>
      <c r="I1882">
        <v>99999999</v>
      </c>
      <c r="J1882" s="188">
        <v>45238</v>
      </c>
      <c r="K1882" t="s">
        <v>5451</v>
      </c>
      <c r="L1882" t="s">
        <v>5451</v>
      </c>
      <c r="M1882" t="s">
        <v>2552</v>
      </c>
      <c r="N1882" t="s">
        <v>233</v>
      </c>
      <c r="O1882" t="s">
        <v>2553</v>
      </c>
      <c r="P1882" t="s">
        <v>221</v>
      </c>
      <c r="Q1882" t="s">
        <v>82</v>
      </c>
      <c r="R1882">
        <v>1</v>
      </c>
      <c r="S1882">
        <v>5</v>
      </c>
      <c r="T1882">
        <v>0</v>
      </c>
      <c r="U1882">
        <v>1</v>
      </c>
      <c r="V1882">
        <v>1</v>
      </c>
      <c r="W1882">
        <v>33.47</v>
      </c>
      <c r="X1882">
        <v>0</v>
      </c>
      <c r="Y1882">
        <v>0</v>
      </c>
      <c r="Z1882">
        <v>0</v>
      </c>
      <c r="AA1882">
        <v>0</v>
      </c>
      <c r="AB1882">
        <v>0</v>
      </c>
      <c r="AC1882">
        <v>0</v>
      </c>
      <c r="AD1882">
        <v>1</v>
      </c>
      <c r="AE1882">
        <v>0</v>
      </c>
      <c r="AF1882">
        <v>0</v>
      </c>
      <c r="AG1882">
        <v>0</v>
      </c>
      <c r="AH1882">
        <v>0</v>
      </c>
      <c r="AI1882">
        <v>0</v>
      </c>
      <c r="AJ1882">
        <v>0</v>
      </c>
      <c r="AK1882">
        <v>0</v>
      </c>
    </row>
    <row r="1883" spans="1:37" x14ac:dyDescent="0.3">
      <c r="A1883">
        <v>7979</v>
      </c>
      <c r="B1883" t="s">
        <v>219</v>
      </c>
      <c r="D1883" t="s">
        <v>327</v>
      </c>
      <c r="E1883">
        <v>99999999</v>
      </c>
      <c r="F1883">
        <v>11111111</v>
      </c>
      <c r="G1883">
        <v>1111111111</v>
      </c>
      <c r="H1883" t="s">
        <v>5452</v>
      </c>
      <c r="I1883">
        <v>99999999</v>
      </c>
      <c r="J1883" s="188">
        <v>45238</v>
      </c>
      <c r="K1883" t="s">
        <v>5452</v>
      </c>
      <c r="L1883" t="s">
        <v>5452</v>
      </c>
      <c r="M1883" t="s">
        <v>209</v>
      </c>
      <c r="N1883" t="s">
        <v>197</v>
      </c>
      <c r="O1883" t="s">
        <v>2554</v>
      </c>
      <c r="P1883" t="s">
        <v>221</v>
      </c>
      <c r="Q1883" t="s">
        <v>82</v>
      </c>
      <c r="R1883">
        <v>2</v>
      </c>
      <c r="S1883">
        <v>3</v>
      </c>
      <c r="T1883">
        <v>0</v>
      </c>
      <c r="U1883">
        <v>1</v>
      </c>
      <c r="V1883">
        <v>1</v>
      </c>
      <c r="W1883">
        <v>25.25</v>
      </c>
      <c r="X1883">
        <v>0</v>
      </c>
      <c r="Y1883">
        <v>0</v>
      </c>
      <c r="Z1883">
        <v>0</v>
      </c>
      <c r="AA1883">
        <v>0</v>
      </c>
      <c r="AB1883">
        <v>0</v>
      </c>
      <c r="AC1883">
        <v>0</v>
      </c>
      <c r="AD1883">
        <v>2</v>
      </c>
      <c r="AE1883">
        <v>0</v>
      </c>
      <c r="AF1883">
        <v>0</v>
      </c>
      <c r="AG1883">
        <v>0</v>
      </c>
      <c r="AH1883">
        <v>0</v>
      </c>
      <c r="AI1883">
        <v>0</v>
      </c>
      <c r="AJ1883">
        <v>0</v>
      </c>
      <c r="AK1883">
        <v>0</v>
      </c>
    </row>
    <row r="1884" spans="1:37" x14ac:dyDescent="0.3">
      <c r="A1884">
        <v>7979</v>
      </c>
      <c r="B1884" t="s">
        <v>219</v>
      </c>
      <c r="D1884" t="s">
        <v>327</v>
      </c>
      <c r="E1884">
        <v>99999999</v>
      </c>
      <c r="F1884">
        <v>11111111</v>
      </c>
      <c r="G1884">
        <v>1111111111</v>
      </c>
      <c r="H1884" t="s">
        <v>5453</v>
      </c>
      <c r="I1884">
        <v>99999999</v>
      </c>
      <c r="J1884" s="188">
        <v>45238</v>
      </c>
      <c r="K1884" t="s">
        <v>5453</v>
      </c>
      <c r="L1884" t="s">
        <v>5453</v>
      </c>
      <c r="M1884" t="s">
        <v>2555</v>
      </c>
      <c r="N1884" t="s">
        <v>197</v>
      </c>
      <c r="O1884" t="s">
        <v>2556</v>
      </c>
      <c r="P1884" t="s">
        <v>221</v>
      </c>
      <c r="Q1884" t="s">
        <v>82</v>
      </c>
      <c r="R1884">
        <v>1</v>
      </c>
      <c r="S1884">
        <v>8.1999999999999993</v>
      </c>
      <c r="T1884">
        <v>0</v>
      </c>
      <c r="U1884">
        <v>1</v>
      </c>
      <c r="V1884">
        <v>1</v>
      </c>
      <c r="W1884">
        <v>32.799999999999997</v>
      </c>
      <c r="X1884">
        <v>0</v>
      </c>
      <c r="Y1884">
        <v>0</v>
      </c>
      <c r="Z1884">
        <v>0</v>
      </c>
      <c r="AA1884">
        <v>0</v>
      </c>
      <c r="AB1884">
        <v>0</v>
      </c>
      <c r="AC1884">
        <v>0</v>
      </c>
      <c r="AD1884">
        <v>1</v>
      </c>
      <c r="AE1884">
        <v>0</v>
      </c>
      <c r="AF1884">
        <v>0</v>
      </c>
      <c r="AG1884">
        <v>0</v>
      </c>
      <c r="AH1884">
        <v>0</v>
      </c>
      <c r="AI1884">
        <v>0</v>
      </c>
      <c r="AJ1884">
        <v>0</v>
      </c>
      <c r="AK1884">
        <v>0</v>
      </c>
    </row>
    <row r="1885" spans="1:37" x14ac:dyDescent="0.3">
      <c r="A1885">
        <v>7979</v>
      </c>
      <c r="B1885" t="s">
        <v>219</v>
      </c>
      <c r="D1885" t="s">
        <v>327</v>
      </c>
      <c r="E1885">
        <v>99999999</v>
      </c>
      <c r="F1885">
        <v>11111111</v>
      </c>
      <c r="G1885">
        <v>1111111111</v>
      </c>
      <c r="H1885" t="s">
        <v>5454</v>
      </c>
      <c r="I1885">
        <v>99999999</v>
      </c>
      <c r="J1885" s="188">
        <v>45238</v>
      </c>
      <c r="K1885" t="s">
        <v>5454</v>
      </c>
      <c r="L1885" t="s">
        <v>5454</v>
      </c>
      <c r="M1885" t="s">
        <v>330</v>
      </c>
      <c r="N1885" t="s">
        <v>99</v>
      </c>
      <c r="O1885" t="s">
        <v>331</v>
      </c>
      <c r="P1885" t="s">
        <v>221</v>
      </c>
      <c r="Q1885" t="s">
        <v>82</v>
      </c>
      <c r="R1885">
        <v>2</v>
      </c>
      <c r="S1885">
        <v>30.62</v>
      </c>
      <c r="T1885">
        <v>0</v>
      </c>
      <c r="U1885">
        <v>1</v>
      </c>
      <c r="V1885">
        <v>1</v>
      </c>
      <c r="W1885">
        <v>33.14</v>
      </c>
      <c r="X1885">
        <v>0</v>
      </c>
      <c r="Y1885">
        <v>0</v>
      </c>
      <c r="Z1885">
        <v>0</v>
      </c>
      <c r="AA1885">
        <v>0</v>
      </c>
      <c r="AB1885">
        <v>0</v>
      </c>
      <c r="AC1885">
        <v>0</v>
      </c>
      <c r="AD1885">
        <v>2</v>
      </c>
      <c r="AE1885">
        <v>0</v>
      </c>
      <c r="AF1885">
        <v>0</v>
      </c>
      <c r="AG1885">
        <v>0</v>
      </c>
      <c r="AH1885">
        <v>0</v>
      </c>
      <c r="AI1885">
        <v>0</v>
      </c>
      <c r="AJ1885">
        <v>0</v>
      </c>
      <c r="AK1885">
        <v>0</v>
      </c>
    </row>
    <row r="1886" spans="1:37" x14ac:dyDescent="0.3">
      <c r="A1886">
        <v>7979</v>
      </c>
      <c r="B1886" t="s">
        <v>219</v>
      </c>
      <c r="D1886" t="s">
        <v>327</v>
      </c>
      <c r="E1886">
        <v>99999999</v>
      </c>
      <c r="F1886">
        <v>11111111</v>
      </c>
      <c r="G1886">
        <v>1111111111</v>
      </c>
      <c r="H1886" t="s">
        <v>5455</v>
      </c>
      <c r="I1886">
        <v>99999999</v>
      </c>
      <c r="J1886" s="188">
        <v>45238</v>
      </c>
      <c r="K1886" t="s">
        <v>5455</v>
      </c>
      <c r="L1886" t="s">
        <v>5455</v>
      </c>
      <c r="M1886" t="s">
        <v>2557</v>
      </c>
      <c r="N1886" t="s">
        <v>983</v>
      </c>
      <c r="O1886" t="s">
        <v>2558</v>
      </c>
      <c r="P1886" t="s">
        <v>221</v>
      </c>
      <c r="Q1886" t="s">
        <v>82</v>
      </c>
      <c r="R1886">
        <v>1</v>
      </c>
      <c r="S1886">
        <v>1.55</v>
      </c>
      <c r="T1886">
        <v>0</v>
      </c>
      <c r="U1886">
        <v>1</v>
      </c>
      <c r="V1886">
        <v>1</v>
      </c>
      <c r="W1886">
        <v>33.07</v>
      </c>
      <c r="X1886">
        <v>0</v>
      </c>
      <c r="Y1886">
        <v>0</v>
      </c>
      <c r="Z1886">
        <v>0</v>
      </c>
      <c r="AA1886">
        <v>0</v>
      </c>
      <c r="AB1886">
        <v>0</v>
      </c>
      <c r="AC1886">
        <v>0</v>
      </c>
      <c r="AD1886">
        <v>1</v>
      </c>
      <c r="AE1886">
        <v>0</v>
      </c>
      <c r="AF1886">
        <v>0</v>
      </c>
      <c r="AG1886">
        <v>0</v>
      </c>
      <c r="AH1886">
        <v>0</v>
      </c>
      <c r="AI1886">
        <v>0</v>
      </c>
      <c r="AJ1886">
        <v>0</v>
      </c>
      <c r="AK1886">
        <v>0</v>
      </c>
    </row>
    <row r="1887" spans="1:37" x14ac:dyDescent="0.3">
      <c r="A1887">
        <v>7979</v>
      </c>
      <c r="B1887" t="s">
        <v>219</v>
      </c>
      <c r="D1887" t="s">
        <v>327</v>
      </c>
      <c r="E1887">
        <v>99999999</v>
      </c>
      <c r="F1887">
        <v>11111111</v>
      </c>
      <c r="G1887">
        <v>1111111111</v>
      </c>
      <c r="H1887" t="s">
        <v>5456</v>
      </c>
      <c r="I1887">
        <v>99999999</v>
      </c>
      <c r="J1887" s="188">
        <v>45238</v>
      </c>
      <c r="K1887" t="s">
        <v>5456</v>
      </c>
      <c r="L1887" t="s">
        <v>5456</v>
      </c>
      <c r="M1887" t="s">
        <v>2559</v>
      </c>
      <c r="N1887" t="s">
        <v>233</v>
      </c>
      <c r="O1887" t="s">
        <v>2560</v>
      </c>
      <c r="P1887" t="s">
        <v>221</v>
      </c>
      <c r="Q1887" t="s">
        <v>82</v>
      </c>
      <c r="R1887">
        <v>1</v>
      </c>
      <c r="S1887">
        <v>6.15</v>
      </c>
      <c r="T1887">
        <v>0</v>
      </c>
      <c r="U1887">
        <v>1</v>
      </c>
      <c r="V1887">
        <v>1</v>
      </c>
      <c r="W1887">
        <v>34.270000000000003</v>
      </c>
      <c r="X1887">
        <v>0</v>
      </c>
      <c r="Y1887">
        <v>0</v>
      </c>
      <c r="Z1887">
        <v>0</v>
      </c>
      <c r="AA1887">
        <v>0</v>
      </c>
      <c r="AB1887">
        <v>0</v>
      </c>
      <c r="AC1887">
        <v>0</v>
      </c>
      <c r="AD1887">
        <v>1</v>
      </c>
      <c r="AE1887">
        <v>0</v>
      </c>
      <c r="AF1887">
        <v>0</v>
      </c>
      <c r="AG1887">
        <v>0</v>
      </c>
      <c r="AH1887">
        <v>0</v>
      </c>
      <c r="AI1887">
        <v>0</v>
      </c>
      <c r="AJ1887">
        <v>0</v>
      </c>
      <c r="AK1887">
        <v>0</v>
      </c>
    </row>
    <row r="1888" spans="1:37" x14ac:dyDescent="0.3">
      <c r="A1888">
        <v>7979</v>
      </c>
      <c r="B1888" t="s">
        <v>219</v>
      </c>
      <c r="D1888" t="s">
        <v>327</v>
      </c>
      <c r="E1888">
        <v>99999999</v>
      </c>
      <c r="F1888">
        <v>11111111</v>
      </c>
      <c r="G1888">
        <v>1111111111</v>
      </c>
      <c r="H1888" t="s">
        <v>5457</v>
      </c>
      <c r="I1888">
        <v>99999999</v>
      </c>
      <c r="J1888" s="188">
        <v>45238</v>
      </c>
      <c r="K1888" t="s">
        <v>5457</v>
      </c>
      <c r="L1888" t="s">
        <v>5457</v>
      </c>
      <c r="M1888" t="s">
        <v>2561</v>
      </c>
      <c r="N1888" t="s">
        <v>97</v>
      </c>
      <c r="O1888" t="s">
        <v>2562</v>
      </c>
      <c r="P1888" t="s">
        <v>221</v>
      </c>
      <c r="Q1888" t="s">
        <v>82</v>
      </c>
      <c r="R1888">
        <v>4</v>
      </c>
      <c r="S1888">
        <v>3.29</v>
      </c>
      <c r="T1888">
        <v>0</v>
      </c>
      <c r="U1888">
        <v>1</v>
      </c>
      <c r="V1888">
        <v>4</v>
      </c>
      <c r="W1888">
        <v>28.64</v>
      </c>
      <c r="X1888">
        <v>0</v>
      </c>
      <c r="Y1888">
        <v>0</v>
      </c>
      <c r="Z1888">
        <v>0</v>
      </c>
      <c r="AA1888">
        <v>0</v>
      </c>
      <c r="AB1888">
        <v>0</v>
      </c>
      <c r="AC1888">
        <v>0</v>
      </c>
      <c r="AD1888">
        <v>4</v>
      </c>
      <c r="AE1888">
        <v>0</v>
      </c>
      <c r="AF1888">
        <v>0</v>
      </c>
      <c r="AG1888">
        <v>0</v>
      </c>
      <c r="AH1888">
        <v>0</v>
      </c>
      <c r="AI1888">
        <v>0</v>
      </c>
      <c r="AJ1888">
        <v>0</v>
      </c>
      <c r="AK1888">
        <v>0</v>
      </c>
    </row>
    <row r="1889" spans="1:37" x14ac:dyDescent="0.3">
      <c r="A1889">
        <v>7979</v>
      </c>
      <c r="B1889" t="s">
        <v>219</v>
      </c>
      <c r="D1889" t="s">
        <v>327</v>
      </c>
      <c r="E1889">
        <v>99999999</v>
      </c>
      <c r="F1889">
        <v>11111111</v>
      </c>
      <c r="G1889">
        <v>1111111111</v>
      </c>
      <c r="H1889" t="s">
        <v>5458</v>
      </c>
      <c r="I1889">
        <v>99999999</v>
      </c>
      <c r="J1889" s="188">
        <v>45238</v>
      </c>
      <c r="K1889" t="s">
        <v>5458</v>
      </c>
      <c r="L1889" t="s">
        <v>5458</v>
      </c>
      <c r="M1889" t="s">
        <v>474</v>
      </c>
      <c r="N1889" t="s">
        <v>135</v>
      </c>
      <c r="O1889" t="s">
        <v>2563</v>
      </c>
      <c r="P1889" t="s">
        <v>221</v>
      </c>
      <c r="Q1889" t="s">
        <v>82</v>
      </c>
      <c r="R1889">
        <v>1</v>
      </c>
      <c r="S1889">
        <v>10</v>
      </c>
      <c r="T1889">
        <v>0</v>
      </c>
      <c r="U1889">
        <v>1</v>
      </c>
      <c r="V1889">
        <v>1</v>
      </c>
      <c r="W1889">
        <v>24.65</v>
      </c>
      <c r="X1889">
        <v>0</v>
      </c>
      <c r="Y1889">
        <v>0</v>
      </c>
      <c r="Z1889">
        <v>0</v>
      </c>
      <c r="AA1889">
        <v>0</v>
      </c>
      <c r="AB1889">
        <v>0</v>
      </c>
      <c r="AC1889">
        <v>0</v>
      </c>
      <c r="AD1889">
        <v>1</v>
      </c>
      <c r="AE1889">
        <v>0</v>
      </c>
      <c r="AF1889">
        <v>0</v>
      </c>
      <c r="AG1889">
        <v>0</v>
      </c>
      <c r="AH1889">
        <v>0</v>
      </c>
      <c r="AI1889">
        <v>0</v>
      </c>
      <c r="AJ1889">
        <v>0</v>
      </c>
      <c r="AK1889">
        <v>0</v>
      </c>
    </row>
    <row r="1890" spans="1:37" x14ac:dyDescent="0.3">
      <c r="A1890">
        <v>7979</v>
      </c>
      <c r="B1890" t="s">
        <v>219</v>
      </c>
      <c r="D1890" t="s">
        <v>327</v>
      </c>
      <c r="E1890">
        <v>99999999</v>
      </c>
      <c r="F1890">
        <v>11111111</v>
      </c>
      <c r="G1890">
        <v>1111111111</v>
      </c>
      <c r="H1890" t="s">
        <v>5459</v>
      </c>
      <c r="I1890">
        <v>99999999</v>
      </c>
      <c r="J1890" s="188">
        <v>45238</v>
      </c>
      <c r="K1890" t="s">
        <v>5459</v>
      </c>
      <c r="L1890" t="s">
        <v>5459</v>
      </c>
      <c r="M1890" t="s">
        <v>258</v>
      </c>
      <c r="N1890" t="s">
        <v>91</v>
      </c>
      <c r="O1890" t="s">
        <v>2564</v>
      </c>
      <c r="P1890" t="s">
        <v>221</v>
      </c>
      <c r="Q1890" t="s">
        <v>82</v>
      </c>
      <c r="R1890">
        <v>1</v>
      </c>
      <c r="S1890">
        <v>15.24</v>
      </c>
      <c r="T1890">
        <v>0</v>
      </c>
      <c r="U1890">
        <v>1</v>
      </c>
      <c r="V1890">
        <v>1</v>
      </c>
      <c r="W1890">
        <v>28.55</v>
      </c>
      <c r="X1890">
        <v>0</v>
      </c>
      <c r="Y1890">
        <v>0</v>
      </c>
      <c r="Z1890">
        <v>0</v>
      </c>
      <c r="AA1890">
        <v>0</v>
      </c>
      <c r="AB1890">
        <v>0</v>
      </c>
      <c r="AC1890">
        <v>0</v>
      </c>
      <c r="AD1890">
        <v>1</v>
      </c>
      <c r="AE1890">
        <v>0</v>
      </c>
      <c r="AF1890">
        <v>0</v>
      </c>
      <c r="AG1890">
        <v>0</v>
      </c>
      <c r="AH1890">
        <v>0</v>
      </c>
      <c r="AI1890">
        <v>0</v>
      </c>
      <c r="AJ1890">
        <v>0</v>
      </c>
      <c r="AK1890">
        <v>0</v>
      </c>
    </row>
    <row r="1891" spans="1:37" x14ac:dyDescent="0.3">
      <c r="A1891">
        <v>7979</v>
      </c>
      <c r="B1891" t="s">
        <v>219</v>
      </c>
      <c r="D1891" t="s">
        <v>327</v>
      </c>
      <c r="E1891">
        <v>99999999</v>
      </c>
      <c r="F1891">
        <v>11111111</v>
      </c>
      <c r="G1891">
        <v>1111111111</v>
      </c>
      <c r="H1891" t="s">
        <v>5460</v>
      </c>
      <c r="I1891">
        <v>99999999</v>
      </c>
      <c r="J1891" s="188">
        <v>45238</v>
      </c>
      <c r="K1891" t="s">
        <v>5460</v>
      </c>
      <c r="L1891" t="s">
        <v>5460</v>
      </c>
      <c r="M1891" t="s">
        <v>2329</v>
      </c>
      <c r="N1891" t="s">
        <v>97</v>
      </c>
      <c r="O1891" t="s">
        <v>2565</v>
      </c>
      <c r="P1891" t="s">
        <v>221</v>
      </c>
      <c r="Q1891" t="s">
        <v>82</v>
      </c>
      <c r="R1891">
        <v>4</v>
      </c>
      <c r="S1891">
        <v>2.8</v>
      </c>
      <c r="T1891">
        <v>0</v>
      </c>
      <c r="U1891">
        <v>1</v>
      </c>
      <c r="V1891">
        <v>1</v>
      </c>
      <c r="W1891">
        <v>28.64</v>
      </c>
      <c r="X1891">
        <v>0</v>
      </c>
      <c r="Y1891">
        <v>0</v>
      </c>
      <c r="Z1891">
        <v>0</v>
      </c>
      <c r="AA1891">
        <v>0</v>
      </c>
      <c r="AB1891">
        <v>0</v>
      </c>
      <c r="AC1891">
        <v>0</v>
      </c>
      <c r="AD1891">
        <v>4</v>
      </c>
      <c r="AE1891">
        <v>0</v>
      </c>
      <c r="AF1891">
        <v>0</v>
      </c>
      <c r="AG1891">
        <v>0</v>
      </c>
      <c r="AH1891">
        <v>0</v>
      </c>
      <c r="AI1891">
        <v>0</v>
      </c>
      <c r="AJ1891">
        <v>0</v>
      </c>
      <c r="AK1891">
        <v>0</v>
      </c>
    </row>
    <row r="1892" spans="1:37" x14ac:dyDescent="0.3">
      <c r="A1892">
        <v>7979</v>
      </c>
      <c r="B1892" t="s">
        <v>219</v>
      </c>
      <c r="D1892" t="s">
        <v>327</v>
      </c>
      <c r="E1892">
        <v>99999999</v>
      </c>
      <c r="F1892">
        <v>11111111</v>
      </c>
      <c r="G1892">
        <v>1111111111</v>
      </c>
      <c r="H1892" t="s">
        <v>5461</v>
      </c>
      <c r="I1892">
        <v>99999999</v>
      </c>
      <c r="J1892" s="188">
        <v>45238</v>
      </c>
      <c r="K1892" t="s">
        <v>5461</v>
      </c>
      <c r="L1892" t="s">
        <v>5461</v>
      </c>
      <c r="M1892" t="s">
        <v>2566</v>
      </c>
      <c r="N1892" t="s">
        <v>197</v>
      </c>
      <c r="O1892" t="s">
        <v>2567</v>
      </c>
      <c r="P1892" t="s">
        <v>221</v>
      </c>
      <c r="Q1892" t="s">
        <v>82</v>
      </c>
      <c r="R1892">
        <v>2</v>
      </c>
      <c r="S1892">
        <v>8</v>
      </c>
      <c r="T1892">
        <v>0</v>
      </c>
      <c r="U1892">
        <v>1</v>
      </c>
      <c r="V1892">
        <v>1</v>
      </c>
      <c r="W1892">
        <v>34.94</v>
      </c>
      <c r="X1892">
        <v>0</v>
      </c>
      <c r="Y1892">
        <v>0</v>
      </c>
      <c r="Z1892">
        <v>0</v>
      </c>
      <c r="AA1892">
        <v>0</v>
      </c>
      <c r="AB1892">
        <v>0</v>
      </c>
      <c r="AC1892">
        <v>0</v>
      </c>
      <c r="AD1892">
        <v>2</v>
      </c>
      <c r="AE1892">
        <v>0</v>
      </c>
      <c r="AF1892">
        <v>0</v>
      </c>
      <c r="AG1892">
        <v>0</v>
      </c>
      <c r="AH1892">
        <v>0</v>
      </c>
      <c r="AI1892">
        <v>0</v>
      </c>
      <c r="AJ1892">
        <v>0</v>
      </c>
      <c r="AK1892">
        <v>0</v>
      </c>
    </row>
    <row r="1893" spans="1:37" x14ac:dyDescent="0.3">
      <c r="A1893">
        <v>7979</v>
      </c>
      <c r="B1893" t="s">
        <v>219</v>
      </c>
      <c r="D1893" t="s">
        <v>327</v>
      </c>
      <c r="E1893">
        <v>99999999</v>
      </c>
      <c r="F1893">
        <v>11111111</v>
      </c>
      <c r="G1893">
        <v>1111111111</v>
      </c>
      <c r="H1893" t="s">
        <v>5462</v>
      </c>
      <c r="I1893">
        <v>99999999</v>
      </c>
      <c r="J1893" s="188">
        <v>45238</v>
      </c>
      <c r="K1893" t="s">
        <v>5462</v>
      </c>
      <c r="L1893" t="s">
        <v>5462</v>
      </c>
      <c r="M1893" t="s">
        <v>2568</v>
      </c>
      <c r="N1893" t="s">
        <v>231</v>
      </c>
      <c r="O1893" t="s">
        <v>2569</v>
      </c>
      <c r="P1893" t="s">
        <v>221</v>
      </c>
      <c r="Q1893" t="s">
        <v>82</v>
      </c>
      <c r="R1893">
        <v>1</v>
      </c>
      <c r="S1893">
        <v>1.32</v>
      </c>
      <c r="T1893">
        <v>0</v>
      </c>
      <c r="U1893">
        <v>1</v>
      </c>
      <c r="V1893">
        <v>1</v>
      </c>
      <c r="W1893">
        <v>29.22</v>
      </c>
      <c r="X1893">
        <v>0</v>
      </c>
      <c r="Y1893">
        <v>0</v>
      </c>
      <c r="Z1893">
        <v>0</v>
      </c>
      <c r="AA1893">
        <v>0</v>
      </c>
      <c r="AB1893">
        <v>0</v>
      </c>
      <c r="AC1893">
        <v>0</v>
      </c>
      <c r="AD1893">
        <v>1</v>
      </c>
      <c r="AE1893">
        <v>0</v>
      </c>
      <c r="AF1893">
        <v>0</v>
      </c>
      <c r="AG1893">
        <v>0</v>
      </c>
      <c r="AH1893">
        <v>0</v>
      </c>
      <c r="AI1893">
        <v>0</v>
      </c>
      <c r="AJ1893">
        <v>0</v>
      </c>
      <c r="AK1893">
        <v>0</v>
      </c>
    </row>
    <row r="1894" spans="1:37" x14ac:dyDescent="0.3">
      <c r="A1894">
        <v>7979</v>
      </c>
      <c r="B1894" t="s">
        <v>219</v>
      </c>
      <c r="D1894" t="s">
        <v>327</v>
      </c>
      <c r="E1894">
        <v>99999999</v>
      </c>
      <c r="F1894">
        <v>11111111</v>
      </c>
      <c r="G1894">
        <v>1111111111</v>
      </c>
      <c r="H1894" t="s">
        <v>5463</v>
      </c>
      <c r="I1894">
        <v>99999999</v>
      </c>
      <c r="J1894" s="188">
        <v>45238</v>
      </c>
      <c r="K1894" t="s">
        <v>5463</v>
      </c>
      <c r="L1894" t="s">
        <v>5463</v>
      </c>
      <c r="M1894" t="s">
        <v>95</v>
      </c>
      <c r="N1894" t="s">
        <v>91</v>
      </c>
      <c r="O1894" t="s">
        <v>2570</v>
      </c>
      <c r="P1894" t="s">
        <v>221</v>
      </c>
      <c r="Q1894" t="s">
        <v>82</v>
      </c>
      <c r="R1894">
        <v>1</v>
      </c>
      <c r="S1894">
        <v>1.39</v>
      </c>
      <c r="T1894">
        <v>0</v>
      </c>
      <c r="U1894">
        <v>1</v>
      </c>
      <c r="V1894">
        <v>1</v>
      </c>
      <c r="W1894">
        <v>21.54</v>
      </c>
      <c r="X1894">
        <v>0</v>
      </c>
      <c r="Y1894">
        <v>0</v>
      </c>
      <c r="Z1894">
        <v>0</v>
      </c>
      <c r="AA1894">
        <v>0</v>
      </c>
      <c r="AB1894">
        <v>0</v>
      </c>
      <c r="AC1894">
        <v>0</v>
      </c>
      <c r="AD1894">
        <v>1</v>
      </c>
      <c r="AE1894">
        <v>0</v>
      </c>
      <c r="AF1894">
        <v>0</v>
      </c>
      <c r="AG1894">
        <v>0</v>
      </c>
      <c r="AH1894">
        <v>0</v>
      </c>
      <c r="AI1894">
        <v>0</v>
      </c>
      <c r="AJ1894">
        <v>0</v>
      </c>
      <c r="AK1894">
        <v>0</v>
      </c>
    </row>
    <row r="1895" spans="1:37" x14ac:dyDescent="0.3">
      <c r="A1895">
        <v>7979</v>
      </c>
      <c r="B1895" t="s">
        <v>219</v>
      </c>
      <c r="D1895" t="s">
        <v>327</v>
      </c>
      <c r="E1895">
        <v>99999999</v>
      </c>
      <c r="F1895">
        <v>11111111</v>
      </c>
      <c r="G1895">
        <v>1111111111</v>
      </c>
      <c r="H1895" t="s">
        <v>5464</v>
      </c>
      <c r="I1895">
        <v>99999999</v>
      </c>
      <c r="J1895" s="188">
        <v>45238</v>
      </c>
      <c r="K1895" t="s">
        <v>5464</v>
      </c>
      <c r="L1895" t="s">
        <v>5464</v>
      </c>
      <c r="M1895" t="s">
        <v>576</v>
      </c>
      <c r="N1895" t="s">
        <v>99</v>
      </c>
      <c r="O1895" t="s">
        <v>2571</v>
      </c>
      <c r="P1895" t="s">
        <v>221</v>
      </c>
      <c r="Q1895" t="s">
        <v>82</v>
      </c>
      <c r="R1895">
        <v>7</v>
      </c>
      <c r="S1895">
        <v>2.2000000000000002</v>
      </c>
      <c r="T1895">
        <v>0</v>
      </c>
      <c r="U1895">
        <v>1</v>
      </c>
      <c r="V1895">
        <v>7</v>
      </c>
      <c r="W1895">
        <v>28</v>
      </c>
      <c r="X1895">
        <v>0</v>
      </c>
      <c r="Y1895">
        <v>0</v>
      </c>
      <c r="Z1895">
        <v>0</v>
      </c>
      <c r="AA1895">
        <v>0</v>
      </c>
      <c r="AB1895">
        <v>0</v>
      </c>
      <c r="AC1895">
        <v>0</v>
      </c>
      <c r="AD1895">
        <v>7</v>
      </c>
      <c r="AE1895">
        <v>0</v>
      </c>
      <c r="AF1895">
        <v>0</v>
      </c>
      <c r="AG1895">
        <v>0</v>
      </c>
      <c r="AH1895">
        <v>0</v>
      </c>
      <c r="AI1895">
        <v>0</v>
      </c>
      <c r="AJ1895">
        <v>0</v>
      </c>
      <c r="AK1895">
        <v>0</v>
      </c>
    </row>
    <row r="1896" spans="1:37" x14ac:dyDescent="0.3">
      <c r="A1896">
        <v>7979</v>
      </c>
      <c r="B1896" t="s">
        <v>219</v>
      </c>
      <c r="D1896" t="s">
        <v>327</v>
      </c>
      <c r="E1896">
        <v>99999999</v>
      </c>
      <c r="F1896">
        <v>11111111</v>
      </c>
      <c r="G1896">
        <v>1111111111</v>
      </c>
      <c r="H1896" t="s">
        <v>5465</v>
      </c>
      <c r="I1896">
        <v>99999999</v>
      </c>
      <c r="J1896" s="188">
        <v>45238</v>
      </c>
      <c r="K1896" t="s">
        <v>5465</v>
      </c>
      <c r="L1896" t="s">
        <v>5465</v>
      </c>
      <c r="M1896" t="s">
        <v>1837</v>
      </c>
      <c r="N1896" t="s">
        <v>130</v>
      </c>
      <c r="O1896" t="s">
        <v>2572</v>
      </c>
      <c r="P1896" t="s">
        <v>221</v>
      </c>
      <c r="Q1896" t="s">
        <v>82</v>
      </c>
      <c r="R1896">
        <v>1</v>
      </c>
      <c r="S1896">
        <v>2</v>
      </c>
      <c r="T1896">
        <v>0</v>
      </c>
      <c r="U1896">
        <v>1</v>
      </c>
      <c r="V1896">
        <v>1</v>
      </c>
      <c r="W1896">
        <v>28.79</v>
      </c>
      <c r="X1896">
        <v>0</v>
      </c>
      <c r="Y1896">
        <v>0</v>
      </c>
      <c r="Z1896">
        <v>0</v>
      </c>
      <c r="AA1896">
        <v>0</v>
      </c>
      <c r="AB1896">
        <v>0</v>
      </c>
      <c r="AC1896">
        <v>0</v>
      </c>
      <c r="AD1896">
        <v>1</v>
      </c>
      <c r="AE1896">
        <v>0</v>
      </c>
      <c r="AF1896">
        <v>0</v>
      </c>
      <c r="AG1896">
        <v>0</v>
      </c>
      <c r="AH1896">
        <v>0</v>
      </c>
      <c r="AI1896">
        <v>0</v>
      </c>
      <c r="AJ1896">
        <v>0</v>
      </c>
      <c r="AK1896">
        <v>0</v>
      </c>
    </row>
    <row r="1897" spans="1:37" x14ac:dyDescent="0.3">
      <c r="A1897">
        <v>7979</v>
      </c>
      <c r="B1897" t="s">
        <v>219</v>
      </c>
      <c r="D1897" t="s">
        <v>327</v>
      </c>
      <c r="E1897">
        <v>99999999</v>
      </c>
      <c r="F1897">
        <v>11111111</v>
      </c>
      <c r="G1897">
        <v>1111111111</v>
      </c>
      <c r="H1897" t="s">
        <v>5466</v>
      </c>
      <c r="I1897">
        <v>99999999</v>
      </c>
      <c r="J1897" s="188">
        <v>45238</v>
      </c>
      <c r="K1897" t="s">
        <v>5466</v>
      </c>
      <c r="L1897" t="s">
        <v>5466</v>
      </c>
      <c r="M1897" t="s">
        <v>334</v>
      </c>
      <c r="N1897" t="s">
        <v>97</v>
      </c>
      <c r="O1897" t="s">
        <v>2573</v>
      </c>
      <c r="P1897" t="s">
        <v>221</v>
      </c>
      <c r="Q1897" t="s">
        <v>82</v>
      </c>
      <c r="R1897">
        <v>1</v>
      </c>
      <c r="S1897">
        <v>4.1900000000000004</v>
      </c>
      <c r="T1897">
        <v>0</v>
      </c>
      <c r="U1897">
        <v>1</v>
      </c>
      <c r="V1897">
        <v>1</v>
      </c>
      <c r="W1897">
        <v>29.05</v>
      </c>
      <c r="X1897">
        <v>0</v>
      </c>
      <c r="Y1897">
        <v>0</v>
      </c>
      <c r="Z1897">
        <v>0</v>
      </c>
      <c r="AA1897">
        <v>0</v>
      </c>
      <c r="AB1897">
        <v>0</v>
      </c>
      <c r="AC1897">
        <v>0</v>
      </c>
      <c r="AD1897">
        <v>1</v>
      </c>
      <c r="AE1897">
        <v>0</v>
      </c>
      <c r="AF1897">
        <v>0</v>
      </c>
      <c r="AG1897">
        <v>0</v>
      </c>
      <c r="AH1897">
        <v>0</v>
      </c>
      <c r="AI1897">
        <v>0</v>
      </c>
      <c r="AJ1897">
        <v>0</v>
      </c>
      <c r="AK1897">
        <v>0</v>
      </c>
    </row>
    <row r="1898" spans="1:37" x14ac:dyDescent="0.3">
      <c r="A1898">
        <v>7979</v>
      </c>
      <c r="B1898" t="s">
        <v>219</v>
      </c>
      <c r="D1898" t="s">
        <v>327</v>
      </c>
      <c r="E1898">
        <v>99999999</v>
      </c>
      <c r="F1898">
        <v>11111111</v>
      </c>
      <c r="G1898">
        <v>1111111111</v>
      </c>
      <c r="H1898" t="s">
        <v>5467</v>
      </c>
      <c r="I1898">
        <v>99999999</v>
      </c>
      <c r="J1898" s="188">
        <v>45238</v>
      </c>
      <c r="K1898" t="s">
        <v>5467</v>
      </c>
      <c r="L1898" t="s">
        <v>5467</v>
      </c>
      <c r="M1898" t="s">
        <v>1336</v>
      </c>
      <c r="N1898" t="s">
        <v>118</v>
      </c>
      <c r="O1898" t="s">
        <v>2574</v>
      </c>
      <c r="P1898" t="s">
        <v>221</v>
      </c>
      <c r="Q1898" t="s">
        <v>82</v>
      </c>
      <c r="R1898">
        <v>1</v>
      </c>
      <c r="S1898">
        <v>1</v>
      </c>
      <c r="T1898">
        <v>0</v>
      </c>
      <c r="U1898">
        <v>1</v>
      </c>
      <c r="V1898">
        <v>1</v>
      </c>
      <c r="W1898">
        <v>29.22</v>
      </c>
      <c r="X1898">
        <v>0</v>
      </c>
      <c r="Y1898">
        <v>0</v>
      </c>
      <c r="Z1898">
        <v>0</v>
      </c>
      <c r="AA1898">
        <v>0</v>
      </c>
      <c r="AB1898">
        <v>0</v>
      </c>
      <c r="AC1898">
        <v>0</v>
      </c>
      <c r="AD1898">
        <v>1</v>
      </c>
      <c r="AE1898">
        <v>0</v>
      </c>
      <c r="AF1898">
        <v>0</v>
      </c>
      <c r="AG1898">
        <v>0</v>
      </c>
      <c r="AH1898">
        <v>0</v>
      </c>
      <c r="AI1898">
        <v>0</v>
      </c>
      <c r="AJ1898">
        <v>0</v>
      </c>
      <c r="AK1898">
        <v>0</v>
      </c>
    </row>
    <row r="1899" spans="1:37" x14ac:dyDescent="0.3">
      <c r="A1899">
        <v>7979</v>
      </c>
      <c r="B1899" t="s">
        <v>219</v>
      </c>
      <c r="D1899" t="s">
        <v>327</v>
      </c>
      <c r="E1899">
        <v>99999999</v>
      </c>
      <c r="F1899">
        <v>11111111</v>
      </c>
      <c r="G1899">
        <v>1111111111</v>
      </c>
      <c r="H1899" t="s">
        <v>5468</v>
      </c>
      <c r="I1899">
        <v>99999999</v>
      </c>
      <c r="J1899" s="188">
        <v>45238</v>
      </c>
      <c r="K1899" t="s">
        <v>5468</v>
      </c>
      <c r="L1899" t="s">
        <v>5468</v>
      </c>
      <c r="M1899" t="s">
        <v>1110</v>
      </c>
      <c r="N1899" t="s">
        <v>97</v>
      </c>
      <c r="O1899" t="s">
        <v>1868</v>
      </c>
      <c r="P1899" t="s">
        <v>221</v>
      </c>
      <c r="Q1899" t="s">
        <v>82</v>
      </c>
      <c r="R1899">
        <v>1</v>
      </c>
      <c r="S1899">
        <v>10</v>
      </c>
      <c r="T1899">
        <v>0</v>
      </c>
      <c r="U1899">
        <v>1</v>
      </c>
      <c r="V1899">
        <v>1</v>
      </c>
      <c r="W1899">
        <v>24.65</v>
      </c>
      <c r="X1899">
        <v>0</v>
      </c>
      <c r="Y1899">
        <v>0</v>
      </c>
      <c r="Z1899">
        <v>0</v>
      </c>
      <c r="AA1899">
        <v>0</v>
      </c>
      <c r="AB1899">
        <v>0</v>
      </c>
      <c r="AC1899">
        <v>0</v>
      </c>
      <c r="AD1899">
        <v>1</v>
      </c>
      <c r="AE1899">
        <v>0</v>
      </c>
      <c r="AF1899">
        <v>0</v>
      </c>
      <c r="AG1899">
        <v>0</v>
      </c>
      <c r="AH1899">
        <v>0</v>
      </c>
      <c r="AI1899">
        <v>0</v>
      </c>
      <c r="AJ1899">
        <v>0</v>
      </c>
      <c r="AK1899">
        <v>0</v>
      </c>
    </row>
    <row r="1900" spans="1:37" x14ac:dyDescent="0.3">
      <c r="A1900">
        <v>7979</v>
      </c>
      <c r="B1900" t="s">
        <v>219</v>
      </c>
      <c r="D1900" t="s">
        <v>327</v>
      </c>
      <c r="E1900">
        <v>99999999</v>
      </c>
      <c r="F1900">
        <v>11111111</v>
      </c>
      <c r="G1900">
        <v>1111111111</v>
      </c>
      <c r="H1900" t="s">
        <v>5469</v>
      </c>
      <c r="I1900">
        <v>99999999</v>
      </c>
      <c r="J1900" s="188">
        <v>45238</v>
      </c>
      <c r="K1900" t="s">
        <v>5469</v>
      </c>
      <c r="L1900" t="s">
        <v>5469</v>
      </c>
      <c r="M1900" t="s">
        <v>2575</v>
      </c>
      <c r="N1900" t="s">
        <v>1135</v>
      </c>
      <c r="O1900" t="s">
        <v>2576</v>
      </c>
      <c r="P1900" t="s">
        <v>221</v>
      </c>
      <c r="Q1900" t="s">
        <v>82</v>
      </c>
      <c r="R1900">
        <v>1</v>
      </c>
      <c r="S1900">
        <v>0.11</v>
      </c>
      <c r="T1900">
        <v>0</v>
      </c>
      <c r="U1900">
        <v>1</v>
      </c>
      <c r="V1900">
        <v>1</v>
      </c>
      <c r="W1900">
        <v>29.04</v>
      </c>
      <c r="X1900">
        <v>0</v>
      </c>
      <c r="Y1900">
        <v>0</v>
      </c>
      <c r="Z1900">
        <v>0</v>
      </c>
      <c r="AA1900">
        <v>0</v>
      </c>
      <c r="AB1900">
        <v>0</v>
      </c>
      <c r="AC1900">
        <v>0</v>
      </c>
      <c r="AD1900">
        <v>1</v>
      </c>
      <c r="AE1900">
        <v>0</v>
      </c>
      <c r="AF1900">
        <v>0</v>
      </c>
      <c r="AG1900">
        <v>0</v>
      </c>
      <c r="AH1900">
        <v>0</v>
      </c>
      <c r="AI1900">
        <v>0</v>
      </c>
      <c r="AJ1900">
        <v>0</v>
      </c>
      <c r="AK1900">
        <v>0</v>
      </c>
    </row>
    <row r="1901" spans="1:37" x14ac:dyDescent="0.3">
      <c r="A1901">
        <v>7979</v>
      </c>
      <c r="B1901" t="s">
        <v>219</v>
      </c>
      <c r="D1901" t="s">
        <v>327</v>
      </c>
      <c r="E1901">
        <v>99999999</v>
      </c>
      <c r="F1901">
        <v>11111111</v>
      </c>
      <c r="G1901">
        <v>1111111111</v>
      </c>
      <c r="H1901" t="s">
        <v>5470</v>
      </c>
      <c r="I1901">
        <v>99999999</v>
      </c>
      <c r="J1901" s="188">
        <v>45238</v>
      </c>
      <c r="K1901" t="s">
        <v>5470</v>
      </c>
      <c r="L1901" t="s">
        <v>5470</v>
      </c>
      <c r="M1901" t="s">
        <v>2577</v>
      </c>
      <c r="N1901" t="s">
        <v>91</v>
      </c>
      <c r="O1901" t="s">
        <v>2578</v>
      </c>
      <c r="P1901" t="s">
        <v>221</v>
      </c>
      <c r="Q1901" t="s">
        <v>82</v>
      </c>
      <c r="R1901">
        <v>1</v>
      </c>
      <c r="S1901">
        <v>4</v>
      </c>
      <c r="T1901">
        <v>0</v>
      </c>
      <c r="U1901">
        <v>1</v>
      </c>
      <c r="V1901">
        <v>1</v>
      </c>
      <c r="W1901">
        <v>29.05</v>
      </c>
      <c r="X1901">
        <v>0</v>
      </c>
      <c r="Y1901">
        <v>0</v>
      </c>
      <c r="Z1901">
        <v>0</v>
      </c>
      <c r="AA1901">
        <v>0</v>
      </c>
      <c r="AB1901">
        <v>0</v>
      </c>
      <c r="AC1901">
        <v>0</v>
      </c>
      <c r="AD1901">
        <v>1</v>
      </c>
      <c r="AE1901">
        <v>0</v>
      </c>
      <c r="AF1901">
        <v>0</v>
      </c>
      <c r="AG1901">
        <v>0</v>
      </c>
      <c r="AH1901">
        <v>0</v>
      </c>
      <c r="AI1901">
        <v>0</v>
      </c>
      <c r="AJ1901">
        <v>0</v>
      </c>
      <c r="AK1901">
        <v>0</v>
      </c>
    </row>
    <row r="1902" spans="1:37" x14ac:dyDescent="0.3">
      <c r="A1902">
        <v>7979</v>
      </c>
      <c r="B1902" t="s">
        <v>219</v>
      </c>
      <c r="D1902" t="s">
        <v>327</v>
      </c>
      <c r="E1902">
        <v>99999999</v>
      </c>
      <c r="F1902">
        <v>11111111</v>
      </c>
      <c r="G1902">
        <v>1111111111</v>
      </c>
      <c r="H1902" t="s">
        <v>5471</v>
      </c>
      <c r="I1902">
        <v>99999999</v>
      </c>
      <c r="J1902" s="188">
        <v>45238</v>
      </c>
      <c r="K1902" t="s">
        <v>5471</v>
      </c>
      <c r="L1902" t="s">
        <v>5471</v>
      </c>
      <c r="M1902" t="s">
        <v>258</v>
      </c>
      <c r="N1902" t="s">
        <v>91</v>
      </c>
      <c r="O1902" t="s">
        <v>2579</v>
      </c>
      <c r="P1902" t="s">
        <v>221</v>
      </c>
      <c r="Q1902" t="s">
        <v>82</v>
      </c>
      <c r="R1902">
        <v>1</v>
      </c>
      <c r="S1902">
        <v>7.35</v>
      </c>
      <c r="T1902">
        <v>0</v>
      </c>
      <c r="U1902">
        <v>1</v>
      </c>
      <c r="V1902">
        <v>1</v>
      </c>
      <c r="W1902">
        <v>25.57</v>
      </c>
      <c r="X1902">
        <v>0</v>
      </c>
      <c r="Y1902">
        <v>0</v>
      </c>
      <c r="Z1902">
        <v>0</v>
      </c>
      <c r="AA1902">
        <v>0</v>
      </c>
      <c r="AB1902">
        <v>0</v>
      </c>
      <c r="AC1902">
        <v>0</v>
      </c>
      <c r="AD1902">
        <v>1</v>
      </c>
      <c r="AE1902">
        <v>0</v>
      </c>
      <c r="AF1902">
        <v>0</v>
      </c>
      <c r="AG1902">
        <v>0</v>
      </c>
      <c r="AH1902">
        <v>0</v>
      </c>
      <c r="AI1902">
        <v>0</v>
      </c>
      <c r="AJ1902">
        <v>0</v>
      </c>
      <c r="AK1902">
        <v>0</v>
      </c>
    </row>
    <row r="1903" spans="1:37" x14ac:dyDescent="0.3">
      <c r="A1903">
        <v>7979</v>
      </c>
      <c r="B1903" t="s">
        <v>219</v>
      </c>
      <c r="D1903" t="s">
        <v>327</v>
      </c>
      <c r="E1903">
        <v>99999999</v>
      </c>
      <c r="F1903">
        <v>11111111</v>
      </c>
      <c r="G1903">
        <v>1111111111</v>
      </c>
      <c r="H1903" t="s">
        <v>5472</v>
      </c>
      <c r="I1903">
        <v>99999999</v>
      </c>
      <c r="J1903" s="188">
        <v>45238</v>
      </c>
      <c r="K1903" t="s">
        <v>5472</v>
      </c>
      <c r="L1903" t="s">
        <v>5472</v>
      </c>
      <c r="M1903" t="s">
        <v>1649</v>
      </c>
      <c r="N1903" t="s">
        <v>197</v>
      </c>
      <c r="O1903" t="s">
        <v>2580</v>
      </c>
      <c r="P1903" t="s">
        <v>221</v>
      </c>
      <c r="Q1903" t="s">
        <v>82</v>
      </c>
      <c r="R1903">
        <v>1</v>
      </c>
      <c r="S1903">
        <v>11.666</v>
      </c>
      <c r="T1903">
        <v>0</v>
      </c>
      <c r="U1903">
        <v>1</v>
      </c>
      <c r="V1903">
        <v>1</v>
      </c>
      <c r="W1903">
        <v>37.14</v>
      </c>
      <c r="X1903">
        <v>0</v>
      </c>
      <c r="Y1903">
        <v>0</v>
      </c>
      <c r="Z1903">
        <v>0</v>
      </c>
      <c r="AA1903">
        <v>0</v>
      </c>
      <c r="AB1903">
        <v>0</v>
      </c>
      <c r="AC1903">
        <v>0</v>
      </c>
      <c r="AD1903">
        <v>1</v>
      </c>
      <c r="AE1903">
        <v>0</v>
      </c>
      <c r="AF1903">
        <v>0</v>
      </c>
      <c r="AG1903">
        <v>0</v>
      </c>
      <c r="AH1903">
        <v>0</v>
      </c>
      <c r="AI1903">
        <v>0</v>
      </c>
      <c r="AJ1903">
        <v>0</v>
      </c>
      <c r="AK1903">
        <v>0</v>
      </c>
    </row>
    <row r="1904" spans="1:37" x14ac:dyDescent="0.3">
      <c r="A1904">
        <v>7979</v>
      </c>
      <c r="B1904" t="s">
        <v>219</v>
      </c>
      <c r="D1904" t="s">
        <v>327</v>
      </c>
      <c r="E1904">
        <v>99999999</v>
      </c>
      <c r="F1904">
        <v>11111111</v>
      </c>
      <c r="G1904">
        <v>1111111111</v>
      </c>
      <c r="H1904" t="s">
        <v>5473</v>
      </c>
      <c r="I1904">
        <v>99999999</v>
      </c>
      <c r="J1904" s="188">
        <v>45238</v>
      </c>
      <c r="K1904" t="s">
        <v>5473</v>
      </c>
      <c r="L1904" t="s">
        <v>5473</v>
      </c>
      <c r="M1904" t="s">
        <v>198</v>
      </c>
      <c r="N1904" t="s">
        <v>811</v>
      </c>
      <c r="O1904" t="s">
        <v>2581</v>
      </c>
      <c r="P1904" t="s">
        <v>221</v>
      </c>
      <c r="Q1904" t="s">
        <v>82</v>
      </c>
      <c r="R1904">
        <v>1</v>
      </c>
      <c r="S1904">
        <v>7.0000000000000007E-2</v>
      </c>
      <c r="T1904">
        <v>0</v>
      </c>
      <c r="U1904">
        <v>1</v>
      </c>
      <c r="V1904">
        <v>1</v>
      </c>
      <c r="W1904">
        <v>26.9</v>
      </c>
      <c r="X1904">
        <v>0</v>
      </c>
      <c r="Y1904">
        <v>0</v>
      </c>
      <c r="Z1904">
        <v>0</v>
      </c>
      <c r="AA1904">
        <v>0</v>
      </c>
      <c r="AB1904">
        <v>0</v>
      </c>
      <c r="AC1904">
        <v>0</v>
      </c>
      <c r="AD1904">
        <v>1</v>
      </c>
      <c r="AE1904">
        <v>0</v>
      </c>
      <c r="AF1904">
        <v>0</v>
      </c>
      <c r="AG1904">
        <v>0</v>
      </c>
      <c r="AH1904">
        <v>0</v>
      </c>
      <c r="AI1904">
        <v>0</v>
      </c>
      <c r="AJ1904">
        <v>0</v>
      </c>
      <c r="AK1904">
        <v>0</v>
      </c>
    </row>
    <row r="1905" spans="1:37" x14ac:dyDescent="0.3">
      <c r="A1905">
        <v>7979</v>
      </c>
      <c r="B1905" t="s">
        <v>219</v>
      </c>
      <c r="D1905" t="s">
        <v>327</v>
      </c>
      <c r="E1905">
        <v>99999999</v>
      </c>
      <c r="F1905">
        <v>11111111</v>
      </c>
      <c r="G1905">
        <v>1111111111</v>
      </c>
      <c r="H1905" t="s">
        <v>5474</v>
      </c>
      <c r="I1905">
        <v>99999999</v>
      </c>
      <c r="J1905" s="188">
        <v>45238</v>
      </c>
      <c r="K1905" t="s">
        <v>5474</v>
      </c>
      <c r="L1905" t="s">
        <v>5474</v>
      </c>
      <c r="M1905" t="s">
        <v>127</v>
      </c>
      <c r="N1905" t="s">
        <v>99</v>
      </c>
      <c r="O1905" t="s">
        <v>2582</v>
      </c>
      <c r="P1905" t="s">
        <v>221</v>
      </c>
      <c r="Q1905" t="s">
        <v>82</v>
      </c>
      <c r="R1905">
        <v>1</v>
      </c>
      <c r="S1905">
        <v>0.45</v>
      </c>
      <c r="T1905">
        <v>0</v>
      </c>
      <c r="U1905">
        <v>1</v>
      </c>
      <c r="V1905">
        <v>1</v>
      </c>
      <c r="W1905">
        <v>25.42</v>
      </c>
      <c r="X1905">
        <v>0</v>
      </c>
      <c r="Y1905">
        <v>0</v>
      </c>
      <c r="Z1905">
        <v>0</v>
      </c>
      <c r="AA1905">
        <v>0</v>
      </c>
      <c r="AB1905">
        <v>0</v>
      </c>
      <c r="AC1905">
        <v>0</v>
      </c>
      <c r="AD1905">
        <v>1</v>
      </c>
      <c r="AE1905">
        <v>0</v>
      </c>
      <c r="AF1905">
        <v>0</v>
      </c>
      <c r="AG1905">
        <v>0</v>
      </c>
      <c r="AH1905">
        <v>0</v>
      </c>
      <c r="AI1905">
        <v>0</v>
      </c>
      <c r="AJ1905">
        <v>0</v>
      </c>
      <c r="AK1905">
        <v>0</v>
      </c>
    </row>
    <row r="1906" spans="1:37" x14ac:dyDescent="0.3">
      <c r="A1906">
        <v>7979</v>
      </c>
      <c r="B1906" t="s">
        <v>219</v>
      </c>
      <c r="D1906" t="s">
        <v>327</v>
      </c>
      <c r="E1906">
        <v>99999999</v>
      </c>
      <c r="F1906">
        <v>11111111</v>
      </c>
      <c r="G1906">
        <v>1111111111</v>
      </c>
      <c r="H1906" t="s">
        <v>5475</v>
      </c>
      <c r="I1906">
        <v>99999999</v>
      </c>
      <c r="J1906" s="188">
        <v>45238</v>
      </c>
      <c r="K1906" t="s">
        <v>5475</v>
      </c>
      <c r="L1906" t="s">
        <v>5475</v>
      </c>
      <c r="M1906" t="s">
        <v>1636</v>
      </c>
      <c r="N1906" t="s">
        <v>99</v>
      </c>
      <c r="O1906" t="s">
        <v>2583</v>
      </c>
      <c r="P1906" t="s">
        <v>221</v>
      </c>
      <c r="Q1906" t="s">
        <v>82</v>
      </c>
      <c r="R1906">
        <v>2</v>
      </c>
      <c r="S1906">
        <v>3.02</v>
      </c>
      <c r="T1906">
        <v>0</v>
      </c>
      <c r="U1906">
        <v>1</v>
      </c>
      <c r="V1906">
        <v>2</v>
      </c>
      <c r="W1906">
        <v>29.03</v>
      </c>
      <c r="X1906">
        <v>0</v>
      </c>
      <c r="Y1906">
        <v>0</v>
      </c>
      <c r="Z1906">
        <v>0</v>
      </c>
      <c r="AA1906">
        <v>0</v>
      </c>
      <c r="AB1906">
        <v>0</v>
      </c>
      <c r="AC1906">
        <v>0</v>
      </c>
      <c r="AD1906">
        <v>2</v>
      </c>
      <c r="AE1906">
        <v>0</v>
      </c>
      <c r="AF1906">
        <v>0</v>
      </c>
      <c r="AG1906">
        <v>0</v>
      </c>
      <c r="AH1906">
        <v>0</v>
      </c>
      <c r="AI1906">
        <v>0</v>
      </c>
      <c r="AJ1906">
        <v>0</v>
      </c>
      <c r="AK1906">
        <v>0</v>
      </c>
    </row>
    <row r="1907" spans="1:37" x14ac:dyDescent="0.3">
      <c r="A1907">
        <v>7979</v>
      </c>
      <c r="B1907" t="s">
        <v>219</v>
      </c>
      <c r="D1907" t="s">
        <v>327</v>
      </c>
      <c r="E1907">
        <v>99999999</v>
      </c>
      <c r="F1907">
        <v>11111111</v>
      </c>
      <c r="G1907">
        <v>1111111111</v>
      </c>
      <c r="H1907" t="s">
        <v>5476</v>
      </c>
      <c r="I1907">
        <v>99999999</v>
      </c>
      <c r="J1907" s="188">
        <v>45238</v>
      </c>
      <c r="K1907" t="s">
        <v>5476</v>
      </c>
      <c r="L1907" t="s">
        <v>5476</v>
      </c>
      <c r="M1907" t="s">
        <v>418</v>
      </c>
      <c r="N1907" t="s">
        <v>91</v>
      </c>
      <c r="O1907" t="s">
        <v>2584</v>
      </c>
      <c r="P1907" t="s">
        <v>221</v>
      </c>
      <c r="Q1907" t="s">
        <v>82</v>
      </c>
      <c r="R1907">
        <v>1</v>
      </c>
      <c r="S1907">
        <v>5</v>
      </c>
      <c r="T1907">
        <v>0</v>
      </c>
      <c r="U1907">
        <v>1</v>
      </c>
      <c r="V1907">
        <v>1</v>
      </c>
      <c r="W1907">
        <v>24.44</v>
      </c>
      <c r="X1907">
        <v>0</v>
      </c>
      <c r="Y1907">
        <v>0</v>
      </c>
      <c r="Z1907">
        <v>0</v>
      </c>
      <c r="AA1907">
        <v>0</v>
      </c>
      <c r="AB1907">
        <v>0</v>
      </c>
      <c r="AC1907">
        <v>0</v>
      </c>
      <c r="AD1907">
        <v>1</v>
      </c>
      <c r="AE1907">
        <v>0</v>
      </c>
      <c r="AF1907">
        <v>0</v>
      </c>
      <c r="AG1907">
        <v>0</v>
      </c>
      <c r="AH1907">
        <v>0</v>
      </c>
      <c r="AI1907">
        <v>0</v>
      </c>
      <c r="AJ1907">
        <v>0</v>
      </c>
      <c r="AK1907">
        <v>0</v>
      </c>
    </row>
    <row r="1908" spans="1:37" x14ac:dyDescent="0.3">
      <c r="A1908">
        <v>7979</v>
      </c>
      <c r="B1908" t="s">
        <v>219</v>
      </c>
      <c r="D1908" t="s">
        <v>327</v>
      </c>
      <c r="E1908">
        <v>99999999</v>
      </c>
      <c r="F1908">
        <v>11111111</v>
      </c>
      <c r="G1908">
        <v>1111111111</v>
      </c>
      <c r="H1908" t="s">
        <v>5477</v>
      </c>
      <c r="I1908">
        <v>99999999</v>
      </c>
      <c r="J1908" s="188">
        <v>45238</v>
      </c>
      <c r="K1908" t="s">
        <v>5477</v>
      </c>
      <c r="L1908" t="s">
        <v>5477</v>
      </c>
      <c r="M1908" t="s">
        <v>624</v>
      </c>
      <c r="N1908" t="s">
        <v>164</v>
      </c>
      <c r="O1908" t="s">
        <v>2585</v>
      </c>
      <c r="P1908" t="s">
        <v>221</v>
      </c>
      <c r="Q1908" t="s">
        <v>82</v>
      </c>
      <c r="R1908">
        <v>1</v>
      </c>
      <c r="S1908">
        <v>2.2999999999999998</v>
      </c>
      <c r="T1908">
        <v>0</v>
      </c>
      <c r="U1908">
        <v>1</v>
      </c>
      <c r="V1908">
        <v>1</v>
      </c>
      <c r="W1908">
        <v>21.88</v>
      </c>
      <c r="X1908">
        <v>0</v>
      </c>
      <c r="Y1908">
        <v>0</v>
      </c>
      <c r="Z1908">
        <v>0</v>
      </c>
      <c r="AA1908">
        <v>0</v>
      </c>
      <c r="AB1908">
        <v>0</v>
      </c>
      <c r="AC1908">
        <v>0</v>
      </c>
      <c r="AD1908">
        <v>1</v>
      </c>
      <c r="AE1908">
        <v>0</v>
      </c>
      <c r="AF1908">
        <v>0</v>
      </c>
      <c r="AG1908">
        <v>0</v>
      </c>
      <c r="AH1908">
        <v>0</v>
      </c>
      <c r="AI1908">
        <v>0</v>
      </c>
      <c r="AJ1908">
        <v>0</v>
      </c>
      <c r="AK1908">
        <v>0</v>
      </c>
    </row>
    <row r="1909" spans="1:37" x14ac:dyDescent="0.3">
      <c r="A1909">
        <v>7979</v>
      </c>
      <c r="B1909" t="s">
        <v>219</v>
      </c>
      <c r="D1909" t="s">
        <v>327</v>
      </c>
      <c r="E1909">
        <v>99999999</v>
      </c>
      <c r="F1909">
        <v>11111111</v>
      </c>
      <c r="G1909">
        <v>1111111111</v>
      </c>
      <c r="H1909" t="s">
        <v>5478</v>
      </c>
      <c r="I1909">
        <v>99999999</v>
      </c>
      <c r="J1909" s="188">
        <v>45238</v>
      </c>
      <c r="K1909" t="s">
        <v>5478</v>
      </c>
      <c r="L1909" t="s">
        <v>5478</v>
      </c>
      <c r="M1909" t="s">
        <v>1753</v>
      </c>
      <c r="N1909" t="s">
        <v>99</v>
      </c>
      <c r="O1909" t="s">
        <v>2586</v>
      </c>
      <c r="P1909" t="s">
        <v>221</v>
      </c>
      <c r="Q1909" t="s">
        <v>82</v>
      </c>
      <c r="R1909">
        <v>1</v>
      </c>
      <c r="S1909">
        <v>2</v>
      </c>
      <c r="T1909">
        <v>0</v>
      </c>
      <c r="U1909">
        <v>1</v>
      </c>
      <c r="V1909">
        <v>1</v>
      </c>
      <c r="W1909">
        <v>28</v>
      </c>
      <c r="X1909">
        <v>0</v>
      </c>
      <c r="Y1909">
        <v>0</v>
      </c>
      <c r="Z1909">
        <v>0</v>
      </c>
      <c r="AA1909">
        <v>0</v>
      </c>
      <c r="AB1909">
        <v>0</v>
      </c>
      <c r="AC1909">
        <v>0</v>
      </c>
      <c r="AD1909">
        <v>1</v>
      </c>
      <c r="AE1909">
        <v>0</v>
      </c>
      <c r="AF1909">
        <v>0</v>
      </c>
      <c r="AG1909">
        <v>0</v>
      </c>
      <c r="AH1909">
        <v>0</v>
      </c>
      <c r="AI1909">
        <v>0</v>
      </c>
      <c r="AJ1909">
        <v>0</v>
      </c>
      <c r="AK1909">
        <v>0</v>
      </c>
    </row>
    <row r="1910" spans="1:37" x14ac:dyDescent="0.3">
      <c r="A1910">
        <v>7979</v>
      </c>
      <c r="B1910" t="s">
        <v>219</v>
      </c>
      <c r="D1910" t="s">
        <v>327</v>
      </c>
      <c r="E1910">
        <v>99999999</v>
      </c>
      <c r="F1910">
        <v>11111111</v>
      </c>
      <c r="G1910">
        <v>1111111111</v>
      </c>
      <c r="H1910" t="s">
        <v>5479</v>
      </c>
      <c r="I1910">
        <v>99999999</v>
      </c>
      <c r="J1910" s="188">
        <v>45238</v>
      </c>
      <c r="K1910" t="s">
        <v>5479</v>
      </c>
      <c r="L1910" t="s">
        <v>5479</v>
      </c>
      <c r="M1910" t="s">
        <v>1074</v>
      </c>
      <c r="N1910" t="s">
        <v>99</v>
      </c>
      <c r="O1910" t="s">
        <v>2587</v>
      </c>
      <c r="P1910" t="s">
        <v>221</v>
      </c>
      <c r="Q1910" t="s">
        <v>82</v>
      </c>
      <c r="R1910">
        <v>4</v>
      </c>
      <c r="S1910">
        <v>4</v>
      </c>
      <c r="T1910">
        <v>0</v>
      </c>
      <c r="U1910">
        <v>1</v>
      </c>
      <c r="V1910">
        <v>1</v>
      </c>
      <c r="W1910">
        <v>21.44</v>
      </c>
      <c r="X1910">
        <v>0</v>
      </c>
      <c r="Y1910">
        <v>0</v>
      </c>
      <c r="Z1910">
        <v>0</v>
      </c>
      <c r="AA1910">
        <v>0</v>
      </c>
      <c r="AB1910">
        <v>0</v>
      </c>
      <c r="AC1910">
        <v>0</v>
      </c>
      <c r="AD1910">
        <v>4</v>
      </c>
      <c r="AE1910">
        <v>0</v>
      </c>
      <c r="AF1910">
        <v>0</v>
      </c>
      <c r="AG1910">
        <v>0</v>
      </c>
      <c r="AH1910">
        <v>0</v>
      </c>
      <c r="AI1910">
        <v>0</v>
      </c>
      <c r="AJ1910">
        <v>0</v>
      </c>
      <c r="AK1910">
        <v>0</v>
      </c>
    </row>
    <row r="1911" spans="1:37" x14ac:dyDescent="0.3">
      <c r="A1911">
        <v>7979</v>
      </c>
      <c r="B1911" t="s">
        <v>219</v>
      </c>
      <c r="D1911" t="s">
        <v>327</v>
      </c>
      <c r="E1911">
        <v>99999999</v>
      </c>
      <c r="F1911">
        <v>11111111</v>
      </c>
      <c r="G1911">
        <v>1111111111</v>
      </c>
      <c r="H1911" t="s">
        <v>5480</v>
      </c>
      <c r="I1911">
        <v>99999999</v>
      </c>
      <c r="J1911" s="188">
        <v>45238</v>
      </c>
      <c r="K1911" t="s">
        <v>5480</v>
      </c>
      <c r="L1911" t="s">
        <v>5480</v>
      </c>
      <c r="M1911" t="s">
        <v>1626</v>
      </c>
      <c r="N1911" t="s">
        <v>130</v>
      </c>
      <c r="O1911" t="s">
        <v>2588</v>
      </c>
      <c r="P1911" t="s">
        <v>221</v>
      </c>
      <c r="Q1911" t="s">
        <v>82</v>
      </c>
      <c r="R1911">
        <v>1</v>
      </c>
      <c r="S1911">
        <v>5</v>
      </c>
      <c r="T1911">
        <v>0</v>
      </c>
      <c r="U1911">
        <v>1</v>
      </c>
      <c r="V1911">
        <v>1</v>
      </c>
      <c r="W1911">
        <v>24.44</v>
      </c>
      <c r="X1911">
        <v>0</v>
      </c>
      <c r="Y1911">
        <v>0</v>
      </c>
      <c r="Z1911">
        <v>0</v>
      </c>
      <c r="AA1911">
        <v>0</v>
      </c>
      <c r="AB1911">
        <v>0</v>
      </c>
      <c r="AC1911">
        <v>0</v>
      </c>
      <c r="AD1911">
        <v>1</v>
      </c>
      <c r="AE1911">
        <v>0</v>
      </c>
      <c r="AF1911">
        <v>0</v>
      </c>
      <c r="AG1911">
        <v>0</v>
      </c>
      <c r="AH1911">
        <v>0</v>
      </c>
      <c r="AI1911">
        <v>0</v>
      </c>
      <c r="AJ1911">
        <v>0</v>
      </c>
      <c r="AK1911">
        <v>0</v>
      </c>
    </row>
    <row r="1912" spans="1:37" x14ac:dyDescent="0.3">
      <c r="A1912">
        <v>7979</v>
      </c>
      <c r="B1912" t="s">
        <v>219</v>
      </c>
      <c r="D1912" t="s">
        <v>327</v>
      </c>
      <c r="E1912">
        <v>99999999</v>
      </c>
      <c r="F1912">
        <v>11111111</v>
      </c>
      <c r="G1912">
        <v>1111111111</v>
      </c>
      <c r="H1912" t="s">
        <v>5481</v>
      </c>
      <c r="I1912">
        <v>99999999</v>
      </c>
      <c r="J1912" s="188">
        <v>45238</v>
      </c>
      <c r="K1912" t="s">
        <v>5481</v>
      </c>
      <c r="L1912" t="s">
        <v>5481</v>
      </c>
      <c r="M1912" t="s">
        <v>253</v>
      </c>
      <c r="N1912" t="s">
        <v>118</v>
      </c>
      <c r="O1912" t="s">
        <v>2589</v>
      </c>
      <c r="P1912" t="s">
        <v>221</v>
      </c>
      <c r="Q1912" t="s">
        <v>82</v>
      </c>
      <c r="R1912">
        <v>1</v>
      </c>
      <c r="S1912">
        <v>2.2999999999999998</v>
      </c>
      <c r="T1912">
        <v>0</v>
      </c>
      <c r="U1912">
        <v>1</v>
      </c>
      <c r="V1912">
        <v>1</v>
      </c>
      <c r="W1912">
        <v>24.81</v>
      </c>
      <c r="X1912">
        <v>0</v>
      </c>
      <c r="Y1912">
        <v>0</v>
      </c>
      <c r="Z1912">
        <v>0</v>
      </c>
      <c r="AA1912">
        <v>0</v>
      </c>
      <c r="AB1912">
        <v>0</v>
      </c>
      <c r="AC1912">
        <v>0</v>
      </c>
      <c r="AD1912">
        <v>1</v>
      </c>
      <c r="AE1912">
        <v>0</v>
      </c>
      <c r="AF1912">
        <v>0</v>
      </c>
      <c r="AG1912">
        <v>0</v>
      </c>
      <c r="AH1912">
        <v>0</v>
      </c>
      <c r="AI1912">
        <v>0</v>
      </c>
      <c r="AJ1912">
        <v>0</v>
      </c>
      <c r="AK1912">
        <v>0</v>
      </c>
    </row>
    <row r="1913" spans="1:37" x14ac:dyDescent="0.3">
      <c r="A1913">
        <v>7979</v>
      </c>
      <c r="B1913" t="s">
        <v>219</v>
      </c>
      <c r="D1913" t="s">
        <v>327</v>
      </c>
      <c r="E1913">
        <v>99999999</v>
      </c>
      <c r="F1913">
        <v>11111111</v>
      </c>
      <c r="G1913">
        <v>1111111111</v>
      </c>
      <c r="H1913" t="s">
        <v>5482</v>
      </c>
      <c r="I1913">
        <v>99999999</v>
      </c>
      <c r="J1913" s="188">
        <v>45238</v>
      </c>
      <c r="K1913" t="s">
        <v>5482</v>
      </c>
      <c r="L1913" t="s">
        <v>5482</v>
      </c>
      <c r="M1913" t="s">
        <v>2590</v>
      </c>
      <c r="N1913" t="s">
        <v>99</v>
      </c>
      <c r="O1913" t="s">
        <v>2591</v>
      </c>
      <c r="P1913" t="s">
        <v>221</v>
      </c>
      <c r="Q1913" t="s">
        <v>82</v>
      </c>
      <c r="R1913">
        <v>2</v>
      </c>
      <c r="S1913">
        <v>0.2</v>
      </c>
      <c r="T1913">
        <v>0</v>
      </c>
      <c r="U1913">
        <v>1</v>
      </c>
      <c r="V1913">
        <v>2</v>
      </c>
      <c r="W1913">
        <v>24.32</v>
      </c>
      <c r="X1913">
        <v>0</v>
      </c>
      <c r="Y1913">
        <v>0</v>
      </c>
      <c r="Z1913">
        <v>0</v>
      </c>
      <c r="AA1913">
        <v>0</v>
      </c>
      <c r="AB1913">
        <v>0</v>
      </c>
      <c r="AC1913">
        <v>0</v>
      </c>
      <c r="AD1913">
        <v>2</v>
      </c>
      <c r="AE1913">
        <v>0</v>
      </c>
      <c r="AF1913">
        <v>0</v>
      </c>
      <c r="AG1913">
        <v>0</v>
      </c>
      <c r="AH1913">
        <v>0</v>
      </c>
      <c r="AI1913">
        <v>0</v>
      </c>
      <c r="AJ1913">
        <v>0</v>
      </c>
      <c r="AK1913">
        <v>0</v>
      </c>
    </row>
    <row r="1914" spans="1:37" x14ac:dyDescent="0.3">
      <c r="A1914">
        <v>7979</v>
      </c>
      <c r="B1914" t="s">
        <v>219</v>
      </c>
      <c r="D1914" t="s">
        <v>327</v>
      </c>
      <c r="E1914">
        <v>99999999</v>
      </c>
      <c r="F1914">
        <v>11111111</v>
      </c>
      <c r="G1914">
        <v>1111111111</v>
      </c>
      <c r="H1914" t="s">
        <v>5483</v>
      </c>
      <c r="I1914">
        <v>99999999</v>
      </c>
      <c r="J1914" s="188">
        <v>45238</v>
      </c>
      <c r="K1914" t="s">
        <v>5483</v>
      </c>
      <c r="L1914" t="s">
        <v>5483</v>
      </c>
      <c r="M1914" t="s">
        <v>2592</v>
      </c>
      <c r="N1914" t="s">
        <v>233</v>
      </c>
      <c r="O1914" t="s">
        <v>2593</v>
      </c>
      <c r="P1914" t="s">
        <v>221</v>
      </c>
      <c r="Q1914" t="s">
        <v>82</v>
      </c>
      <c r="R1914">
        <v>1</v>
      </c>
      <c r="S1914">
        <v>1.014</v>
      </c>
      <c r="T1914">
        <v>0</v>
      </c>
      <c r="U1914">
        <v>1</v>
      </c>
      <c r="V1914">
        <v>1</v>
      </c>
      <c r="W1914">
        <v>29.22</v>
      </c>
      <c r="X1914">
        <v>0</v>
      </c>
      <c r="Y1914">
        <v>0</v>
      </c>
      <c r="Z1914">
        <v>0</v>
      </c>
      <c r="AA1914">
        <v>0</v>
      </c>
      <c r="AB1914">
        <v>0</v>
      </c>
      <c r="AC1914">
        <v>0</v>
      </c>
      <c r="AD1914">
        <v>1</v>
      </c>
      <c r="AE1914">
        <v>0</v>
      </c>
      <c r="AF1914">
        <v>0</v>
      </c>
      <c r="AG1914">
        <v>0</v>
      </c>
      <c r="AH1914">
        <v>0</v>
      </c>
      <c r="AI1914">
        <v>0</v>
      </c>
      <c r="AJ1914">
        <v>0</v>
      </c>
      <c r="AK1914">
        <v>0</v>
      </c>
    </row>
    <row r="1915" spans="1:37" x14ac:dyDescent="0.3">
      <c r="A1915">
        <v>7979</v>
      </c>
      <c r="B1915" t="s">
        <v>219</v>
      </c>
      <c r="D1915" t="s">
        <v>327</v>
      </c>
      <c r="E1915">
        <v>99999999</v>
      </c>
      <c r="F1915">
        <v>11111111</v>
      </c>
      <c r="G1915">
        <v>1111111111</v>
      </c>
      <c r="H1915" t="s">
        <v>5484</v>
      </c>
      <c r="I1915">
        <v>99999999</v>
      </c>
      <c r="J1915" s="188">
        <v>45238</v>
      </c>
      <c r="K1915" t="s">
        <v>5484</v>
      </c>
      <c r="L1915" t="s">
        <v>5484</v>
      </c>
      <c r="M1915" t="s">
        <v>865</v>
      </c>
      <c r="N1915" t="s">
        <v>91</v>
      </c>
      <c r="O1915" t="s">
        <v>2594</v>
      </c>
      <c r="P1915" t="s">
        <v>221</v>
      </c>
      <c r="Q1915" t="s">
        <v>82</v>
      </c>
      <c r="R1915">
        <v>2</v>
      </c>
      <c r="S1915">
        <v>1.9</v>
      </c>
      <c r="T1915">
        <v>0</v>
      </c>
      <c r="U1915">
        <v>1</v>
      </c>
      <c r="V1915">
        <v>2</v>
      </c>
      <c r="W1915">
        <v>22.67</v>
      </c>
      <c r="X1915">
        <v>0</v>
      </c>
      <c r="Y1915">
        <v>0</v>
      </c>
      <c r="Z1915">
        <v>0</v>
      </c>
      <c r="AA1915">
        <v>0</v>
      </c>
      <c r="AB1915">
        <v>0</v>
      </c>
      <c r="AC1915">
        <v>0</v>
      </c>
      <c r="AD1915">
        <v>2</v>
      </c>
      <c r="AE1915">
        <v>0</v>
      </c>
      <c r="AF1915">
        <v>0</v>
      </c>
      <c r="AG1915">
        <v>0</v>
      </c>
      <c r="AH1915">
        <v>0</v>
      </c>
      <c r="AI1915">
        <v>0</v>
      </c>
      <c r="AJ1915">
        <v>0</v>
      </c>
      <c r="AK1915">
        <v>0</v>
      </c>
    </row>
    <row r="1916" spans="1:37" x14ac:dyDescent="0.3">
      <c r="A1916">
        <v>7979</v>
      </c>
      <c r="B1916" t="s">
        <v>219</v>
      </c>
      <c r="D1916" t="s">
        <v>327</v>
      </c>
      <c r="E1916">
        <v>99999999</v>
      </c>
      <c r="F1916">
        <v>11111111</v>
      </c>
      <c r="G1916">
        <v>1111111111</v>
      </c>
      <c r="H1916" t="s">
        <v>5485</v>
      </c>
      <c r="I1916">
        <v>99999999</v>
      </c>
      <c r="J1916" s="188">
        <v>45238</v>
      </c>
      <c r="K1916" t="s">
        <v>5485</v>
      </c>
      <c r="L1916" t="s">
        <v>5485</v>
      </c>
      <c r="M1916" t="s">
        <v>2595</v>
      </c>
      <c r="N1916" t="s">
        <v>233</v>
      </c>
      <c r="O1916" t="s">
        <v>2596</v>
      </c>
      <c r="P1916" t="s">
        <v>221</v>
      </c>
      <c r="Q1916" t="s">
        <v>82</v>
      </c>
      <c r="R1916">
        <v>1</v>
      </c>
      <c r="S1916">
        <v>0.55000000000000004</v>
      </c>
      <c r="T1916">
        <v>0</v>
      </c>
      <c r="U1916">
        <v>1</v>
      </c>
      <c r="V1916">
        <v>1</v>
      </c>
      <c r="W1916">
        <v>31.36</v>
      </c>
      <c r="X1916">
        <v>0</v>
      </c>
      <c r="Y1916">
        <v>0</v>
      </c>
      <c r="Z1916">
        <v>0</v>
      </c>
      <c r="AA1916">
        <v>0</v>
      </c>
      <c r="AB1916">
        <v>0</v>
      </c>
      <c r="AC1916">
        <v>0</v>
      </c>
      <c r="AD1916">
        <v>1</v>
      </c>
      <c r="AE1916">
        <v>0</v>
      </c>
      <c r="AF1916">
        <v>0</v>
      </c>
      <c r="AG1916">
        <v>0</v>
      </c>
      <c r="AH1916">
        <v>0</v>
      </c>
      <c r="AI1916">
        <v>0</v>
      </c>
      <c r="AJ1916">
        <v>0</v>
      </c>
      <c r="AK1916">
        <v>0</v>
      </c>
    </row>
    <row r="1917" spans="1:37" x14ac:dyDescent="0.3">
      <c r="A1917">
        <v>7979</v>
      </c>
      <c r="B1917" t="s">
        <v>219</v>
      </c>
      <c r="D1917" t="s">
        <v>327</v>
      </c>
      <c r="E1917">
        <v>99999999</v>
      </c>
      <c r="F1917">
        <v>11111111</v>
      </c>
      <c r="G1917">
        <v>1111111111</v>
      </c>
      <c r="H1917" t="s">
        <v>5486</v>
      </c>
      <c r="I1917">
        <v>99999999</v>
      </c>
      <c r="J1917" s="188">
        <v>45238</v>
      </c>
      <c r="K1917" t="s">
        <v>5486</v>
      </c>
      <c r="L1917" t="s">
        <v>5486</v>
      </c>
      <c r="M1917" t="s">
        <v>1676</v>
      </c>
      <c r="N1917" t="s">
        <v>99</v>
      </c>
      <c r="O1917">
        <v>92067</v>
      </c>
      <c r="P1917" t="s">
        <v>221</v>
      </c>
      <c r="Q1917" t="s">
        <v>82</v>
      </c>
      <c r="R1917">
        <v>2</v>
      </c>
      <c r="S1917">
        <v>2</v>
      </c>
      <c r="T1917">
        <v>0</v>
      </c>
      <c r="U1917">
        <v>1</v>
      </c>
      <c r="V1917">
        <v>1</v>
      </c>
      <c r="W1917">
        <v>28</v>
      </c>
      <c r="X1917">
        <v>0</v>
      </c>
      <c r="Y1917">
        <v>0</v>
      </c>
      <c r="Z1917">
        <v>0</v>
      </c>
      <c r="AA1917">
        <v>0</v>
      </c>
      <c r="AB1917">
        <v>0</v>
      </c>
      <c r="AC1917">
        <v>0</v>
      </c>
      <c r="AD1917">
        <v>2</v>
      </c>
      <c r="AE1917">
        <v>0</v>
      </c>
      <c r="AF1917">
        <v>0</v>
      </c>
      <c r="AG1917">
        <v>0</v>
      </c>
      <c r="AH1917">
        <v>0</v>
      </c>
      <c r="AI1917">
        <v>0</v>
      </c>
      <c r="AJ1917">
        <v>0</v>
      </c>
      <c r="AK1917">
        <v>0</v>
      </c>
    </row>
    <row r="1918" spans="1:37" x14ac:dyDescent="0.3">
      <c r="A1918">
        <v>7979</v>
      </c>
      <c r="B1918" t="s">
        <v>219</v>
      </c>
      <c r="D1918" t="s">
        <v>327</v>
      </c>
      <c r="E1918">
        <v>99999999</v>
      </c>
      <c r="F1918">
        <v>11111111</v>
      </c>
      <c r="G1918">
        <v>1111111111</v>
      </c>
      <c r="H1918" t="s">
        <v>5487</v>
      </c>
      <c r="I1918">
        <v>99999999</v>
      </c>
      <c r="J1918" s="188">
        <v>45237</v>
      </c>
      <c r="K1918" t="s">
        <v>5487</v>
      </c>
      <c r="L1918" t="s">
        <v>5487</v>
      </c>
      <c r="M1918" t="s">
        <v>1240</v>
      </c>
      <c r="N1918" t="s">
        <v>99</v>
      </c>
      <c r="O1918" t="s">
        <v>2597</v>
      </c>
      <c r="P1918" t="s">
        <v>221</v>
      </c>
      <c r="Q1918" t="s">
        <v>82</v>
      </c>
      <c r="R1918">
        <v>3</v>
      </c>
      <c r="S1918">
        <v>60.25</v>
      </c>
      <c r="T1918">
        <v>0</v>
      </c>
      <c r="U1918">
        <v>3</v>
      </c>
      <c r="V1918">
        <v>2</v>
      </c>
      <c r="W1918">
        <v>107.98</v>
      </c>
      <c r="X1918">
        <v>0</v>
      </c>
      <c r="Y1918">
        <v>0</v>
      </c>
      <c r="Z1918">
        <v>0</v>
      </c>
      <c r="AA1918">
        <v>0</v>
      </c>
      <c r="AB1918">
        <v>0</v>
      </c>
      <c r="AC1918">
        <v>0</v>
      </c>
      <c r="AD1918">
        <v>3</v>
      </c>
      <c r="AE1918">
        <v>0</v>
      </c>
      <c r="AF1918">
        <v>0</v>
      </c>
      <c r="AG1918">
        <v>0</v>
      </c>
      <c r="AH1918">
        <v>0</v>
      </c>
      <c r="AI1918">
        <v>0</v>
      </c>
      <c r="AJ1918">
        <v>0</v>
      </c>
      <c r="AK1918">
        <v>0</v>
      </c>
    </row>
    <row r="1919" spans="1:37" x14ac:dyDescent="0.3">
      <c r="A1919">
        <v>7979</v>
      </c>
      <c r="B1919" t="s">
        <v>219</v>
      </c>
      <c r="D1919" t="s">
        <v>327</v>
      </c>
      <c r="E1919">
        <v>99999999</v>
      </c>
      <c r="F1919">
        <v>11111111</v>
      </c>
      <c r="G1919">
        <v>1111111111</v>
      </c>
      <c r="H1919" t="s">
        <v>5488</v>
      </c>
      <c r="I1919">
        <v>99999999</v>
      </c>
      <c r="J1919" s="188">
        <v>45237</v>
      </c>
      <c r="K1919" t="s">
        <v>5488</v>
      </c>
      <c r="L1919" t="s">
        <v>5488</v>
      </c>
      <c r="M1919" t="s">
        <v>128</v>
      </c>
      <c r="N1919" t="s">
        <v>85</v>
      </c>
      <c r="O1919" t="s">
        <v>2598</v>
      </c>
      <c r="P1919" t="s">
        <v>221</v>
      </c>
      <c r="Q1919" t="s">
        <v>82</v>
      </c>
      <c r="R1919">
        <v>2</v>
      </c>
      <c r="S1919">
        <v>17.916</v>
      </c>
      <c r="T1919">
        <v>0</v>
      </c>
      <c r="U1919">
        <v>1</v>
      </c>
      <c r="V1919">
        <v>2</v>
      </c>
      <c r="W1919">
        <v>30.64</v>
      </c>
      <c r="X1919">
        <v>0</v>
      </c>
      <c r="Y1919">
        <v>0</v>
      </c>
      <c r="Z1919">
        <v>0</v>
      </c>
      <c r="AA1919">
        <v>0</v>
      </c>
      <c r="AB1919">
        <v>0</v>
      </c>
      <c r="AC1919">
        <v>0</v>
      </c>
      <c r="AD1919">
        <v>2</v>
      </c>
      <c r="AE1919">
        <v>0</v>
      </c>
      <c r="AF1919">
        <v>0</v>
      </c>
      <c r="AG1919">
        <v>0</v>
      </c>
      <c r="AH1919">
        <v>0</v>
      </c>
      <c r="AI1919">
        <v>0</v>
      </c>
      <c r="AJ1919">
        <v>0</v>
      </c>
      <c r="AK1919">
        <v>0</v>
      </c>
    </row>
    <row r="1920" spans="1:37" x14ac:dyDescent="0.3">
      <c r="A1920">
        <v>7979</v>
      </c>
      <c r="B1920" t="s">
        <v>219</v>
      </c>
      <c r="D1920" t="s">
        <v>327</v>
      </c>
      <c r="E1920">
        <v>99999999</v>
      </c>
      <c r="F1920">
        <v>11111111</v>
      </c>
      <c r="G1920">
        <v>1111111111</v>
      </c>
      <c r="H1920" t="s">
        <v>5489</v>
      </c>
      <c r="I1920">
        <v>99999999</v>
      </c>
      <c r="J1920" s="188">
        <v>45237</v>
      </c>
      <c r="K1920" t="s">
        <v>5489</v>
      </c>
      <c r="L1920" t="s">
        <v>5489</v>
      </c>
      <c r="M1920" t="s">
        <v>2599</v>
      </c>
      <c r="N1920" t="s">
        <v>381</v>
      </c>
      <c r="O1920" t="s">
        <v>2600</v>
      </c>
      <c r="P1920" t="s">
        <v>221</v>
      </c>
      <c r="Q1920" t="s">
        <v>82</v>
      </c>
      <c r="R1920">
        <v>2</v>
      </c>
      <c r="S1920">
        <v>44.2</v>
      </c>
      <c r="T1920">
        <v>0</v>
      </c>
      <c r="U1920">
        <v>1</v>
      </c>
      <c r="V1920">
        <v>2</v>
      </c>
      <c r="W1920">
        <v>54.15</v>
      </c>
      <c r="X1920">
        <v>0</v>
      </c>
      <c r="Y1920">
        <v>0</v>
      </c>
      <c r="Z1920">
        <v>0</v>
      </c>
      <c r="AA1920">
        <v>0</v>
      </c>
      <c r="AB1920">
        <v>0</v>
      </c>
      <c r="AC1920">
        <v>0</v>
      </c>
      <c r="AD1920">
        <v>2</v>
      </c>
      <c r="AE1920">
        <v>0</v>
      </c>
      <c r="AF1920">
        <v>0</v>
      </c>
      <c r="AG1920">
        <v>0</v>
      </c>
      <c r="AH1920">
        <v>0</v>
      </c>
      <c r="AI1920">
        <v>0</v>
      </c>
      <c r="AJ1920">
        <v>0</v>
      </c>
      <c r="AK1920">
        <v>0</v>
      </c>
    </row>
    <row r="1921" spans="1:37" x14ac:dyDescent="0.3">
      <c r="A1921">
        <v>7979</v>
      </c>
      <c r="B1921" t="s">
        <v>219</v>
      </c>
      <c r="D1921" t="s">
        <v>327</v>
      </c>
      <c r="E1921">
        <v>99999999</v>
      </c>
      <c r="F1921">
        <v>11111111</v>
      </c>
      <c r="G1921">
        <v>1111111111</v>
      </c>
      <c r="H1921" t="s">
        <v>5490</v>
      </c>
      <c r="I1921">
        <v>99999999</v>
      </c>
      <c r="J1921" s="188">
        <v>45237</v>
      </c>
      <c r="K1921" t="s">
        <v>5490</v>
      </c>
      <c r="L1921" t="s">
        <v>5490</v>
      </c>
      <c r="M1921" t="s">
        <v>659</v>
      </c>
      <c r="N1921" t="s">
        <v>99</v>
      </c>
      <c r="O1921" t="s">
        <v>2601</v>
      </c>
      <c r="P1921" t="s">
        <v>221</v>
      </c>
      <c r="Q1921" t="s">
        <v>82</v>
      </c>
      <c r="R1921">
        <v>1</v>
      </c>
      <c r="S1921">
        <v>50</v>
      </c>
      <c r="T1921">
        <v>0</v>
      </c>
      <c r="U1921">
        <v>1</v>
      </c>
      <c r="V1921">
        <v>1</v>
      </c>
      <c r="W1921">
        <v>86.13</v>
      </c>
      <c r="X1921">
        <v>0</v>
      </c>
      <c r="Y1921">
        <v>0</v>
      </c>
      <c r="Z1921">
        <v>0</v>
      </c>
      <c r="AA1921">
        <v>0</v>
      </c>
      <c r="AB1921">
        <v>0</v>
      </c>
      <c r="AC1921">
        <v>0</v>
      </c>
      <c r="AD1921">
        <v>1</v>
      </c>
      <c r="AE1921">
        <v>0</v>
      </c>
      <c r="AF1921">
        <v>0</v>
      </c>
      <c r="AG1921">
        <v>0</v>
      </c>
      <c r="AH1921">
        <v>0</v>
      </c>
      <c r="AI1921">
        <v>0</v>
      </c>
      <c r="AJ1921">
        <v>0</v>
      </c>
      <c r="AK1921">
        <v>0</v>
      </c>
    </row>
    <row r="1922" spans="1:37" x14ac:dyDescent="0.3">
      <c r="A1922">
        <v>7979</v>
      </c>
      <c r="B1922" t="s">
        <v>219</v>
      </c>
      <c r="D1922" t="s">
        <v>327</v>
      </c>
      <c r="E1922">
        <v>99999999</v>
      </c>
      <c r="F1922">
        <v>11111111</v>
      </c>
      <c r="G1922">
        <v>1111111111</v>
      </c>
      <c r="H1922" t="s">
        <v>5491</v>
      </c>
      <c r="I1922">
        <v>99999999</v>
      </c>
      <c r="J1922" s="188">
        <v>45237</v>
      </c>
      <c r="K1922" t="s">
        <v>5491</v>
      </c>
      <c r="L1922" t="s">
        <v>5491</v>
      </c>
      <c r="M1922" t="s">
        <v>2602</v>
      </c>
      <c r="N1922" t="s">
        <v>99</v>
      </c>
      <c r="O1922" t="s">
        <v>2603</v>
      </c>
      <c r="P1922" t="s">
        <v>221</v>
      </c>
      <c r="Q1922" t="s">
        <v>82</v>
      </c>
      <c r="R1922">
        <v>1</v>
      </c>
      <c r="S1922">
        <v>20</v>
      </c>
      <c r="T1922">
        <v>0</v>
      </c>
      <c r="U1922">
        <v>1</v>
      </c>
      <c r="V1922">
        <v>1</v>
      </c>
      <c r="W1922">
        <v>28.56</v>
      </c>
      <c r="X1922">
        <v>0</v>
      </c>
      <c r="Y1922">
        <v>0</v>
      </c>
      <c r="Z1922">
        <v>0</v>
      </c>
      <c r="AA1922">
        <v>0</v>
      </c>
      <c r="AB1922">
        <v>0</v>
      </c>
      <c r="AC1922">
        <v>0</v>
      </c>
      <c r="AD1922">
        <v>1</v>
      </c>
      <c r="AE1922">
        <v>0</v>
      </c>
      <c r="AF1922">
        <v>0</v>
      </c>
      <c r="AG1922">
        <v>0</v>
      </c>
      <c r="AH1922">
        <v>0</v>
      </c>
      <c r="AI1922">
        <v>0</v>
      </c>
      <c r="AJ1922">
        <v>0</v>
      </c>
      <c r="AK1922">
        <v>0</v>
      </c>
    </row>
    <row r="1923" spans="1:37" x14ac:dyDescent="0.3">
      <c r="A1923">
        <v>7979</v>
      </c>
      <c r="B1923" t="s">
        <v>219</v>
      </c>
      <c r="D1923" t="s">
        <v>327</v>
      </c>
      <c r="E1923">
        <v>99999999</v>
      </c>
      <c r="F1923">
        <v>11111111</v>
      </c>
      <c r="G1923">
        <v>1111111111</v>
      </c>
      <c r="H1923" t="s">
        <v>5492</v>
      </c>
      <c r="I1923">
        <v>99999999</v>
      </c>
      <c r="J1923" s="188">
        <v>45237</v>
      </c>
      <c r="K1923" t="s">
        <v>5492</v>
      </c>
      <c r="L1923" t="s">
        <v>5492</v>
      </c>
      <c r="M1923" t="s">
        <v>2604</v>
      </c>
      <c r="N1923" t="s">
        <v>104</v>
      </c>
      <c r="O1923" t="s">
        <v>2605</v>
      </c>
      <c r="P1923" t="s">
        <v>221</v>
      </c>
      <c r="Q1923" t="s">
        <v>82</v>
      </c>
      <c r="R1923">
        <v>1</v>
      </c>
      <c r="S1923">
        <v>14</v>
      </c>
      <c r="T1923">
        <v>0</v>
      </c>
      <c r="U1923">
        <v>1</v>
      </c>
      <c r="V1923">
        <v>1</v>
      </c>
      <c r="W1923">
        <v>33.770000000000003</v>
      </c>
      <c r="X1923">
        <v>0</v>
      </c>
      <c r="Y1923">
        <v>0</v>
      </c>
      <c r="Z1923">
        <v>0</v>
      </c>
      <c r="AA1923">
        <v>0</v>
      </c>
      <c r="AB1923">
        <v>0</v>
      </c>
      <c r="AC1923">
        <v>0</v>
      </c>
      <c r="AD1923">
        <v>1</v>
      </c>
      <c r="AE1923">
        <v>0</v>
      </c>
      <c r="AF1923">
        <v>0</v>
      </c>
      <c r="AG1923">
        <v>0</v>
      </c>
      <c r="AH1923">
        <v>0</v>
      </c>
      <c r="AI1923">
        <v>0</v>
      </c>
      <c r="AJ1923">
        <v>0</v>
      </c>
      <c r="AK1923">
        <v>0</v>
      </c>
    </row>
    <row r="1924" spans="1:37" x14ac:dyDescent="0.3">
      <c r="A1924">
        <v>7979</v>
      </c>
      <c r="B1924" t="s">
        <v>219</v>
      </c>
      <c r="D1924" t="s">
        <v>327</v>
      </c>
      <c r="E1924">
        <v>99999999</v>
      </c>
      <c r="F1924">
        <v>11111111</v>
      </c>
      <c r="G1924">
        <v>1111111111</v>
      </c>
      <c r="H1924" t="s">
        <v>5493</v>
      </c>
      <c r="I1924">
        <v>99999999</v>
      </c>
      <c r="J1924" s="188">
        <v>45238</v>
      </c>
      <c r="K1924" t="s">
        <v>5493</v>
      </c>
      <c r="L1924" t="s">
        <v>5493</v>
      </c>
      <c r="M1924" t="s">
        <v>173</v>
      </c>
      <c r="N1924" t="s">
        <v>164</v>
      </c>
      <c r="O1924" t="s">
        <v>2606</v>
      </c>
      <c r="P1924" t="s">
        <v>221</v>
      </c>
      <c r="Q1924" t="s">
        <v>82</v>
      </c>
      <c r="R1924">
        <v>1</v>
      </c>
      <c r="S1924">
        <v>0.31</v>
      </c>
      <c r="T1924">
        <v>0</v>
      </c>
      <c r="U1924">
        <v>1</v>
      </c>
      <c r="V1924">
        <v>1</v>
      </c>
      <c r="W1924">
        <v>19.3</v>
      </c>
      <c r="X1924">
        <v>0</v>
      </c>
      <c r="Y1924">
        <v>0</v>
      </c>
      <c r="Z1924">
        <v>0</v>
      </c>
      <c r="AA1924">
        <v>0</v>
      </c>
      <c r="AB1924">
        <v>0</v>
      </c>
      <c r="AC1924">
        <v>0</v>
      </c>
      <c r="AD1924">
        <v>1</v>
      </c>
      <c r="AE1924">
        <v>0</v>
      </c>
      <c r="AF1924">
        <v>0</v>
      </c>
      <c r="AG1924">
        <v>0</v>
      </c>
      <c r="AH1924">
        <v>0</v>
      </c>
      <c r="AI1924">
        <v>0</v>
      </c>
      <c r="AJ1924">
        <v>0</v>
      </c>
      <c r="AK1924">
        <v>0</v>
      </c>
    </row>
    <row r="1925" spans="1:37" x14ac:dyDescent="0.3">
      <c r="A1925">
        <v>7979</v>
      </c>
      <c r="B1925" t="s">
        <v>219</v>
      </c>
      <c r="D1925" t="s">
        <v>327</v>
      </c>
      <c r="E1925">
        <v>99999999</v>
      </c>
      <c r="F1925">
        <v>11111111</v>
      </c>
      <c r="G1925">
        <v>1111111111</v>
      </c>
      <c r="H1925" t="s">
        <v>5494</v>
      </c>
      <c r="I1925">
        <v>99999999</v>
      </c>
      <c r="J1925" s="188">
        <v>45238</v>
      </c>
      <c r="K1925" t="s">
        <v>5494</v>
      </c>
      <c r="L1925" t="s">
        <v>5494</v>
      </c>
      <c r="M1925" t="s">
        <v>1615</v>
      </c>
      <c r="N1925" t="s">
        <v>99</v>
      </c>
      <c r="O1925" t="s">
        <v>2607</v>
      </c>
      <c r="P1925" t="s">
        <v>221</v>
      </c>
      <c r="Q1925" t="s">
        <v>82</v>
      </c>
      <c r="R1925">
        <v>1</v>
      </c>
      <c r="S1925">
        <v>7.5</v>
      </c>
      <c r="T1925">
        <v>0</v>
      </c>
      <c r="U1925">
        <v>1</v>
      </c>
      <c r="V1925">
        <v>1</v>
      </c>
      <c r="W1925">
        <v>22.42</v>
      </c>
      <c r="X1925">
        <v>0</v>
      </c>
      <c r="Y1925">
        <v>0</v>
      </c>
      <c r="Z1925">
        <v>0</v>
      </c>
      <c r="AA1925">
        <v>0</v>
      </c>
      <c r="AB1925">
        <v>0</v>
      </c>
      <c r="AC1925">
        <v>0</v>
      </c>
      <c r="AD1925">
        <v>1</v>
      </c>
      <c r="AE1925">
        <v>0</v>
      </c>
      <c r="AF1925">
        <v>0</v>
      </c>
      <c r="AG1925">
        <v>0</v>
      </c>
      <c r="AH1925">
        <v>0</v>
      </c>
      <c r="AI1925">
        <v>0</v>
      </c>
      <c r="AJ1925">
        <v>0</v>
      </c>
      <c r="AK1925">
        <v>0</v>
      </c>
    </row>
    <row r="1926" spans="1:37" x14ac:dyDescent="0.3">
      <c r="A1926">
        <v>7979</v>
      </c>
      <c r="B1926" t="s">
        <v>219</v>
      </c>
      <c r="D1926" t="s">
        <v>327</v>
      </c>
      <c r="E1926">
        <v>99999999</v>
      </c>
      <c r="F1926">
        <v>11111111</v>
      </c>
      <c r="G1926">
        <v>1111111111</v>
      </c>
      <c r="H1926" t="s">
        <v>5495</v>
      </c>
      <c r="I1926">
        <v>99999999</v>
      </c>
      <c r="J1926" s="188">
        <v>45238</v>
      </c>
      <c r="K1926" t="s">
        <v>5495</v>
      </c>
      <c r="L1926" t="s">
        <v>5495</v>
      </c>
      <c r="M1926" t="s">
        <v>173</v>
      </c>
      <c r="N1926" t="s">
        <v>164</v>
      </c>
      <c r="O1926" t="s">
        <v>2608</v>
      </c>
      <c r="P1926" t="s">
        <v>221</v>
      </c>
      <c r="Q1926" t="s">
        <v>82</v>
      </c>
      <c r="R1926">
        <v>1</v>
      </c>
      <c r="S1926">
        <v>0.25</v>
      </c>
      <c r="T1926">
        <v>0</v>
      </c>
      <c r="U1926">
        <v>1</v>
      </c>
      <c r="V1926">
        <v>1</v>
      </c>
      <c r="W1926">
        <v>19.3</v>
      </c>
      <c r="X1926">
        <v>0</v>
      </c>
      <c r="Y1926">
        <v>0</v>
      </c>
      <c r="Z1926">
        <v>0</v>
      </c>
      <c r="AA1926">
        <v>0</v>
      </c>
      <c r="AB1926">
        <v>0</v>
      </c>
      <c r="AC1926">
        <v>0</v>
      </c>
      <c r="AD1926">
        <v>1</v>
      </c>
      <c r="AE1926">
        <v>0</v>
      </c>
      <c r="AF1926">
        <v>0</v>
      </c>
      <c r="AG1926">
        <v>0</v>
      </c>
      <c r="AH1926">
        <v>0</v>
      </c>
      <c r="AI1926">
        <v>0</v>
      </c>
      <c r="AJ1926">
        <v>0</v>
      </c>
      <c r="AK1926">
        <v>0</v>
      </c>
    </row>
    <row r="1927" spans="1:37" x14ac:dyDescent="0.3">
      <c r="A1927">
        <v>7979</v>
      </c>
      <c r="B1927" t="s">
        <v>219</v>
      </c>
      <c r="D1927" t="s">
        <v>327</v>
      </c>
      <c r="E1927">
        <v>99999999</v>
      </c>
      <c r="F1927">
        <v>11111111</v>
      </c>
      <c r="G1927">
        <v>1111111111</v>
      </c>
      <c r="H1927" t="s">
        <v>5496</v>
      </c>
      <c r="I1927">
        <v>99999999</v>
      </c>
      <c r="J1927" s="188">
        <v>45238</v>
      </c>
      <c r="K1927" t="s">
        <v>5496</v>
      </c>
      <c r="L1927" t="s">
        <v>5496</v>
      </c>
      <c r="M1927" t="s">
        <v>1062</v>
      </c>
      <c r="N1927" t="s">
        <v>164</v>
      </c>
      <c r="O1927" t="s">
        <v>2609</v>
      </c>
      <c r="P1927" t="s">
        <v>221</v>
      </c>
      <c r="Q1927" t="s">
        <v>82</v>
      </c>
      <c r="R1927">
        <v>2</v>
      </c>
      <c r="S1927">
        <v>0.5</v>
      </c>
      <c r="T1927">
        <v>0</v>
      </c>
      <c r="U1927">
        <v>1</v>
      </c>
      <c r="V1927">
        <v>1</v>
      </c>
      <c r="W1927">
        <v>25.42</v>
      </c>
      <c r="X1927">
        <v>0</v>
      </c>
      <c r="Y1927">
        <v>0</v>
      </c>
      <c r="Z1927">
        <v>0</v>
      </c>
      <c r="AA1927">
        <v>0</v>
      </c>
      <c r="AB1927">
        <v>0</v>
      </c>
      <c r="AC1927">
        <v>0</v>
      </c>
      <c r="AD1927">
        <v>2</v>
      </c>
      <c r="AE1927">
        <v>0</v>
      </c>
      <c r="AF1927">
        <v>0</v>
      </c>
      <c r="AG1927">
        <v>0</v>
      </c>
      <c r="AH1927">
        <v>0</v>
      </c>
      <c r="AI1927">
        <v>0</v>
      </c>
      <c r="AJ1927">
        <v>0</v>
      </c>
      <c r="AK1927">
        <v>0</v>
      </c>
    </row>
    <row r="1928" spans="1:37" x14ac:dyDescent="0.3">
      <c r="A1928">
        <v>7979</v>
      </c>
      <c r="B1928" t="s">
        <v>219</v>
      </c>
      <c r="D1928" t="s">
        <v>327</v>
      </c>
      <c r="E1928">
        <v>99999999</v>
      </c>
      <c r="F1928">
        <v>11111111</v>
      </c>
      <c r="G1928">
        <v>1111111111</v>
      </c>
      <c r="H1928" t="s">
        <v>5497</v>
      </c>
      <c r="I1928">
        <v>99999999</v>
      </c>
      <c r="J1928" s="188">
        <v>45238</v>
      </c>
      <c r="K1928" t="s">
        <v>5497</v>
      </c>
      <c r="L1928" t="s">
        <v>5497</v>
      </c>
      <c r="M1928" t="s">
        <v>1172</v>
      </c>
      <c r="N1928" t="s">
        <v>99</v>
      </c>
      <c r="O1928" t="s">
        <v>2610</v>
      </c>
      <c r="P1928" t="s">
        <v>221</v>
      </c>
      <c r="Q1928" t="s">
        <v>82</v>
      </c>
      <c r="R1928">
        <v>1</v>
      </c>
      <c r="S1928">
        <v>1.8</v>
      </c>
      <c r="T1928">
        <v>0</v>
      </c>
      <c r="U1928">
        <v>1</v>
      </c>
      <c r="V1928">
        <v>1</v>
      </c>
      <c r="W1928">
        <v>20.67</v>
      </c>
      <c r="X1928">
        <v>0</v>
      </c>
      <c r="Y1928">
        <v>0</v>
      </c>
      <c r="Z1928">
        <v>0</v>
      </c>
      <c r="AA1928">
        <v>0</v>
      </c>
      <c r="AB1928">
        <v>0</v>
      </c>
      <c r="AC1928">
        <v>0</v>
      </c>
      <c r="AD1928">
        <v>1</v>
      </c>
      <c r="AE1928">
        <v>0</v>
      </c>
      <c r="AF1928">
        <v>0</v>
      </c>
      <c r="AG1928">
        <v>0</v>
      </c>
      <c r="AH1928">
        <v>0</v>
      </c>
      <c r="AI1928">
        <v>0</v>
      </c>
      <c r="AJ1928">
        <v>0</v>
      </c>
      <c r="AK1928">
        <v>0</v>
      </c>
    </row>
    <row r="1929" spans="1:37" x14ac:dyDescent="0.3">
      <c r="A1929">
        <v>7979</v>
      </c>
      <c r="B1929" t="s">
        <v>219</v>
      </c>
      <c r="D1929" t="s">
        <v>327</v>
      </c>
      <c r="E1929">
        <v>99999999</v>
      </c>
      <c r="F1929">
        <v>11111111</v>
      </c>
      <c r="G1929">
        <v>1111111111</v>
      </c>
      <c r="H1929" t="s">
        <v>5498</v>
      </c>
      <c r="I1929">
        <v>99999999</v>
      </c>
      <c r="J1929" s="188">
        <v>45238</v>
      </c>
      <c r="K1929" t="s">
        <v>5498</v>
      </c>
      <c r="L1929" t="s">
        <v>5498</v>
      </c>
      <c r="M1929" t="s">
        <v>2611</v>
      </c>
      <c r="N1929" t="s">
        <v>99</v>
      </c>
      <c r="O1929">
        <v>91962</v>
      </c>
      <c r="P1929" t="s">
        <v>221</v>
      </c>
      <c r="Q1929" t="s">
        <v>82</v>
      </c>
      <c r="R1929">
        <v>1</v>
      </c>
      <c r="S1929">
        <v>10</v>
      </c>
      <c r="T1929">
        <v>0</v>
      </c>
      <c r="U1929">
        <v>1</v>
      </c>
      <c r="V1929">
        <v>1</v>
      </c>
      <c r="W1929">
        <v>39.72</v>
      </c>
      <c r="X1929">
        <v>0</v>
      </c>
      <c r="Y1929">
        <v>0</v>
      </c>
      <c r="Z1929">
        <v>0</v>
      </c>
      <c r="AA1929">
        <v>0</v>
      </c>
      <c r="AB1929">
        <v>0</v>
      </c>
      <c r="AC1929">
        <v>0</v>
      </c>
      <c r="AD1929">
        <v>1</v>
      </c>
      <c r="AE1929">
        <v>0</v>
      </c>
      <c r="AF1929">
        <v>0</v>
      </c>
      <c r="AG1929">
        <v>0</v>
      </c>
      <c r="AH1929">
        <v>0</v>
      </c>
      <c r="AI1929">
        <v>0</v>
      </c>
      <c r="AJ1929">
        <v>0</v>
      </c>
      <c r="AK1929">
        <v>0</v>
      </c>
    </row>
    <row r="1930" spans="1:37" x14ac:dyDescent="0.3">
      <c r="A1930">
        <v>7979</v>
      </c>
      <c r="B1930" t="s">
        <v>219</v>
      </c>
      <c r="D1930" t="s">
        <v>327</v>
      </c>
      <c r="E1930">
        <v>99999999</v>
      </c>
      <c r="F1930">
        <v>11111111</v>
      </c>
      <c r="G1930">
        <v>1111111111</v>
      </c>
      <c r="H1930" t="s">
        <v>5499</v>
      </c>
      <c r="I1930">
        <v>99999999</v>
      </c>
      <c r="J1930" s="188">
        <v>45238</v>
      </c>
      <c r="K1930" t="s">
        <v>5499</v>
      </c>
      <c r="L1930" t="s">
        <v>5499</v>
      </c>
      <c r="M1930" t="s">
        <v>1202</v>
      </c>
      <c r="N1930" t="s">
        <v>164</v>
      </c>
      <c r="O1930">
        <v>97321</v>
      </c>
      <c r="P1930" t="s">
        <v>221</v>
      </c>
      <c r="Q1930" t="s">
        <v>82</v>
      </c>
      <c r="R1930">
        <v>1</v>
      </c>
      <c r="S1930">
        <v>2.4</v>
      </c>
      <c r="T1930">
        <v>0</v>
      </c>
      <c r="U1930">
        <v>1</v>
      </c>
      <c r="V1930">
        <v>1</v>
      </c>
      <c r="W1930">
        <v>21.88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1</v>
      </c>
      <c r="AE1930">
        <v>0</v>
      </c>
      <c r="AF1930">
        <v>0</v>
      </c>
      <c r="AG1930">
        <v>0</v>
      </c>
      <c r="AH1930">
        <v>0</v>
      </c>
      <c r="AI1930">
        <v>0</v>
      </c>
      <c r="AJ1930">
        <v>0</v>
      </c>
      <c r="AK1930">
        <v>0</v>
      </c>
    </row>
    <row r="1931" spans="1:37" x14ac:dyDescent="0.3">
      <c r="A1931">
        <v>7979</v>
      </c>
      <c r="B1931" t="s">
        <v>219</v>
      </c>
      <c r="D1931" t="s">
        <v>327</v>
      </c>
      <c r="E1931">
        <v>99999999</v>
      </c>
      <c r="F1931">
        <v>11111111</v>
      </c>
      <c r="G1931">
        <v>1111111111</v>
      </c>
      <c r="H1931" t="s">
        <v>5500</v>
      </c>
      <c r="I1931">
        <v>99999999</v>
      </c>
      <c r="J1931" s="188">
        <v>45238</v>
      </c>
      <c r="K1931" t="s">
        <v>5500</v>
      </c>
      <c r="L1931" t="s">
        <v>5500</v>
      </c>
      <c r="M1931" t="s">
        <v>791</v>
      </c>
      <c r="N1931" t="s">
        <v>99</v>
      </c>
      <c r="O1931" t="s">
        <v>2612</v>
      </c>
      <c r="P1931" t="s">
        <v>221</v>
      </c>
      <c r="Q1931" t="s">
        <v>82</v>
      </c>
      <c r="R1931">
        <v>1</v>
      </c>
      <c r="S1931">
        <v>11.666</v>
      </c>
      <c r="T1931">
        <v>0</v>
      </c>
      <c r="U1931">
        <v>1</v>
      </c>
      <c r="V1931">
        <v>1</v>
      </c>
      <c r="W1931">
        <v>29.94</v>
      </c>
      <c r="X1931">
        <v>0</v>
      </c>
      <c r="Y1931">
        <v>0</v>
      </c>
      <c r="Z1931">
        <v>0</v>
      </c>
      <c r="AA1931">
        <v>0</v>
      </c>
      <c r="AB1931">
        <v>0</v>
      </c>
      <c r="AC1931">
        <v>0</v>
      </c>
      <c r="AD1931">
        <v>1</v>
      </c>
      <c r="AE1931">
        <v>0</v>
      </c>
      <c r="AF1931">
        <v>0</v>
      </c>
      <c r="AG1931">
        <v>0</v>
      </c>
      <c r="AH1931">
        <v>0</v>
      </c>
      <c r="AI1931">
        <v>0</v>
      </c>
      <c r="AJ1931">
        <v>0</v>
      </c>
      <c r="AK1931">
        <v>0</v>
      </c>
    </row>
    <row r="1932" spans="1:37" x14ac:dyDescent="0.3">
      <c r="A1932">
        <v>7979</v>
      </c>
      <c r="B1932" t="s">
        <v>219</v>
      </c>
      <c r="D1932" t="s">
        <v>327</v>
      </c>
      <c r="E1932">
        <v>99999999</v>
      </c>
      <c r="F1932">
        <v>11111111</v>
      </c>
      <c r="G1932">
        <v>1111111111</v>
      </c>
      <c r="H1932" t="s">
        <v>5501</v>
      </c>
      <c r="I1932">
        <v>99999999</v>
      </c>
      <c r="J1932" s="188">
        <v>45238</v>
      </c>
      <c r="K1932" t="s">
        <v>5501</v>
      </c>
      <c r="L1932" t="s">
        <v>5501</v>
      </c>
      <c r="M1932" t="s">
        <v>323</v>
      </c>
      <c r="N1932" t="s">
        <v>122</v>
      </c>
      <c r="O1932" t="s">
        <v>2613</v>
      </c>
      <c r="P1932" t="s">
        <v>221</v>
      </c>
      <c r="Q1932" t="s">
        <v>82</v>
      </c>
      <c r="R1932">
        <v>1</v>
      </c>
      <c r="S1932">
        <v>2</v>
      </c>
      <c r="T1932">
        <v>0</v>
      </c>
      <c r="U1932">
        <v>1</v>
      </c>
      <c r="V1932">
        <v>1</v>
      </c>
      <c r="W1932">
        <v>30.93</v>
      </c>
      <c r="X1932">
        <v>0</v>
      </c>
      <c r="Y1932">
        <v>0</v>
      </c>
      <c r="Z1932">
        <v>0</v>
      </c>
      <c r="AA1932">
        <v>0</v>
      </c>
      <c r="AB1932">
        <v>0</v>
      </c>
      <c r="AC1932">
        <v>0</v>
      </c>
      <c r="AD1932">
        <v>1</v>
      </c>
      <c r="AE1932">
        <v>0</v>
      </c>
      <c r="AF1932">
        <v>0</v>
      </c>
      <c r="AG1932">
        <v>0</v>
      </c>
      <c r="AH1932">
        <v>0</v>
      </c>
      <c r="AI1932">
        <v>0</v>
      </c>
      <c r="AJ1932">
        <v>0</v>
      </c>
      <c r="AK1932">
        <v>0</v>
      </c>
    </row>
    <row r="1933" spans="1:37" x14ac:dyDescent="0.3">
      <c r="A1933">
        <v>7979</v>
      </c>
      <c r="B1933" t="s">
        <v>219</v>
      </c>
      <c r="D1933" t="s">
        <v>327</v>
      </c>
      <c r="E1933">
        <v>99999999</v>
      </c>
      <c r="F1933">
        <v>11111111</v>
      </c>
      <c r="G1933">
        <v>1111111111</v>
      </c>
      <c r="H1933" t="s">
        <v>5502</v>
      </c>
      <c r="I1933">
        <v>99999999</v>
      </c>
      <c r="J1933" s="188">
        <v>45238</v>
      </c>
      <c r="K1933" t="s">
        <v>5502</v>
      </c>
      <c r="L1933" t="s">
        <v>5502</v>
      </c>
      <c r="M1933" t="s">
        <v>2614</v>
      </c>
      <c r="N1933" t="s">
        <v>122</v>
      </c>
      <c r="O1933" t="s">
        <v>2615</v>
      </c>
      <c r="P1933" t="s">
        <v>221</v>
      </c>
      <c r="Q1933" t="s">
        <v>82</v>
      </c>
      <c r="R1933">
        <v>1</v>
      </c>
      <c r="S1933">
        <v>1.21</v>
      </c>
      <c r="T1933">
        <v>0</v>
      </c>
      <c r="U1933">
        <v>1</v>
      </c>
      <c r="V1933">
        <v>1</v>
      </c>
      <c r="W1933">
        <v>29.8</v>
      </c>
      <c r="X1933">
        <v>0</v>
      </c>
      <c r="Y1933">
        <v>0</v>
      </c>
      <c r="Z1933">
        <v>0</v>
      </c>
      <c r="AA1933">
        <v>0</v>
      </c>
      <c r="AB1933">
        <v>0</v>
      </c>
      <c r="AC1933">
        <v>0</v>
      </c>
      <c r="AD1933">
        <v>1</v>
      </c>
      <c r="AE1933">
        <v>0</v>
      </c>
      <c r="AF1933">
        <v>0</v>
      </c>
      <c r="AG1933">
        <v>0</v>
      </c>
      <c r="AH1933">
        <v>0</v>
      </c>
      <c r="AI1933">
        <v>0</v>
      </c>
      <c r="AJ1933">
        <v>0</v>
      </c>
      <c r="AK1933">
        <v>0</v>
      </c>
    </row>
    <row r="1934" spans="1:37" x14ac:dyDescent="0.3">
      <c r="A1934">
        <v>7979</v>
      </c>
      <c r="B1934" t="s">
        <v>219</v>
      </c>
      <c r="D1934" t="s">
        <v>327</v>
      </c>
      <c r="E1934">
        <v>99999999</v>
      </c>
      <c r="F1934">
        <v>11111111</v>
      </c>
      <c r="G1934">
        <v>1111111111</v>
      </c>
      <c r="H1934" t="s">
        <v>5503</v>
      </c>
      <c r="I1934">
        <v>99999999</v>
      </c>
      <c r="J1934" s="188">
        <v>45238</v>
      </c>
      <c r="K1934" t="s">
        <v>5503</v>
      </c>
      <c r="L1934" t="s">
        <v>5503</v>
      </c>
      <c r="M1934" t="s">
        <v>332</v>
      </c>
      <c r="N1934" t="s">
        <v>130</v>
      </c>
      <c r="O1934" t="s">
        <v>2616</v>
      </c>
      <c r="P1934" t="s">
        <v>221</v>
      </c>
      <c r="Q1934" t="s">
        <v>82</v>
      </c>
      <c r="R1934">
        <v>1</v>
      </c>
      <c r="S1934">
        <v>2.4</v>
      </c>
      <c r="T1934">
        <v>0</v>
      </c>
      <c r="U1934">
        <v>1</v>
      </c>
      <c r="V1934">
        <v>1</v>
      </c>
      <c r="W1934">
        <v>22.67</v>
      </c>
      <c r="X1934">
        <v>0</v>
      </c>
      <c r="Y1934">
        <v>0</v>
      </c>
      <c r="Z1934">
        <v>0</v>
      </c>
      <c r="AA1934">
        <v>0</v>
      </c>
      <c r="AB1934">
        <v>0</v>
      </c>
      <c r="AC1934">
        <v>0</v>
      </c>
      <c r="AD1934">
        <v>1</v>
      </c>
      <c r="AE1934">
        <v>0</v>
      </c>
      <c r="AF1934">
        <v>0</v>
      </c>
      <c r="AG1934">
        <v>0</v>
      </c>
      <c r="AH1934">
        <v>0</v>
      </c>
      <c r="AI1934">
        <v>0</v>
      </c>
      <c r="AJ1934">
        <v>0</v>
      </c>
      <c r="AK1934">
        <v>0</v>
      </c>
    </row>
    <row r="1935" spans="1:37" x14ac:dyDescent="0.3">
      <c r="A1935">
        <v>7979</v>
      </c>
      <c r="B1935" t="s">
        <v>219</v>
      </c>
      <c r="D1935" t="s">
        <v>327</v>
      </c>
      <c r="E1935">
        <v>99999999</v>
      </c>
      <c r="F1935">
        <v>11111111</v>
      </c>
      <c r="G1935">
        <v>1111111111</v>
      </c>
      <c r="H1935" t="s">
        <v>5504</v>
      </c>
      <c r="I1935">
        <v>99999999</v>
      </c>
      <c r="J1935" s="188">
        <v>45238</v>
      </c>
      <c r="K1935" t="s">
        <v>5504</v>
      </c>
      <c r="L1935" t="s">
        <v>5504</v>
      </c>
      <c r="M1935" t="s">
        <v>2617</v>
      </c>
      <c r="N1935" t="s">
        <v>307</v>
      </c>
      <c r="O1935">
        <v>73566</v>
      </c>
      <c r="P1935" t="s">
        <v>221</v>
      </c>
      <c r="Q1935" t="s">
        <v>82</v>
      </c>
      <c r="R1935">
        <v>2</v>
      </c>
      <c r="S1935">
        <v>0.3</v>
      </c>
      <c r="T1935">
        <v>0</v>
      </c>
      <c r="U1935">
        <v>1</v>
      </c>
      <c r="V1935">
        <v>1</v>
      </c>
      <c r="W1935">
        <v>28.62</v>
      </c>
      <c r="X1935">
        <v>0</v>
      </c>
      <c r="Y1935">
        <v>0</v>
      </c>
      <c r="Z1935">
        <v>0</v>
      </c>
      <c r="AA1935">
        <v>0</v>
      </c>
      <c r="AB1935">
        <v>0</v>
      </c>
      <c r="AC1935">
        <v>0</v>
      </c>
      <c r="AD1935">
        <v>2</v>
      </c>
      <c r="AE1935">
        <v>0</v>
      </c>
      <c r="AF1935">
        <v>0</v>
      </c>
      <c r="AG1935">
        <v>0</v>
      </c>
      <c r="AH1935">
        <v>0</v>
      </c>
      <c r="AI1935">
        <v>0</v>
      </c>
      <c r="AJ1935">
        <v>0</v>
      </c>
      <c r="AK1935">
        <v>0</v>
      </c>
    </row>
    <row r="1936" spans="1:37" x14ac:dyDescent="0.3">
      <c r="A1936">
        <v>7979</v>
      </c>
      <c r="B1936" t="s">
        <v>219</v>
      </c>
      <c r="D1936" t="s">
        <v>327</v>
      </c>
      <c r="E1936">
        <v>99999999</v>
      </c>
      <c r="F1936">
        <v>11111111</v>
      </c>
      <c r="G1936">
        <v>1111111111</v>
      </c>
      <c r="H1936" t="s">
        <v>5505</v>
      </c>
      <c r="I1936">
        <v>99999999</v>
      </c>
      <c r="J1936" s="188">
        <v>45238</v>
      </c>
      <c r="K1936" t="s">
        <v>5505</v>
      </c>
      <c r="L1936" t="s">
        <v>5505</v>
      </c>
      <c r="M1936" t="s">
        <v>620</v>
      </c>
      <c r="N1936" t="s">
        <v>130</v>
      </c>
      <c r="O1936" t="s">
        <v>2618</v>
      </c>
      <c r="P1936" t="s">
        <v>221</v>
      </c>
      <c r="Q1936" t="s">
        <v>82</v>
      </c>
      <c r="R1936">
        <v>1</v>
      </c>
      <c r="S1936">
        <v>3.4</v>
      </c>
      <c r="T1936">
        <v>0</v>
      </c>
      <c r="U1936">
        <v>1</v>
      </c>
      <c r="V1936">
        <v>1</v>
      </c>
      <c r="W1936">
        <v>23.59</v>
      </c>
      <c r="X1936">
        <v>0</v>
      </c>
      <c r="Y1936">
        <v>0</v>
      </c>
      <c r="Z1936">
        <v>0</v>
      </c>
      <c r="AA1936">
        <v>0</v>
      </c>
      <c r="AB1936">
        <v>0</v>
      </c>
      <c r="AC1936">
        <v>0</v>
      </c>
      <c r="AD1936">
        <v>1</v>
      </c>
      <c r="AE1936">
        <v>0</v>
      </c>
      <c r="AF1936">
        <v>0</v>
      </c>
      <c r="AG1936">
        <v>0</v>
      </c>
      <c r="AH1936">
        <v>0</v>
      </c>
      <c r="AI1936">
        <v>0</v>
      </c>
      <c r="AJ1936">
        <v>0</v>
      </c>
      <c r="AK1936">
        <v>0</v>
      </c>
    </row>
    <row r="1937" spans="1:37" x14ac:dyDescent="0.3">
      <c r="A1937">
        <v>7979</v>
      </c>
      <c r="B1937" t="s">
        <v>219</v>
      </c>
      <c r="D1937" t="s">
        <v>327</v>
      </c>
      <c r="E1937">
        <v>99999999</v>
      </c>
      <c r="F1937">
        <v>11111111</v>
      </c>
      <c r="G1937">
        <v>1111111111</v>
      </c>
      <c r="H1937" t="s">
        <v>5506</v>
      </c>
      <c r="I1937">
        <v>99999999</v>
      </c>
      <c r="J1937" s="188">
        <v>45238</v>
      </c>
      <c r="K1937" t="s">
        <v>5506</v>
      </c>
      <c r="L1937" t="s">
        <v>5506</v>
      </c>
      <c r="M1937" t="s">
        <v>1195</v>
      </c>
      <c r="N1937" t="s">
        <v>164</v>
      </c>
      <c r="O1937" t="s">
        <v>2619</v>
      </c>
      <c r="P1937" t="s">
        <v>221</v>
      </c>
      <c r="Q1937" t="s">
        <v>82</v>
      </c>
      <c r="R1937">
        <v>1</v>
      </c>
      <c r="S1937">
        <v>4.4000000000000004</v>
      </c>
      <c r="T1937">
        <v>0</v>
      </c>
      <c r="U1937">
        <v>1</v>
      </c>
      <c r="V1937">
        <v>1</v>
      </c>
      <c r="W1937">
        <v>22.93</v>
      </c>
      <c r="X1937">
        <v>0</v>
      </c>
      <c r="Y1937">
        <v>0</v>
      </c>
      <c r="Z1937">
        <v>0</v>
      </c>
      <c r="AA1937">
        <v>0</v>
      </c>
      <c r="AB1937">
        <v>0</v>
      </c>
      <c r="AC1937">
        <v>0</v>
      </c>
      <c r="AD1937">
        <v>1</v>
      </c>
      <c r="AE1937">
        <v>0</v>
      </c>
      <c r="AF1937">
        <v>0</v>
      </c>
      <c r="AG1937">
        <v>0</v>
      </c>
      <c r="AH1937">
        <v>0</v>
      </c>
      <c r="AI1937">
        <v>0</v>
      </c>
      <c r="AJ1937">
        <v>0</v>
      </c>
      <c r="AK1937">
        <v>0</v>
      </c>
    </row>
    <row r="1938" spans="1:37" x14ac:dyDescent="0.3">
      <c r="A1938">
        <v>7979</v>
      </c>
      <c r="B1938" t="s">
        <v>219</v>
      </c>
      <c r="D1938" t="s">
        <v>327</v>
      </c>
      <c r="E1938">
        <v>99999999</v>
      </c>
      <c r="F1938">
        <v>11111111</v>
      </c>
      <c r="G1938">
        <v>1111111111</v>
      </c>
      <c r="H1938" t="s">
        <v>5507</v>
      </c>
      <c r="I1938">
        <v>99999999</v>
      </c>
      <c r="J1938" s="188">
        <v>45238</v>
      </c>
      <c r="K1938" t="s">
        <v>5507</v>
      </c>
      <c r="L1938" t="s">
        <v>5507</v>
      </c>
      <c r="M1938" t="s">
        <v>807</v>
      </c>
      <c r="N1938" t="s">
        <v>99</v>
      </c>
      <c r="O1938" t="s">
        <v>1783</v>
      </c>
      <c r="P1938" t="s">
        <v>221</v>
      </c>
      <c r="Q1938" t="s">
        <v>82</v>
      </c>
      <c r="R1938">
        <v>1</v>
      </c>
      <c r="S1938">
        <v>0.8</v>
      </c>
      <c r="T1938">
        <v>0</v>
      </c>
      <c r="U1938">
        <v>1</v>
      </c>
      <c r="V1938">
        <v>1</v>
      </c>
      <c r="W1938">
        <v>19.940000000000001</v>
      </c>
      <c r="X1938">
        <v>0</v>
      </c>
      <c r="Y1938">
        <v>0</v>
      </c>
      <c r="Z1938">
        <v>0</v>
      </c>
      <c r="AA1938">
        <v>0</v>
      </c>
      <c r="AB1938">
        <v>0</v>
      </c>
      <c r="AC1938">
        <v>0</v>
      </c>
      <c r="AD1938">
        <v>1</v>
      </c>
      <c r="AE1938">
        <v>0</v>
      </c>
      <c r="AF1938">
        <v>0</v>
      </c>
      <c r="AG1938">
        <v>0</v>
      </c>
      <c r="AH1938">
        <v>0</v>
      </c>
      <c r="AI1938">
        <v>0</v>
      </c>
      <c r="AJ1938">
        <v>0</v>
      </c>
      <c r="AK1938">
        <v>0</v>
      </c>
    </row>
    <row r="1939" spans="1:37" x14ac:dyDescent="0.3">
      <c r="A1939">
        <v>7979</v>
      </c>
      <c r="B1939" t="s">
        <v>219</v>
      </c>
      <c r="D1939" t="s">
        <v>327</v>
      </c>
      <c r="E1939">
        <v>99999999</v>
      </c>
      <c r="F1939">
        <v>11111111</v>
      </c>
      <c r="G1939">
        <v>1111111111</v>
      </c>
      <c r="H1939" t="s">
        <v>5508</v>
      </c>
      <c r="I1939">
        <v>99999999</v>
      </c>
      <c r="J1939" s="188">
        <v>45238</v>
      </c>
      <c r="K1939" t="s">
        <v>5508</v>
      </c>
      <c r="L1939" t="s">
        <v>5508</v>
      </c>
      <c r="M1939" t="s">
        <v>726</v>
      </c>
      <c r="N1939" t="s">
        <v>97</v>
      </c>
      <c r="O1939" t="s">
        <v>2620</v>
      </c>
      <c r="P1939" t="s">
        <v>221</v>
      </c>
      <c r="Q1939" t="s">
        <v>82</v>
      </c>
      <c r="R1939">
        <v>1</v>
      </c>
      <c r="S1939">
        <v>5.0999999999999996</v>
      </c>
      <c r="T1939">
        <v>0</v>
      </c>
      <c r="U1939">
        <v>1</v>
      </c>
      <c r="V1939">
        <v>1</v>
      </c>
      <c r="W1939">
        <v>29.21</v>
      </c>
      <c r="X1939">
        <v>0</v>
      </c>
      <c r="Y1939">
        <v>0</v>
      </c>
      <c r="Z1939">
        <v>0</v>
      </c>
      <c r="AA1939">
        <v>0</v>
      </c>
      <c r="AB1939">
        <v>0</v>
      </c>
      <c r="AC1939">
        <v>0</v>
      </c>
      <c r="AD1939">
        <v>1</v>
      </c>
      <c r="AE1939">
        <v>0</v>
      </c>
      <c r="AF1939">
        <v>0</v>
      </c>
      <c r="AG1939">
        <v>0</v>
      </c>
      <c r="AH1939">
        <v>0</v>
      </c>
      <c r="AI1939">
        <v>0</v>
      </c>
      <c r="AJ1939">
        <v>0</v>
      </c>
      <c r="AK1939">
        <v>0</v>
      </c>
    </row>
    <row r="1940" spans="1:37" x14ac:dyDescent="0.3">
      <c r="A1940">
        <v>7979</v>
      </c>
      <c r="B1940" t="s">
        <v>219</v>
      </c>
      <c r="D1940" t="s">
        <v>327</v>
      </c>
      <c r="E1940">
        <v>99999999</v>
      </c>
      <c r="F1940">
        <v>11111111</v>
      </c>
      <c r="G1940">
        <v>1111111111</v>
      </c>
      <c r="H1940" t="s">
        <v>5509</v>
      </c>
      <c r="I1940">
        <v>99999999</v>
      </c>
      <c r="J1940" s="188">
        <v>45238</v>
      </c>
      <c r="K1940" t="s">
        <v>5509</v>
      </c>
      <c r="L1940" t="s">
        <v>5509</v>
      </c>
      <c r="M1940" t="s">
        <v>705</v>
      </c>
      <c r="N1940" t="s">
        <v>99</v>
      </c>
      <c r="O1940" t="s">
        <v>2621</v>
      </c>
      <c r="P1940" t="s">
        <v>221</v>
      </c>
      <c r="Q1940" t="s">
        <v>82</v>
      </c>
      <c r="R1940">
        <v>1</v>
      </c>
      <c r="S1940">
        <v>7.5</v>
      </c>
      <c r="T1940">
        <v>0</v>
      </c>
      <c r="U1940">
        <v>1</v>
      </c>
      <c r="V1940">
        <v>1</v>
      </c>
      <c r="W1940">
        <v>22.42</v>
      </c>
      <c r="X1940">
        <v>0</v>
      </c>
      <c r="Y1940">
        <v>0</v>
      </c>
      <c r="Z1940">
        <v>0</v>
      </c>
      <c r="AA1940">
        <v>0</v>
      </c>
      <c r="AB1940">
        <v>0</v>
      </c>
      <c r="AC1940">
        <v>0</v>
      </c>
      <c r="AD1940">
        <v>1</v>
      </c>
      <c r="AE1940">
        <v>0</v>
      </c>
      <c r="AF1940">
        <v>0</v>
      </c>
      <c r="AG1940">
        <v>0</v>
      </c>
      <c r="AH1940">
        <v>0</v>
      </c>
      <c r="AI1940">
        <v>0</v>
      </c>
      <c r="AJ1940">
        <v>0</v>
      </c>
      <c r="AK1940">
        <v>0</v>
      </c>
    </row>
    <row r="1941" spans="1:37" x14ac:dyDescent="0.3">
      <c r="A1941">
        <v>7979</v>
      </c>
      <c r="B1941" t="s">
        <v>219</v>
      </c>
      <c r="D1941" t="s">
        <v>327</v>
      </c>
      <c r="E1941">
        <v>99999999</v>
      </c>
      <c r="F1941">
        <v>11111111</v>
      </c>
      <c r="G1941">
        <v>1111111111</v>
      </c>
      <c r="H1941" t="s">
        <v>5510</v>
      </c>
      <c r="I1941">
        <v>99999999</v>
      </c>
      <c r="J1941" s="188">
        <v>45238</v>
      </c>
      <c r="K1941" t="s">
        <v>5510</v>
      </c>
      <c r="L1941" t="s">
        <v>5510</v>
      </c>
      <c r="M1941" t="s">
        <v>2622</v>
      </c>
      <c r="N1941" t="s">
        <v>197</v>
      </c>
      <c r="O1941" t="s">
        <v>2623</v>
      </c>
      <c r="P1941" t="s">
        <v>221</v>
      </c>
      <c r="Q1941" t="s">
        <v>82</v>
      </c>
      <c r="R1941">
        <v>1</v>
      </c>
      <c r="S1941">
        <v>2.2999999999999998</v>
      </c>
      <c r="T1941">
        <v>0</v>
      </c>
      <c r="U1941">
        <v>1</v>
      </c>
      <c r="V1941">
        <v>1</v>
      </c>
      <c r="W1941">
        <v>29.48</v>
      </c>
      <c r="X1941">
        <v>0</v>
      </c>
      <c r="Y1941">
        <v>0</v>
      </c>
      <c r="Z1941">
        <v>0</v>
      </c>
      <c r="AA1941">
        <v>0</v>
      </c>
      <c r="AB1941">
        <v>0</v>
      </c>
      <c r="AC1941">
        <v>0</v>
      </c>
      <c r="AD1941">
        <v>1</v>
      </c>
      <c r="AE1941">
        <v>0</v>
      </c>
      <c r="AF1941">
        <v>0</v>
      </c>
      <c r="AG1941">
        <v>0</v>
      </c>
      <c r="AH1941">
        <v>0</v>
      </c>
      <c r="AI1941">
        <v>0</v>
      </c>
      <c r="AJ1941">
        <v>0</v>
      </c>
      <c r="AK1941">
        <v>0</v>
      </c>
    </row>
    <row r="1942" spans="1:37" x14ac:dyDescent="0.3">
      <c r="A1942">
        <v>7979</v>
      </c>
      <c r="B1942" t="s">
        <v>219</v>
      </c>
      <c r="D1942" t="s">
        <v>327</v>
      </c>
      <c r="E1942">
        <v>99999999</v>
      </c>
      <c r="F1942">
        <v>11111111</v>
      </c>
      <c r="G1942">
        <v>1111111111</v>
      </c>
      <c r="H1942" t="s">
        <v>5511</v>
      </c>
      <c r="I1942">
        <v>99999999</v>
      </c>
      <c r="J1942" s="188">
        <v>45238</v>
      </c>
      <c r="K1942" t="s">
        <v>5511</v>
      </c>
      <c r="L1942" t="s">
        <v>5511</v>
      </c>
      <c r="M1942" t="s">
        <v>2624</v>
      </c>
      <c r="N1942" t="s">
        <v>1947</v>
      </c>
      <c r="O1942" t="s">
        <v>2625</v>
      </c>
      <c r="P1942" t="s">
        <v>221</v>
      </c>
      <c r="Q1942" t="s">
        <v>82</v>
      </c>
      <c r="R1942">
        <v>1</v>
      </c>
      <c r="S1942">
        <v>8</v>
      </c>
      <c r="T1942">
        <v>0</v>
      </c>
      <c r="U1942">
        <v>1</v>
      </c>
      <c r="V1942">
        <v>1</v>
      </c>
      <c r="W1942">
        <v>25.74</v>
      </c>
      <c r="X1942">
        <v>0</v>
      </c>
      <c r="Y1942">
        <v>0</v>
      </c>
      <c r="Z1942">
        <v>0</v>
      </c>
      <c r="AA1942">
        <v>0</v>
      </c>
      <c r="AB1942">
        <v>0</v>
      </c>
      <c r="AC1942">
        <v>0</v>
      </c>
      <c r="AD1942">
        <v>1</v>
      </c>
      <c r="AE1942">
        <v>0</v>
      </c>
      <c r="AF1942">
        <v>0</v>
      </c>
      <c r="AG1942">
        <v>0</v>
      </c>
      <c r="AH1942">
        <v>0</v>
      </c>
      <c r="AI1942">
        <v>0</v>
      </c>
      <c r="AJ1942">
        <v>0</v>
      </c>
      <c r="AK1942">
        <v>0</v>
      </c>
    </row>
    <row r="1943" spans="1:37" x14ac:dyDescent="0.3">
      <c r="A1943">
        <v>7979</v>
      </c>
      <c r="B1943" t="s">
        <v>219</v>
      </c>
      <c r="D1943" t="s">
        <v>327</v>
      </c>
      <c r="E1943">
        <v>99999999</v>
      </c>
      <c r="F1943">
        <v>11111111</v>
      </c>
      <c r="G1943">
        <v>1111111111</v>
      </c>
      <c r="H1943" t="s">
        <v>5512</v>
      </c>
      <c r="I1943">
        <v>99999999</v>
      </c>
      <c r="J1943" s="188">
        <v>45238</v>
      </c>
      <c r="K1943" t="s">
        <v>5512</v>
      </c>
      <c r="L1943" t="s">
        <v>5512</v>
      </c>
      <c r="M1943" t="s">
        <v>1054</v>
      </c>
      <c r="N1943" t="s">
        <v>99</v>
      </c>
      <c r="O1943" t="s">
        <v>2626</v>
      </c>
      <c r="P1943" t="s">
        <v>221</v>
      </c>
      <c r="Q1943" t="s">
        <v>82</v>
      </c>
      <c r="R1943">
        <v>6</v>
      </c>
      <c r="S1943">
        <v>4.8</v>
      </c>
      <c r="T1943">
        <v>0</v>
      </c>
      <c r="U1943">
        <v>1</v>
      </c>
      <c r="V1943">
        <v>1</v>
      </c>
      <c r="W1943">
        <v>29.21</v>
      </c>
      <c r="X1943">
        <v>0</v>
      </c>
      <c r="Y1943">
        <v>0</v>
      </c>
      <c r="Z1943">
        <v>0</v>
      </c>
      <c r="AA1943">
        <v>0</v>
      </c>
      <c r="AB1943">
        <v>0</v>
      </c>
      <c r="AC1943">
        <v>0</v>
      </c>
      <c r="AD1943">
        <v>6</v>
      </c>
      <c r="AE1943">
        <v>0</v>
      </c>
      <c r="AF1943">
        <v>0</v>
      </c>
      <c r="AG1943">
        <v>0</v>
      </c>
      <c r="AH1943">
        <v>0</v>
      </c>
      <c r="AI1943">
        <v>0</v>
      </c>
      <c r="AJ1943">
        <v>0</v>
      </c>
      <c r="AK1943">
        <v>0</v>
      </c>
    </row>
    <row r="1944" spans="1:37" x14ac:dyDescent="0.3">
      <c r="A1944">
        <v>7979</v>
      </c>
      <c r="B1944" t="s">
        <v>219</v>
      </c>
      <c r="D1944" t="s">
        <v>327</v>
      </c>
      <c r="E1944">
        <v>99999999</v>
      </c>
      <c r="F1944">
        <v>11111111</v>
      </c>
      <c r="G1944">
        <v>1111111111</v>
      </c>
      <c r="H1944" t="s">
        <v>5513</v>
      </c>
      <c r="I1944">
        <v>99999999</v>
      </c>
      <c r="J1944" s="188">
        <v>45238</v>
      </c>
      <c r="K1944" t="s">
        <v>5513</v>
      </c>
      <c r="L1944" t="s">
        <v>5513</v>
      </c>
      <c r="M1944" t="s">
        <v>2627</v>
      </c>
      <c r="N1944" t="s">
        <v>97</v>
      </c>
      <c r="O1944" t="s">
        <v>2628</v>
      </c>
      <c r="P1944" t="s">
        <v>221</v>
      </c>
      <c r="Q1944" t="s">
        <v>82</v>
      </c>
      <c r="R1944">
        <v>2</v>
      </c>
      <c r="S1944">
        <v>3</v>
      </c>
      <c r="T1944">
        <v>0</v>
      </c>
      <c r="U1944">
        <v>1</v>
      </c>
      <c r="V1944">
        <v>1</v>
      </c>
      <c r="W1944">
        <v>30.78</v>
      </c>
      <c r="X1944">
        <v>0</v>
      </c>
      <c r="Y1944">
        <v>0</v>
      </c>
      <c r="Z1944">
        <v>0</v>
      </c>
      <c r="AA1944">
        <v>0</v>
      </c>
      <c r="AB1944">
        <v>0</v>
      </c>
      <c r="AC1944">
        <v>0</v>
      </c>
      <c r="AD1944">
        <v>2</v>
      </c>
      <c r="AE1944">
        <v>0</v>
      </c>
      <c r="AF1944">
        <v>0</v>
      </c>
      <c r="AG1944">
        <v>0</v>
      </c>
      <c r="AH1944">
        <v>0</v>
      </c>
      <c r="AI1944">
        <v>0</v>
      </c>
      <c r="AJ1944">
        <v>0</v>
      </c>
      <c r="AK1944">
        <v>0</v>
      </c>
    </row>
    <row r="1945" spans="1:37" x14ac:dyDescent="0.3">
      <c r="A1945">
        <v>7979</v>
      </c>
      <c r="B1945" t="s">
        <v>219</v>
      </c>
      <c r="D1945" t="s">
        <v>327</v>
      </c>
      <c r="E1945">
        <v>99999999</v>
      </c>
      <c r="F1945">
        <v>11111111</v>
      </c>
      <c r="G1945">
        <v>1111111111</v>
      </c>
      <c r="H1945" t="s">
        <v>5514</v>
      </c>
      <c r="I1945">
        <v>99999999</v>
      </c>
      <c r="J1945" s="188">
        <v>45238</v>
      </c>
      <c r="K1945" t="s">
        <v>5514</v>
      </c>
      <c r="L1945" t="s">
        <v>5514</v>
      </c>
      <c r="M1945" t="s">
        <v>154</v>
      </c>
      <c r="N1945" t="s">
        <v>130</v>
      </c>
      <c r="O1945" t="s">
        <v>525</v>
      </c>
      <c r="P1945" t="s">
        <v>221</v>
      </c>
      <c r="Q1945" t="s">
        <v>82</v>
      </c>
      <c r="R1945">
        <v>1</v>
      </c>
      <c r="S1945">
        <v>3.2</v>
      </c>
      <c r="T1945">
        <v>0</v>
      </c>
      <c r="U1945">
        <v>1</v>
      </c>
      <c r="V1945">
        <v>1</v>
      </c>
      <c r="W1945">
        <v>23.59</v>
      </c>
      <c r="X1945">
        <v>0</v>
      </c>
      <c r="Y1945">
        <v>0</v>
      </c>
      <c r="Z1945">
        <v>0</v>
      </c>
      <c r="AA1945">
        <v>0</v>
      </c>
      <c r="AB1945">
        <v>0</v>
      </c>
      <c r="AC1945">
        <v>0</v>
      </c>
      <c r="AD1945">
        <v>1</v>
      </c>
      <c r="AE1945">
        <v>0</v>
      </c>
      <c r="AF1945">
        <v>0</v>
      </c>
      <c r="AG1945">
        <v>0</v>
      </c>
      <c r="AH1945">
        <v>0</v>
      </c>
      <c r="AI1945">
        <v>0</v>
      </c>
      <c r="AJ1945">
        <v>0</v>
      </c>
      <c r="AK1945">
        <v>0</v>
      </c>
    </row>
    <row r="1946" spans="1:37" x14ac:dyDescent="0.3">
      <c r="A1946">
        <v>7979</v>
      </c>
      <c r="B1946" t="s">
        <v>219</v>
      </c>
      <c r="D1946" t="s">
        <v>327</v>
      </c>
      <c r="E1946">
        <v>99999999</v>
      </c>
      <c r="F1946">
        <v>11111111</v>
      </c>
      <c r="G1946">
        <v>1111111111</v>
      </c>
      <c r="H1946" t="s">
        <v>5515</v>
      </c>
      <c r="I1946">
        <v>99999999</v>
      </c>
      <c r="J1946" s="188">
        <v>45238</v>
      </c>
      <c r="K1946" t="s">
        <v>5515</v>
      </c>
      <c r="L1946" t="s">
        <v>5515</v>
      </c>
      <c r="M1946" t="s">
        <v>2629</v>
      </c>
      <c r="N1946" t="s">
        <v>104</v>
      </c>
      <c r="O1946" t="s">
        <v>2630</v>
      </c>
      <c r="P1946" t="s">
        <v>221</v>
      </c>
      <c r="Q1946" t="s">
        <v>82</v>
      </c>
      <c r="R1946">
        <v>1</v>
      </c>
      <c r="S1946">
        <v>4</v>
      </c>
      <c r="T1946">
        <v>0</v>
      </c>
      <c r="U1946">
        <v>1</v>
      </c>
      <c r="V1946">
        <v>1</v>
      </c>
      <c r="W1946">
        <v>38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1</v>
      </c>
      <c r="AE1946">
        <v>0</v>
      </c>
      <c r="AF1946">
        <v>0</v>
      </c>
      <c r="AG1946">
        <v>0</v>
      </c>
      <c r="AH1946">
        <v>0</v>
      </c>
      <c r="AI1946">
        <v>0</v>
      </c>
      <c r="AJ1946">
        <v>0</v>
      </c>
      <c r="AK1946">
        <v>0</v>
      </c>
    </row>
    <row r="1947" spans="1:37" x14ac:dyDescent="0.3">
      <c r="A1947">
        <v>7979</v>
      </c>
      <c r="B1947" t="s">
        <v>219</v>
      </c>
      <c r="D1947" t="s">
        <v>327</v>
      </c>
      <c r="E1947">
        <v>99999999</v>
      </c>
      <c r="F1947">
        <v>11111111</v>
      </c>
      <c r="G1947">
        <v>1111111111</v>
      </c>
      <c r="H1947" t="s">
        <v>5516</v>
      </c>
      <c r="I1947">
        <v>99999999</v>
      </c>
      <c r="J1947" s="188">
        <v>45238</v>
      </c>
      <c r="K1947" t="s">
        <v>5516</v>
      </c>
      <c r="L1947" t="s">
        <v>5516</v>
      </c>
      <c r="M1947" t="s">
        <v>858</v>
      </c>
      <c r="N1947" t="s">
        <v>164</v>
      </c>
      <c r="O1947" t="s">
        <v>2631</v>
      </c>
      <c r="P1947" t="s">
        <v>221</v>
      </c>
      <c r="Q1947" t="s">
        <v>82</v>
      </c>
      <c r="R1947">
        <v>2</v>
      </c>
      <c r="S1947">
        <v>2.46</v>
      </c>
      <c r="T1947">
        <v>0</v>
      </c>
      <c r="U1947">
        <v>1</v>
      </c>
      <c r="V1947">
        <v>1</v>
      </c>
      <c r="W1947">
        <v>26.8</v>
      </c>
      <c r="X1947">
        <v>0</v>
      </c>
      <c r="Y1947">
        <v>0</v>
      </c>
      <c r="Z1947">
        <v>0</v>
      </c>
      <c r="AA1947">
        <v>0</v>
      </c>
      <c r="AB1947">
        <v>0</v>
      </c>
      <c r="AC1947">
        <v>0</v>
      </c>
      <c r="AD1947">
        <v>2</v>
      </c>
      <c r="AE1947">
        <v>0</v>
      </c>
      <c r="AF1947">
        <v>0</v>
      </c>
      <c r="AG1947">
        <v>0</v>
      </c>
      <c r="AH1947">
        <v>0</v>
      </c>
      <c r="AI1947">
        <v>0</v>
      </c>
      <c r="AJ1947">
        <v>0</v>
      </c>
      <c r="AK1947">
        <v>0</v>
      </c>
    </row>
    <row r="1948" spans="1:37" x14ac:dyDescent="0.3">
      <c r="A1948">
        <v>7979</v>
      </c>
      <c r="B1948" t="s">
        <v>219</v>
      </c>
      <c r="D1948" t="s">
        <v>327</v>
      </c>
      <c r="E1948">
        <v>99999999</v>
      </c>
      <c r="F1948">
        <v>11111111</v>
      </c>
      <c r="G1948">
        <v>1111111111</v>
      </c>
      <c r="H1948" t="s">
        <v>5517</v>
      </c>
      <c r="I1948">
        <v>99999999</v>
      </c>
      <c r="J1948" s="188">
        <v>45238</v>
      </c>
      <c r="K1948" t="s">
        <v>5517</v>
      </c>
      <c r="L1948" t="s">
        <v>5517</v>
      </c>
      <c r="M1948" t="s">
        <v>2632</v>
      </c>
      <c r="N1948" t="s">
        <v>91</v>
      </c>
      <c r="O1948" t="s">
        <v>2633</v>
      </c>
      <c r="P1948" t="s">
        <v>221</v>
      </c>
      <c r="Q1948" t="s">
        <v>82</v>
      </c>
      <c r="R1948">
        <v>1</v>
      </c>
      <c r="S1948">
        <v>7.5</v>
      </c>
      <c r="T1948">
        <v>0</v>
      </c>
      <c r="U1948">
        <v>1</v>
      </c>
      <c r="V1948">
        <v>1</v>
      </c>
      <c r="W1948">
        <v>31.69</v>
      </c>
      <c r="X1948">
        <v>0</v>
      </c>
      <c r="Y1948">
        <v>0</v>
      </c>
      <c r="Z1948">
        <v>0</v>
      </c>
      <c r="AA1948">
        <v>0</v>
      </c>
      <c r="AB1948">
        <v>0</v>
      </c>
      <c r="AC1948">
        <v>0</v>
      </c>
      <c r="AD1948">
        <v>1</v>
      </c>
      <c r="AE1948">
        <v>0</v>
      </c>
      <c r="AF1948">
        <v>0</v>
      </c>
      <c r="AG1948">
        <v>0</v>
      </c>
      <c r="AH1948">
        <v>0</v>
      </c>
      <c r="AI1948">
        <v>0</v>
      </c>
      <c r="AJ1948">
        <v>0</v>
      </c>
      <c r="AK1948">
        <v>0</v>
      </c>
    </row>
    <row r="1949" spans="1:37" x14ac:dyDescent="0.3">
      <c r="A1949">
        <v>7979</v>
      </c>
      <c r="B1949" t="s">
        <v>219</v>
      </c>
      <c r="D1949" t="s">
        <v>327</v>
      </c>
      <c r="E1949">
        <v>99999999</v>
      </c>
      <c r="F1949">
        <v>11111111</v>
      </c>
      <c r="G1949">
        <v>1111111111</v>
      </c>
      <c r="H1949" t="s">
        <v>5518</v>
      </c>
      <c r="I1949">
        <v>99999999</v>
      </c>
      <c r="J1949" s="188">
        <v>45238</v>
      </c>
      <c r="K1949" t="s">
        <v>5518</v>
      </c>
      <c r="L1949" t="s">
        <v>5518</v>
      </c>
      <c r="M1949" t="s">
        <v>861</v>
      </c>
      <c r="N1949" t="s">
        <v>97</v>
      </c>
      <c r="O1949" t="s">
        <v>2634</v>
      </c>
      <c r="P1949" t="s">
        <v>221</v>
      </c>
      <c r="Q1949" t="s">
        <v>82</v>
      </c>
      <c r="R1949">
        <v>1</v>
      </c>
      <c r="S1949">
        <v>10</v>
      </c>
      <c r="T1949">
        <v>0</v>
      </c>
      <c r="U1949">
        <v>1</v>
      </c>
      <c r="V1949">
        <v>1</v>
      </c>
      <c r="W1949">
        <v>32.909999999999997</v>
      </c>
      <c r="X1949">
        <v>0</v>
      </c>
      <c r="Y1949">
        <v>0</v>
      </c>
      <c r="Z1949">
        <v>0</v>
      </c>
      <c r="AA1949">
        <v>0</v>
      </c>
      <c r="AB1949">
        <v>0</v>
      </c>
      <c r="AC1949">
        <v>0</v>
      </c>
      <c r="AD1949">
        <v>1</v>
      </c>
      <c r="AE1949">
        <v>0</v>
      </c>
      <c r="AF1949">
        <v>0</v>
      </c>
      <c r="AG1949">
        <v>0</v>
      </c>
      <c r="AH1949">
        <v>0</v>
      </c>
      <c r="AI1949">
        <v>0</v>
      </c>
      <c r="AJ1949">
        <v>0</v>
      </c>
      <c r="AK1949">
        <v>0</v>
      </c>
    </row>
    <row r="1950" spans="1:37" x14ac:dyDescent="0.3">
      <c r="A1950">
        <v>7979</v>
      </c>
      <c r="B1950" t="s">
        <v>219</v>
      </c>
      <c r="D1950" t="s">
        <v>327</v>
      </c>
      <c r="E1950">
        <v>99999999</v>
      </c>
      <c r="F1950">
        <v>11111111</v>
      </c>
      <c r="G1950">
        <v>1111111111</v>
      </c>
      <c r="H1950" t="s">
        <v>5519</v>
      </c>
      <c r="I1950">
        <v>99999999</v>
      </c>
      <c r="J1950" s="188">
        <v>45238</v>
      </c>
      <c r="K1950" t="s">
        <v>5519</v>
      </c>
      <c r="L1950" t="s">
        <v>5519</v>
      </c>
      <c r="M1950" t="s">
        <v>1110</v>
      </c>
      <c r="N1950" t="s">
        <v>97</v>
      </c>
      <c r="O1950" t="s">
        <v>2635</v>
      </c>
      <c r="P1950" t="s">
        <v>221</v>
      </c>
      <c r="Q1950" t="s">
        <v>82</v>
      </c>
      <c r="R1950">
        <v>1</v>
      </c>
      <c r="S1950">
        <v>1</v>
      </c>
      <c r="T1950">
        <v>0</v>
      </c>
      <c r="U1950">
        <v>1</v>
      </c>
      <c r="V1950">
        <v>1</v>
      </c>
      <c r="W1950">
        <v>21.21</v>
      </c>
      <c r="X1950">
        <v>0</v>
      </c>
      <c r="Y1950">
        <v>0</v>
      </c>
      <c r="Z1950">
        <v>0</v>
      </c>
      <c r="AA1950">
        <v>0</v>
      </c>
      <c r="AB1950">
        <v>0</v>
      </c>
      <c r="AC1950">
        <v>0</v>
      </c>
      <c r="AD1950">
        <v>1</v>
      </c>
      <c r="AE1950">
        <v>0</v>
      </c>
      <c r="AF1950">
        <v>0</v>
      </c>
      <c r="AG1950">
        <v>0</v>
      </c>
      <c r="AH1950">
        <v>0</v>
      </c>
      <c r="AI1950">
        <v>0</v>
      </c>
      <c r="AJ1950">
        <v>0</v>
      </c>
      <c r="AK1950">
        <v>0</v>
      </c>
    </row>
    <row r="1951" spans="1:37" x14ac:dyDescent="0.3">
      <c r="A1951">
        <v>7979</v>
      </c>
      <c r="B1951" t="s">
        <v>219</v>
      </c>
      <c r="D1951" t="s">
        <v>327</v>
      </c>
      <c r="E1951">
        <v>99999999</v>
      </c>
      <c r="F1951">
        <v>11111111</v>
      </c>
      <c r="G1951">
        <v>1111111111</v>
      </c>
      <c r="H1951" t="s">
        <v>5520</v>
      </c>
      <c r="I1951">
        <v>99999999</v>
      </c>
      <c r="J1951" s="188">
        <v>45238</v>
      </c>
      <c r="K1951" t="s">
        <v>5520</v>
      </c>
      <c r="L1951" t="s">
        <v>5520</v>
      </c>
      <c r="M1951" t="s">
        <v>1253</v>
      </c>
      <c r="N1951" t="s">
        <v>197</v>
      </c>
      <c r="O1951" t="s">
        <v>2636</v>
      </c>
      <c r="P1951" t="s">
        <v>221</v>
      </c>
      <c r="Q1951" t="s">
        <v>82</v>
      </c>
      <c r="R1951">
        <v>1</v>
      </c>
      <c r="S1951">
        <v>7.5</v>
      </c>
      <c r="T1951">
        <v>0</v>
      </c>
      <c r="U1951">
        <v>1</v>
      </c>
      <c r="V1951">
        <v>1</v>
      </c>
      <c r="W1951">
        <v>26.25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1</v>
      </c>
      <c r="AE1951">
        <v>0</v>
      </c>
      <c r="AF1951">
        <v>0</v>
      </c>
      <c r="AG1951">
        <v>0</v>
      </c>
      <c r="AH1951">
        <v>0</v>
      </c>
      <c r="AI1951">
        <v>0</v>
      </c>
      <c r="AJ1951">
        <v>0</v>
      </c>
      <c r="AK1951">
        <v>0</v>
      </c>
    </row>
    <row r="1952" spans="1:37" x14ac:dyDescent="0.3">
      <c r="A1952">
        <v>7979</v>
      </c>
      <c r="B1952" t="s">
        <v>219</v>
      </c>
      <c r="D1952" t="s">
        <v>327</v>
      </c>
      <c r="E1952">
        <v>99999999</v>
      </c>
      <c r="F1952">
        <v>11111111</v>
      </c>
      <c r="G1952">
        <v>1111111111</v>
      </c>
      <c r="H1952" t="s">
        <v>5521</v>
      </c>
      <c r="I1952">
        <v>99999999</v>
      </c>
      <c r="J1952" s="188">
        <v>45238</v>
      </c>
      <c r="K1952" t="s">
        <v>5521</v>
      </c>
      <c r="L1952" t="s">
        <v>5521</v>
      </c>
      <c r="M1952" t="s">
        <v>1269</v>
      </c>
      <c r="N1952" t="s">
        <v>91</v>
      </c>
      <c r="O1952" t="s">
        <v>2637</v>
      </c>
      <c r="P1952" t="s">
        <v>221</v>
      </c>
      <c r="Q1952" t="s">
        <v>82</v>
      </c>
      <c r="R1952">
        <v>3</v>
      </c>
      <c r="S1952">
        <v>0.75</v>
      </c>
      <c r="T1952">
        <v>0</v>
      </c>
      <c r="U1952">
        <v>1</v>
      </c>
      <c r="V1952">
        <v>1</v>
      </c>
      <c r="W1952">
        <v>27.66</v>
      </c>
      <c r="X1952">
        <v>0</v>
      </c>
      <c r="Y1952">
        <v>0</v>
      </c>
      <c r="Z1952">
        <v>0</v>
      </c>
      <c r="AA1952">
        <v>0</v>
      </c>
      <c r="AB1952">
        <v>0</v>
      </c>
      <c r="AC1952">
        <v>0</v>
      </c>
      <c r="AD1952">
        <v>3</v>
      </c>
      <c r="AE1952">
        <v>0</v>
      </c>
      <c r="AF1952">
        <v>0</v>
      </c>
      <c r="AG1952">
        <v>0</v>
      </c>
      <c r="AH1952">
        <v>0</v>
      </c>
      <c r="AI1952">
        <v>0</v>
      </c>
      <c r="AJ1952">
        <v>0</v>
      </c>
      <c r="AK1952">
        <v>0</v>
      </c>
    </row>
    <row r="1953" spans="1:37" x14ac:dyDescent="0.3">
      <c r="A1953">
        <v>7979</v>
      </c>
      <c r="B1953" t="s">
        <v>219</v>
      </c>
      <c r="D1953" t="s">
        <v>327</v>
      </c>
      <c r="E1953">
        <v>99999999</v>
      </c>
      <c r="F1953">
        <v>11111111</v>
      </c>
      <c r="G1953">
        <v>1111111111</v>
      </c>
      <c r="H1953" t="s">
        <v>5522</v>
      </c>
      <c r="I1953">
        <v>99999999</v>
      </c>
      <c r="J1953" s="188">
        <v>45238</v>
      </c>
      <c r="K1953" t="s">
        <v>5522</v>
      </c>
      <c r="L1953" t="s">
        <v>5522</v>
      </c>
      <c r="M1953" t="s">
        <v>2638</v>
      </c>
      <c r="N1953" t="s">
        <v>99</v>
      </c>
      <c r="O1953" t="s">
        <v>2639</v>
      </c>
      <c r="P1953" t="s">
        <v>221</v>
      </c>
      <c r="Q1953" t="s">
        <v>82</v>
      </c>
      <c r="R1953">
        <v>1</v>
      </c>
      <c r="S1953">
        <v>5</v>
      </c>
      <c r="T1953">
        <v>0</v>
      </c>
      <c r="U1953">
        <v>1</v>
      </c>
      <c r="V1953">
        <v>1</v>
      </c>
      <c r="W1953">
        <v>23.09</v>
      </c>
      <c r="X1953">
        <v>0</v>
      </c>
      <c r="Y1953">
        <v>0</v>
      </c>
      <c r="Z1953">
        <v>0</v>
      </c>
      <c r="AA1953">
        <v>0</v>
      </c>
      <c r="AB1953">
        <v>0</v>
      </c>
      <c r="AC1953">
        <v>0</v>
      </c>
      <c r="AD1953">
        <v>1</v>
      </c>
      <c r="AE1953">
        <v>0</v>
      </c>
      <c r="AF1953">
        <v>0</v>
      </c>
      <c r="AG1953">
        <v>0</v>
      </c>
      <c r="AH1953">
        <v>0</v>
      </c>
      <c r="AI1953">
        <v>0</v>
      </c>
      <c r="AJ1953">
        <v>0</v>
      </c>
      <c r="AK1953">
        <v>0</v>
      </c>
    </row>
    <row r="1954" spans="1:37" x14ac:dyDescent="0.3">
      <c r="A1954">
        <v>7979</v>
      </c>
      <c r="B1954" t="s">
        <v>219</v>
      </c>
      <c r="D1954" t="s">
        <v>327</v>
      </c>
      <c r="E1954">
        <v>99999999</v>
      </c>
      <c r="F1954">
        <v>11111111</v>
      </c>
      <c r="G1954">
        <v>1111111111</v>
      </c>
      <c r="H1954" t="s">
        <v>5523</v>
      </c>
      <c r="I1954">
        <v>99999999</v>
      </c>
      <c r="J1954" s="188">
        <v>45238</v>
      </c>
      <c r="K1954" t="s">
        <v>5523</v>
      </c>
      <c r="L1954" t="s">
        <v>5523</v>
      </c>
      <c r="M1954" t="s">
        <v>1063</v>
      </c>
      <c r="N1954" t="s">
        <v>99</v>
      </c>
      <c r="O1954" t="s">
        <v>2640</v>
      </c>
      <c r="P1954" t="s">
        <v>221</v>
      </c>
      <c r="Q1954" t="s">
        <v>82</v>
      </c>
      <c r="R1954">
        <v>1</v>
      </c>
      <c r="S1954">
        <v>7.01</v>
      </c>
      <c r="T1954">
        <v>0</v>
      </c>
      <c r="U1954">
        <v>1</v>
      </c>
      <c r="V1954">
        <v>1</v>
      </c>
      <c r="W1954">
        <v>30.27</v>
      </c>
      <c r="X1954">
        <v>0</v>
      </c>
      <c r="Y1954">
        <v>0</v>
      </c>
      <c r="Z1954">
        <v>0</v>
      </c>
      <c r="AA1954">
        <v>0</v>
      </c>
      <c r="AB1954">
        <v>0</v>
      </c>
      <c r="AC1954">
        <v>0</v>
      </c>
      <c r="AD1954">
        <v>1</v>
      </c>
      <c r="AE1954">
        <v>0</v>
      </c>
      <c r="AF1954">
        <v>0</v>
      </c>
      <c r="AG1954">
        <v>0</v>
      </c>
      <c r="AH1954">
        <v>0</v>
      </c>
      <c r="AI1954">
        <v>0</v>
      </c>
      <c r="AJ1954">
        <v>0</v>
      </c>
      <c r="AK1954">
        <v>0</v>
      </c>
    </row>
    <row r="1955" spans="1:37" x14ac:dyDescent="0.3">
      <c r="A1955">
        <v>7979</v>
      </c>
      <c r="B1955" t="s">
        <v>219</v>
      </c>
      <c r="D1955" t="s">
        <v>327</v>
      </c>
      <c r="E1955">
        <v>99999999</v>
      </c>
      <c r="F1955">
        <v>11111111</v>
      </c>
      <c r="G1955">
        <v>1111111111</v>
      </c>
      <c r="H1955" t="s">
        <v>5524</v>
      </c>
      <c r="I1955">
        <v>99999999</v>
      </c>
      <c r="J1955" s="188">
        <v>45238</v>
      </c>
      <c r="K1955" t="s">
        <v>5524</v>
      </c>
      <c r="L1955" t="s">
        <v>5524</v>
      </c>
      <c r="M1955" t="s">
        <v>2017</v>
      </c>
      <c r="N1955" t="s">
        <v>130</v>
      </c>
      <c r="O1955" t="s">
        <v>2641</v>
      </c>
      <c r="P1955" t="s">
        <v>221</v>
      </c>
      <c r="Q1955" t="s">
        <v>82</v>
      </c>
      <c r="R1955">
        <v>1</v>
      </c>
      <c r="S1955">
        <v>2.2999999999999998</v>
      </c>
      <c r="T1955">
        <v>0</v>
      </c>
      <c r="U1955">
        <v>1</v>
      </c>
      <c r="V1955">
        <v>1</v>
      </c>
      <c r="W1955">
        <v>30.93</v>
      </c>
      <c r="X1955">
        <v>0</v>
      </c>
      <c r="Y1955">
        <v>0</v>
      </c>
      <c r="Z1955">
        <v>0</v>
      </c>
      <c r="AA1955">
        <v>0</v>
      </c>
      <c r="AB1955">
        <v>0</v>
      </c>
      <c r="AC1955">
        <v>0</v>
      </c>
      <c r="AD1955">
        <v>1</v>
      </c>
      <c r="AE1955">
        <v>0</v>
      </c>
      <c r="AF1955">
        <v>0</v>
      </c>
      <c r="AG1955">
        <v>0</v>
      </c>
      <c r="AH1955">
        <v>0</v>
      </c>
      <c r="AI1955">
        <v>0</v>
      </c>
      <c r="AJ1955">
        <v>0</v>
      </c>
      <c r="AK1955">
        <v>0</v>
      </c>
    </row>
    <row r="1956" spans="1:37" x14ac:dyDescent="0.3">
      <c r="A1956">
        <v>7979</v>
      </c>
      <c r="B1956" t="s">
        <v>219</v>
      </c>
      <c r="D1956" t="s">
        <v>327</v>
      </c>
      <c r="E1956">
        <v>99999999</v>
      </c>
      <c r="F1956">
        <v>11111111</v>
      </c>
      <c r="G1956">
        <v>1111111111</v>
      </c>
      <c r="H1956" t="s">
        <v>5525</v>
      </c>
      <c r="I1956">
        <v>99999999</v>
      </c>
      <c r="J1956" s="188">
        <v>45238</v>
      </c>
      <c r="K1956" t="s">
        <v>5525</v>
      </c>
      <c r="L1956" t="s">
        <v>5525</v>
      </c>
      <c r="M1956" t="s">
        <v>1634</v>
      </c>
      <c r="N1956" t="s">
        <v>130</v>
      </c>
      <c r="O1956" t="s">
        <v>2642</v>
      </c>
      <c r="P1956" t="s">
        <v>221</v>
      </c>
      <c r="Q1956" t="s">
        <v>82</v>
      </c>
      <c r="R1956">
        <v>4</v>
      </c>
      <c r="S1956">
        <v>0.48</v>
      </c>
      <c r="T1956">
        <v>0</v>
      </c>
      <c r="U1956">
        <v>1</v>
      </c>
      <c r="V1956">
        <v>1</v>
      </c>
      <c r="W1956">
        <v>26.02</v>
      </c>
      <c r="X1956">
        <v>0</v>
      </c>
      <c r="Y1956">
        <v>0</v>
      </c>
      <c r="Z1956">
        <v>0</v>
      </c>
      <c r="AA1956">
        <v>0</v>
      </c>
      <c r="AB1956">
        <v>0</v>
      </c>
      <c r="AC1956">
        <v>0</v>
      </c>
      <c r="AD1956">
        <v>4</v>
      </c>
      <c r="AE1956">
        <v>0</v>
      </c>
      <c r="AF1956">
        <v>0</v>
      </c>
      <c r="AG1956">
        <v>0</v>
      </c>
      <c r="AH1956">
        <v>0</v>
      </c>
      <c r="AI1956">
        <v>0</v>
      </c>
      <c r="AJ1956">
        <v>0</v>
      </c>
      <c r="AK1956">
        <v>0</v>
      </c>
    </row>
    <row r="1957" spans="1:37" x14ac:dyDescent="0.3">
      <c r="A1957">
        <v>7979</v>
      </c>
      <c r="B1957" t="s">
        <v>219</v>
      </c>
      <c r="D1957" t="s">
        <v>327</v>
      </c>
      <c r="E1957">
        <v>99999999</v>
      </c>
      <c r="F1957">
        <v>11111111</v>
      </c>
      <c r="G1957">
        <v>1111111111</v>
      </c>
      <c r="H1957" t="s">
        <v>5526</v>
      </c>
      <c r="I1957">
        <v>99999999</v>
      </c>
      <c r="J1957" s="188">
        <v>45238</v>
      </c>
      <c r="K1957" t="s">
        <v>5526</v>
      </c>
      <c r="L1957" t="s">
        <v>5526</v>
      </c>
      <c r="M1957" t="s">
        <v>771</v>
      </c>
      <c r="N1957" t="s">
        <v>97</v>
      </c>
      <c r="O1957" t="s">
        <v>2331</v>
      </c>
      <c r="P1957" t="s">
        <v>221</v>
      </c>
      <c r="Q1957" t="s">
        <v>82</v>
      </c>
      <c r="R1957">
        <v>1</v>
      </c>
      <c r="S1957">
        <v>4.4000000000000004</v>
      </c>
      <c r="T1957">
        <v>0</v>
      </c>
      <c r="U1957">
        <v>1</v>
      </c>
      <c r="V1957">
        <v>1</v>
      </c>
      <c r="W1957">
        <v>22.93</v>
      </c>
      <c r="X1957">
        <v>0</v>
      </c>
      <c r="Y1957">
        <v>0</v>
      </c>
      <c r="Z1957">
        <v>0</v>
      </c>
      <c r="AA1957">
        <v>0</v>
      </c>
      <c r="AB1957">
        <v>0</v>
      </c>
      <c r="AC1957">
        <v>0</v>
      </c>
      <c r="AD1957">
        <v>1</v>
      </c>
      <c r="AE1957">
        <v>0</v>
      </c>
      <c r="AF1957">
        <v>0</v>
      </c>
      <c r="AG1957">
        <v>0</v>
      </c>
      <c r="AH1957">
        <v>0</v>
      </c>
      <c r="AI1957">
        <v>0</v>
      </c>
      <c r="AJ1957">
        <v>0</v>
      </c>
      <c r="AK1957">
        <v>0</v>
      </c>
    </row>
    <row r="1958" spans="1:37" x14ac:dyDescent="0.3">
      <c r="A1958">
        <v>7979</v>
      </c>
      <c r="B1958" t="s">
        <v>219</v>
      </c>
      <c r="D1958" t="s">
        <v>327</v>
      </c>
      <c r="E1958">
        <v>99999999</v>
      </c>
      <c r="F1958">
        <v>11111111</v>
      </c>
      <c r="G1958">
        <v>1111111111</v>
      </c>
      <c r="H1958" t="s">
        <v>5527</v>
      </c>
      <c r="I1958">
        <v>99999999</v>
      </c>
      <c r="J1958" s="188">
        <v>45238</v>
      </c>
      <c r="K1958" t="s">
        <v>5527</v>
      </c>
      <c r="L1958" t="s">
        <v>5527</v>
      </c>
      <c r="M1958" t="s">
        <v>410</v>
      </c>
      <c r="N1958" t="s">
        <v>99</v>
      </c>
      <c r="O1958" t="s">
        <v>2643</v>
      </c>
      <c r="P1958" t="s">
        <v>221</v>
      </c>
      <c r="Q1958" t="s">
        <v>82</v>
      </c>
      <c r="R1958">
        <v>1</v>
      </c>
      <c r="S1958">
        <v>1</v>
      </c>
      <c r="T1958">
        <v>0</v>
      </c>
      <c r="U1958">
        <v>1</v>
      </c>
      <c r="V1958">
        <v>1</v>
      </c>
      <c r="W1958">
        <v>19.940000000000001</v>
      </c>
      <c r="X1958">
        <v>0</v>
      </c>
      <c r="Y1958">
        <v>0</v>
      </c>
      <c r="Z1958">
        <v>0</v>
      </c>
      <c r="AA1958">
        <v>0</v>
      </c>
      <c r="AB1958">
        <v>0</v>
      </c>
      <c r="AC1958">
        <v>0</v>
      </c>
      <c r="AD1958">
        <v>1</v>
      </c>
      <c r="AE1958">
        <v>0</v>
      </c>
      <c r="AF1958">
        <v>0</v>
      </c>
      <c r="AG1958">
        <v>0</v>
      </c>
      <c r="AH1958">
        <v>0</v>
      </c>
      <c r="AI1958">
        <v>0</v>
      </c>
      <c r="AJ1958">
        <v>0</v>
      </c>
      <c r="AK1958">
        <v>0</v>
      </c>
    </row>
    <row r="1959" spans="1:37" x14ac:dyDescent="0.3">
      <c r="A1959">
        <v>7979</v>
      </c>
      <c r="B1959" t="s">
        <v>219</v>
      </c>
      <c r="D1959" t="s">
        <v>327</v>
      </c>
      <c r="E1959">
        <v>99999999</v>
      </c>
      <c r="F1959">
        <v>11111111</v>
      </c>
      <c r="G1959">
        <v>1111111111</v>
      </c>
      <c r="H1959" t="s">
        <v>5528</v>
      </c>
      <c r="I1959">
        <v>99999999</v>
      </c>
      <c r="J1959" s="188">
        <v>45238</v>
      </c>
      <c r="K1959" t="s">
        <v>5528</v>
      </c>
      <c r="L1959" t="s">
        <v>5528</v>
      </c>
      <c r="M1959" t="s">
        <v>2644</v>
      </c>
      <c r="N1959" t="s">
        <v>99</v>
      </c>
      <c r="O1959">
        <v>90290</v>
      </c>
      <c r="P1959" t="s">
        <v>221</v>
      </c>
      <c r="Q1959" t="s">
        <v>82</v>
      </c>
      <c r="R1959">
        <v>4</v>
      </c>
      <c r="S1959">
        <v>17.600000000000001</v>
      </c>
      <c r="T1959">
        <v>0</v>
      </c>
      <c r="U1959">
        <v>1</v>
      </c>
      <c r="V1959">
        <v>1</v>
      </c>
      <c r="W1959">
        <v>33.44</v>
      </c>
      <c r="X1959">
        <v>0</v>
      </c>
      <c r="Y1959">
        <v>0</v>
      </c>
      <c r="Z1959">
        <v>0</v>
      </c>
      <c r="AA1959">
        <v>0</v>
      </c>
      <c r="AB1959">
        <v>0</v>
      </c>
      <c r="AC1959">
        <v>0</v>
      </c>
      <c r="AD1959">
        <v>4</v>
      </c>
      <c r="AE1959">
        <v>0</v>
      </c>
      <c r="AF1959">
        <v>0</v>
      </c>
      <c r="AG1959">
        <v>0</v>
      </c>
      <c r="AH1959">
        <v>0</v>
      </c>
      <c r="AI1959">
        <v>0</v>
      </c>
      <c r="AJ1959">
        <v>0</v>
      </c>
      <c r="AK1959">
        <v>0</v>
      </c>
    </row>
    <row r="1960" spans="1:37" x14ac:dyDescent="0.3">
      <c r="A1960">
        <v>7979</v>
      </c>
      <c r="B1960" t="s">
        <v>219</v>
      </c>
      <c r="D1960" t="s">
        <v>327</v>
      </c>
      <c r="E1960">
        <v>99999999</v>
      </c>
      <c r="F1960">
        <v>11111111</v>
      </c>
      <c r="G1960">
        <v>1111111111</v>
      </c>
      <c r="H1960" t="s">
        <v>5529</v>
      </c>
      <c r="I1960">
        <v>99999999</v>
      </c>
      <c r="J1960" s="188">
        <v>45238</v>
      </c>
      <c r="K1960" t="s">
        <v>5529</v>
      </c>
      <c r="L1960" t="s">
        <v>5529</v>
      </c>
      <c r="M1960" t="s">
        <v>2645</v>
      </c>
      <c r="N1960" t="s">
        <v>680</v>
      </c>
      <c r="O1960" t="s">
        <v>2646</v>
      </c>
      <c r="P1960" t="s">
        <v>221</v>
      </c>
      <c r="Q1960" t="s">
        <v>82</v>
      </c>
      <c r="R1960">
        <v>1</v>
      </c>
      <c r="S1960">
        <v>5</v>
      </c>
      <c r="T1960">
        <v>0</v>
      </c>
      <c r="U1960">
        <v>1</v>
      </c>
      <c r="V1960">
        <v>1</v>
      </c>
      <c r="W1960">
        <v>33.47</v>
      </c>
      <c r="X1960">
        <v>0</v>
      </c>
      <c r="Y1960">
        <v>0</v>
      </c>
      <c r="Z1960">
        <v>0</v>
      </c>
      <c r="AA1960">
        <v>0</v>
      </c>
      <c r="AB1960">
        <v>0</v>
      </c>
      <c r="AC1960">
        <v>0</v>
      </c>
      <c r="AD1960">
        <v>1</v>
      </c>
      <c r="AE1960">
        <v>0</v>
      </c>
      <c r="AF1960">
        <v>0</v>
      </c>
      <c r="AG1960">
        <v>0</v>
      </c>
      <c r="AH1960">
        <v>0</v>
      </c>
      <c r="AI1960">
        <v>0</v>
      </c>
      <c r="AJ1960">
        <v>0</v>
      </c>
      <c r="AK1960">
        <v>0</v>
      </c>
    </row>
    <row r="1961" spans="1:37" x14ac:dyDescent="0.3">
      <c r="A1961">
        <v>7979</v>
      </c>
      <c r="B1961" t="s">
        <v>219</v>
      </c>
      <c r="D1961" t="s">
        <v>327</v>
      </c>
      <c r="E1961">
        <v>99999999</v>
      </c>
      <c r="F1961">
        <v>11111111</v>
      </c>
      <c r="G1961">
        <v>1111111111</v>
      </c>
      <c r="H1961" t="s">
        <v>5530</v>
      </c>
      <c r="I1961">
        <v>99999999</v>
      </c>
      <c r="J1961" s="188">
        <v>45238</v>
      </c>
      <c r="K1961" t="s">
        <v>5530</v>
      </c>
      <c r="L1961" t="s">
        <v>5530</v>
      </c>
      <c r="M1961" t="s">
        <v>1439</v>
      </c>
      <c r="N1961" t="s">
        <v>135</v>
      </c>
      <c r="O1961" t="s">
        <v>2647</v>
      </c>
      <c r="P1961" t="s">
        <v>221</v>
      </c>
      <c r="Q1961" t="s">
        <v>82</v>
      </c>
      <c r="R1961">
        <v>1</v>
      </c>
      <c r="S1961">
        <v>2.2999999999999998</v>
      </c>
      <c r="T1961">
        <v>0</v>
      </c>
      <c r="U1961">
        <v>1</v>
      </c>
      <c r="V1961">
        <v>1</v>
      </c>
      <c r="W1961">
        <v>21.88</v>
      </c>
      <c r="X1961">
        <v>0</v>
      </c>
      <c r="Y1961">
        <v>0</v>
      </c>
      <c r="Z1961">
        <v>0</v>
      </c>
      <c r="AA1961">
        <v>0</v>
      </c>
      <c r="AB1961">
        <v>0</v>
      </c>
      <c r="AC1961">
        <v>0</v>
      </c>
      <c r="AD1961">
        <v>1</v>
      </c>
      <c r="AE1961">
        <v>0</v>
      </c>
      <c r="AF1961">
        <v>0</v>
      </c>
      <c r="AG1961">
        <v>0</v>
      </c>
      <c r="AH1961">
        <v>0</v>
      </c>
      <c r="AI1961">
        <v>0</v>
      </c>
      <c r="AJ1961">
        <v>0</v>
      </c>
      <c r="AK1961">
        <v>0</v>
      </c>
    </row>
    <row r="1962" spans="1:37" x14ac:dyDescent="0.3">
      <c r="A1962">
        <v>7979</v>
      </c>
      <c r="B1962" t="s">
        <v>219</v>
      </c>
      <c r="D1962" t="s">
        <v>327</v>
      </c>
      <c r="E1962">
        <v>99999999</v>
      </c>
      <c r="F1962">
        <v>11111111</v>
      </c>
      <c r="G1962">
        <v>1111111111</v>
      </c>
      <c r="H1962" t="s">
        <v>5531</v>
      </c>
      <c r="I1962">
        <v>99999999</v>
      </c>
      <c r="J1962" s="188">
        <v>45238</v>
      </c>
      <c r="K1962" t="s">
        <v>5531</v>
      </c>
      <c r="L1962" t="s">
        <v>5531</v>
      </c>
      <c r="M1962" t="s">
        <v>838</v>
      </c>
      <c r="N1962" t="s">
        <v>197</v>
      </c>
      <c r="O1962" t="s">
        <v>2648</v>
      </c>
      <c r="P1962" t="s">
        <v>221</v>
      </c>
      <c r="Q1962" t="s">
        <v>82</v>
      </c>
      <c r="R1962">
        <v>2</v>
      </c>
      <c r="S1962">
        <v>3</v>
      </c>
      <c r="T1962">
        <v>0</v>
      </c>
      <c r="U1962">
        <v>1</v>
      </c>
      <c r="V1962">
        <v>1</v>
      </c>
      <c r="W1962">
        <v>25.25</v>
      </c>
      <c r="X1962">
        <v>0</v>
      </c>
      <c r="Y1962">
        <v>0</v>
      </c>
      <c r="Z1962">
        <v>0</v>
      </c>
      <c r="AA1962">
        <v>0</v>
      </c>
      <c r="AB1962">
        <v>0</v>
      </c>
      <c r="AC1962">
        <v>0</v>
      </c>
      <c r="AD1962">
        <v>2</v>
      </c>
      <c r="AE1962">
        <v>0</v>
      </c>
      <c r="AF1962">
        <v>0</v>
      </c>
      <c r="AG1962">
        <v>0</v>
      </c>
      <c r="AH1962">
        <v>0</v>
      </c>
      <c r="AI1962">
        <v>0</v>
      </c>
      <c r="AJ1962">
        <v>0</v>
      </c>
      <c r="AK1962">
        <v>0</v>
      </c>
    </row>
    <row r="1963" spans="1:37" x14ac:dyDescent="0.3">
      <c r="A1963">
        <v>7979</v>
      </c>
      <c r="B1963" t="s">
        <v>219</v>
      </c>
      <c r="D1963" t="s">
        <v>327</v>
      </c>
      <c r="E1963">
        <v>99999999</v>
      </c>
      <c r="F1963">
        <v>11111111</v>
      </c>
      <c r="G1963">
        <v>1111111111</v>
      </c>
      <c r="H1963" t="s">
        <v>5532</v>
      </c>
      <c r="I1963">
        <v>99999999</v>
      </c>
      <c r="J1963" s="188">
        <v>45238</v>
      </c>
      <c r="K1963" t="s">
        <v>5532</v>
      </c>
      <c r="L1963" t="s">
        <v>5532</v>
      </c>
      <c r="M1963" t="s">
        <v>2158</v>
      </c>
      <c r="N1963" t="s">
        <v>97</v>
      </c>
      <c r="O1963" t="s">
        <v>2649</v>
      </c>
      <c r="P1963" t="s">
        <v>221</v>
      </c>
      <c r="Q1963" t="s">
        <v>82</v>
      </c>
      <c r="R1963">
        <v>1</v>
      </c>
      <c r="S1963">
        <v>0.12</v>
      </c>
      <c r="T1963">
        <v>0</v>
      </c>
      <c r="U1963">
        <v>1</v>
      </c>
      <c r="V1963">
        <v>1</v>
      </c>
      <c r="W1963">
        <v>19.3</v>
      </c>
      <c r="X1963">
        <v>0</v>
      </c>
      <c r="Y1963">
        <v>0</v>
      </c>
      <c r="Z1963">
        <v>0</v>
      </c>
      <c r="AA1963">
        <v>0</v>
      </c>
      <c r="AB1963">
        <v>0</v>
      </c>
      <c r="AC1963">
        <v>0</v>
      </c>
      <c r="AD1963">
        <v>1</v>
      </c>
      <c r="AE1963">
        <v>0</v>
      </c>
      <c r="AF1963">
        <v>0</v>
      </c>
      <c r="AG1963">
        <v>0</v>
      </c>
      <c r="AH1963">
        <v>0</v>
      </c>
      <c r="AI1963">
        <v>0</v>
      </c>
      <c r="AJ1963">
        <v>0</v>
      </c>
      <c r="AK1963">
        <v>0</v>
      </c>
    </row>
    <row r="1964" spans="1:37" x14ac:dyDescent="0.3">
      <c r="A1964">
        <v>7979</v>
      </c>
      <c r="B1964" t="s">
        <v>219</v>
      </c>
      <c r="D1964" t="s">
        <v>327</v>
      </c>
      <c r="E1964">
        <v>99999999</v>
      </c>
      <c r="F1964">
        <v>11111111</v>
      </c>
      <c r="G1964">
        <v>1111111111</v>
      </c>
      <c r="H1964" t="s">
        <v>5533</v>
      </c>
      <c r="I1964">
        <v>99999999</v>
      </c>
      <c r="J1964" s="188">
        <v>45238</v>
      </c>
      <c r="K1964" t="s">
        <v>5533</v>
      </c>
      <c r="L1964" t="s">
        <v>5533</v>
      </c>
      <c r="M1964" t="s">
        <v>879</v>
      </c>
      <c r="N1964" t="s">
        <v>164</v>
      </c>
      <c r="O1964" t="s">
        <v>2650</v>
      </c>
      <c r="P1964" t="s">
        <v>221</v>
      </c>
      <c r="Q1964" t="s">
        <v>82</v>
      </c>
      <c r="R1964">
        <v>1</v>
      </c>
      <c r="S1964">
        <v>2.4</v>
      </c>
      <c r="T1964">
        <v>0</v>
      </c>
      <c r="U1964">
        <v>1</v>
      </c>
      <c r="V1964">
        <v>1</v>
      </c>
      <c r="W1964">
        <v>21.88</v>
      </c>
      <c r="X1964">
        <v>0</v>
      </c>
      <c r="Y1964">
        <v>0</v>
      </c>
      <c r="Z1964">
        <v>0</v>
      </c>
      <c r="AA1964">
        <v>0</v>
      </c>
      <c r="AB1964">
        <v>0</v>
      </c>
      <c r="AC1964">
        <v>0</v>
      </c>
      <c r="AD1964">
        <v>1</v>
      </c>
      <c r="AE1964">
        <v>0</v>
      </c>
      <c r="AF1964">
        <v>0</v>
      </c>
      <c r="AG1964">
        <v>0</v>
      </c>
      <c r="AH1964">
        <v>0</v>
      </c>
      <c r="AI1964">
        <v>0</v>
      </c>
      <c r="AJ1964">
        <v>0</v>
      </c>
      <c r="AK1964">
        <v>0</v>
      </c>
    </row>
    <row r="1965" spans="1:37" x14ac:dyDescent="0.3">
      <c r="A1965">
        <v>7979</v>
      </c>
      <c r="B1965" t="s">
        <v>219</v>
      </c>
      <c r="D1965" t="s">
        <v>327</v>
      </c>
      <c r="E1965">
        <v>99999999</v>
      </c>
      <c r="F1965">
        <v>11111111</v>
      </c>
      <c r="G1965">
        <v>1111111111</v>
      </c>
      <c r="H1965" t="s">
        <v>5534</v>
      </c>
      <c r="I1965">
        <v>99999999</v>
      </c>
      <c r="J1965" s="188">
        <v>45238</v>
      </c>
      <c r="K1965" t="s">
        <v>5534</v>
      </c>
      <c r="L1965" t="s">
        <v>5534</v>
      </c>
      <c r="M1965" t="s">
        <v>624</v>
      </c>
      <c r="N1965" t="s">
        <v>164</v>
      </c>
      <c r="O1965" t="s">
        <v>784</v>
      </c>
      <c r="P1965" t="s">
        <v>221</v>
      </c>
      <c r="Q1965" t="s">
        <v>82</v>
      </c>
      <c r="R1965">
        <v>1</v>
      </c>
      <c r="S1965">
        <v>1.6</v>
      </c>
      <c r="T1965">
        <v>0</v>
      </c>
      <c r="U1965">
        <v>1</v>
      </c>
      <c r="V1965">
        <v>1</v>
      </c>
      <c r="W1965">
        <v>21.88</v>
      </c>
      <c r="X1965">
        <v>0</v>
      </c>
      <c r="Y1965">
        <v>0</v>
      </c>
      <c r="Z1965">
        <v>0</v>
      </c>
      <c r="AA1965">
        <v>0</v>
      </c>
      <c r="AB1965">
        <v>0</v>
      </c>
      <c r="AC1965">
        <v>0</v>
      </c>
      <c r="AD1965">
        <v>1</v>
      </c>
      <c r="AE1965">
        <v>0</v>
      </c>
      <c r="AF1965">
        <v>0</v>
      </c>
      <c r="AG1965">
        <v>0</v>
      </c>
      <c r="AH1965">
        <v>0</v>
      </c>
      <c r="AI1965">
        <v>0</v>
      </c>
      <c r="AJ1965">
        <v>0</v>
      </c>
      <c r="AK1965">
        <v>0</v>
      </c>
    </row>
    <row r="1966" spans="1:37" x14ac:dyDescent="0.3">
      <c r="A1966">
        <v>7979</v>
      </c>
      <c r="B1966" t="s">
        <v>219</v>
      </c>
      <c r="D1966" t="s">
        <v>327</v>
      </c>
      <c r="E1966">
        <v>99999999</v>
      </c>
      <c r="F1966">
        <v>11111111</v>
      </c>
      <c r="G1966">
        <v>1111111111</v>
      </c>
      <c r="H1966" t="s">
        <v>5535</v>
      </c>
      <c r="I1966">
        <v>99999999</v>
      </c>
      <c r="J1966" s="188">
        <v>45238</v>
      </c>
      <c r="K1966" t="s">
        <v>5535</v>
      </c>
      <c r="L1966" t="s">
        <v>5535</v>
      </c>
      <c r="M1966" t="s">
        <v>448</v>
      </c>
      <c r="N1966" t="s">
        <v>197</v>
      </c>
      <c r="O1966">
        <v>77045</v>
      </c>
      <c r="P1966" t="s">
        <v>221</v>
      </c>
      <c r="Q1966" t="s">
        <v>82</v>
      </c>
      <c r="R1966">
        <v>1</v>
      </c>
      <c r="S1966">
        <v>1.8</v>
      </c>
      <c r="T1966">
        <v>0</v>
      </c>
      <c r="U1966">
        <v>1</v>
      </c>
      <c r="V1966">
        <v>1</v>
      </c>
      <c r="W1966">
        <v>23.93</v>
      </c>
      <c r="X1966">
        <v>0</v>
      </c>
      <c r="Y1966">
        <v>0</v>
      </c>
      <c r="Z1966">
        <v>0</v>
      </c>
      <c r="AA1966">
        <v>0</v>
      </c>
      <c r="AB1966">
        <v>0</v>
      </c>
      <c r="AC1966">
        <v>0</v>
      </c>
      <c r="AD1966">
        <v>1</v>
      </c>
      <c r="AE1966">
        <v>0</v>
      </c>
      <c r="AF1966">
        <v>0</v>
      </c>
      <c r="AG1966">
        <v>0</v>
      </c>
      <c r="AH1966">
        <v>0</v>
      </c>
      <c r="AI1966">
        <v>0</v>
      </c>
      <c r="AJ1966">
        <v>0</v>
      </c>
      <c r="AK1966">
        <v>0</v>
      </c>
    </row>
    <row r="1967" spans="1:37" x14ac:dyDescent="0.3">
      <c r="A1967">
        <v>7979</v>
      </c>
      <c r="B1967" t="s">
        <v>219</v>
      </c>
      <c r="D1967" t="s">
        <v>327</v>
      </c>
      <c r="E1967">
        <v>99999999</v>
      </c>
      <c r="F1967">
        <v>11111111</v>
      </c>
      <c r="G1967">
        <v>1111111111</v>
      </c>
      <c r="H1967" t="s">
        <v>5536</v>
      </c>
      <c r="I1967">
        <v>99999999</v>
      </c>
      <c r="J1967" s="188">
        <v>45238</v>
      </c>
      <c r="K1967" t="s">
        <v>5536</v>
      </c>
      <c r="L1967" t="s">
        <v>5536</v>
      </c>
      <c r="M1967" t="s">
        <v>2651</v>
      </c>
      <c r="N1967" t="s">
        <v>402</v>
      </c>
      <c r="O1967" t="s">
        <v>2652</v>
      </c>
      <c r="P1967" t="s">
        <v>221</v>
      </c>
      <c r="Q1967" t="s">
        <v>82</v>
      </c>
      <c r="R1967">
        <v>1</v>
      </c>
      <c r="S1967">
        <v>0.03</v>
      </c>
      <c r="T1967">
        <v>0</v>
      </c>
      <c r="U1967">
        <v>1</v>
      </c>
      <c r="V1967">
        <v>1</v>
      </c>
      <c r="W1967">
        <v>26.9</v>
      </c>
      <c r="X1967">
        <v>0</v>
      </c>
      <c r="Y1967">
        <v>0</v>
      </c>
      <c r="Z1967">
        <v>0</v>
      </c>
      <c r="AA1967">
        <v>0</v>
      </c>
      <c r="AB1967">
        <v>0</v>
      </c>
      <c r="AC1967">
        <v>0</v>
      </c>
      <c r="AD1967">
        <v>1</v>
      </c>
      <c r="AE1967">
        <v>0</v>
      </c>
      <c r="AF1967">
        <v>0</v>
      </c>
      <c r="AG1967">
        <v>0</v>
      </c>
      <c r="AH1967">
        <v>0</v>
      </c>
      <c r="AI1967">
        <v>0</v>
      </c>
      <c r="AJ1967">
        <v>0</v>
      </c>
      <c r="AK1967">
        <v>0</v>
      </c>
    </row>
    <row r="1968" spans="1:37" x14ac:dyDescent="0.3">
      <c r="A1968">
        <v>7979</v>
      </c>
      <c r="B1968" t="s">
        <v>219</v>
      </c>
      <c r="D1968" t="s">
        <v>327</v>
      </c>
      <c r="E1968">
        <v>99999999</v>
      </c>
      <c r="F1968">
        <v>11111111</v>
      </c>
      <c r="G1968">
        <v>1111111111</v>
      </c>
      <c r="H1968" t="s">
        <v>5537</v>
      </c>
      <c r="I1968">
        <v>99999999</v>
      </c>
      <c r="J1968" s="188">
        <v>45238</v>
      </c>
      <c r="K1968" t="s">
        <v>5537</v>
      </c>
      <c r="L1968" t="s">
        <v>5537</v>
      </c>
      <c r="M1968" t="s">
        <v>2653</v>
      </c>
      <c r="N1968" t="s">
        <v>97</v>
      </c>
      <c r="O1968">
        <v>98370</v>
      </c>
      <c r="P1968" t="s">
        <v>221</v>
      </c>
      <c r="Q1968" t="s">
        <v>82</v>
      </c>
      <c r="R1968">
        <v>1</v>
      </c>
      <c r="S1968">
        <v>5.14</v>
      </c>
      <c r="T1968">
        <v>0</v>
      </c>
      <c r="U1968">
        <v>1</v>
      </c>
      <c r="V1968">
        <v>1</v>
      </c>
      <c r="W1968">
        <v>29.21</v>
      </c>
      <c r="X1968">
        <v>0</v>
      </c>
      <c r="Y1968">
        <v>0</v>
      </c>
      <c r="Z1968">
        <v>0</v>
      </c>
      <c r="AA1968">
        <v>0</v>
      </c>
      <c r="AB1968">
        <v>0</v>
      </c>
      <c r="AC1968">
        <v>0</v>
      </c>
      <c r="AD1968">
        <v>1</v>
      </c>
      <c r="AE1968">
        <v>0</v>
      </c>
      <c r="AF1968">
        <v>0</v>
      </c>
      <c r="AG1968">
        <v>0</v>
      </c>
      <c r="AH1968">
        <v>0</v>
      </c>
      <c r="AI1968">
        <v>0</v>
      </c>
      <c r="AJ1968">
        <v>0</v>
      </c>
      <c r="AK1968">
        <v>0</v>
      </c>
    </row>
    <row r="1969" spans="1:37" x14ac:dyDescent="0.3">
      <c r="A1969">
        <v>7979</v>
      </c>
      <c r="B1969" t="s">
        <v>219</v>
      </c>
      <c r="D1969" t="s">
        <v>327</v>
      </c>
      <c r="E1969">
        <v>99999999</v>
      </c>
      <c r="F1969">
        <v>11111111</v>
      </c>
      <c r="G1969">
        <v>1111111111</v>
      </c>
      <c r="H1969" t="s">
        <v>5538</v>
      </c>
      <c r="I1969">
        <v>99999999</v>
      </c>
      <c r="J1969" s="188">
        <v>45238</v>
      </c>
      <c r="K1969" t="s">
        <v>5538</v>
      </c>
      <c r="L1969" t="s">
        <v>5538</v>
      </c>
      <c r="M1969" t="s">
        <v>410</v>
      </c>
      <c r="N1969" t="s">
        <v>99</v>
      </c>
      <c r="O1969" t="s">
        <v>2643</v>
      </c>
      <c r="P1969" t="s">
        <v>221</v>
      </c>
      <c r="Q1969" t="s">
        <v>82</v>
      </c>
      <c r="R1969">
        <v>1</v>
      </c>
      <c r="S1969">
        <v>5</v>
      </c>
      <c r="T1969">
        <v>0</v>
      </c>
      <c r="U1969">
        <v>1</v>
      </c>
      <c r="V1969">
        <v>1</v>
      </c>
      <c r="W1969">
        <v>21.49</v>
      </c>
      <c r="X1969">
        <v>0</v>
      </c>
      <c r="Y1969">
        <v>0</v>
      </c>
      <c r="Z1969">
        <v>0</v>
      </c>
      <c r="AA1969">
        <v>0</v>
      </c>
      <c r="AB1969">
        <v>0</v>
      </c>
      <c r="AC1969">
        <v>0</v>
      </c>
      <c r="AD1969">
        <v>1</v>
      </c>
      <c r="AE1969">
        <v>0</v>
      </c>
      <c r="AF1969">
        <v>0</v>
      </c>
      <c r="AG1969">
        <v>0</v>
      </c>
      <c r="AH1969">
        <v>0</v>
      </c>
      <c r="AI1969">
        <v>0</v>
      </c>
      <c r="AJ1969">
        <v>0</v>
      </c>
      <c r="AK1969">
        <v>0</v>
      </c>
    </row>
    <row r="1970" spans="1:37" x14ac:dyDescent="0.3">
      <c r="A1970">
        <v>7979</v>
      </c>
      <c r="B1970" t="s">
        <v>219</v>
      </c>
      <c r="D1970" t="s">
        <v>327</v>
      </c>
      <c r="E1970">
        <v>99999999</v>
      </c>
      <c r="F1970">
        <v>11111111</v>
      </c>
      <c r="G1970">
        <v>1111111111</v>
      </c>
      <c r="H1970" t="s">
        <v>5539</v>
      </c>
      <c r="I1970">
        <v>99999999</v>
      </c>
      <c r="J1970" s="188">
        <v>45238</v>
      </c>
      <c r="K1970" t="s">
        <v>5539</v>
      </c>
      <c r="L1970" t="s">
        <v>5539</v>
      </c>
      <c r="M1970" t="s">
        <v>1202</v>
      </c>
      <c r="N1970" t="s">
        <v>164</v>
      </c>
      <c r="O1970">
        <v>97322</v>
      </c>
      <c r="P1970" t="s">
        <v>221</v>
      </c>
      <c r="Q1970" t="s">
        <v>82</v>
      </c>
      <c r="R1970">
        <v>1</v>
      </c>
      <c r="S1970">
        <v>5.14</v>
      </c>
      <c r="T1970">
        <v>0</v>
      </c>
      <c r="U1970">
        <v>1</v>
      </c>
      <c r="V1970">
        <v>1</v>
      </c>
      <c r="W1970">
        <v>23.09</v>
      </c>
      <c r="X1970">
        <v>0</v>
      </c>
      <c r="Y1970">
        <v>0</v>
      </c>
      <c r="Z1970">
        <v>0</v>
      </c>
      <c r="AA1970">
        <v>0</v>
      </c>
      <c r="AB1970">
        <v>0</v>
      </c>
      <c r="AC1970">
        <v>0</v>
      </c>
      <c r="AD1970">
        <v>1</v>
      </c>
      <c r="AE1970">
        <v>0</v>
      </c>
      <c r="AF1970">
        <v>0</v>
      </c>
      <c r="AG1970">
        <v>0</v>
      </c>
      <c r="AH1970">
        <v>0</v>
      </c>
      <c r="AI1970">
        <v>0</v>
      </c>
      <c r="AJ1970">
        <v>0</v>
      </c>
      <c r="AK1970">
        <v>0</v>
      </c>
    </row>
    <row r="1971" spans="1:37" x14ac:dyDescent="0.3">
      <c r="A1971">
        <v>7979</v>
      </c>
      <c r="B1971" t="s">
        <v>219</v>
      </c>
      <c r="D1971" t="s">
        <v>327</v>
      </c>
      <c r="E1971">
        <v>99999999</v>
      </c>
      <c r="F1971">
        <v>11111111</v>
      </c>
      <c r="G1971">
        <v>1111111111</v>
      </c>
      <c r="H1971" t="s">
        <v>5540</v>
      </c>
      <c r="I1971">
        <v>99999999</v>
      </c>
      <c r="J1971" s="188">
        <v>45238</v>
      </c>
      <c r="K1971" t="s">
        <v>5540</v>
      </c>
      <c r="L1971" t="s">
        <v>5540</v>
      </c>
      <c r="M1971" t="s">
        <v>754</v>
      </c>
      <c r="N1971" t="s">
        <v>130</v>
      </c>
      <c r="O1971" t="s">
        <v>2654</v>
      </c>
      <c r="P1971" t="s">
        <v>221</v>
      </c>
      <c r="Q1971" t="s">
        <v>82</v>
      </c>
      <c r="R1971">
        <v>1</v>
      </c>
      <c r="S1971">
        <v>6</v>
      </c>
      <c r="T1971">
        <v>0</v>
      </c>
      <c r="U1971">
        <v>1</v>
      </c>
      <c r="V1971">
        <v>1</v>
      </c>
      <c r="W1971">
        <v>25.03</v>
      </c>
      <c r="X1971">
        <v>0</v>
      </c>
      <c r="Y1971">
        <v>0</v>
      </c>
      <c r="Z1971">
        <v>0</v>
      </c>
      <c r="AA1971">
        <v>0</v>
      </c>
      <c r="AB1971">
        <v>0</v>
      </c>
      <c r="AC1971">
        <v>0</v>
      </c>
      <c r="AD1971">
        <v>1</v>
      </c>
      <c r="AE1971">
        <v>0</v>
      </c>
      <c r="AF1971">
        <v>0</v>
      </c>
      <c r="AG1971">
        <v>0</v>
      </c>
      <c r="AH1971">
        <v>0</v>
      </c>
      <c r="AI1971">
        <v>0</v>
      </c>
      <c r="AJ1971">
        <v>0</v>
      </c>
      <c r="AK1971">
        <v>0</v>
      </c>
    </row>
    <row r="1972" spans="1:37" x14ac:dyDescent="0.3">
      <c r="A1972">
        <v>7979</v>
      </c>
      <c r="B1972" t="s">
        <v>219</v>
      </c>
      <c r="D1972" t="s">
        <v>327</v>
      </c>
      <c r="E1972">
        <v>99999999</v>
      </c>
      <c r="F1972">
        <v>11111111</v>
      </c>
      <c r="G1972">
        <v>1111111111</v>
      </c>
      <c r="H1972" t="s">
        <v>5541</v>
      </c>
      <c r="I1972">
        <v>99999999</v>
      </c>
      <c r="J1972" s="188">
        <v>45238</v>
      </c>
      <c r="K1972" t="s">
        <v>5541</v>
      </c>
      <c r="L1972" t="s">
        <v>5541</v>
      </c>
      <c r="M1972" t="s">
        <v>235</v>
      </c>
      <c r="N1972" t="s">
        <v>164</v>
      </c>
      <c r="O1972" t="s">
        <v>2655</v>
      </c>
      <c r="P1972" t="s">
        <v>221</v>
      </c>
      <c r="Q1972" t="s">
        <v>82</v>
      </c>
      <c r="R1972">
        <v>1</v>
      </c>
      <c r="S1972">
        <v>0.5</v>
      </c>
      <c r="T1972">
        <v>0</v>
      </c>
      <c r="U1972">
        <v>1</v>
      </c>
      <c r="V1972">
        <v>1</v>
      </c>
      <c r="W1972">
        <v>24.32</v>
      </c>
      <c r="X1972">
        <v>0</v>
      </c>
      <c r="Y1972">
        <v>0</v>
      </c>
      <c r="Z1972">
        <v>0</v>
      </c>
      <c r="AA1972">
        <v>0</v>
      </c>
      <c r="AB1972">
        <v>0</v>
      </c>
      <c r="AC1972">
        <v>0</v>
      </c>
      <c r="AD1972">
        <v>1</v>
      </c>
      <c r="AE1972">
        <v>0</v>
      </c>
      <c r="AF1972">
        <v>0</v>
      </c>
      <c r="AG1972">
        <v>0</v>
      </c>
      <c r="AH1972">
        <v>0</v>
      </c>
      <c r="AI1972">
        <v>0</v>
      </c>
      <c r="AJ1972">
        <v>0</v>
      </c>
      <c r="AK1972">
        <v>0</v>
      </c>
    </row>
    <row r="1973" spans="1:37" x14ac:dyDescent="0.3">
      <c r="A1973">
        <v>7979</v>
      </c>
      <c r="B1973" t="s">
        <v>219</v>
      </c>
      <c r="D1973" t="s">
        <v>327</v>
      </c>
      <c r="E1973">
        <v>99999999</v>
      </c>
      <c r="F1973">
        <v>11111111</v>
      </c>
      <c r="G1973">
        <v>1111111111</v>
      </c>
      <c r="H1973" t="s">
        <v>5542</v>
      </c>
      <c r="I1973">
        <v>99999999</v>
      </c>
      <c r="J1973" s="188">
        <v>45238</v>
      </c>
      <c r="K1973" t="s">
        <v>5542</v>
      </c>
      <c r="L1973" t="s">
        <v>5542</v>
      </c>
      <c r="M1973" t="s">
        <v>699</v>
      </c>
      <c r="N1973" t="s">
        <v>99</v>
      </c>
      <c r="O1973" t="s">
        <v>2656</v>
      </c>
      <c r="P1973" t="s">
        <v>221</v>
      </c>
      <c r="Q1973" t="s">
        <v>82</v>
      </c>
      <c r="R1973">
        <v>1</v>
      </c>
      <c r="S1973">
        <v>5.14</v>
      </c>
      <c r="T1973">
        <v>0</v>
      </c>
      <c r="U1973">
        <v>1</v>
      </c>
      <c r="V1973">
        <v>1</v>
      </c>
      <c r="W1973">
        <v>21.49</v>
      </c>
      <c r="X1973">
        <v>0</v>
      </c>
      <c r="Y1973">
        <v>0</v>
      </c>
      <c r="Z1973">
        <v>0</v>
      </c>
      <c r="AA1973">
        <v>0</v>
      </c>
      <c r="AB1973">
        <v>0</v>
      </c>
      <c r="AC1973">
        <v>0</v>
      </c>
      <c r="AD1973">
        <v>1</v>
      </c>
      <c r="AE1973">
        <v>0</v>
      </c>
      <c r="AF1973">
        <v>0</v>
      </c>
      <c r="AG1973">
        <v>0</v>
      </c>
      <c r="AH1973">
        <v>0</v>
      </c>
      <c r="AI1973">
        <v>0</v>
      </c>
      <c r="AJ1973">
        <v>0</v>
      </c>
      <c r="AK1973">
        <v>0</v>
      </c>
    </row>
    <row r="1974" spans="1:37" x14ac:dyDescent="0.3">
      <c r="A1974">
        <v>7979</v>
      </c>
      <c r="B1974" t="s">
        <v>219</v>
      </c>
      <c r="D1974" t="s">
        <v>327</v>
      </c>
      <c r="E1974">
        <v>99999999</v>
      </c>
      <c r="F1974">
        <v>11111111</v>
      </c>
      <c r="G1974">
        <v>1111111111</v>
      </c>
      <c r="H1974" t="s">
        <v>5543</v>
      </c>
      <c r="I1974">
        <v>99999999</v>
      </c>
      <c r="J1974" s="188">
        <v>45238</v>
      </c>
      <c r="K1974" t="s">
        <v>5543</v>
      </c>
      <c r="L1974" t="s">
        <v>5543</v>
      </c>
      <c r="M1974" t="s">
        <v>653</v>
      </c>
      <c r="N1974" t="s">
        <v>164</v>
      </c>
      <c r="O1974" t="s">
        <v>2657</v>
      </c>
      <c r="P1974" t="s">
        <v>221</v>
      </c>
      <c r="Q1974" t="s">
        <v>82</v>
      </c>
      <c r="R1974">
        <v>1</v>
      </c>
      <c r="S1974">
        <v>4.5</v>
      </c>
      <c r="T1974">
        <v>0</v>
      </c>
      <c r="U1974">
        <v>1</v>
      </c>
      <c r="V1974">
        <v>1</v>
      </c>
      <c r="W1974">
        <v>22.93</v>
      </c>
      <c r="X1974">
        <v>0</v>
      </c>
      <c r="Y1974">
        <v>0</v>
      </c>
      <c r="Z1974">
        <v>0</v>
      </c>
      <c r="AA1974">
        <v>0</v>
      </c>
      <c r="AB1974">
        <v>0</v>
      </c>
      <c r="AC1974">
        <v>0</v>
      </c>
      <c r="AD1974">
        <v>1</v>
      </c>
      <c r="AE1974">
        <v>0</v>
      </c>
      <c r="AF1974">
        <v>0</v>
      </c>
      <c r="AG1974">
        <v>0</v>
      </c>
      <c r="AH1974">
        <v>0</v>
      </c>
      <c r="AI1974">
        <v>0</v>
      </c>
      <c r="AJ1974">
        <v>0</v>
      </c>
      <c r="AK1974">
        <v>0</v>
      </c>
    </row>
    <row r="1975" spans="1:37" x14ac:dyDescent="0.3">
      <c r="A1975">
        <v>7979</v>
      </c>
      <c r="B1975" t="s">
        <v>219</v>
      </c>
      <c r="D1975" t="s">
        <v>327</v>
      </c>
      <c r="E1975">
        <v>99999999</v>
      </c>
      <c r="F1975">
        <v>11111111</v>
      </c>
      <c r="G1975">
        <v>1111111111</v>
      </c>
      <c r="H1975" t="s">
        <v>5544</v>
      </c>
      <c r="I1975">
        <v>99999999</v>
      </c>
      <c r="J1975" s="188">
        <v>45238</v>
      </c>
      <c r="K1975" t="s">
        <v>5544</v>
      </c>
      <c r="L1975" t="s">
        <v>5544</v>
      </c>
      <c r="M1975" t="s">
        <v>190</v>
      </c>
      <c r="N1975" t="s">
        <v>99</v>
      </c>
      <c r="O1975">
        <v>91342</v>
      </c>
      <c r="P1975" t="s">
        <v>221</v>
      </c>
      <c r="Q1975" t="s">
        <v>82</v>
      </c>
      <c r="R1975">
        <v>1</v>
      </c>
      <c r="S1975">
        <v>5</v>
      </c>
      <c r="T1975">
        <v>0</v>
      </c>
      <c r="U1975">
        <v>1</v>
      </c>
      <c r="V1975">
        <v>1</v>
      </c>
      <c r="W1975">
        <v>23.09</v>
      </c>
      <c r="X1975">
        <v>0</v>
      </c>
      <c r="Y1975">
        <v>0</v>
      </c>
      <c r="Z1975">
        <v>0</v>
      </c>
      <c r="AA1975">
        <v>0</v>
      </c>
      <c r="AB1975">
        <v>0</v>
      </c>
      <c r="AC1975">
        <v>0</v>
      </c>
      <c r="AD1975">
        <v>1</v>
      </c>
      <c r="AE1975">
        <v>0</v>
      </c>
      <c r="AF1975">
        <v>0</v>
      </c>
      <c r="AG1975">
        <v>0</v>
      </c>
      <c r="AH1975">
        <v>0</v>
      </c>
      <c r="AI1975">
        <v>0</v>
      </c>
      <c r="AJ1975">
        <v>0</v>
      </c>
      <c r="AK1975">
        <v>0</v>
      </c>
    </row>
    <row r="1976" spans="1:37" x14ac:dyDescent="0.3">
      <c r="A1976">
        <v>7979</v>
      </c>
      <c r="B1976" t="s">
        <v>219</v>
      </c>
      <c r="D1976" t="s">
        <v>327</v>
      </c>
      <c r="E1976">
        <v>99999999</v>
      </c>
      <c r="F1976">
        <v>11111111</v>
      </c>
      <c r="G1976">
        <v>1111111111</v>
      </c>
      <c r="H1976" t="s">
        <v>5545</v>
      </c>
      <c r="I1976">
        <v>99999999</v>
      </c>
      <c r="J1976" s="188">
        <v>45238</v>
      </c>
      <c r="K1976" t="s">
        <v>5545</v>
      </c>
      <c r="L1976" t="s">
        <v>5545</v>
      </c>
      <c r="M1976" t="s">
        <v>2658</v>
      </c>
      <c r="N1976" t="s">
        <v>197</v>
      </c>
      <c r="O1976">
        <v>77437</v>
      </c>
      <c r="P1976" t="s">
        <v>221</v>
      </c>
      <c r="Q1976" t="s">
        <v>82</v>
      </c>
      <c r="R1976">
        <v>1</v>
      </c>
      <c r="S1976">
        <v>6</v>
      </c>
      <c r="T1976">
        <v>0</v>
      </c>
      <c r="U1976">
        <v>1</v>
      </c>
      <c r="V1976">
        <v>1</v>
      </c>
      <c r="W1976">
        <v>32.81</v>
      </c>
      <c r="X1976">
        <v>0</v>
      </c>
      <c r="Y1976">
        <v>0</v>
      </c>
      <c r="Z1976">
        <v>0</v>
      </c>
      <c r="AA1976">
        <v>0</v>
      </c>
      <c r="AB1976">
        <v>0</v>
      </c>
      <c r="AC1976">
        <v>0</v>
      </c>
      <c r="AD1976">
        <v>1</v>
      </c>
      <c r="AE1976">
        <v>0</v>
      </c>
      <c r="AF1976">
        <v>0</v>
      </c>
      <c r="AG1976">
        <v>0</v>
      </c>
      <c r="AH1976">
        <v>0</v>
      </c>
      <c r="AI1976">
        <v>0</v>
      </c>
      <c r="AJ1976">
        <v>0</v>
      </c>
      <c r="AK1976">
        <v>0</v>
      </c>
    </row>
    <row r="1977" spans="1:37" x14ac:dyDescent="0.3">
      <c r="A1977">
        <v>7979</v>
      </c>
      <c r="B1977" t="s">
        <v>219</v>
      </c>
      <c r="D1977" t="s">
        <v>327</v>
      </c>
      <c r="E1977">
        <v>99999999</v>
      </c>
      <c r="F1977">
        <v>11111111</v>
      </c>
      <c r="G1977">
        <v>1111111111</v>
      </c>
      <c r="H1977" t="s">
        <v>5546</v>
      </c>
      <c r="I1977">
        <v>99999999</v>
      </c>
      <c r="J1977" s="188">
        <v>45238</v>
      </c>
      <c r="K1977" t="s">
        <v>5546</v>
      </c>
      <c r="L1977" t="s">
        <v>5546</v>
      </c>
      <c r="M1977" t="s">
        <v>2045</v>
      </c>
      <c r="N1977" t="s">
        <v>99</v>
      </c>
      <c r="O1977" t="s">
        <v>2659</v>
      </c>
      <c r="P1977" t="s">
        <v>221</v>
      </c>
      <c r="Q1977" t="s">
        <v>82</v>
      </c>
      <c r="R1977">
        <v>1</v>
      </c>
      <c r="S1977">
        <v>2.125</v>
      </c>
      <c r="T1977">
        <v>0</v>
      </c>
      <c r="U1977">
        <v>1</v>
      </c>
      <c r="V1977">
        <v>1</v>
      </c>
      <c r="W1977">
        <v>20.67</v>
      </c>
      <c r="X1977">
        <v>0</v>
      </c>
      <c r="Y1977">
        <v>0</v>
      </c>
      <c r="Z1977">
        <v>0</v>
      </c>
      <c r="AA1977">
        <v>0</v>
      </c>
      <c r="AB1977">
        <v>0</v>
      </c>
      <c r="AC1977">
        <v>0</v>
      </c>
      <c r="AD1977">
        <v>1</v>
      </c>
      <c r="AE1977">
        <v>0</v>
      </c>
      <c r="AF1977">
        <v>0</v>
      </c>
      <c r="AG1977">
        <v>0</v>
      </c>
      <c r="AH1977">
        <v>0</v>
      </c>
      <c r="AI1977">
        <v>0</v>
      </c>
      <c r="AJ1977">
        <v>0</v>
      </c>
      <c r="AK1977">
        <v>0</v>
      </c>
    </row>
    <row r="1978" spans="1:37" x14ac:dyDescent="0.3">
      <c r="A1978">
        <v>7979</v>
      </c>
      <c r="B1978" t="s">
        <v>219</v>
      </c>
      <c r="D1978" t="s">
        <v>327</v>
      </c>
      <c r="E1978">
        <v>99999999</v>
      </c>
      <c r="F1978">
        <v>11111111</v>
      </c>
      <c r="G1978">
        <v>1111111111</v>
      </c>
      <c r="H1978" t="s">
        <v>5547</v>
      </c>
      <c r="I1978">
        <v>99999999</v>
      </c>
      <c r="J1978" s="188">
        <v>45237</v>
      </c>
      <c r="K1978" t="s">
        <v>5547</v>
      </c>
      <c r="L1978" t="s">
        <v>5547</v>
      </c>
      <c r="M1978" t="s">
        <v>2660</v>
      </c>
      <c r="N1978" t="s">
        <v>197</v>
      </c>
      <c r="O1978" t="s">
        <v>2661</v>
      </c>
      <c r="P1978" t="s">
        <v>221</v>
      </c>
      <c r="Q1978" t="s">
        <v>82</v>
      </c>
      <c r="R1978">
        <v>2</v>
      </c>
      <c r="S1978">
        <v>4.16</v>
      </c>
      <c r="T1978">
        <v>0</v>
      </c>
      <c r="U1978">
        <v>1</v>
      </c>
      <c r="V1978">
        <v>1</v>
      </c>
      <c r="W1978">
        <v>0</v>
      </c>
      <c r="X1978">
        <v>0</v>
      </c>
      <c r="Y1978">
        <v>0</v>
      </c>
      <c r="Z1978">
        <v>0</v>
      </c>
      <c r="AA1978">
        <v>0</v>
      </c>
      <c r="AB1978">
        <v>0</v>
      </c>
      <c r="AC1978">
        <v>0</v>
      </c>
      <c r="AD1978">
        <v>2</v>
      </c>
      <c r="AE1978">
        <v>0</v>
      </c>
      <c r="AF1978">
        <v>0</v>
      </c>
      <c r="AG1978">
        <v>0</v>
      </c>
      <c r="AH1978">
        <v>0</v>
      </c>
      <c r="AI1978">
        <v>0</v>
      </c>
      <c r="AJ1978">
        <v>0</v>
      </c>
      <c r="AK1978">
        <v>0</v>
      </c>
    </row>
    <row r="1979" spans="1:37" x14ac:dyDescent="0.3">
      <c r="A1979">
        <v>7979</v>
      </c>
      <c r="B1979" t="s">
        <v>219</v>
      </c>
      <c r="D1979" t="s">
        <v>327</v>
      </c>
      <c r="E1979">
        <v>99999999</v>
      </c>
      <c r="F1979">
        <v>11111111</v>
      </c>
      <c r="G1979">
        <v>1111111111</v>
      </c>
      <c r="H1979" t="s">
        <v>5548</v>
      </c>
      <c r="I1979">
        <v>99999999</v>
      </c>
      <c r="J1979" s="188">
        <v>45238</v>
      </c>
      <c r="K1979" t="s">
        <v>5548</v>
      </c>
      <c r="L1979" t="s">
        <v>5548</v>
      </c>
      <c r="M1979" t="s">
        <v>128</v>
      </c>
      <c r="N1979" t="s">
        <v>85</v>
      </c>
      <c r="O1979" t="s">
        <v>2598</v>
      </c>
      <c r="P1979" t="s">
        <v>221</v>
      </c>
      <c r="Q1979" t="s">
        <v>82</v>
      </c>
      <c r="R1979">
        <v>1</v>
      </c>
      <c r="S1979">
        <v>2.8</v>
      </c>
      <c r="T1979">
        <v>0</v>
      </c>
      <c r="U1979">
        <v>1</v>
      </c>
      <c r="V1979">
        <v>1</v>
      </c>
      <c r="W1979">
        <v>25.66</v>
      </c>
      <c r="X1979">
        <v>0</v>
      </c>
      <c r="Y1979">
        <v>0</v>
      </c>
      <c r="Z1979">
        <v>0</v>
      </c>
      <c r="AA1979">
        <v>0</v>
      </c>
      <c r="AB1979">
        <v>0</v>
      </c>
      <c r="AC1979">
        <v>0</v>
      </c>
      <c r="AD1979">
        <v>1</v>
      </c>
      <c r="AE1979">
        <v>0</v>
      </c>
      <c r="AF1979">
        <v>0</v>
      </c>
      <c r="AG1979">
        <v>0</v>
      </c>
      <c r="AH1979">
        <v>0</v>
      </c>
      <c r="AI1979">
        <v>0</v>
      </c>
      <c r="AJ1979">
        <v>0</v>
      </c>
      <c r="AK1979">
        <v>0</v>
      </c>
    </row>
    <row r="1980" spans="1:37" x14ac:dyDescent="0.3">
      <c r="A1980">
        <v>7979</v>
      </c>
      <c r="B1980" t="s">
        <v>219</v>
      </c>
      <c r="D1980" t="s">
        <v>327</v>
      </c>
      <c r="E1980">
        <v>99999999</v>
      </c>
      <c r="F1980">
        <v>11111111</v>
      </c>
      <c r="G1980">
        <v>1111111111</v>
      </c>
      <c r="H1980" t="s">
        <v>5549</v>
      </c>
      <c r="I1980">
        <v>99999999</v>
      </c>
      <c r="J1980" s="188">
        <v>45238</v>
      </c>
      <c r="K1980" t="s">
        <v>5549</v>
      </c>
      <c r="L1980" t="s">
        <v>5549</v>
      </c>
      <c r="M1980" t="s">
        <v>1054</v>
      </c>
      <c r="N1980" t="s">
        <v>99</v>
      </c>
      <c r="O1980" t="s">
        <v>2662</v>
      </c>
      <c r="P1980" t="s">
        <v>221</v>
      </c>
      <c r="Q1980" t="s">
        <v>82</v>
      </c>
      <c r="R1980">
        <v>1</v>
      </c>
      <c r="S1980">
        <v>0.5</v>
      </c>
      <c r="T1980">
        <v>0</v>
      </c>
      <c r="U1980">
        <v>1</v>
      </c>
      <c r="V1980">
        <v>1</v>
      </c>
      <c r="W1980">
        <v>25.42</v>
      </c>
      <c r="X1980">
        <v>0</v>
      </c>
      <c r="Y1980">
        <v>0</v>
      </c>
      <c r="Z1980">
        <v>0</v>
      </c>
      <c r="AA1980">
        <v>0</v>
      </c>
      <c r="AB1980">
        <v>0</v>
      </c>
      <c r="AC1980">
        <v>0</v>
      </c>
      <c r="AD1980">
        <v>1</v>
      </c>
      <c r="AE1980">
        <v>0</v>
      </c>
      <c r="AF1980">
        <v>0</v>
      </c>
      <c r="AG1980">
        <v>0</v>
      </c>
      <c r="AH1980">
        <v>0</v>
      </c>
      <c r="AI1980">
        <v>0</v>
      </c>
      <c r="AJ1980">
        <v>0</v>
      </c>
      <c r="AK1980">
        <v>0</v>
      </c>
    </row>
    <row r="1981" spans="1:37" x14ac:dyDescent="0.3">
      <c r="A1981">
        <v>7979</v>
      </c>
      <c r="B1981" t="s">
        <v>219</v>
      </c>
      <c r="D1981" t="s">
        <v>327</v>
      </c>
      <c r="E1981">
        <v>99999999</v>
      </c>
      <c r="F1981">
        <v>11111111</v>
      </c>
      <c r="G1981">
        <v>1111111111</v>
      </c>
      <c r="H1981" t="s">
        <v>5550</v>
      </c>
      <c r="I1981">
        <v>99999999</v>
      </c>
      <c r="J1981" s="188">
        <v>45238</v>
      </c>
      <c r="K1981" t="s">
        <v>5550</v>
      </c>
      <c r="L1981" t="s">
        <v>5550</v>
      </c>
      <c r="M1981" t="s">
        <v>2134</v>
      </c>
      <c r="N1981" t="s">
        <v>197</v>
      </c>
      <c r="O1981" t="s">
        <v>2663</v>
      </c>
      <c r="P1981" t="s">
        <v>221</v>
      </c>
      <c r="Q1981" t="s">
        <v>82</v>
      </c>
      <c r="R1981">
        <v>1</v>
      </c>
      <c r="S1981">
        <v>7.5</v>
      </c>
      <c r="T1981">
        <v>0</v>
      </c>
      <c r="U1981">
        <v>1</v>
      </c>
      <c r="V1981">
        <v>1</v>
      </c>
      <c r="W1981">
        <v>34.51</v>
      </c>
      <c r="X1981">
        <v>0</v>
      </c>
      <c r="Y1981">
        <v>0</v>
      </c>
      <c r="Z1981">
        <v>0</v>
      </c>
      <c r="AA1981">
        <v>0</v>
      </c>
      <c r="AB1981">
        <v>0</v>
      </c>
      <c r="AC1981">
        <v>0</v>
      </c>
      <c r="AD1981">
        <v>1</v>
      </c>
      <c r="AE1981">
        <v>0</v>
      </c>
      <c r="AF1981">
        <v>0</v>
      </c>
      <c r="AG1981">
        <v>0</v>
      </c>
      <c r="AH1981">
        <v>0</v>
      </c>
      <c r="AI1981">
        <v>0</v>
      </c>
      <c r="AJ1981">
        <v>0</v>
      </c>
      <c r="AK1981">
        <v>0</v>
      </c>
    </row>
    <row r="1982" spans="1:37" x14ac:dyDescent="0.3">
      <c r="A1982">
        <v>7979</v>
      </c>
      <c r="B1982" t="s">
        <v>219</v>
      </c>
      <c r="D1982" t="s">
        <v>327</v>
      </c>
      <c r="E1982">
        <v>99999999</v>
      </c>
      <c r="F1982">
        <v>11111111</v>
      </c>
      <c r="G1982">
        <v>1111111111</v>
      </c>
      <c r="H1982" t="s">
        <v>5551</v>
      </c>
      <c r="I1982">
        <v>99999999</v>
      </c>
      <c r="J1982" s="188">
        <v>45238</v>
      </c>
      <c r="K1982" t="s">
        <v>5551</v>
      </c>
      <c r="L1982" t="s">
        <v>5551</v>
      </c>
      <c r="M1982" t="s">
        <v>2285</v>
      </c>
      <c r="N1982" t="s">
        <v>99</v>
      </c>
      <c r="O1982" t="s">
        <v>2664</v>
      </c>
      <c r="P1982" t="s">
        <v>221</v>
      </c>
      <c r="Q1982" t="s">
        <v>82</v>
      </c>
      <c r="R1982">
        <v>1</v>
      </c>
      <c r="S1982">
        <v>11.666</v>
      </c>
      <c r="T1982">
        <v>0</v>
      </c>
      <c r="U1982">
        <v>1</v>
      </c>
      <c r="V1982">
        <v>1</v>
      </c>
      <c r="W1982">
        <v>28.82</v>
      </c>
      <c r="X1982">
        <v>0</v>
      </c>
      <c r="Y1982">
        <v>0</v>
      </c>
      <c r="Z1982">
        <v>0</v>
      </c>
      <c r="AA1982">
        <v>0</v>
      </c>
      <c r="AB1982">
        <v>0</v>
      </c>
      <c r="AC1982">
        <v>0</v>
      </c>
      <c r="AD1982">
        <v>1</v>
      </c>
      <c r="AE1982">
        <v>0</v>
      </c>
      <c r="AF1982">
        <v>0</v>
      </c>
      <c r="AG1982">
        <v>0</v>
      </c>
      <c r="AH1982">
        <v>0</v>
      </c>
      <c r="AI1982">
        <v>0</v>
      </c>
      <c r="AJ1982">
        <v>0</v>
      </c>
      <c r="AK1982">
        <v>0</v>
      </c>
    </row>
    <row r="1983" spans="1:37" x14ac:dyDescent="0.3">
      <c r="A1983">
        <v>7979</v>
      </c>
      <c r="B1983" t="s">
        <v>219</v>
      </c>
      <c r="D1983" t="s">
        <v>327</v>
      </c>
      <c r="E1983">
        <v>99999999</v>
      </c>
      <c r="F1983">
        <v>11111111</v>
      </c>
      <c r="G1983">
        <v>1111111111</v>
      </c>
      <c r="H1983" t="s">
        <v>5552</v>
      </c>
      <c r="I1983">
        <v>99999999</v>
      </c>
      <c r="J1983" s="188">
        <v>45238</v>
      </c>
      <c r="K1983" t="s">
        <v>5552</v>
      </c>
      <c r="L1983" t="s">
        <v>5552</v>
      </c>
      <c r="M1983" t="s">
        <v>2665</v>
      </c>
      <c r="N1983" t="s">
        <v>381</v>
      </c>
      <c r="O1983" t="s">
        <v>2666</v>
      </c>
      <c r="P1983" t="s">
        <v>221</v>
      </c>
      <c r="Q1983" t="s">
        <v>82</v>
      </c>
      <c r="R1983">
        <v>1</v>
      </c>
      <c r="S1983">
        <v>5</v>
      </c>
      <c r="T1983">
        <v>0</v>
      </c>
      <c r="U1983">
        <v>1</v>
      </c>
      <c r="V1983">
        <v>1</v>
      </c>
      <c r="W1983">
        <v>32.700000000000003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1</v>
      </c>
      <c r="AE1983">
        <v>0</v>
      </c>
      <c r="AF1983">
        <v>0</v>
      </c>
      <c r="AG1983">
        <v>0</v>
      </c>
      <c r="AH1983">
        <v>0</v>
      </c>
      <c r="AI1983">
        <v>0</v>
      </c>
      <c r="AJ1983">
        <v>0</v>
      </c>
      <c r="AK1983">
        <v>0</v>
      </c>
    </row>
    <row r="1984" spans="1:37" x14ac:dyDescent="0.3">
      <c r="A1984">
        <v>7979</v>
      </c>
      <c r="B1984" t="s">
        <v>219</v>
      </c>
      <c r="D1984" t="s">
        <v>327</v>
      </c>
      <c r="E1984">
        <v>99999999</v>
      </c>
      <c r="F1984">
        <v>11111111</v>
      </c>
      <c r="G1984">
        <v>1111111111</v>
      </c>
      <c r="H1984" t="s">
        <v>5553</v>
      </c>
      <c r="I1984">
        <v>99999999</v>
      </c>
      <c r="J1984" s="188">
        <v>45238</v>
      </c>
      <c r="K1984" t="s">
        <v>5553</v>
      </c>
      <c r="L1984" t="s">
        <v>5553</v>
      </c>
      <c r="M1984" t="s">
        <v>624</v>
      </c>
      <c r="N1984" t="s">
        <v>164</v>
      </c>
      <c r="O1984" t="s">
        <v>2667</v>
      </c>
      <c r="P1984" t="s">
        <v>221</v>
      </c>
      <c r="Q1984" t="s">
        <v>82</v>
      </c>
      <c r="R1984">
        <v>1</v>
      </c>
      <c r="S1984">
        <v>15</v>
      </c>
      <c r="T1984">
        <v>0</v>
      </c>
      <c r="U1984">
        <v>1</v>
      </c>
      <c r="V1984">
        <v>1</v>
      </c>
      <c r="W1984">
        <v>25.86</v>
      </c>
      <c r="X1984">
        <v>0</v>
      </c>
      <c r="Y1984">
        <v>0</v>
      </c>
      <c r="Z1984">
        <v>0</v>
      </c>
      <c r="AA1984">
        <v>0</v>
      </c>
      <c r="AB1984">
        <v>0</v>
      </c>
      <c r="AC1984">
        <v>0</v>
      </c>
      <c r="AD1984">
        <v>1</v>
      </c>
      <c r="AE1984">
        <v>0</v>
      </c>
      <c r="AF1984">
        <v>0</v>
      </c>
      <c r="AG1984">
        <v>0</v>
      </c>
      <c r="AH1984">
        <v>0</v>
      </c>
      <c r="AI1984">
        <v>0</v>
      </c>
      <c r="AJ1984">
        <v>0</v>
      </c>
      <c r="AK1984">
        <v>0</v>
      </c>
    </row>
    <row r="1985" spans="1:37" x14ac:dyDescent="0.3">
      <c r="A1985">
        <v>7979</v>
      </c>
      <c r="B1985" t="s">
        <v>219</v>
      </c>
      <c r="D1985" t="s">
        <v>327</v>
      </c>
      <c r="E1985">
        <v>99999999</v>
      </c>
      <c r="F1985">
        <v>11111111</v>
      </c>
      <c r="G1985">
        <v>1111111111</v>
      </c>
      <c r="H1985" t="s">
        <v>5554</v>
      </c>
      <c r="I1985">
        <v>99999999</v>
      </c>
      <c r="J1985" s="188">
        <v>45238</v>
      </c>
      <c r="K1985" t="s">
        <v>5554</v>
      </c>
      <c r="L1985" t="s">
        <v>5554</v>
      </c>
      <c r="M1985" t="s">
        <v>2668</v>
      </c>
      <c r="N1985" t="s">
        <v>99</v>
      </c>
      <c r="O1985">
        <v>90290</v>
      </c>
      <c r="P1985" t="s">
        <v>221</v>
      </c>
      <c r="Q1985" t="s">
        <v>82</v>
      </c>
      <c r="R1985">
        <v>1</v>
      </c>
      <c r="S1985">
        <v>4</v>
      </c>
      <c r="T1985">
        <v>0</v>
      </c>
      <c r="U1985">
        <v>1</v>
      </c>
      <c r="V1985">
        <v>1</v>
      </c>
      <c r="W1985">
        <v>29.05</v>
      </c>
      <c r="X1985">
        <v>0</v>
      </c>
      <c r="Y1985">
        <v>0</v>
      </c>
      <c r="Z1985">
        <v>0</v>
      </c>
      <c r="AA1985">
        <v>0</v>
      </c>
      <c r="AB1985">
        <v>0</v>
      </c>
      <c r="AC1985">
        <v>0</v>
      </c>
      <c r="AD1985">
        <v>1</v>
      </c>
      <c r="AE1985">
        <v>0</v>
      </c>
      <c r="AF1985">
        <v>0</v>
      </c>
      <c r="AG1985">
        <v>0</v>
      </c>
      <c r="AH1985">
        <v>0</v>
      </c>
      <c r="AI1985">
        <v>0</v>
      </c>
      <c r="AJ1985">
        <v>0</v>
      </c>
      <c r="AK1985">
        <v>0</v>
      </c>
    </row>
    <row r="1986" spans="1:37" x14ac:dyDescent="0.3">
      <c r="A1986">
        <v>7979</v>
      </c>
      <c r="B1986" t="s">
        <v>219</v>
      </c>
      <c r="D1986" t="s">
        <v>327</v>
      </c>
      <c r="E1986">
        <v>99999999</v>
      </c>
      <c r="F1986">
        <v>11111111</v>
      </c>
      <c r="G1986">
        <v>1111111111</v>
      </c>
      <c r="H1986" t="s">
        <v>5555</v>
      </c>
      <c r="I1986">
        <v>99999999</v>
      </c>
      <c r="J1986" s="188">
        <v>45238</v>
      </c>
      <c r="K1986" t="s">
        <v>5555</v>
      </c>
      <c r="L1986" t="s">
        <v>5555</v>
      </c>
      <c r="M1986" t="s">
        <v>2195</v>
      </c>
      <c r="N1986" t="s">
        <v>130</v>
      </c>
      <c r="O1986" t="s">
        <v>2669</v>
      </c>
      <c r="P1986" t="s">
        <v>221</v>
      </c>
      <c r="Q1986" t="s">
        <v>82</v>
      </c>
      <c r="R1986">
        <v>1</v>
      </c>
      <c r="S1986">
        <v>3.8</v>
      </c>
      <c r="T1986">
        <v>0</v>
      </c>
      <c r="U1986">
        <v>1</v>
      </c>
      <c r="V1986">
        <v>1</v>
      </c>
      <c r="W1986">
        <v>32.630000000000003</v>
      </c>
      <c r="X1986">
        <v>0</v>
      </c>
      <c r="Y1986">
        <v>0</v>
      </c>
      <c r="Z1986">
        <v>0</v>
      </c>
      <c r="AA1986">
        <v>0</v>
      </c>
      <c r="AB1986">
        <v>0</v>
      </c>
      <c r="AC1986">
        <v>0</v>
      </c>
      <c r="AD1986">
        <v>1</v>
      </c>
      <c r="AE1986">
        <v>0</v>
      </c>
      <c r="AF1986">
        <v>0</v>
      </c>
      <c r="AG1986">
        <v>0</v>
      </c>
      <c r="AH1986">
        <v>0</v>
      </c>
      <c r="AI1986">
        <v>0</v>
      </c>
      <c r="AJ1986">
        <v>0</v>
      </c>
      <c r="AK1986">
        <v>0</v>
      </c>
    </row>
    <row r="1987" spans="1:37" x14ac:dyDescent="0.3">
      <c r="A1987">
        <v>7979</v>
      </c>
      <c r="B1987" t="s">
        <v>219</v>
      </c>
      <c r="D1987" t="s">
        <v>327</v>
      </c>
      <c r="E1987">
        <v>99999999</v>
      </c>
      <c r="F1987">
        <v>11111111</v>
      </c>
      <c r="G1987">
        <v>1111111111</v>
      </c>
      <c r="H1987" t="s">
        <v>5556</v>
      </c>
      <c r="I1987">
        <v>99999999</v>
      </c>
      <c r="J1987" s="188">
        <v>45238</v>
      </c>
      <c r="K1987" t="s">
        <v>5556</v>
      </c>
      <c r="L1987" t="s">
        <v>5556</v>
      </c>
      <c r="M1987" t="s">
        <v>624</v>
      </c>
      <c r="N1987" t="s">
        <v>164</v>
      </c>
      <c r="O1987" t="s">
        <v>2670</v>
      </c>
      <c r="P1987" t="s">
        <v>221</v>
      </c>
      <c r="Q1987" t="s">
        <v>82</v>
      </c>
      <c r="R1987">
        <v>1</v>
      </c>
      <c r="S1987">
        <v>7.5</v>
      </c>
      <c r="T1987">
        <v>0</v>
      </c>
      <c r="U1987">
        <v>1</v>
      </c>
      <c r="V1987">
        <v>1</v>
      </c>
      <c r="W1987">
        <v>24.15</v>
      </c>
      <c r="X1987">
        <v>0</v>
      </c>
      <c r="Y1987">
        <v>0</v>
      </c>
      <c r="Z1987">
        <v>0</v>
      </c>
      <c r="AA1987">
        <v>0</v>
      </c>
      <c r="AB1987">
        <v>0</v>
      </c>
      <c r="AC1987">
        <v>0</v>
      </c>
      <c r="AD1987">
        <v>1</v>
      </c>
      <c r="AE1987">
        <v>0</v>
      </c>
      <c r="AF1987">
        <v>0</v>
      </c>
      <c r="AG1987">
        <v>0</v>
      </c>
      <c r="AH1987">
        <v>0</v>
      </c>
      <c r="AI1987">
        <v>0</v>
      </c>
      <c r="AJ1987">
        <v>0</v>
      </c>
      <c r="AK1987">
        <v>0</v>
      </c>
    </row>
    <row r="1988" spans="1:37" x14ac:dyDescent="0.3">
      <c r="A1988">
        <v>7979</v>
      </c>
      <c r="B1988" t="s">
        <v>219</v>
      </c>
      <c r="D1988" t="s">
        <v>327</v>
      </c>
      <c r="E1988">
        <v>99999999</v>
      </c>
      <c r="F1988">
        <v>11111111</v>
      </c>
      <c r="G1988">
        <v>1111111111</v>
      </c>
      <c r="H1988" t="s">
        <v>5557</v>
      </c>
      <c r="I1988">
        <v>99999999</v>
      </c>
      <c r="J1988" s="188">
        <v>45238</v>
      </c>
      <c r="K1988" t="s">
        <v>5557</v>
      </c>
      <c r="L1988" t="s">
        <v>5557</v>
      </c>
      <c r="M1988" t="s">
        <v>1172</v>
      </c>
      <c r="N1988" t="s">
        <v>99</v>
      </c>
      <c r="O1988" t="s">
        <v>2671</v>
      </c>
      <c r="P1988" t="s">
        <v>221</v>
      </c>
      <c r="Q1988" t="s">
        <v>82</v>
      </c>
      <c r="R1988">
        <v>1</v>
      </c>
      <c r="S1988">
        <v>3.5</v>
      </c>
      <c r="T1988">
        <v>0</v>
      </c>
      <c r="U1988">
        <v>1</v>
      </c>
      <c r="V1988">
        <v>1</v>
      </c>
      <c r="W1988">
        <v>20.77</v>
      </c>
      <c r="X1988">
        <v>0</v>
      </c>
      <c r="Y1988">
        <v>0</v>
      </c>
      <c r="Z1988">
        <v>0</v>
      </c>
      <c r="AA1988">
        <v>0</v>
      </c>
      <c r="AB1988">
        <v>0</v>
      </c>
      <c r="AC1988">
        <v>0</v>
      </c>
      <c r="AD1988">
        <v>1</v>
      </c>
      <c r="AE1988">
        <v>0</v>
      </c>
      <c r="AF1988">
        <v>0</v>
      </c>
      <c r="AG1988">
        <v>0</v>
      </c>
      <c r="AH1988">
        <v>0</v>
      </c>
      <c r="AI1988">
        <v>0</v>
      </c>
      <c r="AJ1988">
        <v>0</v>
      </c>
      <c r="AK1988">
        <v>0</v>
      </c>
    </row>
    <row r="1989" spans="1:37" x14ac:dyDescent="0.3">
      <c r="A1989">
        <v>7979</v>
      </c>
      <c r="B1989" t="s">
        <v>219</v>
      </c>
      <c r="D1989" t="s">
        <v>327</v>
      </c>
      <c r="E1989">
        <v>99999999</v>
      </c>
      <c r="F1989">
        <v>11111111</v>
      </c>
      <c r="G1989">
        <v>1111111111</v>
      </c>
      <c r="H1989" t="s">
        <v>5558</v>
      </c>
      <c r="I1989">
        <v>99999999</v>
      </c>
      <c r="J1989" s="188">
        <v>45238</v>
      </c>
      <c r="K1989" t="s">
        <v>5558</v>
      </c>
      <c r="L1989" t="s">
        <v>5558</v>
      </c>
      <c r="M1989" t="s">
        <v>101</v>
      </c>
      <c r="N1989" t="s">
        <v>97</v>
      </c>
      <c r="O1989" t="s">
        <v>2672</v>
      </c>
      <c r="P1989" t="s">
        <v>221</v>
      </c>
      <c r="Q1989" t="s">
        <v>82</v>
      </c>
      <c r="R1989">
        <v>3</v>
      </c>
      <c r="S1989">
        <v>20.100000000000001</v>
      </c>
      <c r="T1989">
        <v>0</v>
      </c>
      <c r="U1989">
        <v>1</v>
      </c>
      <c r="V1989">
        <v>3</v>
      </c>
      <c r="W1989">
        <v>28.56</v>
      </c>
      <c r="X1989">
        <v>0</v>
      </c>
      <c r="Y1989">
        <v>0</v>
      </c>
      <c r="Z1989">
        <v>0</v>
      </c>
      <c r="AA1989">
        <v>0</v>
      </c>
      <c r="AB1989">
        <v>0</v>
      </c>
      <c r="AC1989">
        <v>0</v>
      </c>
      <c r="AD1989">
        <v>3</v>
      </c>
      <c r="AE1989">
        <v>0</v>
      </c>
      <c r="AF1989">
        <v>0</v>
      </c>
      <c r="AG1989">
        <v>0</v>
      </c>
      <c r="AH1989">
        <v>0</v>
      </c>
      <c r="AI1989">
        <v>0</v>
      </c>
      <c r="AJ1989">
        <v>0</v>
      </c>
      <c r="AK1989">
        <v>0</v>
      </c>
    </row>
    <row r="1990" spans="1:37" x14ac:dyDescent="0.3">
      <c r="A1990">
        <v>7979</v>
      </c>
      <c r="B1990" t="s">
        <v>219</v>
      </c>
      <c r="D1990" t="s">
        <v>327</v>
      </c>
      <c r="E1990">
        <v>99999999</v>
      </c>
      <c r="F1990">
        <v>11111111</v>
      </c>
      <c r="G1990">
        <v>1111111111</v>
      </c>
      <c r="H1990" t="s">
        <v>5559</v>
      </c>
      <c r="I1990">
        <v>99999999</v>
      </c>
      <c r="J1990" s="188">
        <v>45238</v>
      </c>
      <c r="K1990" t="s">
        <v>5559</v>
      </c>
      <c r="L1990" t="s">
        <v>5559</v>
      </c>
      <c r="M1990" t="s">
        <v>2673</v>
      </c>
      <c r="N1990" t="s">
        <v>99</v>
      </c>
      <c r="O1990" t="s">
        <v>2674</v>
      </c>
      <c r="P1990" t="s">
        <v>221</v>
      </c>
      <c r="Q1990" t="s">
        <v>82</v>
      </c>
      <c r="R1990">
        <v>1</v>
      </c>
      <c r="S1990">
        <v>15.24</v>
      </c>
      <c r="T1990">
        <v>0</v>
      </c>
      <c r="U1990">
        <v>1</v>
      </c>
      <c r="V1990">
        <v>1</v>
      </c>
      <c r="W1990">
        <v>32.020000000000003</v>
      </c>
      <c r="X1990">
        <v>0</v>
      </c>
      <c r="Y1990">
        <v>0</v>
      </c>
      <c r="Z1990">
        <v>0</v>
      </c>
      <c r="AA1990">
        <v>0</v>
      </c>
      <c r="AB1990">
        <v>0</v>
      </c>
      <c r="AC1990">
        <v>0</v>
      </c>
      <c r="AD1990">
        <v>1</v>
      </c>
      <c r="AE1990">
        <v>0</v>
      </c>
      <c r="AF1990">
        <v>0</v>
      </c>
      <c r="AG1990">
        <v>0</v>
      </c>
      <c r="AH1990">
        <v>0</v>
      </c>
      <c r="AI1990">
        <v>0</v>
      </c>
      <c r="AJ1990">
        <v>0</v>
      </c>
      <c r="AK1990">
        <v>0</v>
      </c>
    </row>
    <row r="1991" spans="1:37" x14ac:dyDescent="0.3">
      <c r="A1991">
        <v>7979</v>
      </c>
      <c r="B1991" t="s">
        <v>219</v>
      </c>
      <c r="D1991" t="s">
        <v>327</v>
      </c>
      <c r="E1991">
        <v>99999999</v>
      </c>
      <c r="F1991">
        <v>11111111</v>
      </c>
      <c r="G1991">
        <v>1111111111</v>
      </c>
      <c r="H1991" t="s">
        <v>5560</v>
      </c>
      <c r="I1991">
        <v>99999999</v>
      </c>
      <c r="J1991" s="188">
        <v>45238</v>
      </c>
      <c r="K1991" t="s">
        <v>5560</v>
      </c>
      <c r="L1991" t="s">
        <v>5560</v>
      </c>
      <c r="M1991" t="s">
        <v>2498</v>
      </c>
      <c r="N1991" t="s">
        <v>197</v>
      </c>
      <c r="O1991" t="s">
        <v>2675</v>
      </c>
      <c r="P1991" t="s">
        <v>221</v>
      </c>
      <c r="Q1991" t="s">
        <v>82</v>
      </c>
      <c r="R1991">
        <v>1</v>
      </c>
      <c r="S1991">
        <v>10.61</v>
      </c>
      <c r="T1991">
        <v>0</v>
      </c>
      <c r="U1991">
        <v>1</v>
      </c>
      <c r="V1991">
        <v>1</v>
      </c>
      <c r="W1991">
        <v>28.19</v>
      </c>
      <c r="X1991">
        <v>0</v>
      </c>
      <c r="Y1991">
        <v>0</v>
      </c>
      <c r="Z1991">
        <v>0</v>
      </c>
      <c r="AA1991">
        <v>0</v>
      </c>
      <c r="AB1991">
        <v>0</v>
      </c>
      <c r="AC1991">
        <v>0</v>
      </c>
      <c r="AD1991">
        <v>1</v>
      </c>
      <c r="AE1991">
        <v>0</v>
      </c>
      <c r="AF1991">
        <v>0</v>
      </c>
      <c r="AG1991">
        <v>0</v>
      </c>
      <c r="AH1991">
        <v>0</v>
      </c>
      <c r="AI1991">
        <v>0</v>
      </c>
      <c r="AJ1991">
        <v>0</v>
      </c>
      <c r="AK1991">
        <v>0</v>
      </c>
    </row>
    <row r="1992" spans="1:37" x14ac:dyDescent="0.3">
      <c r="A1992">
        <v>7979</v>
      </c>
      <c r="B1992" t="s">
        <v>219</v>
      </c>
      <c r="D1992" t="s">
        <v>327</v>
      </c>
      <c r="E1992">
        <v>99999999</v>
      </c>
      <c r="F1992">
        <v>11111111</v>
      </c>
      <c r="G1992">
        <v>1111111111</v>
      </c>
      <c r="H1992" t="s">
        <v>5561</v>
      </c>
      <c r="I1992">
        <v>99999999</v>
      </c>
      <c r="J1992" s="188">
        <v>45238</v>
      </c>
      <c r="K1992" t="s">
        <v>5561</v>
      </c>
      <c r="L1992" t="s">
        <v>5561</v>
      </c>
      <c r="M1992" t="s">
        <v>2676</v>
      </c>
      <c r="N1992" t="s">
        <v>164</v>
      </c>
      <c r="O1992">
        <v>97859</v>
      </c>
      <c r="P1992" t="s">
        <v>221</v>
      </c>
      <c r="Q1992" t="s">
        <v>82</v>
      </c>
      <c r="R1992">
        <v>1</v>
      </c>
      <c r="S1992">
        <v>5</v>
      </c>
      <c r="T1992">
        <v>0</v>
      </c>
      <c r="U1992">
        <v>1</v>
      </c>
      <c r="V1992">
        <v>1</v>
      </c>
      <c r="W1992">
        <v>38.159999999999997</v>
      </c>
      <c r="X1992">
        <v>0</v>
      </c>
      <c r="Y1992">
        <v>0</v>
      </c>
      <c r="Z1992">
        <v>0</v>
      </c>
      <c r="AA1992">
        <v>0</v>
      </c>
      <c r="AB1992">
        <v>0</v>
      </c>
      <c r="AC1992">
        <v>0</v>
      </c>
      <c r="AD1992">
        <v>1</v>
      </c>
      <c r="AE1992">
        <v>0</v>
      </c>
      <c r="AF1992">
        <v>0</v>
      </c>
      <c r="AG1992">
        <v>0</v>
      </c>
      <c r="AH1992">
        <v>0</v>
      </c>
      <c r="AI1992">
        <v>0</v>
      </c>
      <c r="AJ1992">
        <v>0</v>
      </c>
      <c r="AK1992">
        <v>0</v>
      </c>
    </row>
    <row r="1993" spans="1:37" x14ac:dyDescent="0.3">
      <c r="A1993">
        <v>7979</v>
      </c>
      <c r="B1993" t="s">
        <v>219</v>
      </c>
      <c r="D1993" t="s">
        <v>327</v>
      </c>
      <c r="E1993">
        <v>99999999</v>
      </c>
      <c r="F1993">
        <v>11111111</v>
      </c>
      <c r="G1993">
        <v>1111111111</v>
      </c>
      <c r="H1993" t="s">
        <v>5562</v>
      </c>
      <c r="I1993">
        <v>99999999</v>
      </c>
      <c r="J1993" s="188">
        <v>45238</v>
      </c>
      <c r="K1993" t="s">
        <v>5562</v>
      </c>
      <c r="L1993" t="s">
        <v>5562</v>
      </c>
      <c r="M1993" t="s">
        <v>1110</v>
      </c>
      <c r="N1993" t="s">
        <v>97</v>
      </c>
      <c r="O1993" t="s">
        <v>2677</v>
      </c>
      <c r="P1993" t="s">
        <v>221</v>
      </c>
      <c r="Q1993" t="s">
        <v>82</v>
      </c>
      <c r="R1993">
        <v>1</v>
      </c>
      <c r="S1993">
        <v>3.75</v>
      </c>
      <c r="T1993">
        <v>0</v>
      </c>
      <c r="U1993">
        <v>1</v>
      </c>
      <c r="V1993">
        <v>1</v>
      </c>
      <c r="W1993">
        <v>22.93</v>
      </c>
      <c r="X1993">
        <v>0</v>
      </c>
      <c r="Y1993">
        <v>0</v>
      </c>
      <c r="Z1993">
        <v>0</v>
      </c>
      <c r="AA1993">
        <v>0</v>
      </c>
      <c r="AB1993">
        <v>0</v>
      </c>
      <c r="AC1993">
        <v>0</v>
      </c>
      <c r="AD1993">
        <v>1</v>
      </c>
      <c r="AE1993">
        <v>0</v>
      </c>
      <c r="AF1993">
        <v>0</v>
      </c>
      <c r="AG1993">
        <v>0</v>
      </c>
      <c r="AH1993">
        <v>0</v>
      </c>
      <c r="AI1993">
        <v>0</v>
      </c>
      <c r="AJ1993">
        <v>0</v>
      </c>
      <c r="AK1993">
        <v>0</v>
      </c>
    </row>
    <row r="1994" spans="1:37" x14ac:dyDescent="0.3">
      <c r="A1994">
        <v>7979</v>
      </c>
      <c r="B1994" t="s">
        <v>219</v>
      </c>
      <c r="D1994" t="s">
        <v>327</v>
      </c>
      <c r="E1994">
        <v>99999999</v>
      </c>
      <c r="F1994">
        <v>11111111</v>
      </c>
      <c r="G1994">
        <v>1111111111</v>
      </c>
      <c r="H1994" t="s">
        <v>5563</v>
      </c>
      <c r="I1994">
        <v>99999999</v>
      </c>
      <c r="J1994" s="188">
        <v>45238</v>
      </c>
      <c r="K1994" t="s">
        <v>5563</v>
      </c>
      <c r="L1994" t="s">
        <v>5563</v>
      </c>
      <c r="M1994" t="s">
        <v>129</v>
      </c>
      <c r="N1994" t="s">
        <v>130</v>
      </c>
      <c r="O1994" t="s">
        <v>2678</v>
      </c>
      <c r="P1994" t="s">
        <v>221</v>
      </c>
      <c r="Q1994" t="s">
        <v>82</v>
      </c>
      <c r="R1994">
        <v>1</v>
      </c>
      <c r="S1994">
        <v>4.5</v>
      </c>
      <c r="T1994">
        <v>0</v>
      </c>
      <c r="U1994">
        <v>1</v>
      </c>
      <c r="V1994">
        <v>1</v>
      </c>
      <c r="W1994">
        <v>24.37</v>
      </c>
      <c r="X1994">
        <v>0</v>
      </c>
      <c r="Y1994">
        <v>0</v>
      </c>
      <c r="Z1994">
        <v>0</v>
      </c>
      <c r="AA1994">
        <v>0</v>
      </c>
      <c r="AB1994">
        <v>0</v>
      </c>
      <c r="AC1994">
        <v>0</v>
      </c>
      <c r="AD1994">
        <v>1</v>
      </c>
      <c r="AE1994">
        <v>0</v>
      </c>
      <c r="AF1994">
        <v>0</v>
      </c>
      <c r="AG1994">
        <v>0</v>
      </c>
      <c r="AH1994">
        <v>0</v>
      </c>
      <c r="AI1994">
        <v>0</v>
      </c>
      <c r="AJ1994">
        <v>0</v>
      </c>
      <c r="AK1994">
        <v>0</v>
      </c>
    </row>
    <row r="1995" spans="1:37" x14ac:dyDescent="0.3">
      <c r="A1995">
        <v>7979</v>
      </c>
      <c r="B1995" t="s">
        <v>219</v>
      </c>
      <c r="D1995" t="s">
        <v>327</v>
      </c>
      <c r="E1995">
        <v>99999999</v>
      </c>
      <c r="F1995">
        <v>11111111</v>
      </c>
      <c r="G1995">
        <v>1111111111</v>
      </c>
      <c r="H1995" t="s">
        <v>5564</v>
      </c>
      <c r="I1995">
        <v>99999999</v>
      </c>
      <c r="J1995" s="188">
        <v>45238</v>
      </c>
      <c r="K1995" t="s">
        <v>5564</v>
      </c>
      <c r="L1995" t="s">
        <v>5564</v>
      </c>
      <c r="M1995" t="s">
        <v>514</v>
      </c>
      <c r="N1995" t="s">
        <v>99</v>
      </c>
      <c r="O1995" t="s">
        <v>2679</v>
      </c>
      <c r="P1995" t="s">
        <v>221</v>
      </c>
      <c r="Q1995" t="s">
        <v>82</v>
      </c>
      <c r="R1995">
        <v>1</v>
      </c>
      <c r="S1995">
        <v>4</v>
      </c>
      <c r="T1995">
        <v>0</v>
      </c>
      <c r="U1995">
        <v>1</v>
      </c>
      <c r="V1995">
        <v>1</v>
      </c>
      <c r="W1995">
        <v>19.899999999999999</v>
      </c>
      <c r="X1995">
        <v>0</v>
      </c>
      <c r="Y1995">
        <v>0</v>
      </c>
      <c r="Z1995">
        <v>0</v>
      </c>
      <c r="AA1995">
        <v>0</v>
      </c>
      <c r="AB1995">
        <v>0</v>
      </c>
      <c r="AC1995">
        <v>0</v>
      </c>
      <c r="AD1995">
        <v>1</v>
      </c>
      <c r="AE1995">
        <v>0</v>
      </c>
      <c r="AF1995">
        <v>0</v>
      </c>
      <c r="AG1995">
        <v>0</v>
      </c>
      <c r="AH1995">
        <v>0</v>
      </c>
      <c r="AI1995">
        <v>0</v>
      </c>
      <c r="AJ1995">
        <v>0</v>
      </c>
      <c r="AK1995">
        <v>0</v>
      </c>
    </row>
    <row r="1996" spans="1:37" x14ac:dyDescent="0.3">
      <c r="A1996">
        <v>7979</v>
      </c>
      <c r="B1996" t="s">
        <v>219</v>
      </c>
      <c r="D1996" t="s">
        <v>327</v>
      </c>
      <c r="E1996">
        <v>99999999</v>
      </c>
      <c r="F1996">
        <v>11111111</v>
      </c>
      <c r="G1996">
        <v>1111111111</v>
      </c>
      <c r="H1996" t="s">
        <v>5565</v>
      </c>
      <c r="I1996">
        <v>99999999</v>
      </c>
      <c r="J1996" s="188">
        <v>45238</v>
      </c>
      <c r="K1996" t="s">
        <v>5565</v>
      </c>
      <c r="L1996" t="s">
        <v>5565</v>
      </c>
      <c r="M1996" t="s">
        <v>258</v>
      </c>
      <c r="N1996" t="s">
        <v>91</v>
      </c>
      <c r="O1996" t="s">
        <v>2680</v>
      </c>
      <c r="P1996" t="s">
        <v>221</v>
      </c>
      <c r="Q1996" t="s">
        <v>82</v>
      </c>
      <c r="R1996">
        <v>1</v>
      </c>
      <c r="S1996">
        <v>4</v>
      </c>
      <c r="T1996">
        <v>0</v>
      </c>
      <c r="U1996">
        <v>1</v>
      </c>
      <c r="V1996">
        <v>1</v>
      </c>
      <c r="W1996">
        <v>24.37</v>
      </c>
      <c r="X1996">
        <v>0</v>
      </c>
      <c r="Y1996">
        <v>0</v>
      </c>
      <c r="Z1996">
        <v>0</v>
      </c>
      <c r="AA1996">
        <v>0</v>
      </c>
      <c r="AB1996">
        <v>0</v>
      </c>
      <c r="AC1996">
        <v>0</v>
      </c>
      <c r="AD1996">
        <v>1</v>
      </c>
      <c r="AE1996">
        <v>0</v>
      </c>
      <c r="AF1996">
        <v>0</v>
      </c>
      <c r="AG1996">
        <v>0</v>
      </c>
      <c r="AH1996">
        <v>0</v>
      </c>
      <c r="AI1996">
        <v>0</v>
      </c>
      <c r="AJ1996">
        <v>0</v>
      </c>
      <c r="AK1996">
        <v>0</v>
      </c>
    </row>
    <row r="1997" spans="1:37" x14ac:dyDescent="0.3">
      <c r="A1997">
        <v>7979</v>
      </c>
      <c r="B1997" t="s">
        <v>219</v>
      </c>
      <c r="D1997" t="s">
        <v>327</v>
      </c>
      <c r="E1997">
        <v>99999999</v>
      </c>
      <c r="F1997">
        <v>11111111</v>
      </c>
      <c r="G1997">
        <v>1111111111</v>
      </c>
      <c r="H1997" t="s">
        <v>5566</v>
      </c>
      <c r="I1997">
        <v>99999999</v>
      </c>
      <c r="J1997" s="188">
        <v>45238</v>
      </c>
      <c r="K1997" t="s">
        <v>5566</v>
      </c>
      <c r="L1997" t="s">
        <v>5566</v>
      </c>
      <c r="M1997" t="s">
        <v>193</v>
      </c>
      <c r="N1997" t="s">
        <v>85</v>
      </c>
      <c r="O1997" t="s">
        <v>2681</v>
      </c>
      <c r="P1997" t="s">
        <v>221</v>
      </c>
      <c r="Q1997" t="s">
        <v>82</v>
      </c>
      <c r="R1997">
        <v>2</v>
      </c>
      <c r="S1997">
        <v>0.22</v>
      </c>
      <c r="T1997">
        <v>0</v>
      </c>
      <c r="U1997">
        <v>1</v>
      </c>
      <c r="V1997">
        <v>1</v>
      </c>
      <c r="W1997">
        <v>19.3</v>
      </c>
      <c r="X1997">
        <v>0</v>
      </c>
      <c r="Y1997">
        <v>0</v>
      </c>
      <c r="Z1997">
        <v>0</v>
      </c>
      <c r="AA1997">
        <v>0</v>
      </c>
      <c r="AB1997">
        <v>0</v>
      </c>
      <c r="AC1997">
        <v>0</v>
      </c>
      <c r="AD1997">
        <v>2</v>
      </c>
      <c r="AE1997">
        <v>0</v>
      </c>
      <c r="AF1997">
        <v>0</v>
      </c>
      <c r="AG1997">
        <v>0</v>
      </c>
      <c r="AH1997">
        <v>0</v>
      </c>
      <c r="AI1997">
        <v>0</v>
      </c>
      <c r="AJ1997">
        <v>0</v>
      </c>
      <c r="AK1997">
        <v>0</v>
      </c>
    </row>
    <row r="1998" spans="1:37" x14ac:dyDescent="0.3">
      <c r="A1998">
        <v>7979</v>
      </c>
      <c r="B1998" t="s">
        <v>219</v>
      </c>
      <c r="D1998" t="s">
        <v>327</v>
      </c>
      <c r="E1998">
        <v>99999999</v>
      </c>
      <c r="F1998">
        <v>11111111</v>
      </c>
      <c r="G1998">
        <v>1111111111</v>
      </c>
      <c r="H1998" t="s">
        <v>5567</v>
      </c>
      <c r="I1998">
        <v>99999999</v>
      </c>
      <c r="J1998" s="188">
        <v>45238</v>
      </c>
      <c r="K1998" t="s">
        <v>5567</v>
      </c>
      <c r="L1998" t="s">
        <v>5567</v>
      </c>
      <c r="M1998" t="s">
        <v>2682</v>
      </c>
      <c r="N1998" t="s">
        <v>402</v>
      </c>
      <c r="O1998" t="s">
        <v>2683</v>
      </c>
      <c r="P1998" t="s">
        <v>221</v>
      </c>
      <c r="Q1998" t="s">
        <v>82</v>
      </c>
      <c r="R1998">
        <v>2</v>
      </c>
      <c r="S1998">
        <v>0.14000000000000001</v>
      </c>
      <c r="T1998">
        <v>0</v>
      </c>
      <c r="U1998">
        <v>1</v>
      </c>
      <c r="V1998">
        <v>1</v>
      </c>
      <c r="W1998">
        <v>20.78</v>
      </c>
      <c r="X1998">
        <v>0</v>
      </c>
      <c r="Y1998">
        <v>0</v>
      </c>
      <c r="Z1998">
        <v>0</v>
      </c>
      <c r="AA1998">
        <v>0</v>
      </c>
      <c r="AB1998">
        <v>0</v>
      </c>
      <c r="AC1998">
        <v>0</v>
      </c>
      <c r="AD1998">
        <v>2</v>
      </c>
      <c r="AE1998">
        <v>0</v>
      </c>
      <c r="AF1998">
        <v>0</v>
      </c>
      <c r="AG1998">
        <v>0</v>
      </c>
      <c r="AH1998">
        <v>0</v>
      </c>
      <c r="AI1998">
        <v>0</v>
      </c>
      <c r="AJ1998">
        <v>0</v>
      </c>
      <c r="AK1998">
        <v>0</v>
      </c>
    </row>
    <row r="1999" spans="1:37" x14ac:dyDescent="0.3">
      <c r="A1999">
        <v>7979</v>
      </c>
      <c r="B1999" t="s">
        <v>219</v>
      </c>
      <c r="D1999" t="s">
        <v>327</v>
      </c>
      <c r="E1999">
        <v>99999999</v>
      </c>
      <c r="F1999">
        <v>11111111</v>
      </c>
      <c r="G1999">
        <v>1111111111</v>
      </c>
      <c r="H1999" t="s">
        <v>5568</v>
      </c>
      <c r="I1999">
        <v>99999999</v>
      </c>
      <c r="J1999" s="188">
        <v>45238</v>
      </c>
      <c r="K1999" t="s">
        <v>5568</v>
      </c>
      <c r="L1999" t="s">
        <v>5568</v>
      </c>
      <c r="M1999" t="s">
        <v>600</v>
      </c>
      <c r="N1999" t="s">
        <v>91</v>
      </c>
      <c r="O1999">
        <v>86334</v>
      </c>
      <c r="P1999" t="s">
        <v>221</v>
      </c>
      <c r="Q1999" t="s">
        <v>82</v>
      </c>
      <c r="R1999">
        <v>1</v>
      </c>
      <c r="S1999">
        <v>6</v>
      </c>
      <c r="T1999">
        <v>0</v>
      </c>
      <c r="U1999">
        <v>1</v>
      </c>
      <c r="V1999">
        <v>1</v>
      </c>
      <c r="W1999">
        <v>31.8</v>
      </c>
      <c r="X1999">
        <v>0</v>
      </c>
      <c r="Y1999">
        <v>0</v>
      </c>
      <c r="Z1999">
        <v>0</v>
      </c>
      <c r="AA1999">
        <v>0</v>
      </c>
      <c r="AB1999">
        <v>0</v>
      </c>
      <c r="AC1999">
        <v>0</v>
      </c>
      <c r="AD1999">
        <v>1</v>
      </c>
      <c r="AE1999">
        <v>0</v>
      </c>
      <c r="AF1999">
        <v>0</v>
      </c>
      <c r="AG1999">
        <v>0</v>
      </c>
      <c r="AH1999">
        <v>0</v>
      </c>
      <c r="AI1999">
        <v>0</v>
      </c>
      <c r="AJ1999">
        <v>0</v>
      </c>
      <c r="AK1999">
        <v>0</v>
      </c>
    </row>
    <row r="2000" spans="1:37" x14ac:dyDescent="0.3">
      <c r="A2000">
        <v>7979</v>
      </c>
      <c r="B2000" t="s">
        <v>219</v>
      </c>
      <c r="D2000" t="s">
        <v>327</v>
      </c>
      <c r="E2000">
        <v>99999999</v>
      </c>
      <c r="F2000">
        <v>11111111</v>
      </c>
      <c r="G2000">
        <v>1111111111</v>
      </c>
      <c r="H2000" t="s">
        <v>5569</v>
      </c>
      <c r="I2000">
        <v>99999999</v>
      </c>
      <c r="J2000" s="188">
        <v>45238</v>
      </c>
      <c r="K2000" t="s">
        <v>5569</v>
      </c>
      <c r="L2000" t="s">
        <v>5569</v>
      </c>
      <c r="M2000" t="s">
        <v>129</v>
      </c>
      <c r="N2000" t="s">
        <v>130</v>
      </c>
      <c r="O2000" t="s">
        <v>2684</v>
      </c>
      <c r="P2000" t="s">
        <v>221</v>
      </c>
      <c r="Q2000" t="s">
        <v>82</v>
      </c>
      <c r="R2000">
        <v>1</v>
      </c>
      <c r="S2000">
        <v>9.5</v>
      </c>
      <c r="T2000">
        <v>0</v>
      </c>
      <c r="U2000">
        <v>1</v>
      </c>
      <c r="V2000">
        <v>1</v>
      </c>
      <c r="W2000">
        <v>26.22</v>
      </c>
      <c r="X2000">
        <v>0</v>
      </c>
      <c r="Y2000">
        <v>0</v>
      </c>
      <c r="Z2000">
        <v>0</v>
      </c>
      <c r="AA2000">
        <v>0</v>
      </c>
      <c r="AB2000">
        <v>0</v>
      </c>
      <c r="AC2000">
        <v>0</v>
      </c>
      <c r="AD2000">
        <v>1</v>
      </c>
      <c r="AE2000">
        <v>0</v>
      </c>
      <c r="AF2000">
        <v>0</v>
      </c>
      <c r="AG2000">
        <v>0</v>
      </c>
      <c r="AH2000">
        <v>0</v>
      </c>
      <c r="AI2000">
        <v>0</v>
      </c>
      <c r="AJ2000">
        <v>0</v>
      </c>
      <c r="AK2000">
        <v>0</v>
      </c>
    </row>
    <row r="2001" spans="1:37" x14ac:dyDescent="0.3">
      <c r="A2001">
        <v>7979</v>
      </c>
      <c r="B2001" t="s">
        <v>219</v>
      </c>
      <c r="D2001" t="s">
        <v>327</v>
      </c>
      <c r="E2001">
        <v>99999999</v>
      </c>
      <c r="F2001">
        <v>11111111</v>
      </c>
      <c r="G2001">
        <v>1111111111</v>
      </c>
      <c r="H2001" t="s">
        <v>5570</v>
      </c>
      <c r="I2001">
        <v>99999999</v>
      </c>
      <c r="J2001" s="188">
        <v>45238</v>
      </c>
      <c r="K2001" t="s">
        <v>5570</v>
      </c>
      <c r="L2001" t="s">
        <v>5570</v>
      </c>
      <c r="M2001" t="s">
        <v>1047</v>
      </c>
      <c r="N2001" t="s">
        <v>97</v>
      </c>
      <c r="O2001" t="s">
        <v>2685</v>
      </c>
      <c r="P2001" t="s">
        <v>221</v>
      </c>
      <c r="Q2001" t="s">
        <v>82</v>
      </c>
      <c r="R2001">
        <v>1</v>
      </c>
      <c r="S2001">
        <v>1.98</v>
      </c>
      <c r="T2001">
        <v>0</v>
      </c>
      <c r="U2001">
        <v>1</v>
      </c>
      <c r="V2001">
        <v>1</v>
      </c>
      <c r="W2001">
        <v>28</v>
      </c>
      <c r="X2001">
        <v>0</v>
      </c>
      <c r="Y2001">
        <v>0</v>
      </c>
      <c r="Z2001">
        <v>0</v>
      </c>
      <c r="AA2001">
        <v>0</v>
      </c>
      <c r="AB2001">
        <v>0</v>
      </c>
      <c r="AC2001">
        <v>0</v>
      </c>
      <c r="AD2001">
        <v>1</v>
      </c>
      <c r="AE2001">
        <v>0</v>
      </c>
      <c r="AF2001">
        <v>0</v>
      </c>
      <c r="AG2001">
        <v>0</v>
      </c>
      <c r="AH2001">
        <v>0</v>
      </c>
      <c r="AI2001">
        <v>0</v>
      </c>
      <c r="AJ2001">
        <v>0</v>
      </c>
      <c r="AK2001">
        <v>0</v>
      </c>
    </row>
    <row r="2002" spans="1:37" x14ac:dyDescent="0.3">
      <c r="A2002">
        <v>7979</v>
      </c>
      <c r="B2002" t="s">
        <v>219</v>
      </c>
      <c r="D2002" t="s">
        <v>327</v>
      </c>
      <c r="E2002">
        <v>99999999</v>
      </c>
      <c r="F2002">
        <v>11111111</v>
      </c>
      <c r="G2002">
        <v>1111111111</v>
      </c>
      <c r="H2002" t="s">
        <v>5571</v>
      </c>
      <c r="I2002">
        <v>99999999</v>
      </c>
      <c r="J2002" s="188">
        <v>45238</v>
      </c>
      <c r="K2002" t="s">
        <v>5571</v>
      </c>
      <c r="L2002" t="s">
        <v>5571</v>
      </c>
      <c r="M2002" t="s">
        <v>2686</v>
      </c>
      <c r="N2002" t="s">
        <v>164</v>
      </c>
      <c r="O2002" t="s">
        <v>2687</v>
      </c>
      <c r="P2002" t="s">
        <v>221</v>
      </c>
      <c r="Q2002" t="s">
        <v>82</v>
      </c>
      <c r="R2002">
        <v>10</v>
      </c>
      <c r="S2002">
        <v>2.6</v>
      </c>
      <c r="T2002">
        <v>0</v>
      </c>
      <c r="U2002">
        <v>1</v>
      </c>
      <c r="V2002">
        <v>1</v>
      </c>
      <c r="W2002">
        <v>26.89</v>
      </c>
      <c r="X2002">
        <v>0</v>
      </c>
      <c r="Y2002">
        <v>0</v>
      </c>
      <c r="Z2002">
        <v>0</v>
      </c>
      <c r="AA2002">
        <v>0</v>
      </c>
      <c r="AB2002">
        <v>0</v>
      </c>
      <c r="AC2002">
        <v>0</v>
      </c>
      <c r="AD2002">
        <v>10</v>
      </c>
      <c r="AE2002">
        <v>0</v>
      </c>
      <c r="AF2002">
        <v>0</v>
      </c>
      <c r="AG2002">
        <v>0</v>
      </c>
      <c r="AH2002">
        <v>0</v>
      </c>
      <c r="AI2002">
        <v>0</v>
      </c>
      <c r="AJ2002">
        <v>0</v>
      </c>
      <c r="AK2002">
        <v>0</v>
      </c>
    </row>
    <row r="2003" spans="1:37" x14ac:dyDescent="0.3">
      <c r="A2003">
        <v>7979</v>
      </c>
      <c r="B2003" t="s">
        <v>219</v>
      </c>
      <c r="D2003" t="s">
        <v>327</v>
      </c>
      <c r="E2003">
        <v>99999999</v>
      </c>
      <c r="F2003">
        <v>11111111</v>
      </c>
      <c r="G2003">
        <v>1111111111</v>
      </c>
      <c r="H2003" t="s">
        <v>5572</v>
      </c>
      <c r="I2003">
        <v>99999999</v>
      </c>
      <c r="J2003" s="188">
        <v>45238</v>
      </c>
      <c r="K2003" t="s">
        <v>5572</v>
      </c>
      <c r="L2003" t="s">
        <v>5572</v>
      </c>
      <c r="M2003" t="s">
        <v>2688</v>
      </c>
      <c r="N2003" t="s">
        <v>104</v>
      </c>
      <c r="O2003" t="s">
        <v>2689</v>
      </c>
      <c r="P2003" t="s">
        <v>221</v>
      </c>
      <c r="Q2003" t="s">
        <v>82</v>
      </c>
      <c r="R2003">
        <v>2</v>
      </c>
      <c r="S2003">
        <v>2.2200000000000002</v>
      </c>
      <c r="T2003">
        <v>0</v>
      </c>
      <c r="U2003">
        <v>1</v>
      </c>
      <c r="V2003">
        <v>1</v>
      </c>
      <c r="W2003">
        <v>28</v>
      </c>
      <c r="X2003">
        <v>0</v>
      </c>
      <c r="Y2003">
        <v>0</v>
      </c>
      <c r="Z2003">
        <v>0</v>
      </c>
      <c r="AA2003">
        <v>0</v>
      </c>
      <c r="AB2003">
        <v>0</v>
      </c>
      <c r="AC2003">
        <v>0</v>
      </c>
      <c r="AD2003">
        <v>2</v>
      </c>
      <c r="AE2003">
        <v>0</v>
      </c>
      <c r="AF2003">
        <v>0</v>
      </c>
      <c r="AG2003">
        <v>0</v>
      </c>
      <c r="AH2003">
        <v>0</v>
      </c>
      <c r="AI2003">
        <v>0</v>
      </c>
      <c r="AJ2003">
        <v>0</v>
      </c>
      <c r="AK2003">
        <v>0</v>
      </c>
    </row>
    <row r="2004" spans="1:37" x14ac:dyDescent="0.3">
      <c r="A2004">
        <v>7979</v>
      </c>
      <c r="B2004" t="s">
        <v>219</v>
      </c>
      <c r="D2004" t="s">
        <v>327</v>
      </c>
      <c r="E2004">
        <v>99999999</v>
      </c>
      <c r="F2004">
        <v>11111111</v>
      </c>
      <c r="G2004">
        <v>1111111111</v>
      </c>
      <c r="H2004" t="s">
        <v>5573</v>
      </c>
      <c r="I2004">
        <v>99999999</v>
      </c>
      <c r="J2004" s="188">
        <v>45238</v>
      </c>
      <c r="K2004" t="s">
        <v>5573</v>
      </c>
      <c r="L2004" t="s">
        <v>5573</v>
      </c>
      <c r="M2004" t="s">
        <v>129</v>
      </c>
      <c r="N2004" t="s">
        <v>130</v>
      </c>
      <c r="O2004" t="s">
        <v>2690</v>
      </c>
      <c r="P2004" t="s">
        <v>221</v>
      </c>
      <c r="Q2004" t="s">
        <v>82</v>
      </c>
      <c r="R2004">
        <v>1</v>
      </c>
      <c r="S2004">
        <v>6</v>
      </c>
      <c r="T2004">
        <v>0</v>
      </c>
      <c r="U2004">
        <v>1</v>
      </c>
      <c r="V2004">
        <v>1</v>
      </c>
      <c r="W2004">
        <v>25.03</v>
      </c>
      <c r="X2004">
        <v>0</v>
      </c>
      <c r="Y2004">
        <v>0</v>
      </c>
      <c r="Z2004">
        <v>0</v>
      </c>
      <c r="AA2004">
        <v>0</v>
      </c>
      <c r="AB2004">
        <v>0</v>
      </c>
      <c r="AC2004">
        <v>0</v>
      </c>
      <c r="AD2004">
        <v>1</v>
      </c>
      <c r="AE2004">
        <v>0</v>
      </c>
      <c r="AF2004">
        <v>0</v>
      </c>
      <c r="AG2004">
        <v>0</v>
      </c>
      <c r="AH2004">
        <v>0</v>
      </c>
      <c r="AI2004">
        <v>0</v>
      </c>
      <c r="AJ2004">
        <v>0</v>
      </c>
      <c r="AK2004">
        <v>0</v>
      </c>
    </row>
    <row r="2005" spans="1:37" x14ac:dyDescent="0.3">
      <c r="A2005">
        <v>7979</v>
      </c>
      <c r="B2005" t="s">
        <v>219</v>
      </c>
      <c r="D2005" t="s">
        <v>327</v>
      </c>
      <c r="E2005">
        <v>99999999</v>
      </c>
      <c r="F2005">
        <v>11111111</v>
      </c>
      <c r="G2005">
        <v>1111111111</v>
      </c>
      <c r="H2005" t="s">
        <v>5574</v>
      </c>
      <c r="I2005">
        <v>99999999</v>
      </c>
      <c r="J2005" s="188">
        <v>45238</v>
      </c>
      <c r="K2005" t="s">
        <v>5574</v>
      </c>
      <c r="L2005" t="s">
        <v>5574</v>
      </c>
      <c r="M2005" t="s">
        <v>445</v>
      </c>
      <c r="N2005" t="s">
        <v>99</v>
      </c>
      <c r="O2005" t="s">
        <v>2691</v>
      </c>
      <c r="P2005" t="s">
        <v>221</v>
      </c>
      <c r="Q2005" t="s">
        <v>82</v>
      </c>
      <c r="R2005">
        <v>1</v>
      </c>
      <c r="S2005">
        <v>2.4</v>
      </c>
      <c r="T2005">
        <v>0</v>
      </c>
      <c r="U2005">
        <v>1</v>
      </c>
      <c r="V2005">
        <v>1</v>
      </c>
      <c r="W2005">
        <v>36.950000000000003</v>
      </c>
      <c r="X2005">
        <v>0</v>
      </c>
      <c r="Y2005">
        <v>0</v>
      </c>
      <c r="Z2005">
        <v>0</v>
      </c>
      <c r="AA2005">
        <v>0</v>
      </c>
      <c r="AB2005">
        <v>0</v>
      </c>
      <c r="AC2005">
        <v>0</v>
      </c>
      <c r="AD2005">
        <v>1</v>
      </c>
      <c r="AE2005">
        <v>0</v>
      </c>
      <c r="AF2005">
        <v>0</v>
      </c>
      <c r="AG2005">
        <v>0</v>
      </c>
      <c r="AH2005">
        <v>0</v>
      </c>
      <c r="AI2005">
        <v>0</v>
      </c>
      <c r="AJ2005">
        <v>0</v>
      </c>
      <c r="AK2005">
        <v>0</v>
      </c>
    </row>
    <row r="2006" spans="1:37" x14ac:dyDescent="0.3">
      <c r="A2006">
        <v>7979</v>
      </c>
      <c r="B2006" t="s">
        <v>219</v>
      </c>
      <c r="D2006" t="s">
        <v>327</v>
      </c>
      <c r="E2006">
        <v>99999999</v>
      </c>
      <c r="F2006">
        <v>11111111</v>
      </c>
      <c r="G2006">
        <v>1111111111</v>
      </c>
      <c r="H2006" t="s">
        <v>5575</v>
      </c>
      <c r="I2006">
        <v>99999999</v>
      </c>
      <c r="J2006" s="188">
        <v>45238</v>
      </c>
      <c r="K2006" t="s">
        <v>5575</v>
      </c>
      <c r="L2006" t="s">
        <v>5575</v>
      </c>
      <c r="M2006" t="s">
        <v>103</v>
      </c>
      <c r="N2006" t="s">
        <v>104</v>
      </c>
      <c r="O2006" t="s">
        <v>2692</v>
      </c>
      <c r="P2006" t="s">
        <v>221</v>
      </c>
      <c r="Q2006" t="s">
        <v>82</v>
      </c>
      <c r="R2006">
        <v>1</v>
      </c>
      <c r="S2006">
        <v>10.5</v>
      </c>
      <c r="T2006">
        <v>0</v>
      </c>
      <c r="U2006">
        <v>1</v>
      </c>
      <c r="V2006">
        <v>1</v>
      </c>
      <c r="W2006">
        <v>30.77</v>
      </c>
      <c r="X2006">
        <v>0</v>
      </c>
      <c r="Y2006">
        <v>0</v>
      </c>
      <c r="Z2006">
        <v>0</v>
      </c>
      <c r="AA2006">
        <v>0</v>
      </c>
      <c r="AB2006">
        <v>0</v>
      </c>
      <c r="AC2006">
        <v>0</v>
      </c>
      <c r="AD2006">
        <v>1</v>
      </c>
      <c r="AE2006">
        <v>0</v>
      </c>
      <c r="AF2006">
        <v>0</v>
      </c>
      <c r="AG2006">
        <v>0</v>
      </c>
      <c r="AH2006">
        <v>0</v>
      </c>
      <c r="AI2006">
        <v>0</v>
      </c>
      <c r="AJ2006">
        <v>0</v>
      </c>
      <c r="AK2006">
        <v>0</v>
      </c>
    </row>
    <row r="2007" spans="1:37" x14ac:dyDescent="0.3">
      <c r="A2007">
        <v>7979</v>
      </c>
      <c r="B2007" t="s">
        <v>219</v>
      </c>
      <c r="D2007" t="s">
        <v>327</v>
      </c>
      <c r="E2007">
        <v>99999999</v>
      </c>
      <c r="F2007">
        <v>11111111</v>
      </c>
      <c r="G2007">
        <v>1111111111</v>
      </c>
      <c r="H2007" t="s">
        <v>5576</v>
      </c>
      <c r="I2007">
        <v>99999999</v>
      </c>
      <c r="J2007" s="188">
        <v>45238</v>
      </c>
      <c r="K2007" t="s">
        <v>5576</v>
      </c>
      <c r="L2007" t="s">
        <v>5576</v>
      </c>
      <c r="M2007" t="s">
        <v>155</v>
      </c>
      <c r="N2007" t="s">
        <v>99</v>
      </c>
      <c r="O2007" t="s">
        <v>2693</v>
      </c>
      <c r="P2007" t="s">
        <v>221</v>
      </c>
      <c r="Q2007" t="s">
        <v>82</v>
      </c>
      <c r="R2007">
        <v>1</v>
      </c>
      <c r="S2007">
        <v>7.5</v>
      </c>
      <c r="T2007">
        <v>0</v>
      </c>
      <c r="U2007">
        <v>1</v>
      </c>
      <c r="V2007">
        <v>1</v>
      </c>
      <c r="W2007">
        <v>24.15</v>
      </c>
      <c r="X2007">
        <v>0</v>
      </c>
      <c r="Y2007">
        <v>0</v>
      </c>
      <c r="Z2007">
        <v>0</v>
      </c>
      <c r="AA2007">
        <v>0</v>
      </c>
      <c r="AB2007">
        <v>0</v>
      </c>
      <c r="AC2007">
        <v>0</v>
      </c>
      <c r="AD2007">
        <v>1</v>
      </c>
      <c r="AE2007">
        <v>0</v>
      </c>
      <c r="AF2007">
        <v>0</v>
      </c>
      <c r="AG2007">
        <v>0</v>
      </c>
      <c r="AH2007">
        <v>0</v>
      </c>
      <c r="AI2007">
        <v>0</v>
      </c>
      <c r="AJ2007">
        <v>0</v>
      </c>
      <c r="AK2007">
        <v>0</v>
      </c>
    </row>
    <row r="2008" spans="1:37" x14ac:dyDescent="0.3">
      <c r="A2008">
        <v>7979</v>
      </c>
      <c r="B2008" t="s">
        <v>219</v>
      </c>
      <c r="D2008" t="s">
        <v>327</v>
      </c>
      <c r="E2008">
        <v>99999999</v>
      </c>
      <c r="F2008">
        <v>11111111</v>
      </c>
      <c r="G2008">
        <v>1111111111</v>
      </c>
      <c r="H2008" t="s">
        <v>5577</v>
      </c>
      <c r="I2008">
        <v>99999999</v>
      </c>
      <c r="J2008" s="188">
        <v>45238</v>
      </c>
      <c r="K2008" t="s">
        <v>5577</v>
      </c>
      <c r="L2008" t="s">
        <v>5577</v>
      </c>
      <c r="M2008" t="s">
        <v>2694</v>
      </c>
      <c r="N2008" t="s">
        <v>97</v>
      </c>
      <c r="O2008">
        <v>99003</v>
      </c>
      <c r="P2008" t="s">
        <v>221</v>
      </c>
      <c r="Q2008" t="s">
        <v>82</v>
      </c>
      <c r="R2008">
        <v>1</v>
      </c>
      <c r="S2008">
        <v>15</v>
      </c>
      <c r="T2008">
        <v>0</v>
      </c>
      <c r="U2008">
        <v>1</v>
      </c>
      <c r="V2008">
        <v>1</v>
      </c>
      <c r="W2008">
        <v>34.119999999999997</v>
      </c>
      <c r="X2008">
        <v>0</v>
      </c>
      <c r="Y2008">
        <v>0</v>
      </c>
      <c r="Z2008">
        <v>0</v>
      </c>
      <c r="AA2008">
        <v>0</v>
      </c>
      <c r="AB2008">
        <v>0</v>
      </c>
      <c r="AC2008">
        <v>0</v>
      </c>
      <c r="AD2008">
        <v>1</v>
      </c>
      <c r="AE2008">
        <v>0</v>
      </c>
      <c r="AF2008">
        <v>0</v>
      </c>
      <c r="AG2008">
        <v>0</v>
      </c>
      <c r="AH2008">
        <v>0</v>
      </c>
      <c r="AI2008">
        <v>0</v>
      </c>
      <c r="AJ2008">
        <v>0</v>
      </c>
      <c r="AK2008">
        <v>0</v>
      </c>
    </row>
    <row r="2009" spans="1:37" x14ac:dyDescent="0.3">
      <c r="A2009">
        <v>7979</v>
      </c>
      <c r="B2009" t="s">
        <v>219</v>
      </c>
      <c r="D2009" t="s">
        <v>327</v>
      </c>
      <c r="E2009">
        <v>99999999</v>
      </c>
      <c r="F2009">
        <v>11111111</v>
      </c>
      <c r="G2009">
        <v>1111111111</v>
      </c>
      <c r="H2009" t="s">
        <v>5578</v>
      </c>
      <c r="I2009">
        <v>99999999</v>
      </c>
      <c r="J2009" s="188">
        <v>45238</v>
      </c>
      <c r="K2009" t="s">
        <v>5578</v>
      </c>
      <c r="L2009" t="s">
        <v>5578</v>
      </c>
      <c r="M2009" t="s">
        <v>749</v>
      </c>
      <c r="N2009" t="s">
        <v>130</v>
      </c>
      <c r="O2009" t="s">
        <v>2695</v>
      </c>
      <c r="P2009" t="s">
        <v>221</v>
      </c>
      <c r="Q2009" t="s">
        <v>82</v>
      </c>
      <c r="R2009">
        <v>1</v>
      </c>
      <c r="S2009">
        <v>2.4</v>
      </c>
      <c r="T2009">
        <v>0</v>
      </c>
      <c r="U2009">
        <v>1</v>
      </c>
      <c r="V2009">
        <v>1</v>
      </c>
      <c r="W2009">
        <v>22.67</v>
      </c>
      <c r="X2009">
        <v>0</v>
      </c>
      <c r="Y2009">
        <v>0</v>
      </c>
      <c r="Z2009">
        <v>0</v>
      </c>
      <c r="AA2009">
        <v>0</v>
      </c>
      <c r="AB2009">
        <v>0</v>
      </c>
      <c r="AC2009">
        <v>0</v>
      </c>
      <c r="AD2009">
        <v>1</v>
      </c>
      <c r="AE2009">
        <v>0</v>
      </c>
      <c r="AF2009">
        <v>0</v>
      </c>
      <c r="AG2009">
        <v>0</v>
      </c>
      <c r="AH2009">
        <v>0</v>
      </c>
      <c r="AI2009">
        <v>0</v>
      </c>
      <c r="AJ2009">
        <v>0</v>
      </c>
      <c r="AK2009">
        <v>0</v>
      </c>
    </row>
    <row r="2010" spans="1:37" x14ac:dyDescent="0.3">
      <c r="A2010">
        <v>7979</v>
      </c>
      <c r="B2010" t="s">
        <v>219</v>
      </c>
      <c r="D2010" t="s">
        <v>327</v>
      </c>
      <c r="E2010">
        <v>99999999</v>
      </c>
      <c r="F2010">
        <v>11111111</v>
      </c>
      <c r="G2010">
        <v>1111111111</v>
      </c>
      <c r="H2010" t="s">
        <v>5579</v>
      </c>
      <c r="I2010">
        <v>99999999</v>
      </c>
      <c r="J2010" s="188">
        <v>45238</v>
      </c>
      <c r="K2010" t="s">
        <v>5579</v>
      </c>
      <c r="L2010" t="s">
        <v>5579</v>
      </c>
      <c r="M2010" t="s">
        <v>1409</v>
      </c>
      <c r="N2010" t="s">
        <v>91</v>
      </c>
      <c r="O2010">
        <v>86323</v>
      </c>
      <c r="P2010" t="s">
        <v>221</v>
      </c>
      <c r="Q2010" t="s">
        <v>82</v>
      </c>
      <c r="R2010">
        <v>1</v>
      </c>
      <c r="S2010">
        <v>7.63</v>
      </c>
      <c r="T2010">
        <v>0</v>
      </c>
      <c r="U2010">
        <v>1</v>
      </c>
      <c r="V2010">
        <v>1</v>
      </c>
      <c r="W2010">
        <v>30.34</v>
      </c>
      <c r="X2010">
        <v>0</v>
      </c>
      <c r="Y2010">
        <v>0</v>
      </c>
      <c r="Z2010">
        <v>0</v>
      </c>
      <c r="AA2010">
        <v>0</v>
      </c>
      <c r="AB2010">
        <v>0</v>
      </c>
      <c r="AC2010">
        <v>0</v>
      </c>
      <c r="AD2010">
        <v>1</v>
      </c>
      <c r="AE2010">
        <v>0</v>
      </c>
      <c r="AF2010">
        <v>0</v>
      </c>
      <c r="AG2010">
        <v>0</v>
      </c>
      <c r="AH2010">
        <v>0</v>
      </c>
      <c r="AI2010">
        <v>0</v>
      </c>
      <c r="AJ2010">
        <v>0</v>
      </c>
      <c r="AK2010">
        <v>0</v>
      </c>
    </row>
    <row r="2011" spans="1:37" x14ac:dyDescent="0.3">
      <c r="A2011">
        <v>7979</v>
      </c>
      <c r="B2011" t="s">
        <v>219</v>
      </c>
      <c r="D2011" t="s">
        <v>327</v>
      </c>
      <c r="E2011">
        <v>99999999</v>
      </c>
      <c r="F2011">
        <v>11111111</v>
      </c>
      <c r="G2011">
        <v>1111111111</v>
      </c>
      <c r="H2011" t="s">
        <v>5580</v>
      </c>
      <c r="I2011">
        <v>99999999</v>
      </c>
      <c r="J2011" s="188">
        <v>45238</v>
      </c>
      <c r="K2011" t="s">
        <v>5580</v>
      </c>
      <c r="L2011" t="s">
        <v>5580</v>
      </c>
      <c r="M2011" t="s">
        <v>341</v>
      </c>
      <c r="N2011" t="s">
        <v>130</v>
      </c>
      <c r="O2011" t="s">
        <v>2696</v>
      </c>
      <c r="P2011" t="s">
        <v>221</v>
      </c>
      <c r="Q2011" t="s">
        <v>82</v>
      </c>
      <c r="R2011">
        <v>1</v>
      </c>
      <c r="S2011">
        <v>10</v>
      </c>
      <c r="T2011">
        <v>0</v>
      </c>
      <c r="U2011">
        <v>1</v>
      </c>
      <c r="V2011">
        <v>1</v>
      </c>
      <c r="W2011">
        <v>26.28</v>
      </c>
      <c r="X2011">
        <v>0</v>
      </c>
      <c r="Y2011">
        <v>0</v>
      </c>
      <c r="Z2011">
        <v>0</v>
      </c>
      <c r="AA2011">
        <v>0</v>
      </c>
      <c r="AB2011">
        <v>0</v>
      </c>
      <c r="AC2011">
        <v>0</v>
      </c>
      <c r="AD2011">
        <v>1</v>
      </c>
      <c r="AE2011">
        <v>0</v>
      </c>
      <c r="AF2011">
        <v>0</v>
      </c>
      <c r="AG2011">
        <v>0</v>
      </c>
      <c r="AH2011">
        <v>0</v>
      </c>
      <c r="AI2011">
        <v>0</v>
      </c>
      <c r="AJ2011">
        <v>0</v>
      </c>
      <c r="AK2011">
        <v>0</v>
      </c>
    </row>
    <row r="2012" spans="1:37" x14ac:dyDescent="0.3">
      <c r="A2012">
        <v>7979</v>
      </c>
      <c r="B2012" t="s">
        <v>219</v>
      </c>
      <c r="D2012" t="s">
        <v>327</v>
      </c>
      <c r="E2012">
        <v>99999999</v>
      </c>
      <c r="F2012">
        <v>11111111</v>
      </c>
      <c r="G2012">
        <v>1111111111</v>
      </c>
      <c r="H2012" t="s">
        <v>5581</v>
      </c>
      <c r="I2012">
        <v>99999999</v>
      </c>
      <c r="J2012" s="188">
        <v>45238</v>
      </c>
      <c r="K2012" t="s">
        <v>5581</v>
      </c>
      <c r="L2012" t="s">
        <v>5581</v>
      </c>
      <c r="M2012" t="s">
        <v>769</v>
      </c>
      <c r="N2012" t="s">
        <v>99</v>
      </c>
      <c r="O2012">
        <v>92314</v>
      </c>
      <c r="P2012" t="s">
        <v>221</v>
      </c>
      <c r="Q2012" t="s">
        <v>82</v>
      </c>
      <c r="R2012">
        <v>1</v>
      </c>
      <c r="S2012">
        <v>4</v>
      </c>
      <c r="T2012">
        <v>0</v>
      </c>
      <c r="U2012">
        <v>1</v>
      </c>
      <c r="V2012">
        <v>1</v>
      </c>
      <c r="W2012">
        <v>31.19</v>
      </c>
      <c r="X2012">
        <v>0</v>
      </c>
      <c r="Y2012">
        <v>0</v>
      </c>
      <c r="Z2012">
        <v>0</v>
      </c>
      <c r="AA2012">
        <v>0</v>
      </c>
      <c r="AB2012">
        <v>0</v>
      </c>
      <c r="AC2012">
        <v>0</v>
      </c>
      <c r="AD2012">
        <v>1</v>
      </c>
      <c r="AE2012">
        <v>0</v>
      </c>
      <c r="AF2012">
        <v>0</v>
      </c>
      <c r="AG2012">
        <v>0</v>
      </c>
      <c r="AH2012">
        <v>0</v>
      </c>
      <c r="AI2012">
        <v>0</v>
      </c>
      <c r="AJ2012">
        <v>0</v>
      </c>
      <c r="AK2012">
        <v>0</v>
      </c>
    </row>
    <row r="2013" spans="1:37" x14ac:dyDescent="0.3">
      <c r="A2013">
        <v>7979</v>
      </c>
      <c r="B2013" t="s">
        <v>219</v>
      </c>
      <c r="D2013" t="s">
        <v>327</v>
      </c>
      <c r="E2013">
        <v>99999999</v>
      </c>
      <c r="F2013">
        <v>11111111</v>
      </c>
      <c r="G2013">
        <v>1111111111</v>
      </c>
      <c r="H2013" t="s">
        <v>5582</v>
      </c>
      <c r="I2013">
        <v>99999999</v>
      </c>
      <c r="J2013" s="188">
        <v>45238</v>
      </c>
      <c r="K2013" t="s">
        <v>5582</v>
      </c>
      <c r="L2013" t="s">
        <v>5582</v>
      </c>
      <c r="M2013" t="s">
        <v>1840</v>
      </c>
      <c r="N2013" t="s">
        <v>99</v>
      </c>
      <c r="O2013">
        <v>95076</v>
      </c>
      <c r="P2013" t="s">
        <v>221</v>
      </c>
      <c r="Q2013" t="s">
        <v>82</v>
      </c>
      <c r="R2013">
        <v>1</v>
      </c>
      <c r="S2013">
        <v>3</v>
      </c>
      <c r="T2013">
        <v>0</v>
      </c>
      <c r="U2013">
        <v>1</v>
      </c>
      <c r="V2013">
        <v>1</v>
      </c>
      <c r="W2013">
        <v>26.89</v>
      </c>
      <c r="X2013">
        <v>0</v>
      </c>
      <c r="Y2013">
        <v>0</v>
      </c>
      <c r="Z2013">
        <v>0</v>
      </c>
      <c r="AA2013">
        <v>0</v>
      </c>
      <c r="AB2013">
        <v>0</v>
      </c>
      <c r="AC2013">
        <v>0</v>
      </c>
      <c r="AD2013">
        <v>1</v>
      </c>
      <c r="AE2013">
        <v>0</v>
      </c>
      <c r="AF2013">
        <v>0</v>
      </c>
      <c r="AG2013">
        <v>0</v>
      </c>
      <c r="AH2013">
        <v>0</v>
      </c>
      <c r="AI2013">
        <v>0</v>
      </c>
      <c r="AJ2013">
        <v>0</v>
      </c>
      <c r="AK2013">
        <v>0</v>
      </c>
    </row>
    <row r="2014" spans="1:37" x14ac:dyDescent="0.3">
      <c r="A2014">
        <v>7979</v>
      </c>
      <c r="B2014" t="s">
        <v>219</v>
      </c>
      <c r="D2014" t="s">
        <v>327</v>
      </c>
      <c r="E2014">
        <v>99999999</v>
      </c>
      <c r="F2014">
        <v>11111111</v>
      </c>
      <c r="G2014">
        <v>1111111111</v>
      </c>
      <c r="H2014" t="s">
        <v>5583</v>
      </c>
      <c r="I2014">
        <v>99999999</v>
      </c>
      <c r="J2014" s="188">
        <v>45238</v>
      </c>
      <c r="K2014" t="s">
        <v>5583</v>
      </c>
      <c r="L2014" t="s">
        <v>5583</v>
      </c>
      <c r="M2014" t="s">
        <v>2665</v>
      </c>
      <c r="N2014" t="s">
        <v>381</v>
      </c>
      <c r="O2014" t="s">
        <v>2697</v>
      </c>
      <c r="P2014" t="s">
        <v>221</v>
      </c>
      <c r="Q2014" t="s">
        <v>82</v>
      </c>
      <c r="R2014">
        <v>1</v>
      </c>
      <c r="S2014">
        <v>4</v>
      </c>
      <c r="T2014">
        <v>0</v>
      </c>
      <c r="U2014">
        <v>1</v>
      </c>
      <c r="V2014">
        <v>1</v>
      </c>
      <c r="W2014">
        <v>32.630000000000003</v>
      </c>
      <c r="X2014">
        <v>0</v>
      </c>
      <c r="Y2014">
        <v>0</v>
      </c>
      <c r="Z2014">
        <v>0</v>
      </c>
      <c r="AA2014">
        <v>0</v>
      </c>
      <c r="AB2014">
        <v>0</v>
      </c>
      <c r="AC2014">
        <v>0</v>
      </c>
      <c r="AD2014">
        <v>1</v>
      </c>
      <c r="AE2014">
        <v>0</v>
      </c>
      <c r="AF2014">
        <v>0</v>
      </c>
      <c r="AG2014">
        <v>0</v>
      </c>
      <c r="AH2014">
        <v>0</v>
      </c>
      <c r="AI2014">
        <v>0</v>
      </c>
      <c r="AJ2014">
        <v>0</v>
      </c>
      <c r="AK2014">
        <v>0</v>
      </c>
    </row>
    <row r="2015" spans="1:37" x14ac:dyDescent="0.3">
      <c r="A2015">
        <v>7979</v>
      </c>
      <c r="B2015" t="s">
        <v>219</v>
      </c>
      <c r="D2015" t="s">
        <v>327</v>
      </c>
      <c r="E2015">
        <v>99999999</v>
      </c>
      <c r="F2015">
        <v>11111111</v>
      </c>
      <c r="G2015">
        <v>1111111111</v>
      </c>
      <c r="H2015" t="s">
        <v>5584</v>
      </c>
      <c r="I2015">
        <v>99999999</v>
      </c>
      <c r="J2015" s="188">
        <v>45238</v>
      </c>
      <c r="K2015" t="s">
        <v>5584</v>
      </c>
      <c r="L2015" t="s">
        <v>5584</v>
      </c>
      <c r="M2015" t="s">
        <v>767</v>
      </c>
      <c r="N2015" t="s">
        <v>197</v>
      </c>
      <c r="O2015" t="s">
        <v>2698</v>
      </c>
      <c r="P2015" t="s">
        <v>221</v>
      </c>
      <c r="Q2015" t="s">
        <v>82</v>
      </c>
      <c r="R2015">
        <v>1</v>
      </c>
      <c r="S2015">
        <v>15.24</v>
      </c>
      <c r="T2015">
        <v>0</v>
      </c>
      <c r="U2015">
        <v>1</v>
      </c>
      <c r="V2015">
        <v>1</v>
      </c>
      <c r="W2015">
        <v>38.5</v>
      </c>
      <c r="X2015">
        <v>0</v>
      </c>
      <c r="Y2015">
        <v>0</v>
      </c>
      <c r="Z2015">
        <v>0</v>
      </c>
      <c r="AA2015">
        <v>0</v>
      </c>
      <c r="AB2015">
        <v>0</v>
      </c>
      <c r="AC2015">
        <v>0</v>
      </c>
      <c r="AD2015">
        <v>1</v>
      </c>
      <c r="AE2015">
        <v>0</v>
      </c>
      <c r="AF2015">
        <v>0</v>
      </c>
      <c r="AG2015">
        <v>0</v>
      </c>
      <c r="AH2015">
        <v>0</v>
      </c>
      <c r="AI2015">
        <v>0</v>
      </c>
      <c r="AJ2015">
        <v>0</v>
      </c>
      <c r="AK2015">
        <v>0</v>
      </c>
    </row>
    <row r="2016" spans="1:37" x14ac:dyDescent="0.3">
      <c r="A2016">
        <v>7979</v>
      </c>
      <c r="B2016" t="s">
        <v>219</v>
      </c>
      <c r="D2016" t="s">
        <v>327</v>
      </c>
      <c r="E2016">
        <v>99999999</v>
      </c>
      <c r="F2016">
        <v>11111111</v>
      </c>
      <c r="G2016">
        <v>1111111111</v>
      </c>
      <c r="H2016" t="s">
        <v>5585</v>
      </c>
      <c r="I2016">
        <v>99999999</v>
      </c>
      <c r="J2016" s="188">
        <v>45238</v>
      </c>
      <c r="K2016" t="s">
        <v>5585</v>
      </c>
      <c r="L2016" t="s">
        <v>5585</v>
      </c>
      <c r="M2016" t="s">
        <v>2529</v>
      </c>
      <c r="N2016" t="s">
        <v>522</v>
      </c>
      <c r="O2016" t="s">
        <v>2699</v>
      </c>
      <c r="P2016" t="s">
        <v>221</v>
      </c>
      <c r="Q2016" t="s">
        <v>82</v>
      </c>
      <c r="R2016">
        <v>1</v>
      </c>
      <c r="S2016">
        <v>5</v>
      </c>
      <c r="T2016">
        <v>0</v>
      </c>
      <c r="U2016">
        <v>1</v>
      </c>
      <c r="V2016">
        <v>1</v>
      </c>
      <c r="W2016">
        <v>33.47</v>
      </c>
      <c r="X2016">
        <v>0</v>
      </c>
      <c r="Y2016">
        <v>0</v>
      </c>
      <c r="Z2016">
        <v>0</v>
      </c>
      <c r="AA2016">
        <v>0</v>
      </c>
      <c r="AB2016">
        <v>0</v>
      </c>
      <c r="AC2016">
        <v>0</v>
      </c>
      <c r="AD2016">
        <v>1</v>
      </c>
      <c r="AE2016">
        <v>0</v>
      </c>
      <c r="AF2016">
        <v>0</v>
      </c>
      <c r="AG2016">
        <v>0</v>
      </c>
      <c r="AH2016">
        <v>0</v>
      </c>
      <c r="AI2016">
        <v>0</v>
      </c>
      <c r="AJ2016">
        <v>0</v>
      </c>
      <c r="AK2016">
        <v>0</v>
      </c>
    </row>
    <row r="2017" spans="1:37" x14ac:dyDescent="0.3">
      <c r="A2017">
        <v>7979</v>
      </c>
      <c r="B2017" t="s">
        <v>219</v>
      </c>
      <c r="D2017" t="s">
        <v>327</v>
      </c>
      <c r="E2017">
        <v>99999999</v>
      </c>
      <c r="F2017">
        <v>11111111</v>
      </c>
      <c r="G2017">
        <v>1111111111</v>
      </c>
      <c r="H2017" t="s">
        <v>5586</v>
      </c>
      <c r="I2017">
        <v>99999999</v>
      </c>
      <c r="J2017" s="188">
        <v>45238</v>
      </c>
      <c r="K2017" t="s">
        <v>5586</v>
      </c>
      <c r="L2017" t="s">
        <v>5586</v>
      </c>
      <c r="M2017" t="s">
        <v>2700</v>
      </c>
      <c r="N2017" t="s">
        <v>197</v>
      </c>
      <c r="O2017" t="s">
        <v>2701</v>
      </c>
      <c r="P2017" t="s">
        <v>221</v>
      </c>
      <c r="Q2017" t="s">
        <v>82</v>
      </c>
      <c r="R2017">
        <v>1</v>
      </c>
      <c r="S2017">
        <v>5</v>
      </c>
      <c r="T2017">
        <v>0</v>
      </c>
      <c r="U2017">
        <v>1</v>
      </c>
      <c r="V2017">
        <v>1</v>
      </c>
      <c r="W2017">
        <v>32.270000000000003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1</v>
      </c>
      <c r="AE2017">
        <v>0</v>
      </c>
      <c r="AF2017">
        <v>0</v>
      </c>
      <c r="AG2017">
        <v>0</v>
      </c>
      <c r="AH2017">
        <v>0</v>
      </c>
      <c r="AI2017">
        <v>0</v>
      </c>
      <c r="AJ2017">
        <v>0</v>
      </c>
      <c r="AK2017">
        <v>0</v>
      </c>
    </row>
    <row r="2018" spans="1:37" x14ac:dyDescent="0.3">
      <c r="A2018">
        <v>7979</v>
      </c>
      <c r="B2018" t="s">
        <v>219</v>
      </c>
      <c r="D2018" t="s">
        <v>327</v>
      </c>
      <c r="E2018">
        <v>99999999</v>
      </c>
      <c r="F2018">
        <v>11111111</v>
      </c>
      <c r="G2018">
        <v>1111111111</v>
      </c>
      <c r="H2018" t="s">
        <v>5587</v>
      </c>
      <c r="I2018">
        <v>99999999</v>
      </c>
      <c r="J2018" s="188">
        <v>45238</v>
      </c>
      <c r="K2018" t="s">
        <v>5587</v>
      </c>
      <c r="L2018" t="s">
        <v>5587</v>
      </c>
      <c r="M2018" t="s">
        <v>2702</v>
      </c>
      <c r="N2018" t="s">
        <v>197</v>
      </c>
      <c r="O2018" t="s">
        <v>2703</v>
      </c>
      <c r="P2018" t="s">
        <v>221</v>
      </c>
      <c r="Q2018" t="s">
        <v>82</v>
      </c>
      <c r="R2018">
        <v>1</v>
      </c>
      <c r="S2018">
        <v>7.6660000000000004</v>
      </c>
      <c r="T2018">
        <v>0</v>
      </c>
      <c r="U2018">
        <v>1</v>
      </c>
      <c r="V2018">
        <v>1</v>
      </c>
      <c r="W2018">
        <v>34.94</v>
      </c>
      <c r="X2018">
        <v>0</v>
      </c>
      <c r="Y2018">
        <v>0</v>
      </c>
      <c r="Z2018">
        <v>0</v>
      </c>
      <c r="AA2018">
        <v>0</v>
      </c>
      <c r="AB2018">
        <v>0</v>
      </c>
      <c r="AC2018">
        <v>0</v>
      </c>
      <c r="AD2018">
        <v>1</v>
      </c>
      <c r="AE2018">
        <v>0</v>
      </c>
      <c r="AF2018">
        <v>0</v>
      </c>
      <c r="AG2018">
        <v>0</v>
      </c>
      <c r="AH2018">
        <v>0</v>
      </c>
      <c r="AI2018">
        <v>0</v>
      </c>
      <c r="AJ2018">
        <v>0</v>
      </c>
      <c r="AK2018">
        <v>0</v>
      </c>
    </row>
    <row r="2019" spans="1:37" x14ac:dyDescent="0.3">
      <c r="A2019">
        <v>7979</v>
      </c>
      <c r="B2019" t="s">
        <v>219</v>
      </c>
      <c r="D2019" t="s">
        <v>327</v>
      </c>
      <c r="E2019">
        <v>99999999</v>
      </c>
      <c r="F2019">
        <v>11111111</v>
      </c>
      <c r="G2019">
        <v>1111111111</v>
      </c>
      <c r="H2019" t="s">
        <v>5588</v>
      </c>
      <c r="I2019">
        <v>99999999</v>
      </c>
      <c r="J2019" s="188">
        <v>45238</v>
      </c>
      <c r="K2019" t="s">
        <v>5588</v>
      </c>
      <c r="L2019" t="s">
        <v>5588</v>
      </c>
      <c r="M2019" t="s">
        <v>2704</v>
      </c>
      <c r="N2019" t="s">
        <v>551</v>
      </c>
      <c r="O2019">
        <v>82240</v>
      </c>
      <c r="P2019" t="s">
        <v>221</v>
      </c>
      <c r="Q2019" t="s">
        <v>82</v>
      </c>
      <c r="R2019">
        <v>1</v>
      </c>
      <c r="S2019">
        <v>4</v>
      </c>
      <c r="T2019">
        <v>0</v>
      </c>
      <c r="U2019">
        <v>1</v>
      </c>
      <c r="V2019">
        <v>1</v>
      </c>
      <c r="W2019">
        <v>32.630000000000003</v>
      </c>
      <c r="X2019">
        <v>0</v>
      </c>
      <c r="Y2019">
        <v>0</v>
      </c>
      <c r="Z2019">
        <v>0</v>
      </c>
      <c r="AA2019">
        <v>0</v>
      </c>
      <c r="AB2019">
        <v>0</v>
      </c>
      <c r="AC2019">
        <v>0</v>
      </c>
      <c r="AD2019">
        <v>1</v>
      </c>
      <c r="AE2019">
        <v>0</v>
      </c>
      <c r="AF2019">
        <v>0</v>
      </c>
      <c r="AG2019">
        <v>0</v>
      </c>
      <c r="AH2019">
        <v>0</v>
      </c>
      <c r="AI2019">
        <v>0</v>
      </c>
      <c r="AJ2019">
        <v>0</v>
      </c>
      <c r="AK2019">
        <v>0</v>
      </c>
    </row>
    <row r="2020" spans="1:37" x14ac:dyDescent="0.3">
      <c r="A2020">
        <v>7979</v>
      </c>
      <c r="B2020" t="s">
        <v>219</v>
      </c>
      <c r="D2020" t="s">
        <v>327</v>
      </c>
      <c r="E2020">
        <v>99999999</v>
      </c>
      <c r="F2020">
        <v>11111111</v>
      </c>
      <c r="G2020">
        <v>1111111111</v>
      </c>
      <c r="H2020" t="s">
        <v>5589</v>
      </c>
      <c r="I2020">
        <v>99999999</v>
      </c>
      <c r="J2020" s="188">
        <v>45238</v>
      </c>
      <c r="K2020" t="s">
        <v>5589</v>
      </c>
      <c r="L2020" t="s">
        <v>5589</v>
      </c>
      <c r="M2020" t="s">
        <v>1572</v>
      </c>
      <c r="N2020" t="s">
        <v>99</v>
      </c>
      <c r="O2020" t="s">
        <v>2705</v>
      </c>
      <c r="P2020" t="s">
        <v>221</v>
      </c>
      <c r="Q2020" t="s">
        <v>82</v>
      </c>
      <c r="R2020">
        <v>3</v>
      </c>
      <c r="S2020">
        <v>37.340000000000003</v>
      </c>
      <c r="T2020">
        <v>0</v>
      </c>
      <c r="U2020">
        <v>1</v>
      </c>
      <c r="V2020">
        <v>2</v>
      </c>
      <c r="W2020">
        <v>42.63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3</v>
      </c>
      <c r="AE2020">
        <v>0</v>
      </c>
      <c r="AF2020">
        <v>0</v>
      </c>
      <c r="AG2020">
        <v>0</v>
      </c>
      <c r="AH2020">
        <v>0</v>
      </c>
      <c r="AI2020">
        <v>0</v>
      </c>
      <c r="AJ2020">
        <v>0</v>
      </c>
      <c r="AK2020">
        <v>0</v>
      </c>
    </row>
    <row r="2021" spans="1:37" x14ac:dyDescent="0.3">
      <c r="A2021">
        <v>7979</v>
      </c>
      <c r="B2021" t="s">
        <v>219</v>
      </c>
      <c r="D2021" t="s">
        <v>327</v>
      </c>
      <c r="E2021">
        <v>99999999</v>
      </c>
      <c r="F2021">
        <v>11111111</v>
      </c>
      <c r="G2021">
        <v>1111111111</v>
      </c>
      <c r="H2021" t="s">
        <v>5590</v>
      </c>
      <c r="I2021">
        <v>99999999</v>
      </c>
      <c r="J2021" s="188">
        <v>45238</v>
      </c>
      <c r="K2021" t="s">
        <v>5590</v>
      </c>
      <c r="L2021" t="s">
        <v>5590</v>
      </c>
      <c r="M2021" t="s">
        <v>278</v>
      </c>
      <c r="N2021" t="s">
        <v>99</v>
      </c>
      <c r="O2021" t="s">
        <v>2706</v>
      </c>
      <c r="P2021" t="s">
        <v>221</v>
      </c>
      <c r="Q2021" t="s">
        <v>82</v>
      </c>
      <c r="R2021">
        <v>1</v>
      </c>
      <c r="S2021">
        <v>10</v>
      </c>
      <c r="T2021">
        <v>0</v>
      </c>
      <c r="U2021">
        <v>1</v>
      </c>
      <c r="V2021">
        <v>1</v>
      </c>
      <c r="W2021">
        <v>24.65</v>
      </c>
      <c r="X2021">
        <v>0</v>
      </c>
      <c r="Y2021">
        <v>0</v>
      </c>
      <c r="Z2021">
        <v>0</v>
      </c>
      <c r="AA2021">
        <v>0</v>
      </c>
      <c r="AB2021">
        <v>0</v>
      </c>
      <c r="AC2021">
        <v>0</v>
      </c>
      <c r="AD2021">
        <v>1</v>
      </c>
      <c r="AE2021">
        <v>0</v>
      </c>
      <c r="AF2021">
        <v>0</v>
      </c>
      <c r="AG2021">
        <v>0</v>
      </c>
      <c r="AH2021">
        <v>0</v>
      </c>
      <c r="AI2021">
        <v>0</v>
      </c>
      <c r="AJ2021">
        <v>0</v>
      </c>
      <c r="AK2021">
        <v>0</v>
      </c>
    </row>
    <row r="2022" spans="1:37" x14ac:dyDescent="0.3">
      <c r="A2022">
        <v>7979</v>
      </c>
      <c r="B2022" t="s">
        <v>219</v>
      </c>
      <c r="D2022" t="s">
        <v>327</v>
      </c>
      <c r="E2022">
        <v>99999999</v>
      </c>
      <c r="F2022">
        <v>11111111</v>
      </c>
      <c r="G2022">
        <v>1111111111</v>
      </c>
      <c r="H2022" t="s">
        <v>5591</v>
      </c>
      <c r="I2022">
        <v>99999999</v>
      </c>
      <c r="J2022" s="188">
        <v>45238</v>
      </c>
      <c r="K2022" t="s">
        <v>5591</v>
      </c>
      <c r="L2022" t="s">
        <v>5591</v>
      </c>
      <c r="M2022" t="s">
        <v>1790</v>
      </c>
      <c r="N2022" t="s">
        <v>164</v>
      </c>
      <c r="O2022" t="s">
        <v>2707</v>
      </c>
      <c r="P2022" t="s">
        <v>221</v>
      </c>
      <c r="Q2022" t="s">
        <v>82</v>
      </c>
      <c r="R2022">
        <v>1</v>
      </c>
      <c r="S2022">
        <v>5.24</v>
      </c>
      <c r="T2022">
        <v>0</v>
      </c>
      <c r="U2022">
        <v>1</v>
      </c>
      <c r="V2022">
        <v>1</v>
      </c>
      <c r="W2022">
        <v>23.09</v>
      </c>
      <c r="X2022">
        <v>0</v>
      </c>
      <c r="Y2022">
        <v>0</v>
      </c>
      <c r="Z2022">
        <v>0</v>
      </c>
      <c r="AA2022">
        <v>0</v>
      </c>
      <c r="AB2022">
        <v>0</v>
      </c>
      <c r="AC2022">
        <v>0</v>
      </c>
      <c r="AD2022">
        <v>1</v>
      </c>
      <c r="AE2022">
        <v>0</v>
      </c>
      <c r="AF2022">
        <v>0</v>
      </c>
      <c r="AG2022">
        <v>0</v>
      </c>
      <c r="AH2022">
        <v>0</v>
      </c>
      <c r="AI2022">
        <v>0</v>
      </c>
      <c r="AJ2022">
        <v>0</v>
      </c>
      <c r="AK2022">
        <v>0</v>
      </c>
    </row>
    <row r="2023" spans="1:37" x14ac:dyDescent="0.3">
      <c r="A2023">
        <v>7979</v>
      </c>
      <c r="B2023" t="s">
        <v>219</v>
      </c>
      <c r="D2023" t="s">
        <v>327</v>
      </c>
      <c r="E2023">
        <v>99999999</v>
      </c>
      <c r="F2023">
        <v>11111111</v>
      </c>
      <c r="G2023">
        <v>1111111111</v>
      </c>
      <c r="H2023" t="s">
        <v>5592</v>
      </c>
      <c r="I2023">
        <v>99999999</v>
      </c>
      <c r="J2023" s="188">
        <v>45238</v>
      </c>
      <c r="K2023" t="s">
        <v>5592</v>
      </c>
      <c r="L2023" t="s">
        <v>5592</v>
      </c>
      <c r="M2023" t="s">
        <v>280</v>
      </c>
      <c r="N2023" t="s">
        <v>197</v>
      </c>
      <c r="O2023" t="s">
        <v>2708</v>
      </c>
      <c r="P2023" t="s">
        <v>221</v>
      </c>
      <c r="Q2023" t="s">
        <v>82</v>
      </c>
      <c r="R2023">
        <v>1</v>
      </c>
      <c r="S2023">
        <v>6</v>
      </c>
      <c r="T2023">
        <v>0</v>
      </c>
      <c r="U2023">
        <v>1</v>
      </c>
      <c r="V2023">
        <v>1</v>
      </c>
      <c r="W2023">
        <v>31.59</v>
      </c>
      <c r="X2023">
        <v>0</v>
      </c>
      <c r="Y2023">
        <v>0</v>
      </c>
      <c r="Z2023">
        <v>0</v>
      </c>
      <c r="AA2023">
        <v>0</v>
      </c>
      <c r="AB2023">
        <v>0</v>
      </c>
      <c r="AC2023">
        <v>0</v>
      </c>
      <c r="AD2023">
        <v>1</v>
      </c>
      <c r="AE2023">
        <v>0</v>
      </c>
      <c r="AF2023">
        <v>0</v>
      </c>
      <c r="AG2023">
        <v>0</v>
      </c>
      <c r="AH2023">
        <v>0</v>
      </c>
      <c r="AI2023">
        <v>0</v>
      </c>
      <c r="AJ2023">
        <v>0</v>
      </c>
      <c r="AK2023">
        <v>0</v>
      </c>
    </row>
    <row r="2024" spans="1:37" x14ac:dyDescent="0.3">
      <c r="A2024">
        <v>7979</v>
      </c>
      <c r="B2024" t="s">
        <v>219</v>
      </c>
      <c r="D2024" t="s">
        <v>327</v>
      </c>
      <c r="E2024">
        <v>99999999</v>
      </c>
      <c r="F2024">
        <v>11111111</v>
      </c>
      <c r="G2024">
        <v>1111111111</v>
      </c>
      <c r="H2024" t="s">
        <v>5593</v>
      </c>
      <c r="I2024">
        <v>99999999</v>
      </c>
      <c r="J2024" s="188">
        <v>45238</v>
      </c>
      <c r="K2024" t="s">
        <v>5593</v>
      </c>
      <c r="L2024" t="s">
        <v>5593</v>
      </c>
      <c r="M2024" t="s">
        <v>2632</v>
      </c>
      <c r="N2024" t="s">
        <v>91</v>
      </c>
      <c r="O2024" t="s">
        <v>2709</v>
      </c>
      <c r="P2024" t="s">
        <v>221</v>
      </c>
      <c r="Q2024" t="s">
        <v>82</v>
      </c>
      <c r="R2024">
        <v>2</v>
      </c>
      <c r="S2024">
        <v>22.166</v>
      </c>
      <c r="T2024">
        <v>0</v>
      </c>
      <c r="U2024">
        <v>1</v>
      </c>
      <c r="V2024">
        <v>2</v>
      </c>
      <c r="W2024">
        <v>34.08</v>
      </c>
      <c r="X2024">
        <v>0</v>
      </c>
      <c r="Y2024">
        <v>0</v>
      </c>
      <c r="Z2024">
        <v>0</v>
      </c>
      <c r="AA2024">
        <v>0</v>
      </c>
      <c r="AB2024">
        <v>0</v>
      </c>
      <c r="AC2024">
        <v>0</v>
      </c>
      <c r="AD2024">
        <v>2</v>
      </c>
      <c r="AE2024">
        <v>0</v>
      </c>
      <c r="AF2024">
        <v>0</v>
      </c>
      <c r="AG2024">
        <v>0</v>
      </c>
      <c r="AH2024">
        <v>0</v>
      </c>
      <c r="AI2024">
        <v>0</v>
      </c>
      <c r="AJ2024">
        <v>0</v>
      </c>
      <c r="AK2024">
        <v>0</v>
      </c>
    </row>
    <row r="2025" spans="1:37" x14ac:dyDescent="0.3">
      <c r="A2025">
        <v>7979</v>
      </c>
      <c r="B2025" t="s">
        <v>219</v>
      </c>
      <c r="D2025" t="s">
        <v>327</v>
      </c>
      <c r="E2025">
        <v>99999999</v>
      </c>
      <c r="F2025">
        <v>11111111</v>
      </c>
      <c r="G2025">
        <v>1111111111</v>
      </c>
      <c r="H2025" t="s">
        <v>5594</v>
      </c>
      <c r="I2025">
        <v>99999999</v>
      </c>
      <c r="J2025" s="188">
        <v>45238</v>
      </c>
      <c r="K2025" t="s">
        <v>5594</v>
      </c>
      <c r="L2025" t="s">
        <v>5594</v>
      </c>
      <c r="M2025" t="s">
        <v>2173</v>
      </c>
      <c r="N2025" t="s">
        <v>197</v>
      </c>
      <c r="O2025" t="s">
        <v>2710</v>
      </c>
      <c r="P2025" t="s">
        <v>221</v>
      </c>
      <c r="Q2025" t="s">
        <v>82</v>
      </c>
      <c r="R2025">
        <v>10</v>
      </c>
      <c r="S2025">
        <v>28.722000000000001</v>
      </c>
      <c r="T2025">
        <v>0</v>
      </c>
      <c r="U2025">
        <v>1</v>
      </c>
      <c r="V2025">
        <v>4</v>
      </c>
      <c r="W2025">
        <v>49.8</v>
      </c>
      <c r="X2025">
        <v>0</v>
      </c>
      <c r="Y2025">
        <v>0</v>
      </c>
      <c r="Z2025">
        <v>0</v>
      </c>
      <c r="AA2025">
        <v>0</v>
      </c>
      <c r="AB2025">
        <v>0</v>
      </c>
      <c r="AC2025">
        <v>0</v>
      </c>
      <c r="AD2025">
        <v>10</v>
      </c>
      <c r="AE2025">
        <v>0</v>
      </c>
      <c r="AF2025">
        <v>0</v>
      </c>
      <c r="AG2025">
        <v>0</v>
      </c>
      <c r="AH2025">
        <v>0</v>
      </c>
      <c r="AI2025">
        <v>0</v>
      </c>
      <c r="AJ2025">
        <v>0</v>
      </c>
      <c r="AK2025">
        <v>0</v>
      </c>
    </row>
    <row r="2026" spans="1:37" x14ac:dyDescent="0.3">
      <c r="A2026">
        <v>7979</v>
      </c>
      <c r="B2026" t="s">
        <v>219</v>
      </c>
      <c r="D2026" t="s">
        <v>327</v>
      </c>
      <c r="E2026">
        <v>99999999</v>
      </c>
      <c r="F2026">
        <v>11111111</v>
      </c>
      <c r="G2026">
        <v>1111111111</v>
      </c>
      <c r="H2026" t="s">
        <v>5595</v>
      </c>
      <c r="I2026">
        <v>99999999</v>
      </c>
      <c r="J2026" s="188">
        <v>45238</v>
      </c>
      <c r="K2026" t="s">
        <v>5595</v>
      </c>
      <c r="L2026" t="s">
        <v>5595</v>
      </c>
      <c r="M2026" t="s">
        <v>754</v>
      </c>
      <c r="N2026" t="s">
        <v>130</v>
      </c>
      <c r="O2026" t="s">
        <v>2711</v>
      </c>
      <c r="P2026" t="s">
        <v>221</v>
      </c>
      <c r="Q2026" t="s">
        <v>82</v>
      </c>
      <c r="R2026">
        <v>3</v>
      </c>
      <c r="S2026">
        <v>3.25</v>
      </c>
      <c r="T2026">
        <v>0</v>
      </c>
      <c r="U2026">
        <v>1</v>
      </c>
      <c r="V2026">
        <v>2</v>
      </c>
      <c r="W2026">
        <v>23.59</v>
      </c>
      <c r="X2026">
        <v>0</v>
      </c>
      <c r="Y2026">
        <v>0</v>
      </c>
      <c r="Z2026">
        <v>0</v>
      </c>
      <c r="AA2026">
        <v>0</v>
      </c>
      <c r="AB2026">
        <v>0</v>
      </c>
      <c r="AC2026">
        <v>0</v>
      </c>
      <c r="AD2026">
        <v>3</v>
      </c>
      <c r="AE2026">
        <v>0</v>
      </c>
      <c r="AF2026">
        <v>0</v>
      </c>
      <c r="AG2026">
        <v>0</v>
      </c>
      <c r="AH2026">
        <v>0</v>
      </c>
      <c r="AI2026">
        <v>0</v>
      </c>
      <c r="AJ2026">
        <v>0</v>
      </c>
      <c r="AK2026">
        <v>0</v>
      </c>
    </row>
    <row r="2027" spans="1:37" x14ac:dyDescent="0.3">
      <c r="A2027">
        <v>7979</v>
      </c>
      <c r="B2027" t="s">
        <v>219</v>
      </c>
      <c r="D2027" t="s">
        <v>327</v>
      </c>
      <c r="E2027">
        <v>99999999</v>
      </c>
      <c r="F2027">
        <v>11111111</v>
      </c>
      <c r="G2027">
        <v>1111111111</v>
      </c>
      <c r="H2027" t="s">
        <v>5596</v>
      </c>
      <c r="I2027">
        <v>99999999</v>
      </c>
      <c r="J2027" s="188">
        <v>45238</v>
      </c>
      <c r="K2027" t="s">
        <v>5596</v>
      </c>
      <c r="L2027" t="s">
        <v>5596</v>
      </c>
      <c r="M2027" t="s">
        <v>2712</v>
      </c>
      <c r="N2027" t="s">
        <v>99</v>
      </c>
      <c r="O2027" t="s">
        <v>2713</v>
      </c>
      <c r="P2027" t="s">
        <v>221</v>
      </c>
      <c r="Q2027" t="s">
        <v>82</v>
      </c>
      <c r="R2027">
        <v>2</v>
      </c>
      <c r="S2027">
        <v>17.350000000000001</v>
      </c>
      <c r="T2027">
        <v>0</v>
      </c>
      <c r="U2027">
        <v>1</v>
      </c>
      <c r="V2027">
        <v>2</v>
      </c>
      <c r="W2027">
        <v>32.33</v>
      </c>
      <c r="X2027">
        <v>0</v>
      </c>
      <c r="Y2027">
        <v>0</v>
      </c>
      <c r="Z2027">
        <v>0</v>
      </c>
      <c r="AA2027">
        <v>0</v>
      </c>
      <c r="AB2027">
        <v>0</v>
      </c>
      <c r="AC2027">
        <v>0</v>
      </c>
      <c r="AD2027">
        <v>2</v>
      </c>
      <c r="AE2027">
        <v>0</v>
      </c>
      <c r="AF2027">
        <v>0</v>
      </c>
      <c r="AG2027">
        <v>0</v>
      </c>
      <c r="AH2027">
        <v>0</v>
      </c>
      <c r="AI2027">
        <v>0</v>
      </c>
      <c r="AJ2027">
        <v>0</v>
      </c>
      <c r="AK2027">
        <v>0</v>
      </c>
    </row>
    <row r="2028" spans="1:37" x14ac:dyDescent="0.3">
      <c r="A2028">
        <v>7979</v>
      </c>
      <c r="B2028" t="s">
        <v>219</v>
      </c>
      <c r="D2028" t="s">
        <v>327</v>
      </c>
      <c r="E2028">
        <v>99999999</v>
      </c>
      <c r="F2028">
        <v>11111111</v>
      </c>
      <c r="G2028">
        <v>1111111111</v>
      </c>
      <c r="H2028" t="s">
        <v>5597</v>
      </c>
      <c r="I2028">
        <v>99999999</v>
      </c>
      <c r="J2028" s="188">
        <v>45238</v>
      </c>
      <c r="K2028" t="s">
        <v>5597</v>
      </c>
      <c r="L2028" t="s">
        <v>5597</v>
      </c>
      <c r="M2028" t="s">
        <v>2714</v>
      </c>
      <c r="N2028" t="s">
        <v>99</v>
      </c>
      <c r="O2028" t="s">
        <v>2715</v>
      </c>
      <c r="P2028" t="s">
        <v>221</v>
      </c>
      <c r="Q2028" t="s">
        <v>82</v>
      </c>
      <c r="R2028">
        <v>2</v>
      </c>
      <c r="S2028">
        <v>9.48</v>
      </c>
      <c r="T2028">
        <v>0</v>
      </c>
      <c r="U2028">
        <v>1</v>
      </c>
      <c r="V2028">
        <v>2</v>
      </c>
      <c r="W2028">
        <v>24.41</v>
      </c>
      <c r="X2028">
        <v>0</v>
      </c>
      <c r="Y2028">
        <v>0</v>
      </c>
      <c r="Z2028">
        <v>0</v>
      </c>
      <c r="AA2028">
        <v>0</v>
      </c>
      <c r="AB2028">
        <v>0</v>
      </c>
      <c r="AC2028">
        <v>0</v>
      </c>
      <c r="AD2028">
        <v>2</v>
      </c>
      <c r="AE2028">
        <v>0</v>
      </c>
      <c r="AF2028">
        <v>0</v>
      </c>
      <c r="AG2028">
        <v>0</v>
      </c>
      <c r="AH2028">
        <v>0</v>
      </c>
      <c r="AI2028">
        <v>0</v>
      </c>
      <c r="AJ2028">
        <v>0</v>
      </c>
      <c r="AK2028">
        <v>0</v>
      </c>
    </row>
    <row r="2029" spans="1:37" x14ac:dyDescent="0.3">
      <c r="A2029">
        <v>7979</v>
      </c>
      <c r="B2029" t="s">
        <v>219</v>
      </c>
      <c r="D2029" t="s">
        <v>327</v>
      </c>
      <c r="E2029">
        <v>99999999</v>
      </c>
      <c r="F2029">
        <v>11111111</v>
      </c>
      <c r="G2029">
        <v>1111111111</v>
      </c>
      <c r="H2029" t="s">
        <v>5598</v>
      </c>
      <c r="I2029">
        <v>99999999</v>
      </c>
      <c r="J2029" s="188">
        <v>45238</v>
      </c>
      <c r="K2029" t="s">
        <v>5598</v>
      </c>
      <c r="L2029" t="s">
        <v>5598</v>
      </c>
      <c r="M2029" t="s">
        <v>2716</v>
      </c>
      <c r="N2029" t="s">
        <v>197</v>
      </c>
      <c r="O2029" t="s">
        <v>2717</v>
      </c>
      <c r="P2029" t="s">
        <v>221</v>
      </c>
      <c r="Q2029" t="s">
        <v>82</v>
      </c>
      <c r="R2029">
        <v>2</v>
      </c>
      <c r="S2029">
        <v>10.4</v>
      </c>
      <c r="T2029">
        <v>0</v>
      </c>
      <c r="U2029">
        <v>1</v>
      </c>
      <c r="V2029">
        <v>2</v>
      </c>
      <c r="W2029">
        <v>27.44</v>
      </c>
      <c r="X2029">
        <v>0</v>
      </c>
      <c r="Y2029">
        <v>0</v>
      </c>
      <c r="Z2029">
        <v>0</v>
      </c>
      <c r="AA2029">
        <v>0</v>
      </c>
      <c r="AB2029">
        <v>0</v>
      </c>
      <c r="AC2029">
        <v>0</v>
      </c>
      <c r="AD2029">
        <v>2</v>
      </c>
      <c r="AE2029">
        <v>0</v>
      </c>
      <c r="AF2029">
        <v>0</v>
      </c>
      <c r="AG2029">
        <v>0</v>
      </c>
      <c r="AH2029">
        <v>0</v>
      </c>
      <c r="AI2029">
        <v>0</v>
      </c>
      <c r="AJ2029">
        <v>0</v>
      </c>
      <c r="AK2029">
        <v>0</v>
      </c>
    </row>
    <row r="2030" spans="1:37" x14ac:dyDescent="0.3">
      <c r="A2030">
        <v>7979</v>
      </c>
      <c r="B2030" t="s">
        <v>219</v>
      </c>
      <c r="D2030" t="s">
        <v>327</v>
      </c>
      <c r="E2030">
        <v>99999999</v>
      </c>
      <c r="F2030">
        <v>11111111</v>
      </c>
      <c r="G2030">
        <v>1111111111</v>
      </c>
      <c r="H2030" t="s">
        <v>5599</v>
      </c>
      <c r="I2030">
        <v>99999999</v>
      </c>
      <c r="J2030" s="188">
        <v>45238</v>
      </c>
      <c r="K2030" t="s">
        <v>5599</v>
      </c>
      <c r="L2030" t="s">
        <v>5599</v>
      </c>
      <c r="M2030" t="s">
        <v>2718</v>
      </c>
      <c r="N2030" t="s">
        <v>164</v>
      </c>
      <c r="O2030" t="s">
        <v>2719</v>
      </c>
      <c r="P2030" t="s">
        <v>221</v>
      </c>
      <c r="Q2030" t="s">
        <v>82</v>
      </c>
      <c r="R2030">
        <v>2</v>
      </c>
      <c r="S2030">
        <v>14.9</v>
      </c>
      <c r="T2030">
        <v>0</v>
      </c>
      <c r="U2030">
        <v>1</v>
      </c>
      <c r="V2030">
        <v>2</v>
      </c>
      <c r="W2030">
        <v>34.119999999999997</v>
      </c>
      <c r="X2030">
        <v>0</v>
      </c>
      <c r="Y2030">
        <v>0</v>
      </c>
      <c r="Z2030">
        <v>0</v>
      </c>
      <c r="AA2030">
        <v>0</v>
      </c>
      <c r="AB2030">
        <v>0</v>
      </c>
      <c r="AC2030">
        <v>0</v>
      </c>
      <c r="AD2030">
        <v>2</v>
      </c>
      <c r="AE2030">
        <v>0</v>
      </c>
      <c r="AF2030">
        <v>0</v>
      </c>
      <c r="AG2030">
        <v>0</v>
      </c>
      <c r="AH2030">
        <v>0</v>
      </c>
      <c r="AI2030">
        <v>0</v>
      </c>
      <c r="AJ2030">
        <v>0</v>
      </c>
      <c r="AK2030">
        <v>0</v>
      </c>
    </row>
    <row r="2031" spans="1:37" x14ac:dyDescent="0.3">
      <c r="A2031">
        <v>7979</v>
      </c>
      <c r="B2031" t="s">
        <v>219</v>
      </c>
      <c r="D2031" t="s">
        <v>327</v>
      </c>
      <c r="E2031">
        <v>99999999</v>
      </c>
      <c r="F2031">
        <v>11111111</v>
      </c>
      <c r="G2031">
        <v>1111111111</v>
      </c>
      <c r="H2031" t="s">
        <v>5600</v>
      </c>
      <c r="I2031">
        <v>99999999</v>
      </c>
      <c r="J2031" s="188">
        <v>45238</v>
      </c>
      <c r="K2031" t="s">
        <v>5600</v>
      </c>
      <c r="L2031" t="s">
        <v>5600</v>
      </c>
      <c r="M2031" t="s">
        <v>1540</v>
      </c>
      <c r="N2031" t="s">
        <v>104</v>
      </c>
      <c r="O2031" t="s">
        <v>2720</v>
      </c>
      <c r="P2031" t="s">
        <v>221</v>
      </c>
      <c r="Q2031" t="s">
        <v>82</v>
      </c>
      <c r="R2031">
        <v>1</v>
      </c>
      <c r="S2031">
        <v>16</v>
      </c>
      <c r="T2031">
        <v>0</v>
      </c>
      <c r="U2031">
        <v>1</v>
      </c>
      <c r="V2031">
        <v>1</v>
      </c>
      <c r="W2031">
        <v>26.08</v>
      </c>
      <c r="X2031">
        <v>0</v>
      </c>
      <c r="Y2031">
        <v>0</v>
      </c>
      <c r="Z2031">
        <v>0</v>
      </c>
      <c r="AA2031">
        <v>0</v>
      </c>
      <c r="AB2031">
        <v>0</v>
      </c>
      <c r="AC2031">
        <v>0</v>
      </c>
      <c r="AD2031">
        <v>1</v>
      </c>
      <c r="AE2031">
        <v>0</v>
      </c>
      <c r="AF2031">
        <v>0</v>
      </c>
      <c r="AG2031">
        <v>0</v>
      </c>
      <c r="AH2031">
        <v>0</v>
      </c>
      <c r="AI2031">
        <v>0</v>
      </c>
      <c r="AJ2031">
        <v>0</v>
      </c>
      <c r="AK2031">
        <v>0</v>
      </c>
    </row>
    <row r="2032" spans="1:37" x14ac:dyDescent="0.3">
      <c r="A2032">
        <v>7979</v>
      </c>
      <c r="B2032" t="s">
        <v>219</v>
      </c>
      <c r="D2032" t="s">
        <v>327</v>
      </c>
      <c r="E2032">
        <v>99999999</v>
      </c>
      <c r="F2032">
        <v>11111111</v>
      </c>
      <c r="G2032">
        <v>1111111111</v>
      </c>
      <c r="H2032" t="s">
        <v>5601</v>
      </c>
      <c r="I2032">
        <v>99999999</v>
      </c>
      <c r="J2032" s="188">
        <v>45238</v>
      </c>
      <c r="K2032" t="s">
        <v>5601</v>
      </c>
      <c r="L2032" t="s">
        <v>5601</v>
      </c>
      <c r="M2032" t="s">
        <v>1582</v>
      </c>
      <c r="N2032" t="s">
        <v>85</v>
      </c>
      <c r="O2032" t="s">
        <v>2721</v>
      </c>
      <c r="P2032" t="s">
        <v>221</v>
      </c>
      <c r="Q2032" t="s">
        <v>82</v>
      </c>
      <c r="R2032">
        <v>1</v>
      </c>
      <c r="S2032">
        <v>2.5</v>
      </c>
      <c r="T2032">
        <v>0</v>
      </c>
      <c r="U2032">
        <v>1</v>
      </c>
      <c r="V2032">
        <v>1</v>
      </c>
      <c r="W2032">
        <v>27.42</v>
      </c>
      <c r="X2032">
        <v>0</v>
      </c>
      <c r="Y2032">
        <v>0</v>
      </c>
      <c r="Z2032">
        <v>0</v>
      </c>
      <c r="AA2032">
        <v>0</v>
      </c>
      <c r="AB2032">
        <v>0</v>
      </c>
      <c r="AC2032">
        <v>0</v>
      </c>
      <c r="AD2032">
        <v>1</v>
      </c>
      <c r="AE2032">
        <v>0</v>
      </c>
      <c r="AF2032">
        <v>0</v>
      </c>
      <c r="AG2032">
        <v>0</v>
      </c>
      <c r="AH2032">
        <v>0</v>
      </c>
      <c r="AI2032">
        <v>0</v>
      </c>
      <c r="AJ2032">
        <v>0</v>
      </c>
      <c r="AK2032">
        <v>0</v>
      </c>
    </row>
    <row r="2033" spans="1:37" x14ac:dyDescent="0.3">
      <c r="A2033">
        <v>7979</v>
      </c>
      <c r="B2033" t="s">
        <v>219</v>
      </c>
      <c r="D2033" t="s">
        <v>327</v>
      </c>
      <c r="E2033">
        <v>99999999</v>
      </c>
      <c r="F2033">
        <v>11111111</v>
      </c>
      <c r="G2033">
        <v>1111111111</v>
      </c>
      <c r="H2033" t="s">
        <v>5602</v>
      </c>
      <c r="I2033">
        <v>99999999</v>
      </c>
      <c r="J2033" s="188">
        <v>45238</v>
      </c>
      <c r="K2033" t="s">
        <v>5602</v>
      </c>
      <c r="L2033" t="s">
        <v>5602</v>
      </c>
      <c r="M2033" t="s">
        <v>387</v>
      </c>
      <c r="N2033" t="s">
        <v>99</v>
      </c>
      <c r="O2033" t="s">
        <v>604</v>
      </c>
      <c r="P2033" t="s">
        <v>221</v>
      </c>
      <c r="Q2033" t="s">
        <v>82</v>
      </c>
      <c r="R2033">
        <v>2</v>
      </c>
      <c r="S2033">
        <v>27.9</v>
      </c>
      <c r="T2033">
        <v>0</v>
      </c>
      <c r="U2033">
        <v>1</v>
      </c>
      <c r="V2033">
        <v>1</v>
      </c>
      <c r="W2033">
        <v>34.25</v>
      </c>
      <c r="X2033">
        <v>0</v>
      </c>
      <c r="Y2033">
        <v>0</v>
      </c>
      <c r="Z2033">
        <v>0</v>
      </c>
      <c r="AA2033">
        <v>0</v>
      </c>
      <c r="AB2033">
        <v>0</v>
      </c>
      <c r="AC2033">
        <v>0</v>
      </c>
      <c r="AD2033">
        <v>2</v>
      </c>
      <c r="AE2033">
        <v>0</v>
      </c>
      <c r="AF2033">
        <v>0</v>
      </c>
      <c r="AG2033">
        <v>0</v>
      </c>
      <c r="AH2033">
        <v>0</v>
      </c>
      <c r="AI2033">
        <v>0</v>
      </c>
      <c r="AJ2033">
        <v>0</v>
      </c>
      <c r="AK2033">
        <v>0</v>
      </c>
    </row>
    <row r="2034" spans="1:37" x14ac:dyDescent="0.3">
      <c r="A2034">
        <v>7979</v>
      </c>
      <c r="B2034" t="s">
        <v>219</v>
      </c>
      <c r="D2034" t="s">
        <v>327</v>
      </c>
      <c r="E2034">
        <v>99999999</v>
      </c>
      <c r="F2034">
        <v>11111111</v>
      </c>
      <c r="G2034">
        <v>1111111111</v>
      </c>
      <c r="H2034" t="s">
        <v>5603</v>
      </c>
      <c r="I2034">
        <v>99999999</v>
      </c>
      <c r="J2034" s="188">
        <v>45238</v>
      </c>
      <c r="K2034" t="s">
        <v>5603</v>
      </c>
      <c r="L2034" t="s">
        <v>5603</v>
      </c>
      <c r="M2034" t="s">
        <v>677</v>
      </c>
      <c r="N2034" t="s">
        <v>85</v>
      </c>
      <c r="O2034" t="s">
        <v>2722</v>
      </c>
      <c r="P2034" t="s">
        <v>221</v>
      </c>
      <c r="Q2034" t="s">
        <v>82</v>
      </c>
      <c r="R2034">
        <v>2</v>
      </c>
      <c r="S2034">
        <v>14.4</v>
      </c>
      <c r="T2034">
        <v>0</v>
      </c>
      <c r="U2034">
        <v>1</v>
      </c>
      <c r="V2034">
        <v>2</v>
      </c>
      <c r="W2034">
        <v>25.51</v>
      </c>
      <c r="X2034">
        <v>0</v>
      </c>
      <c r="Y2034">
        <v>0</v>
      </c>
      <c r="Z2034">
        <v>0</v>
      </c>
      <c r="AA2034">
        <v>0</v>
      </c>
      <c r="AB2034">
        <v>0</v>
      </c>
      <c r="AC2034">
        <v>0</v>
      </c>
      <c r="AD2034">
        <v>2</v>
      </c>
      <c r="AE2034">
        <v>0</v>
      </c>
      <c r="AF2034">
        <v>0</v>
      </c>
      <c r="AG2034">
        <v>0</v>
      </c>
      <c r="AH2034">
        <v>0</v>
      </c>
      <c r="AI2034">
        <v>0</v>
      </c>
      <c r="AJ2034">
        <v>0</v>
      </c>
      <c r="AK2034">
        <v>0</v>
      </c>
    </row>
    <row r="2035" spans="1:37" x14ac:dyDescent="0.3">
      <c r="A2035">
        <v>7979</v>
      </c>
      <c r="B2035" t="s">
        <v>219</v>
      </c>
      <c r="D2035" t="s">
        <v>327</v>
      </c>
      <c r="E2035">
        <v>99999999</v>
      </c>
      <c r="F2035">
        <v>11111111</v>
      </c>
      <c r="G2035">
        <v>1111111111</v>
      </c>
      <c r="H2035" t="s">
        <v>5604</v>
      </c>
      <c r="I2035">
        <v>99999999</v>
      </c>
      <c r="J2035" s="188">
        <v>45238</v>
      </c>
      <c r="K2035" t="s">
        <v>5604</v>
      </c>
      <c r="L2035" t="s">
        <v>5604</v>
      </c>
      <c r="M2035" t="s">
        <v>128</v>
      </c>
      <c r="N2035" t="s">
        <v>85</v>
      </c>
      <c r="O2035">
        <v>89506</v>
      </c>
      <c r="P2035" t="s">
        <v>221</v>
      </c>
      <c r="Q2035" t="s">
        <v>82</v>
      </c>
      <c r="R2035">
        <v>1</v>
      </c>
      <c r="S2035">
        <v>8.0500000000000007</v>
      </c>
      <c r="T2035">
        <v>0</v>
      </c>
      <c r="U2035">
        <v>1</v>
      </c>
      <c r="V2035">
        <v>1</v>
      </c>
      <c r="W2035">
        <v>21.46</v>
      </c>
      <c r="X2035">
        <v>0</v>
      </c>
      <c r="Y2035">
        <v>0</v>
      </c>
      <c r="Z2035">
        <v>0</v>
      </c>
      <c r="AA2035">
        <v>0</v>
      </c>
      <c r="AB2035">
        <v>0</v>
      </c>
      <c r="AC2035">
        <v>0</v>
      </c>
      <c r="AD2035">
        <v>1</v>
      </c>
      <c r="AE2035">
        <v>0</v>
      </c>
      <c r="AF2035">
        <v>0</v>
      </c>
      <c r="AG2035">
        <v>0</v>
      </c>
      <c r="AH2035">
        <v>0</v>
      </c>
      <c r="AI2035">
        <v>0</v>
      </c>
      <c r="AJ2035">
        <v>0</v>
      </c>
      <c r="AK2035">
        <v>0</v>
      </c>
    </row>
    <row r="2036" spans="1:37" x14ac:dyDescent="0.3">
      <c r="A2036">
        <v>7979</v>
      </c>
      <c r="B2036" t="s">
        <v>219</v>
      </c>
      <c r="D2036" t="s">
        <v>327</v>
      </c>
      <c r="E2036">
        <v>99999999</v>
      </c>
      <c r="F2036">
        <v>11111111</v>
      </c>
      <c r="G2036">
        <v>1111111111</v>
      </c>
      <c r="H2036" t="s">
        <v>5605</v>
      </c>
      <c r="I2036">
        <v>99999999</v>
      </c>
      <c r="J2036" s="188">
        <v>45237</v>
      </c>
      <c r="K2036" t="s">
        <v>5605</v>
      </c>
      <c r="L2036" t="s">
        <v>5605</v>
      </c>
      <c r="M2036" t="s">
        <v>1366</v>
      </c>
      <c r="N2036" t="s">
        <v>97</v>
      </c>
      <c r="O2036">
        <v>98685</v>
      </c>
      <c r="P2036" t="s">
        <v>221</v>
      </c>
      <c r="Q2036" t="s">
        <v>82</v>
      </c>
      <c r="R2036">
        <v>2</v>
      </c>
      <c r="S2036">
        <v>28.8</v>
      </c>
      <c r="T2036">
        <v>0</v>
      </c>
      <c r="U2036">
        <v>1</v>
      </c>
      <c r="V2036">
        <v>2</v>
      </c>
      <c r="W2036">
        <v>35.32</v>
      </c>
      <c r="X2036">
        <v>0</v>
      </c>
      <c r="Y2036">
        <v>0</v>
      </c>
      <c r="Z2036">
        <v>0</v>
      </c>
      <c r="AA2036">
        <v>0</v>
      </c>
      <c r="AB2036">
        <v>0</v>
      </c>
      <c r="AC2036">
        <v>0</v>
      </c>
      <c r="AD2036">
        <v>2</v>
      </c>
      <c r="AE2036">
        <v>0</v>
      </c>
      <c r="AF2036">
        <v>0</v>
      </c>
      <c r="AG2036">
        <v>0</v>
      </c>
      <c r="AH2036">
        <v>0</v>
      </c>
      <c r="AI2036">
        <v>0</v>
      </c>
      <c r="AJ2036">
        <v>0</v>
      </c>
      <c r="AK2036">
        <v>0</v>
      </c>
    </row>
    <row r="2037" spans="1:37" x14ac:dyDescent="0.3">
      <c r="A2037">
        <v>7979</v>
      </c>
      <c r="B2037" t="s">
        <v>219</v>
      </c>
      <c r="D2037" t="s">
        <v>327</v>
      </c>
      <c r="E2037">
        <v>99999999</v>
      </c>
      <c r="F2037">
        <v>11111111</v>
      </c>
      <c r="G2037">
        <v>1111111111</v>
      </c>
      <c r="H2037" t="s">
        <v>5606</v>
      </c>
      <c r="I2037">
        <v>99999999</v>
      </c>
      <c r="J2037" s="188">
        <v>45237</v>
      </c>
      <c r="K2037" t="s">
        <v>5606</v>
      </c>
      <c r="L2037" t="s">
        <v>5606</v>
      </c>
      <c r="M2037" t="s">
        <v>1120</v>
      </c>
      <c r="N2037" t="s">
        <v>164</v>
      </c>
      <c r="O2037" t="s">
        <v>2723</v>
      </c>
      <c r="P2037" t="s">
        <v>221</v>
      </c>
      <c r="Q2037" t="s">
        <v>82</v>
      </c>
      <c r="R2037">
        <v>2</v>
      </c>
      <c r="S2037">
        <v>23.332000000000001</v>
      </c>
      <c r="T2037">
        <v>0</v>
      </c>
      <c r="U2037">
        <v>1</v>
      </c>
      <c r="V2037">
        <v>1</v>
      </c>
      <c r="W2037">
        <v>39.17</v>
      </c>
      <c r="X2037">
        <v>0</v>
      </c>
      <c r="Y2037">
        <v>0</v>
      </c>
      <c r="Z2037">
        <v>0</v>
      </c>
      <c r="AA2037">
        <v>0</v>
      </c>
      <c r="AB2037">
        <v>0</v>
      </c>
      <c r="AC2037">
        <v>0</v>
      </c>
      <c r="AD2037">
        <v>2</v>
      </c>
      <c r="AE2037">
        <v>0</v>
      </c>
      <c r="AF2037">
        <v>0</v>
      </c>
      <c r="AG2037">
        <v>0</v>
      </c>
      <c r="AH2037">
        <v>0</v>
      </c>
      <c r="AI2037">
        <v>0</v>
      </c>
      <c r="AJ2037">
        <v>0</v>
      </c>
      <c r="AK2037">
        <v>0</v>
      </c>
    </row>
    <row r="2038" spans="1:37" x14ac:dyDescent="0.3">
      <c r="A2038">
        <v>7979</v>
      </c>
      <c r="B2038" t="s">
        <v>219</v>
      </c>
      <c r="D2038" t="s">
        <v>327</v>
      </c>
      <c r="E2038">
        <v>99999999</v>
      </c>
      <c r="F2038">
        <v>11111111</v>
      </c>
      <c r="G2038">
        <v>1111111111</v>
      </c>
      <c r="H2038" t="s">
        <v>5607</v>
      </c>
      <c r="I2038">
        <v>99999999</v>
      </c>
      <c r="J2038" s="188">
        <v>45237</v>
      </c>
      <c r="K2038" t="s">
        <v>5607</v>
      </c>
      <c r="L2038" t="s">
        <v>5607</v>
      </c>
      <c r="M2038" t="s">
        <v>1284</v>
      </c>
      <c r="N2038" t="s">
        <v>97</v>
      </c>
      <c r="O2038" t="s">
        <v>2724</v>
      </c>
      <c r="P2038" t="s">
        <v>221</v>
      </c>
      <c r="Q2038" t="s">
        <v>82</v>
      </c>
      <c r="R2038">
        <v>3</v>
      </c>
      <c r="S2038">
        <v>6.72</v>
      </c>
      <c r="T2038">
        <v>0</v>
      </c>
      <c r="U2038">
        <v>1</v>
      </c>
      <c r="V2038">
        <v>3</v>
      </c>
      <c r="W2038">
        <v>24.15</v>
      </c>
      <c r="X2038">
        <v>0</v>
      </c>
      <c r="Y2038">
        <v>0</v>
      </c>
      <c r="Z2038">
        <v>0</v>
      </c>
      <c r="AA2038">
        <v>0</v>
      </c>
      <c r="AB2038">
        <v>0</v>
      </c>
      <c r="AC2038">
        <v>0</v>
      </c>
      <c r="AD2038">
        <v>3</v>
      </c>
      <c r="AE2038">
        <v>0</v>
      </c>
      <c r="AF2038">
        <v>0</v>
      </c>
      <c r="AG2038">
        <v>0</v>
      </c>
      <c r="AH2038">
        <v>0</v>
      </c>
      <c r="AI2038">
        <v>0</v>
      </c>
      <c r="AJ2038">
        <v>0</v>
      </c>
      <c r="AK2038">
        <v>0</v>
      </c>
    </row>
    <row r="2039" spans="1:37" x14ac:dyDescent="0.3">
      <c r="A2039">
        <v>7979</v>
      </c>
      <c r="B2039" t="s">
        <v>219</v>
      </c>
      <c r="D2039" t="s">
        <v>327</v>
      </c>
      <c r="E2039">
        <v>99999999</v>
      </c>
      <c r="F2039">
        <v>11111111</v>
      </c>
      <c r="G2039">
        <v>1111111111</v>
      </c>
      <c r="H2039" t="s">
        <v>5608</v>
      </c>
      <c r="I2039">
        <v>99999999</v>
      </c>
      <c r="J2039" s="188">
        <v>45237</v>
      </c>
      <c r="K2039" t="s">
        <v>5608</v>
      </c>
      <c r="L2039" t="s">
        <v>5608</v>
      </c>
      <c r="M2039" t="s">
        <v>2725</v>
      </c>
      <c r="N2039" t="s">
        <v>99</v>
      </c>
      <c r="O2039" t="s">
        <v>2726</v>
      </c>
      <c r="P2039" t="s">
        <v>221</v>
      </c>
      <c r="Q2039" t="s">
        <v>82</v>
      </c>
      <c r="R2039">
        <v>1</v>
      </c>
      <c r="S2039">
        <v>0.51</v>
      </c>
      <c r="T2039">
        <v>0</v>
      </c>
      <c r="U2039">
        <v>1</v>
      </c>
      <c r="V2039">
        <v>1</v>
      </c>
      <c r="W2039">
        <v>19.940000000000001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1</v>
      </c>
      <c r="AE2039">
        <v>0</v>
      </c>
      <c r="AF2039">
        <v>0</v>
      </c>
      <c r="AG2039">
        <v>0</v>
      </c>
      <c r="AH2039">
        <v>0</v>
      </c>
      <c r="AI2039">
        <v>0</v>
      </c>
      <c r="AJ2039">
        <v>0</v>
      </c>
      <c r="AK2039">
        <v>0</v>
      </c>
    </row>
    <row r="2040" spans="1:37" x14ac:dyDescent="0.3">
      <c r="A2040">
        <v>7979</v>
      </c>
      <c r="B2040" t="s">
        <v>219</v>
      </c>
      <c r="D2040" t="s">
        <v>327</v>
      </c>
      <c r="E2040">
        <v>99999999</v>
      </c>
      <c r="F2040">
        <v>11111111</v>
      </c>
      <c r="G2040">
        <v>1111111111</v>
      </c>
      <c r="H2040" t="s">
        <v>5609</v>
      </c>
      <c r="I2040">
        <v>99999999</v>
      </c>
      <c r="J2040" s="188">
        <v>45237</v>
      </c>
      <c r="K2040" t="s">
        <v>5609</v>
      </c>
      <c r="L2040" t="s">
        <v>5609</v>
      </c>
      <c r="M2040" t="s">
        <v>1626</v>
      </c>
      <c r="N2040" t="s">
        <v>130</v>
      </c>
      <c r="O2040" t="s">
        <v>2727</v>
      </c>
      <c r="P2040" t="s">
        <v>221</v>
      </c>
      <c r="Q2040" t="s">
        <v>82</v>
      </c>
      <c r="R2040">
        <v>1</v>
      </c>
      <c r="S2040">
        <v>15</v>
      </c>
      <c r="T2040">
        <v>0</v>
      </c>
      <c r="U2040">
        <v>1</v>
      </c>
      <c r="V2040">
        <v>1</v>
      </c>
      <c r="W2040">
        <v>28.55</v>
      </c>
      <c r="X2040">
        <v>0</v>
      </c>
      <c r="Y2040">
        <v>0</v>
      </c>
      <c r="Z2040">
        <v>0</v>
      </c>
      <c r="AA2040">
        <v>0</v>
      </c>
      <c r="AB2040">
        <v>0</v>
      </c>
      <c r="AC2040">
        <v>0</v>
      </c>
      <c r="AD2040">
        <v>1</v>
      </c>
      <c r="AE2040">
        <v>0</v>
      </c>
      <c r="AF2040">
        <v>0</v>
      </c>
      <c r="AG2040">
        <v>0</v>
      </c>
      <c r="AH2040">
        <v>0</v>
      </c>
      <c r="AI2040">
        <v>0</v>
      </c>
      <c r="AJ2040">
        <v>0</v>
      </c>
      <c r="AK2040">
        <v>0</v>
      </c>
    </row>
    <row r="2041" spans="1:37" x14ac:dyDescent="0.3">
      <c r="A2041">
        <v>7979</v>
      </c>
      <c r="B2041" t="s">
        <v>219</v>
      </c>
      <c r="D2041" t="s">
        <v>327</v>
      </c>
      <c r="E2041">
        <v>99999999</v>
      </c>
      <c r="F2041">
        <v>11111111</v>
      </c>
      <c r="G2041">
        <v>1111111111</v>
      </c>
      <c r="H2041" t="s">
        <v>5610</v>
      </c>
      <c r="I2041">
        <v>99999999</v>
      </c>
      <c r="J2041" s="188">
        <v>45237</v>
      </c>
      <c r="K2041" t="s">
        <v>5610</v>
      </c>
      <c r="L2041" t="s">
        <v>5610</v>
      </c>
      <c r="M2041" t="s">
        <v>1217</v>
      </c>
      <c r="N2041" t="s">
        <v>197</v>
      </c>
      <c r="O2041" t="s">
        <v>2728</v>
      </c>
      <c r="P2041" t="s">
        <v>221</v>
      </c>
      <c r="Q2041" t="s">
        <v>82</v>
      </c>
      <c r="R2041">
        <v>1</v>
      </c>
      <c r="S2041">
        <v>11.666</v>
      </c>
      <c r="T2041">
        <v>0</v>
      </c>
      <c r="U2041">
        <v>1</v>
      </c>
      <c r="V2041">
        <v>1</v>
      </c>
      <c r="W2041">
        <v>33.93</v>
      </c>
      <c r="X2041">
        <v>0</v>
      </c>
      <c r="Y2041">
        <v>0</v>
      </c>
      <c r="Z2041">
        <v>0</v>
      </c>
      <c r="AA2041">
        <v>0</v>
      </c>
      <c r="AB2041">
        <v>0</v>
      </c>
      <c r="AC2041">
        <v>0</v>
      </c>
      <c r="AD2041">
        <v>1</v>
      </c>
      <c r="AE2041">
        <v>0</v>
      </c>
      <c r="AF2041">
        <v>0</v>
      </c>
      <c r="AG2041">
        <v>0</v>
      </c>
      <c r="AH2041">
        <v>0</v>
      </c>
      <c r="AI2041">
        <v>0</v>
      </c>
      <c r="AJ2041">
        <v>0</v>
      </c>
      <c r="AK2041">
        <v>0</v>
      </c>
    </row>
    <row r="2042" spans="1:37" x14ac:dyDescent="0.3">
      <c r="A2042">
        <v>7979</v>
      </c>
      <c r="B2042" t="s">
        <v>219</v>
      </c>
      <c r="D2042" t="s">
        <v>327</v>
      </c>
      <c r="E2042">
        <v>99999999</v>
      </c>
      <c r="F2042">
        <v>11111111</v>
      </c>
      <c r="G2042">
        <v>1111111111</v>
      </c>
      <c r="H2042" t="s">
        <v>5611</v>
      </c>
      <c r="I2042">
        <v>99999999</v>
      </c>
      <c r="J2042" s="188">
        <v>45237</v>
      </c>
      <c r="K2042" t="s">
        <v>5611</v>
      </c>
      <c r="L2042" t="s">
        <v>5611</v>
      </c>
      <c r="M2042" t="s">
        <v>672</v>
      </c>
      <c r="N2042" t="s">
        <v>91</v>
      </c>
      <c r="O2042" t="s">
        <v>2729</v>
      </c>
      <c r="P2042" t="s">
        <v>221</v>
      </c>
      <c r="Q2042" t="s">
        <v>82</v>
      </c>
      <c r="R2042">
        <v>1</v>
      </c>
      <c r="S2042">
        <v>4.1100000000000003</v>
      </c>
      <c r="T2042">
        <v>0</v>
      </c>
      <c r="U2042">
        <v>1</v>
      </c>
      <c r="V2042">
        <v>1</v>
      </c>
      <c r="W2042">
        <v>29.05</v>
      </c>
      <c r="X2042">
        <v>0</v>
      </c>
      <c r="Y2042">
        <v>0</v>
      </c>
      <c r="Z2042">
        <v>0</v>
      </c>
      <c r="AA2042">
        <v>0</v>
      </c>
      <c r="AB2042">
        <v>0</v>
      </c>
      <c r="AC2042">
        <v>0</v>
      </c>
      <c r="AD2042">
        <v>1</v>
      </c>
      <c r="AE2042">
        <v>0</v>
      </c>
      <c r="AF2042">
        <v>0</v>
      </c>
      <c r="AG2042">
        <v>0</v>
      </c>
      <c r="AH2042">
        <v>0</v>
      </c>
      <c r="AI2042">
        <v>0</v>
      </c>
      <c r="AJ2042">
        <v>0</v>
      </c>
      <c r="AK2042">
        <v>0</v>
      </c>
    </row>
    <row r="2043" spans="1:37" x14ac:dyDescent="0.3">
      <c r="A2043">
        <v>7979</v>
      </c>
      <c r="B2043" t="s">
        <v>219</v>
      </c>
      <c r="D2043" t="s">
        <v>327</v>
      </c>
      <c r="E2043">
        <v>99999999</v>
      </c>
      <c r="F2043">
        <v>11111111</v>
      </c>
      <c r="G2043">
        <v>1111111111</v>
      </c>
      <c r="H2043" t="s">
        <v>5612</v>
      </c>
      <c r="I2043">
        <v>99999999</v>
      </c>
      <c r="J2043" s="188">
        <v>45237</v>
      </c>
      <c r="K2043" t="s">
        <v>5612</v>
      </c>
      <c r="L2043" t="s">
        <v>5612</v>
      </c>
      <c r="M2043" t="s">
        <v>562</v>
      </c>
      <c r="N2043" t="s">
        <v>197</v>
      </c>
      <c r="O2043" t="s">
        <v>2730</v>
      </c>
      <c r="P2043" t="s">
        <v>221</v>
      </c>
      <c r="Q2043" t="s">
        <v>82</v>
      </c>
      <c r="R2043">
        <v>1</v>
      </c>
      <c r="S2043">
        <v>0.8</v>
      </c>
      <c r="T2043">
        <v>0</v>
      </c>
      <c r="U2043">
        <v>1</v>
      </c>
      <c r="V2043">
        <v>1</v>
      </c>
      <c r="W2043">
        <v>22.21</v>
      </c>
      <c r="X2043">
        <v>0</v>
      </c>
      <c r="Y2043">
        <v>0</v>
      </c>
      <c r="Z2043">
        <v>0</v>
      </c>
      <c r="AA2043">
        <v>0</v>
      </c>
      <c r="AB2043">
        <v>0</v>
      </c>
      <c r="AC2043">
        <v>0</v>
      </c>
      <c r="AD2043">
        <v>1</v>
      </c>
      <c r="AE2043">
        <v>0</v>
      </c>
      <c r="AF2043">
        <v>0</v>
      </c>
      <c r="AG2043">
        <v>0</v>
      </c>
      <c r="AH2043">
        <v>0</v>
      </c>
      <c r="AI2043">
        <v>0</v>
      </c>
      <c r="AJ2043">
        <v>0</v>
      </c>
      <c r="AK2043">
        <v>0</v>
      </c>
    </row>
    <row r="2044" spans="1:37" x14ac:dyDescent="0.3">
      <c r="A2044">
        <v>7979</v>
      </c>
      <c r="B2044" t="s">
        <v>219</v>
      </c>
      <c r="D2044" t="s">
        <v>327</v>
      </c>
      <c r="E2044">
        <v>99999999</v>
      </c>
      <c r="F2044">
        <v>11111111</v>
      </c>
      <c r="G2044">
        <v>1111111111</v>
      </c>
      <c r="H2044" t="s">
        <v>5613</v>
      </c>
      <c r="I2044">
        <v>99999999</v>
      </c>
      <c r="J2044" s="188">
        <v>45237</v>
      </c>
      <c r="K2044" t="s">
        <v>5613</v>
      </c>
      <c r="L2044" t="s">
        <v>5613</v>
      </c>
      <c r="M2044" t="s">
        <v>647</v>
      </c>
      <c r="N2044" t="s">
        <v>99</v>
      </c>
      <c r="O2044" t="s">
        <v>2731</v>
      </c>
      <c r="P2044" t="s">
        <v>221</v>
      </c>
      <c r="Q2044" t="s">
        <v>82</v>
      </c>
      <c r="R2044">
        <v>1</v>
      </c>
      <c r="S2044">
        <v>1.07</v>
      </c>
      <c r="T2044">
        <v>0</v>
      </c>
      <c r="U2044">
        <v>1</v>
      </c>
      <c r="V2044">
        <v>1</v>
      </c>
      <c r="W2044">
        <v>27.33</v>
      </c>
      <c r="X2044">
        <v>0</v>
      </c>
      <c r="Y2044">
        <v>0</v>
      </c>
      <c r="Z2044">
        <v>0</v>
      </c>
      <c r="AA2044">
        <v>0</v>
      </c>
      <c r="AB2044">
        <v>0</v>
      </c>
      <c r="AC2044">
        <v>0</v>
      </c>
      <c r="AD2044">
        <v>1</v>
      </c>
      <c r="AE2044">
        <v>0</v>
      </c>
      <c r="AF2044">
        <v>0</v>
      </c>
      <c r="AG2044">
        <v>0</v>
      </c>
      <c r="AH2044">
        <v>0</v>
      </c>
      <c r="AI2044">
        <v>0</v>
      </c>
      <c r="AJ2044">
        <v>0</v>
      </c>
      <c r="AK2044">
        <v>0</v>
      </c>
    </row>
    <row r="2045" spans="1:37" x14ac:dyDescent="0.3">
      <c r="A2045">
        <v>7979</v>
      </c>
      <c r="B2045" t="s">
        <v>219</v>
      </c>
      <c r="D2045" t="s">
        <v>327</v>
      </c>
      <c r="E2045">
        <v>99999999</v>
      </c>
      <c r="F2045">
        <v>11111111</v>
      </c>
      <c r="G2045">
        <v>1111111111</v>
      </c>
      <c r="H2045" t="s">
        <v>5614</v>
      </c>
      <c r="I2045">
        <v>99999999</v>
      </c>
      <c r="J2045" s="188">
        <v>45237</v>
      </c>
      <c r="K2045" t="s">
        <v>5614</v>
      </c>
      <c r="L2045" t="s">
        <v>5614</v>
      </c>
      <c r="M2045" t="s">
        <v>1604</v>
      </c>
      <c r="N2045" t="s">
        <v>99</v>
      </c>
      <c r="O2045" t="s">
        <v>2732</v>
      </c>
      <c r="P2045" t="s">
        <v>221</v>
      </c>
      <c r="Q2045" t="s">
        <v>82</v>
      </c>
      <c r="R2045">
        <v>1</v>
      </c>
      <c r="S2045">
        <v>8.8000000000000007</v>
      </c>
      <c r="T2045">
        <v>0</v>
      </c>
      <c r="U2045">
        <v>1</v>
      </c>
      <c r="V2045">
        <v>1</v>
      </c>
      <c r="W2045">
        <v>24.41</v>
      </c>
      <c r="X2045">
        <v>0</v>
      </c>
      <c r="Y2045">
        <v>0</v>
      </c>
      <c r="Z2045">
        <v>0</v>
      </c>
      <c r="AA2045">
        <v>0</v>
      </c>
      <c r="AB2045">
        <v>0</v>
      </c>
      <c r="AC2045">
        <v>0</v>
      </c>
      <c r="AD2045">
        <v>1</v>
      </c>
      <c r="AE2045">
        <v>0</v>
      </c>
      <c r="AF2045">
        <v>0</v>
      </c>
      <c r="AG2045">
        <v>0</v>
      </c>
      <c r="AH2045">
        <v>0</v>
      </c>
      <c r="AI2045">
        <v>0</v>
      </c>
      <c r="AJ2045">
        <v>0</v>
      </c>
      <c r="AK2045">
        <v>0</v>
      </c>
    </row>
    <row r="2046" spans="1:37" x14ac:dyDescent="0.3">
      <c r="A2046">
        <v>7979</v>
      </c>
      <c r="B2046" t="s">
        <v>219</v>
      </c>
      <c r="D2046" t="s">
        <v>327</v>
      </c>
      <c r="E2046">
        <v>99999999</v>
      </c>
      <c r="F2046">
        <v>11111111</v>
      </c>
      <c r="G2046">
        <v>1111111111</v>
      </c>
      <c r="H2046" t="s">
        <v>5615</v>
      </c>
      <c r="I2046">
        <v>99999999</v>
      </c>
      <c r="J2046" s="188">
        <v>45237</v>
      </c>
      <c r="K2046" t="s">
        <v>5615</v>
      </c>
      <c r="L2046" t="s">
        <v>5615</v>
      </c>
      <c r="M2046" t="s">
        <v>657</v>
      </c>
      <c r="N2046" t="s">
        <v>99</v>
      </c>
      <c r="O2046">
        <v>95658</v>
      </c>
      <c r="P2046" t="s">
        <v>221</v>
      </c>
      <c r="Q2046" t="s">
        <v>82</v>
      </c>
      <c r="R2046">
        <v>3</v>
      </c>
      <c r="S2046">
        <v>10.82</v>
      </c>
      <c r="T2046">
        <v>0</v>
      </c>
      <c r="U2046">
        <v>1</v>
      </c>
      <c r="V2046">
        <v>3</v>
      </c>
      <c r="W2046">
        <v>28.75</v>
      </c>
      <c r="X2046">
        <v>0</v>
      </c>
      <c r="Y2046">
        <v>0</v>
      </c>
      <c r="Z2046">
        <v>0</v>
      </c>
      <c r="AA2046">
        <v>0</v>
      </c>
      <c r="AB2046">
        <v>0</v>
      </c>
      <c r="AC2046">
        <v>0</v>
      </c>
      <c r="AD2046">
        <v>3</v>
      </c>
      <c r="AE2046">
        <v>0</v>
      </c>
      <c r="AF2046">
        <v>0</v>
      </c>
      <c r="AG2046">
        <v>0</v>
      </c>
      <c r="AH2046">
        <v>0</v>
      </c>
      <c r="AI2046">
        <v>0</v>
      </c>
      <c r="AJ2046">
        <v>0</v>
      </c>
      <c r="AK2046">
        <v>0</v>
      </c>
    </row>
    <row r="2047" spans="1:37" x14ac:dyDescent="0.3">
      <c r="A2047">
        <v>7979</v>
      </c>
      <c r="B2047" t="s">
        <v>219</v>
      </c>
      <c r="D2047" t="s">
        <v>327</v>
      </c>
      <c r="E2047">
        <v>99999999</v>
      </c>
      <c r="F2047">
        <v>11111111</v>
      </c>
      <c r="G2047">
        <v>1111111111</v>
      </c>
      <c r="H2047" t="s">
        <v>5616</v>
      </c>
      <c r="I2047">
        <v>99999999</v>
      </c>
      <c r="J2047" s="188">
        <v>45237</v>
      </c>
      <c r="K2047" t="s">
        <v>5616</v>
      </c>
      <c r="L2047" t="s">
        <v>5616</v>
      </c>
      <c r="M2047" t="s">
        <v>2733</v>
      </c>
      <c r="N2047" t="s">
        <v>99</v>
      </c>
      <c r="O2047" t="s">
        <v>2734</v>
      </c>
      <c r="P2047" t="s">
        <v>221</v>
      </c>
      <c r="Q2047" t="s">
        <v>82</v>
      </c>
      <c r="R2047">
        <v>5</v>
      </c>
      <c r="S2047">
        <v>8.56</v>
      </c>
      <c r="T2047">
        <v>0</v>
      </c>
      <c r="U2047">
        <v>1</v>
      </c>
      <c r="V2047">
        <v>5</v>
      </c>
      <c r="W2047">
        <v>24.41</v>
      </c>
      <c r="X2047">
        <v>0</v>
      </c>
      <c r="Y2047">
        <v>0</v>
      </c>
      <c r="Z2047">
        <v>0</v>
      </c>
      <c r="AA2047">
        <v>0</v>
      </c>
      <c r="AB2047">
        <v>0</v>
      </c>
      <c r="AC2047">
        <v>0</v>
      </c>
      <c r="AD2047">
        <v>5</v>
      </c>
      <c r="AE2047">
        <v>0</v>
      </c>
      <c r="AF2047">
        <v>0</v>
      </c>
      <c r="AG2047">
        <v>0</v>
      </c>
      <c r="AH2047">
        <v>0</v>
      </c>
      <c r="AI2047">
        <v>0</v>
      </c>
      <c r="AJ2047">
        <v>0</v>
      </c>
      <c r="AK2047">
        <v>0</v>
      </c>
    </row>
    <row r="2048" spans="1:37" x14ac:dyDescent="0.3">
      <c r="A2048">
        <v>7979</v>
      </c>
      <c r="B2048" t="s">
        <v>219</v>
      </c>
      <c r="D2048" t="s">
        <v>327</v>
      </c>
      <c r="E2048">
        <v>99999999</v>
      </c>
      <c r="F2048">
        <v>11111111</v>
      </c>
      <c r="G2048">
        <v>1111111111</v>
      </c>
      <c r="H2048" t="s">
        <v>5617</v>
      </c>
      <c r="I2048">
        <v>99999999</v>
      </c>
      <c r="J2048" s="188">
        <v>45237</v>
      </c>
      <c r="K2048" t="s">
        <v>5617</v>
      </c>
      <c r="L2048" t="s">
        <v>5617</v>
      </c>
      <c r="M2048" t="s">
        <v>831</v>
      </c>
      <c r="N2048" t="s">
        <v>130</v>
      </c>
      <c r="O2048" t="s">
        <v>2735</v>
      </c>
      <c r="P2048" t="s">
        <v>221</v>
      </c>
      <c r="Q2048" t="s">
        <v>82</v>
      </c>
      <c r="R2048">
        <v>1</v>
      </c>
      <c r="S2048">
        <v>2.2000000000000002</v>
      </c>
      <c r="T2048">
        <v>0</v>
      </c>
      <c r="U2048">
        <v>1</v>
      </c>
      <c r="V2048">
        <v>1</v>
      </c>
      <c r="W2048">
        <v>22.67</v>
      </c>
      <c r="X2048">
        <v>0</v>
      </c>
      <c r="Y2048">
        <v>0</v>
      </c>
      <c r="Z2048">
        <v>0</v>
      </c>
      <c r="AA2048">
        <v>0</v>
      </c>
      <c r="AB2048">
        <v>0</v>
      </c>
      <c r="AC2048">
        <v>0</v>
      </c>
      <c r="AD2048">
        <v>1</v>
      </c>
      <c r="AE2048">
        <v>0</v>
      </c>
      <c r="AF2048">
        <v>0</v>
      </c>
      <c r="AG2048">
        <v>0</v>
      </c>
      <c r="AH2048">
        <v>0</v>
      </c>
      <c r="AI2048">
        <v>0</v>
      </c>
      <c r="AJ2048">
        <v>0</v>
      </c>
      <c r="AK2048">
        <v>0</v>
      </c>
    </row>
    <row r="2049" spans="1:37" x14ac:dyDescent="0.3">
      <c r="A2049">
        <v>7979</v>
      </c>
      <c r="B2049" t="s">
        <v>219</v>
      </c>
      <c r="D2049" t="s">
        <v>327</v>
      </c>
      <c r="E2049">
        <v>99999999</v>
      </c>
      <c r="F2049">
        <v>11111111</v>
      </c>
      <c r="G2049">
        <v>1111111111</v>
      </c>
      <c r="H2049" t="s">
        <v>5618</v>
      </c>
      <c r="I2049">
        <v>99999999</v>
      </c>
      <c r="J2049" s="188">
        <v>45237</v>
      </c>
      <c r="K2049" t="s">
        <v>5618</v>
      </c>
      <c r="L2049" t="s">
        <v>5618</v>
      </c>
      <c r="M2049" t="s">
        <v>1130</v>
      </c>
      <c r="N2049" t="s">
        <v>197</v>
      </c>
      <c r="O2049" t="s">
        <v>2736</v>
      </c>
      <c r="P2049" t="s">
        <v>221</v>
      </c>
      <c r="Q2049" t="s">
        <v>82</v>
      </c>
      <c r="R2049">
        <v>3</v>
      </c>
      <c r="S2049">
        <v>3.9</v>
      </c>
      <c r="T2049">
        <v>0</v>
      </c>
      <c r="U2049">
        <v>1</v>
      </c>
      <c r="V2049">
        <v>3</v>
      </c>
      <c r="W2049">
        <v>33.369999999999997</v>
      </c>
      <c r="X2049">
        <v>0</v>
      </c>
      <c r="Y2049">
        <v>0</v>
      </c>
      <c r="Z2049">
        <v>0</v>
      </c>
      <c r="AA2049">
        <v>0</v>
      </c>
      <c r="AB2049">
        <v>0</v>
      </c>
      <c r="AC2049">
        <v>0</v>
      </c>
      <c r="AD2049">
        <v>3</v>
      </c>
      <c r="AE2049">
        <v>0</v>
      </c>
      <c r="AF2049">
        <v>0</v>
      </c>
      <c r="AG2049">
        <v>0</v>
      </c>
      <c r="AH2049">
        <v>0</v>
      </c>
      <c r="AI2049">
        <v>0</v>
      </c>
      <c r="AJ2049">
        <v>0</v>
      </c>
      <c r="AK2049">
        <v>0</v>
      </c>
    </row>
    <row r="2050" spans="1:37" x14ac:dyDescent="0.3">
      <c r="A2050">
        <v>7979</v>
      </c>
      <c r="B2050" t="s">
        <v>219</v>
      </c>
      <c r="D2050" t="s">
        <v>327</v>
      </c>
      <c r="E2050">
        <v>99999999</v>
      </c>
      <c r="F2050">
        <v>11111111</v>
      </c>
      <c r="G2050">
        <v>1111111111</v>
      </c>
      <c r="H2050" t="s">
        <v>5619</v>
      </c>
      <c r="I2050">
        <v>99999999</v>
      </c>
      <c r="J2050" s="188">
        <v>45237</v>
      </c>
      <c r="K2050" t="s">
        <v>5619</v>
      </c>
      <c r="L2050" t="s">
        <v>5619</v>
      </c>
      <c r="M2050" t="s">
        <v>2737</v>
      </c>
      <c r="N2050" t="s">
        <v>197</v>
      </c>
      <c r="O2050" t="s">
        <v>2738</v>
      </c>
      <c r="P2050" t="s">
        <v>221</v>
      </c>
      <c r="Q2050" t="s">
        <v>82</v>
      </c>
      <c r="R2050">
        <v>4</v>
      </c>
      <c r="S2050">
        <v>40</v>
      </c>
      <c r="T2050">
        <v>0</v>
      </c>
      <c r="U2050">
        <v>1</v>
      </c>
      <c r="V2050">
        <v>1</v>
      </c>
      <c r="W2050">
        <v>50.95</v>
      </c>
      <c r="X2050">
        <v>0</v>
      </c>
      <c r="Y2050">
        <v>0</v>
      </c>
      <c r="Z2050">
        <v>0</v>
      </c>
      <c r="AA2050">
        <v>0</v>
      </c>
      <c r="AB2050">
        <v>0</v>
      </c>
      <c r="AC2050">
        <v>0</v>
      </c>
      <c r="AD2050">
        <v>4</v>
      </c>
      <c r="AE2050">
        <v>0</v>
      </c>
      <c r="AF2050">
        <v>0</v>
      </c>
      <c r="AG2050">
        <v>0</v>
      </c>
      <c r="AH2050">
        <v>0</v>
      </c>
      <c r="AI2050">
        <v>0</v>
      </c>
      <c r="AJ2050">
        <v>0</v>
      </c>
      <c r="AK2050">
        <v>0</v>
      </c>
    </row>
    <row r="2051" spans="1:37" x14ac:dyDescent="0.3">
      <c r="A2051">
        <v>7979</v>
      </c>
      <c r="B2051" t="s">
        <v>219</v>
      </c>
      <c r="D2051" t="s">
        <v>327</v>
      </c>
      <c r="E2051">
        <v>99999999</v>
      </c>
      <c r="F2051">
        <v>11111111</v>
      </c>
      <c r="G2051">
        <v>1111111111</v>
      </c>
      <c r="H2051" t="s">
        <v>5620</v>
      </c>
      <c r="I2051">
        <v>99999999</v>
      </c>
      <c r="J2051" s="188">
        <v>45237</v>
      </c>
      <c r="K2051" t="s">
        <v>5620</v>
      </c>
      <c r="L2051" t="s">
        <v>5620</v>
      </c>
      <c r="M2051" t="s">
        <v>2632</v>
      </c>
      <c r="N2051" t="s">
        <v>91</v>
      </c>
      <c r="O2051">
        <v>85635</v>
      </c>
      <c r="P2051" t="s">
        <v>221</v>
      </c>
      <c r="Q2051" t="s">
        <v>82</v>
      </c>
      <c r="R2051">
        <v>2</v>
      </c>
      <c r="S2051">
        <v>2.3199999999999998</v>
      </c>
      <c r="T2051">
        <v>0</v>
      </c>
      <c r="U2051">
        <v>1</v>
      </c>
      <c r="V2051">
        <v>2</v>
      </c>
      <c r="W2051">
        <v>22.67</v>
      </c>
      <c r="X2051">
        <v>0</v>
      </c>
      <c r="Y2051">
        <v>0</v>
      </c>
      <c r="Z2051">
        <v>0</v>
      </c>
      <c r="AA2051">
        <v>0</v>
      </c>
      <c r="AB2051">
        <v>0</v>
      </c>
      <c r="AC2051">
        <v>0</v>
      </c>
      <c r="AD2051">
        <v>2</v>
      </c>
      <c r="AE2051">
        <v>0</v>
      </c>
      <c r="AF2051">
        <v>0</v>
      </c>
      <c r="AG2051">
        <v>0</v>
      </c>
      <c r="AH2051">
        <v>0</v>
      </c>
      <c r="AI2051">
        <v>0</v>
      </c>
      <c r="AJ2051">
        <v>0</v>
      </c>
      <c r="AK2051">
        <v>0</v>
      </c>
    </row>
    <row r="2052" spans="1:37" x14ac:dyDescent="0.3">
      <c r="A2052">
        <v>7979</v>
      </c>
      <c r="B2052" t="s">
        <v>219</v>
      </c>
      <c r="D2052" t="s">
        <v>327</v>
      </c>
      <c r="E2052">
        <v>99999999</v>
      </c>
      <c r="F2052">
        <v>11111111</v>
      </c>
      <c r="G2052">
        <v>1111111111</v>
      </c>
      <c r="H2052" t="s">
        <v>5621</v>
      </c>
      <c r="I2052">
        <v>99999999</v>
      </c>
      <c r="J2052" s="188">
        <v>45238</v>
      </c>
      <c r="K2052" t="s">
        <v>5621</v>
      </c>
      <c r="L2052" t="s">
        <v>5621</v>
      </c>
      <c r="M2052" t="s">
        <v>476</v>
      </c>
      <c r="N2052" t="s">
        <v>551</v>
      </c>
      <c r="O2052" t="s">
        <v>2739</v>
      </c>
      <c r="P2052" t="s">
        <v>221</v>
      </c>
      <c r="Q2052" t="s">
        <v>82</v>
      </c>
      <c r="R2052">
        <v>1</v>
      </c>
      <c r="S2052">
        <v>3</v>
      </c>
      <c r="T2052">
        <v>0</v>
      </c>
      <c r="U2052">
        <v>1</v>
      </c>
      <c r="V2052">
        <v>1</v>
      </c>
      <c r="W2052">
        <v>28.58</v>
      </c>
      <c r="X2052">
        <v>0</v>
      </c>
      <c r="Y2052">
        <v>0</v>
      </c>
      <c r="Z2052">
        <v>0</v>
      </c>
      <c r="AA2052">
        <v>0</v>
      </c>
      <c r="AB2052">
        <v>0</v>
      </c>
      <c r="AC2052">
        <v>0</v>
      </c>
      <c r="AD2052">
        <v>1</v>
      </c>
      <c r="AE2052">
        <v>0</v>
      </c>
      <c r="AF2052">
        <v>0</v>
      </c>
      <c r="AG2052">
        <v>0</v>
      </c>
      <c r="AH2052">
        <v>0</v>
      </c>
      <c r="AI2052">
        <v>0</v>
      </c>
      <c r="AJ2052">
        <v>0</v>
      </c>
      <c r="AK2052">
        <v>0</v>
      </c>
    </row>
    <row r="2053" spans="1:37" x14ac:dyDescent="0.3">
      <c r="A2053">
        <v>7979</v>
      </c>
      <c r="B2053" t="s">
        <v>219</v>
      </c>
      <c r="D2053" t="s">
        <v>327</v>
      </c>
      <c r="E2053">
        <v>99999999</v>
      </c>
      <c r="F2053">
        <v>11111111</v>
      </c>
      <c r="G2053">
        <v>1111111111</v>
      </c>
      <c r="H2053" t="s">
        <v>5622</v>
      </c>
      <c r="I2053">
        <v>99999999</v>
      </c>
      <c r="J2053" s="188">
        <v>45238</v>
      </c>
      <c r="K2053" t="s">
        <v>5622</v>
      </c>
      <c r="L2053" t="s">
        <v>5622</v>
      </c>
      <c r="M2053" t="s">
        <v>2740</v>
      </c>
      <c r="N2053" t="s">
        <v>97</v>
      </c>
      <c r="O2053" t="s">
        <v>2741</v>
      </c>
      <c r="P2053" t="s">
        <v>221</v>
      </c>
      <c r="Q2053" t="s">
        <v>82</v>
      </c>
      <c r="R2053">
        <v>2</v>
      </c>
      <c r="S2053">
        <v>14.42</v>
      </c>
      <c r="T2053">
        <v>0</v>
      </c>
      <c r="U2053">
        <v>1</v>
      </c>
      <c r="V2053">
        <v>1</v>
      </c>
      <c r="W2053">
        <v>33.700000000000003</v>
      </c>
      <c r="X2053">
        <v>0</v>
      </c>
      <c r="Y2053">
        <v>0</v>
      </c>
      <c r="Z2053">
        <v>0</v>
      </c>
      <c r="AA2053">
        <v>0</v>
      </c>
      <c r="AB2053">
        <v>0</v>
      </c>
      <c r="AC2053">
        <v>0</v>
      </c>
      <c r="AD2053">
        <v>2</v>
      </c>
      <c r="AE2053">
        <v>0</v>
      </c>
      <c r="AF2053">
        <v>0</v>
      </c>
      <c r="AG2053">
        <v>0</v>
      </c>
      <c r="AH2053">
        <v>0</v>
      </c>
      <c r="AI2053">
        <v>0</v>
      </c>
      <c r="AJ2053">
        <v>0</v>
      </c>
      <c r="AK2053">
        <v>0</v>
      </c>
    </row>
    <row r="2054" spans="1:37" x14ac:dyDescent="0.3">
      <c r="A2054">
        <v>7979</v>
      </c>
      <c r="B2054" t="s">
        <v>219</v>
      </c>
      <c r="D2054" t="s">
        <v>327</v>
      </c>
      <c r="E2054">
        <v>99999999</v>
      </c>
      <c r="F2054">
        <v>11111111</v>
      </c>
      <c r="G2054">
        <v>1111111111</v>
      </c>
      <c r="H2054" t="s">
        <v>5623</v>
      </c>
      <c r="I2054">
        <v>99999999</v>
      </c>
      <c r="J2054" s="188">
        <v>45238</v>
      </c>
      <c r="K2054" t="s">
        <v>5623</v>
      </c>
      <c r="L2054" t="s">
        <v>5623</v>
      </c>
      <c r="M2054" t="s">
        <v>915</v>
      </c>
      <c r="N2054" t="s">
        <v>164</v>
      </c>
      <c r="O2054" t="s">
        <v>1856</v>
      </c>
      <c r="P2054" t="s">
        <v>221</v>
      </c>
      <c r="Q2054" t="s">
        <v>82</v>
      </c>
      <c r="R2054">
        <v>1</v>
      </c>
      <c r="S2054">
        <v>9</v>
      </c>
      <c r="T2054">
        <v>0</v>
      </c>
      <c r="U2054">
        <v>1</v>
      </c>
      <c r="V2054">
        <v>1</v>
      </c>
      <c r="W2054">
        <v>24.35</v>
      </c>
      <c r="X2054">
        <v>0</v>
      </c>
      <c r="Y2054">
        <v>0</v>
      </c>
      <c r="Z2054">
        <v>0</v>
      </c>
      <c r="AA2054">
        <v>0</v>
      </c>
      <c r="AB2054">
        <v>0</v>
      </c>
      <c r="AC2054">
        <v>0</v>
      </c>
      <c r="AD2054">
        <v>1</v>
      </c>
      <c r="AE2054">
        <v>0</v>
      </c>
      <c r="AF2054">
        <v>0</v>
      </c>
      <c r="AG2054">
        <v>0</v>
      </c>
      <c r="AH2054">
        <v>0</v>
      </c>
      <c r="AI2054">
        <v>0</v>
      </c>
      <c r="AJ2054">
        <v>0</v>
      </c>
      <c r="AK2054">
        <v>0</v>
      </c>
    </row>
    <row r="2055" spans="1:37" x14ac:dyDescent="0.3">
      <c r="A2055">
        <v>7979</v>
      </c>
      <c r="B2055" t="s">
        <v>219</v>
      </c>
      <c r="D2055" t="s">
        <v>327</v>
      </c>
      <c r="E2055">
        <v>99999999</v>
      </c>
      <c r="F2055">
        <v>11111111</v>
      </c>
      <c r="G2055">
        <v>1111111111</v>
      </c>
      <c r="H2055" t="s">
        <v>5624</v>
      </c>
      <c r="I2055">
        <v>99999999</v>
      </c>
      <c r="J2055" s="188">
        <v>45238</v>
      </c>
      <c r="K2055" t="s">
        <v>5624</v>
      </c>
      <c r="L2055" t="s">
        <v>5624</v>
      </c>
      <c r="M2055" t="s">
        <v>2742</v>
      </c>
      <c r="N2055" t="s">
        <v>99</v>
      </c>
      <c r="O2055" t="s">
        <v>2743</v>
      </c>
      <c r="P2055" t="s">
        <v>221</v>
      </c>
      <c r="Q2055" t="s">
        <v>82</v>
      </c>
      <c r="R2055">
        <v>1</v>
      </c>
      <c r="S2055">
        <v>8</v>
      </c>
      <c r="T2055">
        <v>0</v>
      </c>
      <c r="U2055">
        <v>1</v>
      </c>
      <c r="V2055">
        <v>1</v>
      </c>
      <c r="W2055">
        <v>29.65</v>
      </c>
      <c r="X2055">
        <v>0</v>
      </c>
      <c r="Y2055">
        <v>0</v>
      </c>
      <c r="Z2055">
        <v>0</v>
      </c>
      <c r="AA2055">
        <v>0</v>
      </c>
      <c r="AB2055">
        <v>0</v>
      </c>
      <c r="AC2055">
        <v>0</v>
      </c>
      <c r="AD2055">
        <v>1</v>
      </c>
      <c r="AE2055">
        <v>0</v>
      </c>
      <c r="AF2055">
        <v>0</v>
      </c>
      <c r="AG2055">
        <v>0</v>
      </c>
      <c r="AH2055">
        <v>0</v>
      </c>
      <c r="AI2055">
        <v>0</v>
      </c>
      <c r="AJ2055">
        <v>0</v>
      </c>
      <c r="AK2055">
        <v>0</v>
      </c>
    </row>
    <row r="2056" spans="1:37" x14ac:dyDescent="0.3">
      <c r="A2056">
        <v>7979</v>
      </c>
      <c r="B2056" t="s">
        <v>219</v>
      </c>
      <c r="D2056" t="s">
        <v>327</v>
      </c>
      <c r="E2056">
        <v>99999999</v>
      </c>
      <c r="F2056">
        <v>11111111</v>
      </c>
      <c r="G2056">
        <v>1111111111</v>
      </c>
      <c r="H2056" t="s">
        <v>5625</v>
      </c>
      <c r="I2056">
        <v>99999999</v>
      </c>
      <c r="J2056" s="188">
        <v>45238</v>
      </c>
      <c r="K2056" t="s">
        <v>5625</v>
      </c>
      <c r="L2056" t="s">
        <v>5625</v>
      </c>
      <c r="M2056" t="s">
        <v>560</v>
      </c>
      <c r="N2056" t="s">
        <v>99</v>
      </c>
      <c r="O2056">
        <v>95946</v>
      </c>
      <c r="P2056" t="s">
        <v>221</v>
      </c>
      <c r="Q2056" t="s">
        <v>82</v>
      </c>
      <c r="R2056">
        <v>3</v>
      </c>
      <c r="S2056">
        <v>18.3</v>
      </c>
      <c r="T2056">
        <v>0</v>
      </c>
      <c r="U2056">
        <v>1</v>
      </c>
      <c r="V2056">
        <v>3</v>
      </c>
      <c r="W2056">
        <v>30.58</v>
      </c>
      <c r="X2056">
        <v>0</v>
      </c>
      <c r="Y2056">
        <v>0</v>
      </c>
      <c r="Z2056">
        <v>0</v>
      </c>
      <c r="AA2056">
        <v>0</v>
      </c>
      <c r="AB2056">
        <v>0</v>
      </c>
      <c r="AC2056">
        <v>0</v>
      </c>
      <c r="AD2056">
        <v>3</v>
      </c>
      <c r="AE2056">
        <v>0</v>
      </c>
      <c r="AF2056">
        <v>0</v>
      </c>
      <c r="AG2056">
        <v>0</v>
      </c>
      <c r="AH2056">
        <v>0</v>
      </c>
      <c r="AI2056">
        <v>0</v>
      </c>
      <c r="AJ2056">
        <v>0</v>
      </c>
      <c r="AK2056">
        <v>0</v>
      </c>
    </row>
    <row r="2057" spans="1:37" x14ac:dyDescent="0.3">
      <c r="A2057">
        <v>7979</v>
      </c>
      <c r="B2057" t="s">
        <v>219</v>
      </c>
      <c r="D2057" t="s">
        <v>327</v>
      </c>
      <c r="E2057">
        <v>99999999</v>
      </c>
      <c r="F2057">
        <v>11111111</v>
      </c>
      <c r="G2057">
        <v>1111111111</v>
      </c>
      <c r="H2057" t="s">
        <v>5626</v>
      </c>
      <c r="I2057">
        <v>99999999</v>
      </c>
      <c r="J2057" s="188">
        <v>45238</v>
      </c>
      <c r="K2057" t="s">
        <v>5626</v>
      </c>
      <c r="L2057" t="s">
        <v>5626</v>
      </c>
      <c r="M2057" t="s">
        <v>369</v>
      </c>
      <c r="N2057" t="s">
        <v>99</v>
      </c>
      <c r="O2057" t="s">
        <v>2744</v>
      </c>
      <c r="P2057" t="s">
        <v>221</v>
      </c>
      <c r="Q2057" t="s">
        <v>82</v>
      </c>
      <c r="R2057">
        <v>3</v>
      </c>
      <c r="S2057">
        <v>16.149999999999999</v>
      </c>
      <c r="T2057">
        <v>0</v>
      </c>
      <c r="U2057">
        <v>1</v>
      </c>
      <c r="V2057">
        <v>3</v>
      </c>
      <c r="W2057">
        <v>26.02</v>
      </c>
      <c r="X2057">
        <v>0</v>
      </c>
      <c r="Y2057">
        <v>0</v>
      </c>
      <c r="Z2057">
        <v>0</v>
      </c>
      <c r="AA2057">
        <v>0</v>
      </c>
      <c r="AB2057">
        <v>0</v>
      </c>
      <c r="AC2057">
        <v>0</v>
      </c>
      <c r="AD2057">
        <v>3</v>
      </c>
      <c r="AE2057">
        <v>0</v>
      </c>
      <c r="AF2057">
        <v>0</v>
      </c>
      <c r="AG2057">
        <v>0</v>
      </c>
      <c r="AH2057">
        <v>0</v>
      </c>
      <c r="AI2057">
        <v>0</v>
      </c>
      <c r="AJ2057">
        <v>0</v>
      </c>
      <c r="AK2057">
        <v>0</v>
      </c>
    </row>
    <row r="2058" spans="1:37" x14ac:dyDescent="0.3">
      <c r="A2058">
        <v>7979</v>
      </c>
      <c r="B2058" t="s">
        <v>219</v>
      </c>
      <c r="D2058" t="s">
        <v>327</v>
      </c>
      <c r="E2058">
        <v>99999999</v>
      </c>
      <c r="F2058">
        <v>11111111</v>
      </c>
      <c r="G2058">
        <v>1111111111</v>
      </c>
      <c r="H2058" t="s">
        <v>5627</v>
      </c>
      <c r="I2058">
        <v>99999999</v>
      </c>
      <c r="J2058" s="188">
        <v>45238</v>
      </c>
      <c r="K2058" t="s">
        <v>5627</v>
      </c>
      <c r="L2058" t="s">
        <v>5627</v>
      </c>
      <c r="M2058" t="s">
        <v>2745</v>
      </c>
      <c r="N2058" t="s">
        <v>99</v>
      </c>
      <c r="O2058" t="s">
        <v>2746</v>
      </c>
      <c r="P2058" t="s">
        <v>221</v>
      </c>
      <c r="Q2058" t="s">
        <v>82</v>
      </c>
      <c r="R2058">
        <v>1</v>
      </c>
      <c r="S2058">
        <v>8.8000000000000007</v>
      </c>
      <c r="T2058">
        <v>0</v>
      </c>
      <c r="U2058">
        <v>1</v>
      </c>
      <c r="V2058">
        <v>1</v>
      </c>
      <c r="W2058">
        <v>24.35</v>
      </c>
      <c r="X2058">
        <v>0</v>
      </c>
      <c r="Y2058">
        <v>0</v>
      </c>
      <c r="Z2058">
        <v>0</v>
      </c>
      <c r="AA2058">
        <v>0</v>
      </c>
      <c r="AB2058">
        <v>0</v>
      </c>
      <c r="AC2058">
        <v>0</v>
      </c>
      <c r="AD2058">
        <v>1</v>
      </c>
      <c r="AE2058">
        <v>0</v>
      </c>
      <c r="AF2058">
        <v>0</v>
      </c>
      <c r="AG2058">
        <v>0</v>
      </c>
      <c r="AH2058">
        <v>0</v>
      </c>
      <c r="AI2058">
        <v>0</v>
      </c>
      <c r="AJ2058">
        <v>0</v>
      </c>
      <c r="AK2058">
        <v>0</v>
      </c>
    </row>
    <row r="2059" spans="1:37" x14ac:dyDescent="0.3">
      <c r="A2059">
        <v>7979</v>
      </c>
      <c r="B2059" t="s">
        <v>219</v>
      </c>
      <c r="D2059" t="s">
        <v>327</v>
      </c>
      <c r="E2059">
        <v>99999999</v>
      </c>
      <c r="F2059">
        <v>11111111</v>
      </c>
      <c r="G2059">
        <v>1111111111</v>
      </c>
      <c r="H2059" t="s">
        <v>5628</v>
      </c>
      <c r="I2059">
        <v>99999999</v>
      </c>
      <c r="J2059" s="188">
        <v>45238</v>
      </c>
      <c r="K2059" t="s">
        <v>5628</v>
      </c>
      <c r="L2059" t="s">
        <v>5628</v>
      </c>
      <c r="M2059" t="s">
        <v>2747</v>
      </c>
      <c r="N2059" t="s">
        <v>197</v>
      </c>
      <c r="O2059" t="s">
        <v>2748</v>
      </c>
      <c r="P2059" t="s">
        <v>221</v>
      </c>
      <c r="Q2059" t="s">
        <v>82</v>
      </c>
      <c r="R2059">
        <v>1</v>
      </c>
      <c r="S2059">
        <v>15</v>
      </c>
      <c r="T2059">
        <v>0</v>
      </c>
      <c r="U2059">
        <v>1</v>
      </c>
      <c r="V2059">
        <v>1</v>
      </c>
      <c r="W2059">
        <v>32.299999999999997</v>
      </c>
      <c r="X2059">
        <v>0</v>
      </c>
      <c r="Y2059">
        <v>0</v>
      </c>
      <c r="Z2059">
        <v>0</v>
      </c>
      <c r="AA2059">
        <v>0</v>
      </c>
      <c r="AB2059">
        <v>0</v>
      </c>
      <c r="AC2059">
        <v>0</v>
      </c>
      <c r="AD2059">
        <v>1</v>
      </c>
      <c r="AE2059">
        <v>0</v>
      </c>
      <c r="AF2059">
        <v>0</v>
      </c>
      <c r="AG2059">
        <v>0</v>
      </c>
      <c r="AH2059">
        <v>0</v>
      </c>
      <c r="AI2059">
        <v>0</v>
      </c>
      <c r="AJ2059">
        <v>0</v>
      </c>
      <c r="AK2059">
        <v>0</v>
      </c>
    </row>
    <row r="2060" spans="1:37" x14ac:dyDescent="0.3">
      <c r="A2060">
        <v>7979</v>
      </c>
      <c r="B2060" t="s">
        <v>219</v>
      </c>
      <c r="D2060" t="s">
        <v>327</v>
      </c>
      <c r="E2060">
        <v>99999999</v>
      </c>
      <c r="F2060">
        <v>11111111</v>
      </c>
      <c r="G2060">
        <v>1111111111</v>
      </c>
      <c r="H2060" t="s">
        <v>5629</v>
      </c>
      <c r="I2060">
        <v>99999999</v>
      </c>
      <c r="J2060" s="188">
        <v>45238</v>
      </c>
      <c r="K2060" t="s">
        <v>5629</v>
      </c>
      <c r="L2060" t="s">
        <v>5629</v>
      </c>
      <c r="M2060" t="s">
        <v>1732</v>
      </c>
      <c r="N2060" t="s">
        <v>99</v>
      </c>
      <c r="O2060" t="s">
        <v>2749</v>
      </c>
      <c r="P2060" t="s">
        <v>221</v>
      </c>
      <c r="Q2060" t="s">
        <v>82</v>
      </c>
      <c r="R2060">
        <v>1</v>
      </c>
      <c r="S2060">
        <v>8.8000000000000007</v>
      </c>
      <c r="T2060">
        <v>0</v>
      </c>
      <c r="U2060">
        <v>1</v>
      </c>
      <c r="V2060">
        <v>1</v>
      </c>
      <c r="W2060">
        <v>24.35</v>
      </c>
      <c r="X2060">
        <v>0</v>
      </c>
      <c r="Y2060">
        <v>0</v>
      </c>
      <c r="Z2060">
        <v>0</v>
      </c>
      <c r="AA2060">
        <v>0</v>
      </c>
      <c r="AB2060">
        <v>0</v>
      </c>
      <c r="AC2060">
        <v>0</v>
      </c>
      <c r="AD2060">
        <v>1</v>
      </c>
      <c r="AE2060">
        <v>0</v>
      </c>
      <c r="AF2060">
        <v>0</v>
      </c>
      <c r="AG2060">
        <v>0</v>
      </c>
      <c r="AH2060">
        <v>0</v>
      </c>
      <c r="AI2060">
        <v>0</v>
      </c>
      <c r="AJ2060">
        <v>0</v>
      </c>
      <c r="AK2060">
        <v>0</v>
      </c>
    </row>
    <row r="2061" spans="1:37" x14ac:dyDescent="0.3">
      <c r="A2061">
        <v>7979</v>
      </c>
      <c r="B2061" t="s">
        <v>219</v>
      </c>
      <c r="D2061" t="s">
        <v>327</v>
      </c>
      <c r="E2061">
        <v>99999999</v>
      </c>
      <c r="F2061">
        <v>11111111</v>
      </c>
      <c r="G2061">
        <v>1111111111</v>
      </c>
      <c r="H2061" t="s">
        <v>5630</v>
      </c>
      <c r="I2061">
        <v>99999999</v>
      </c>
      <c r="J2061" s="188">
        <v>45238</v>
      </c>
      <c r="K2061" t="s">
        <v>5630</v>
      </c>
      <c r="L2061" t="s">
        <v>5630</v>
      </c>
      <c r="M2061" t="s">
        <v>640</v>
      </c>
      <c r="N2061" t="s">
        <v>85</v>
      </c>
      <c r="O2061" t="s">
        <v>2750</v>
      </c>
      <c r="P2061" t="s">
        <v>221</v>
      </c>
      <c r="Q2061" t="s">
        <v>82</v>
      </c>
      <c r="R2061">
        <v>2</v>
      </c>
      <c r="S2061">
        <v>6.5</v>
      </c>
      <c r="T2061">
        <v>0</v>
      </c>
      <c r="U2061">
        <v>1</v>
      </c>
      <c r="V2061">
        <v>2</v>
      </c>
      <c r="W2061">
        <v>29</v>
      </c>
      <c r="X2061">
        <v>0</v>
      </c>
      <c r="Y2061">
        <v>0</v>
      </c>
      <c r="Z2061">
        <v>0</v>
      </c>
      <c r="AA2061">
        <v>0</v>
      </c>
      <c r="AB2061">
        <v>0</v>
      </c>
      <c r="AC2061">
        <v>0</v>
      </c>
      <c r="AD2061">
        <v>2</v>
      </c>
      <c r="AE2061">
        <v>0</v>
      </c>
      <c r="AF2061">
        <v>0</v>
      </c>
      <c r="AG2061">
        <v>0</v>
      </c>
      <c r="AH2061">
        <v>0</v>
      </c>
      <c r="AI2061">
        <v>0</v>
      </c>
      <c r="AJ2061">
        <v>0</v>
      </c>
      <c r="AK2061">
        <v>0</v>
      </c>
    </row>
    <row r="2062" spans="1:37" x14ac:dyDescent="0.3">
      <c r="A2062">
        <v>7979</v>
      </c>
      <c r="B2062" t="s">
        <v>219</v>
      </c>
      <c r="D2062" t="s">
        <v>327</v>
      </c>
      <c r="E2062">
        <v>99999999</v>
      </c>
      <c r="F2062">
        <v>11111111</v>
      </c>
      <c r="G2062">
        <v>1111111111</v>
      </c>
      <c r="H2062" t="s">
        <v>5631</v>
      </c>
      <c r="I2062">
        <v>99999999</v>
      </c>
      <c r="J2062" s="188">
        <v>45238</v>
      </c>
      <c r="K2062" t="s">
        <v>5631</v>
      </c>
      <c r="L2062" t="s">
        <v>5631</v>
      </c>
      <c r="M2062" t="s">
        <v>408</v>
      </c>
      <c r="N2062" t="s">
        <v>197</v>
      </c>
      <c r="O2062" t="s">
        <v>2751</v>
      </c>
      <c r="P2062" t="s">
        <v>221</v>
      </c>
      <c r="Q2062" t="s">
        <v>82</v>
      </c>
      <c r="R2062">
        <v>1</v>
      </c>
      <c r="S2062">
        <v>11</v>
      </c>
      <c r="T2062">
        <v>0</v>
      </c>
      <c r="U2062">
        <v>1</v>
      </c>
      <c r="V2062">
        <v>1</v>
      </c>
      <c r="W2062">
        <v>32.17</v>
      </c>
      <c r="X2062">
        <v>0</v>
      </c>
      <c r="Y2062">
        <v>0</v>
      </c>
      <c r="Z2062">
        <v>0</v>
      </c>
      <c r="AA2062">
        <v>0</v>
      </c>
      <c r="AB2062">
        <v>0</v>
      </c>
      <c r="AC2062">
        <v>0</v>
      </c>
      <c r="AD2062">
        <v>1</v>
      </c>
      <c r="AE2062">
        <v>0</v>
      </c>
      <c r="AF2062">
        <v>0</v>
      </c>
      <c r="AG2062">
        <v>0</v>
      </c>
      <c r="AH2062">
        <v>0</v>
      </c>
      <c r="AI2062">
        <v>0</v>
      </c>
      <c r="AJ2062">
        <v>0</v>
      </c>
      <c r="AK2062">
        <v>0</v>
      </c>
    </row>
    <row r="2063" spans="1:37" x14ac:dyDescent="0.3">
      <c r="A2063">
        <v>7979</v>
      </c>
      <c r="B2063" t="s">
        <v>219</v>
      </c>
      <c r="D2063" t="s">
        <v>327</v>
      </c>
      <c r="E2063">
        <v>99999999</v>
      </c>
      <c r="F2063">
        <v>11111111</v>
      </c>
      <c r="G2063">
        <v>1111111111</v>
      </c>
      <c r="H2063" t="s">
        <v>5632</v>
      </c>
      <c r="I2063">
        <v>99999999</v>
      </c>
      <c r="J2063" s="188">
        <v>45238</v>
      </c>
      <c r="K2063" t="s">
        <v>5632</v>
      </c>
      <c r="L2063" t="s">
        <v>5632</v>
      </c>
      <c r="M2063" t="s">
        <v>1770</v>
      </c>
      <c r="N2063" t="s">
        <v>99</v>
      </c>
      <c r="O2063" t="s">
        <v>2752</v>
      </c>
      <c r="P2063" t="s">
        <v>221</v>
      </c>
      <c r="Q2063" t="s">
        <v>82</v>
      </c>
      <c r="R2063">
        <v>1</v>
      </c>
      <c r="S2063">
        <v>4.5</v>
      </c>
      <c r="T2063">
        <v>0</v>
      </c>
      <c r="U2063">
        <v>1</v>
      </c>
      <c r="V2063">
        <v>1</v>
      </c>
      <c r="W2063">
        <v>22.88</v>
      </c>
      <c r="X2063">
        <v>0</v>
      </c>
      <c r="Y2063">
        <v>0</v>
      </c>
      <c r="Z2063">
        <v>0</v>
      </c>
      <c r="AA2063">
        <v>0</v>
      </c>
      <c r="AB2063">
        <v>0</v>
      </c>
      <c r="AC2063">
        <v>0</v>
      </c>
      <c r="AD2063">
        <v>1</v>
      </c>
      <c r="AE2063">
        <v>0</v>
      </c>
      <c r="AF2063">
        <v>0</v>
      </c>
      <c r="AG2063">
        <v>0</v>
      </c>
      <c r="AH2063">
        <v>0</v>
      </c>
      <c r="AI2063">
        <v>0</v>
      </c>
      <c r="AJ2063">
        <v>0</v>
      </c>
      <c r="AK2063">
        <v>0</v>
      </c>
    </row>
    <row r="2064" spans="1:37" x14ac:dyDescent="0.3">
      <c r="A2064">
        <v>7979</v>
      </c>
      <c r="B2064" t="s">
        <v>219</v>
      </c>
      <c r="D2064" t="s">
        <v>327</v>
      </c>
      <c r="E2064">
        <v>99999999</v>
      </c>
      <c r="F2064">
        <v>11111111</v>
      </c>
      <c r="G2064">
        <v>1111111111</v>
      </c>
      <c r="H2064" t="s">
        <v>5633</v>
      </c>
      <c r="I2064">
        <v>99999999</v>
      </c>
      <c r="J2064" s="188">
        <v>45238</v>
      </c>
      <c r="K2064" t="s">
        <v>5633</v>
      </c>
      <c r="L2064" t="s">
        <v>5633</v>
      </c>
      <c r="M2064" t="s">
        <v>2753</v>
      </c>
      <c r="N2064" t="s">
        <v>811</v>
      </c>
      <c r="O2064">
        <v>20882</v>
      </c>
      <c r="P2064" t="s">
        <v>221</v>
      </c>
      <c r="Q2064" t="s">
        <v>82</v>
      </c>
      <c r="R2064">
        <v>1</v>
      </c>
      <c r="S2064">
        <v>0.28999999999999998</v>
      </c>
      <c r="T2064">
        <v>0</v>
      </c>
      <c r="U2064">
        <v>1</v>
      </c>
      <c r="V2064">
        <v>1</v>
      </c>
      <c r="W2064">
        <v>26.84</v>
      </c>
      <c r="X2064">
        <v>0</v>
      </c>
      <c r="Y2064">
        <v>0</v>
      </c>
      <c r="Z2064">
        <v>0</v>
      </c>
      <c r="AA2064">
        <v>0</v>
      </c>
      <c r="AB2064">
        <v>0</v>
      </c>
      <c r="AC2064">
        <v>0</v>
      </c>
      <c r="AD2064">
        <v>1</v>
      </c>
      <c r="AE2064">
        <v>0</v>
      </c>
      <c r="AF2064">
        <v>0</v>
      </c>
      <c r="AG2064">
        <v>0</v>
      </c>
      <c r="AH2064">
        <v>0</v>
      </c>
      <c r="AI2064">
        <v>0</v>
      </c>
      <c r="AJ2064">
        <v>0</v>
      </c>
      <c r="AK2064">
        <v>0</v>
      </c>
    </row>
    <row r="2065" spans="1:37" x14ac:dyDescent="0.3">
      <c r="A2065">
        <v>7979</v>
      </c>
      <c r="B2065" t="s">
        <v>219</v>
      </c>
      <c r="D2065" t="s">
        <v>327</v>
      </c>
      <c r="E2065">
        <v>99999999</v>
      </c>
      <c r="F2065">
        <v>11111111</v>
      </c>
      <c r="G2065">
        <v>1111111111</v>
      </c>
      <c r="H2065" t="s">
        <v>5634</v>
      </c>
      <c r="I2065">
        <v>99999999</v>
      </c>
      <c r="J2065" s="188">
        <v>45238</v>
      </c>
      <c r="K2065" t="s">
        <v>5634</v>
      </c>
      <c r="L2065" t="s">
        <v>5634</v>
      </c>
      <c r="M2065" t="s">
        <v>922</v>
      </c>
      <c r="N2065" t="s">
        <v>135</v>
      </c>
      <c r="O2065" t="s">
        <v>2754</v>
      </c>
      <c r="P2065" t="s">
        <v>221</v>
      </c>
      <c r="Q2065" t="s">
        <v>82</v>
      </c>
      <c r="R2065">
        <v>4</v>
      </c>
      <c r="S2065">
        <v>1.56</v>
      </c>
      <c r="T2065">
        <v>0</v>
      </c>
      <c r="U2065">
        <v>1</v>
      </c>
      <c r="V2065">
        <v>2</v>
      </c>
      <c r="W2065">
        <v>21.83</v>
      </c>
      <c r="X2065">
        <v>0</v>
      </c>
      <c r="Y2065">
        <v>0</v>
      </c>
      <c r="Z2065">
        <v>0</v>
      </c>
      <c r="AA2065">
        <v>0</v>
      </c>
      <c r="AB2065">
        <v>0</v>
      </c>
      <c r="AC2065">
        <v>0</v>
      </c>
      <c r="AD2065">
        <v>4</v>
      </c>
      <c r="AE2065">
        <v>0</v>
      </c>
      <c r="AF2065">
        <v>0</v>
      </c>
      <c r="AG2065">
        <v>0</v>
      </c>
      <c r="AH2065">
        <v>0</v>
      </c>
      <c r="AI2065">
        <v>0</v>
      </c>
      <c r="AJ2065">
        <v>0</v>
      </c>
      <c r="AK2065">
        <v>0</v>
      </c>
    </row>
    <row r="2066" spans="1:37" x14ac:dyDescent="0.3">
      <c r="A2066">
        <v>7979</v>
      </c>
      <c r="B2066" t="s">
        <v>219</v>
      </c>
      <c r="D2066" t="s">
        <v>327</v>
      </c>
      <c r="E2066">
        <v>99999999</v>
      </c>
      <c r="F2066">
        <v>11111111</v>
      </c>
      <c r="G2066">
        <v>1111111111</v>
      </c>
      <c r="H2066" t="s">
        <v>5635</v>
      </c>
      <c r="I2066">
        <v>99999999</v>
      </c>
      <c r="J2066" s="188">
        <v>45238</v>
      </c>
      <c r="K2066" t="s">
        <v>5635</v>
      </c>
      <c r="L2066" t="s">
        <v>5635</v>
      </c>
      <c r="M2066" t="s">
        <v>915</v>
      </c>
      <c r="N2066" t="s">
        <v>164</v>
      </c>
      <c r="O2066" t="s">
        <v>2755</v>
      </c>
      <c r="P2066" t="s">
        <v>221</v>
      </c>
      <c r="Q2066" t="s">
        <v>82</v>
      </c>
      <c r="R2066">
        <v>1</v>
      </c>
      <c r="S2066">
        <v>1</v>
      </c>
      <c r="T2066">
        <v>0</v>
      </c>
      <c r="U2066">
        <v>1</v>
      </c>
      <c r="V2066">
        <v>1</v>
      </c>
      <c r="W2066">
        <v>21.16</v>
      </c>
      <c r="X2066">
        <v>0</v>
      </c>
      <c r="Y2066">
        <v>0</v>
      </c>
      <c r="Z2066">
        <v>0</v>
      </c>
      <c r="AA2066">
        <v>0</v>
      </c>
      <c r="AB2066">
        <v>0</v>
      </c>
      <c r="AC2066">
        <v>0</v>
      </c>
      <c r="AD2066">
        <v>1</v>
      </c>
      <c r="AE2066">
        <v>0</v>
      </c>
      <c r="AF2066">
        <v>0</v>
      </c>
      <c r="AG2066">
        <v>0</v>
      </c>
      <c r="AH2066">
        <v>0</v>
      </c>
      <c r="AI2066">
        <v>0</v>
      </c>
      <c r="AJ2066">
        <v>0</v>
      </c>
      <c r="AK2066">
        <v>0</v>
      </c>
    </row>
    <row r="2067" spans="1:37" x14ac:dyDescent="0.3">
      <c r="A2067">
        <v>7979</v>
      </c>
      <c r="B2067" t="s">
        <v>219</v>
      </c>
      <c r="D2067" t="s">
        <v>327</v>
      </c>
      <c r="E2067">
        <v>99999999</v>
      </c>
      <c r="F2067">
        <v>11111111</v>
      </c>
      <c r="G2067">
        <v>1111111111</v>
      </c>
      <c r="H2067" t="s">
        <v>5636</v>
      </c>
      <c r="I2067">
        <v>99999999</v>
      </c>
      <c r="J2067" s="188">
        <v>45238</v>
      </c>
      <c r="K2067" t="s">
        <v>5636</v>
      </c>
      <c r="L2067" t="s">
        <v>5636</v>
      </c>
      <c r="M2067" t="s">
        <v>2756</v>
      </c>
      <c r="N2067" t="s">
        <v>197</v>
      </c>
      <c r="O2067" t="s">
        <v>2757</v>
      </c>
      <c r="P2067" t="s">
        <v>221</v>
      </c>
      <c r="Q2067" t="s">
        <v>82</v>
      </c>
      <c r="R2067">
        <v>2</v>
      </c>
      <c r="S2067">
        <v>1.87</v>
      </c>
      <c r="T2067">
        <v>0</v>
      </c>
      <c r="U2067">
        <v>1</v>
      </c>
      <c r="V2067">
        <v>2</v>
      </c>
      <c r="W2067">
        <v>31.54</v>
      </c>
      <c r="X2067">
        <v>0</v>
      </c>
      <c r="Y2067">
        <v>0</v>
      </c>
      <c r="Z2067">
        <v>0</v>
      </c>
      <c r="AA2067">
        <v>0</v>
      </c>
      <c r="AB2067">
        <v>0</v>
      </c>
      <c r="AC2067">
        <v>0</v>
      </c>
      <c r="AD2067">
        <v>2</v>
      </c>
      <c r="AE2067">
        <v>0</v>
      </c>
      <c r="AF2067">
        <v>0</v>
      </c>
      <c r="AG2067">
        <v>0</v>
      </c>
      <c r="AH2067">
        <v>0</v>
      </c>
      <c r="AI2067">
        <v>0</v>
      </c>
      <c r="AJ2067">
        <v>0</v>
      </c>
      <c r="AK2067">
        <v>0</v>
      </c>
    </row>
    <row r="2068" spans="1:37" x14ac:dyDescent="0.3">
      <c r="A2068">
        <v>7979</v>
      </c>
      <c r="B2068" t="s">
        <v>219</v>
      </c>
      <c r="D2068" t="s">
        <v>327</v>
      </c>
      <c r="E2068">
        <v>99999999</v>
      </c>
      <c r="F2068">
        <v>11111111</v>
      </c>
      <c r="G2068">
        <v>1111111111</v>
      </c>
      <c r="H2068" t="s">
        <v>5637</v>
      </c>
      <c r="I2068">
        <v>99999999</v>
      </c>
      <c r="J2068" s="188">
        <v>45238</v>
      </c>
      <c r="K2068" t="s">
        <v>5637</v>
      </c>
      <c r="L2068" t="s">
        <v>5637</v>
      </c>
      <c r="M2068" t="s">
        <v>2758</v>
      </c>
      <c r="N2068" t="s">
        <v>88</v>
      </c>
      <c r="O2068" t="s">
        <v>2759</v>
      </c>
      <c r="P2068" t="s">
        <v>221</v>
      </c>
      <c r="Q2068" t="s">
        <v>82</v>
      </c>
      <c r="R2068">
        <v>1</v>
      </c>
      <c r="S2068">
        <v>1.17</v>
      </c>
      <c r="T2068">
        <v>0</v>
      </c>
      <c r="U2068">
        <v>1</v>
      </c>
      <c r="V2068">
        <v>1</v>
      </c>
      <c r="W2068">
        <v>29.16</v>
      </c>
      <c r="X2068">
        <v>0</v>
      </c>
      <c r="Y2068">
        <v>0</v>
      </c>
      <c r="Z2068">
        <v>0</v>
      </c>
      <c r="AA2068">
        <v>0</v>
      </c>
      <c r="AB2068">
        <v>0</v>
      </c>
      <c r="AC2068">
        <v>0</v>
      </c>
      <c r="AD2068">
        <v>1</v>
      </c>
      <c r="AE2068">
        <v>0</v>
      </c>
      <c r="AF2068">
        <v>0</v>
      </c>
      <c r="AG2068">
        <v>0</v>
      </c>
      <c r="AH2068">
        <v>0</v>
      </c>
      <c r="AI2068">
        <v>0</v>
      </c>
      <c r="AJ2068">
        <v>0</v>
      </c>
      <c r="AK2068">
        <v>0</v>
      </c>
    </row>
    <row r="2069" spans="1:37" x14ac:dyDescent="0.3">
      <c r="A2069">
        <v>7979</v>
      </c>
      <c r="B2069" t="s">
        <v>219</v>
      </c>
      <c r="D2069" t="s">
        <v>327</v>
      </c>
      <c r="E2069">
        <v>99999999</v>
      </c>
      <c r="F2069">
        <v>11111111</v>
      </c>
      <c r="G2069">
        <v>1111111111</v>
      </c>
      <c r="H2069" t="s">
        <v>5638</v>
      </c>
      <c r="I2069">
        <v>99999999</v>
      </c>
      <c r="J2069" s="188">
        <v>45238</v>
      </c>
      <c r="K2069" t="s">
        <v>5638</v>
      </c>
      <c r="L2069" t="s">
        <v>5638</v>
      </c>
      <c r="M2069" t="s">
        <v>1857</v>
      </c>
      <c r="N2069" t="s">
        <v>99</v>
      </c>
      <c r="O2069">
        <v>95442</v>
      </c>
      <c r="P2069" t="s">
        <v>221</v>
      </c>
      <c r="Q2069" t="s">
        <v>82</v>
      </c>
      <c r="R2069">
        <v>2</v>
      </c>
      <c r="S2069">
        <v>12</v>
      </c>
      <c r="T2069">
        <v>0</v>
      </c>
      <c r="U2069">
        <v>1</v>
      </c>
      <c r="V2069">
        <v>1</v>
      </c>
      <c r="W2069">
        <v>32</v>
      </c>
      <c r="X2069">
        <v>0</v>
      </c>
      <c r="Y2069">
        <v>0</v>
      </c>
      <c r="Z2069">
        <v>0</v>
      </c>
      <c r="AA2069">
        <v>0</v>
      </c>
      <c r="AB2069">
        <v>0</v>
      </c>
      <c r="AC2069">
        <v>0</v>
      </c>
      <c r="AD2069">
        <v>2</v>
      </c>
      <c r="AE2069">
        <v>0</v>
      </c>
      <c r="AF2069">
        <v>0</v>
      </c>
      <c r="AG2069">
        <v>0</v>
      </c>
      <c r="AH2069">
        <v>0</v>
      </c>
      <c r="AI2069">
        <v>0</v>
      </c>
      <c r="AJ2069">
        <v>0</v>
      </c>
      <c r="AK2069">
        <v>0</v>
      </c>
    </row>
    <row r="2070" spans="1:37" x14ac:dyDescent="0.3">
      <c r="A2070">
        <v>7979</v>
      </c>
      <c r="B2070" t="s">
        <v>219</v>
      </c>
      <c r="D2070" t="s">
        <v>327</v>
      </c>
      <c r="E2070">
        <v>99999999</v>
      </c>
      <c r="F2070">
        <v>11111111</v>
      </c>
      <c r="G2070">
        <v>1111111111</v>
      </c>
      <c r="H2070" t="s">
        <v>5639</v>
      </c>
      <c r="I2070">
        <v>99999999</v>
      </c>
      <c r="J2070" s="188">
        <v>45238</v>
      </c>
      <c r="K2070" t="s">
        <v>5639</v>
      </c>
      <c r="L2070" t="s">
        <v>5639</v>
      </c>
      <c r="M2070" t="s">
        <v>2557</v>
      </c>
      <c r="N2070" t="s">
        <v>983</v>
      </c>
      <c r="O2070" t="s">
        <v>2760</v>
      </c>
      <c r="P2070" t="s">
        <v>221</v>
      </c>
      <c r="Q2070" t="s">
        <v>82</v>
      </c>
      <c r="R2070">
        <v>1</v>
      </c>
      <c r="S2070">
        <v>0.57399999999999995</v>
      </c>
      <c r="T2070">
        <v>0</v>
      </c>
      <c r="U2070">
        <v>1</v>
      </c>
      <c r="V2070">
        <v>1</v>
      </c>
      <c r="W2070">
        <v>31.29</v>
      </c>
      <c r="X2070">
        <v>0</v>
      </c>
      <c r="Y2070">
        <v>0</v>
      </c>
      <c r="Z2070">
        <v>0</v>
      </c>
      <c r="AA2070">
        <v>0</v>
      </c>
      <c r="AB2070">
        <v>0</v>
      </c>
      <c r="AC2070">
        <v>0</v>
      </c>
      <c r="AD2070">
        <v>1</v>
      </c>
      <c r="AE2070">
        <v>0</v>
      </c>
      <c r="AF2070">
        <v>0</v>
      </c>
      <c r="AG2070">
        <v>0</v>
      </c>
      <c r="AH2070">
        <v>0</v>
      </c>
      <c r="AI2070">
        <v>0</v>
      </c>
      <c r="AJ2070">
        <v>0</v>
      </c>
      <c r="AK2070">
        <v>0</v>
      </c>
    </row>
    <row r="2071" spans="1:37" x14ac:dyDescent="0.3">
      <c r="A2071">
        <v>7979</v>
      </c>
      <c r="B2071" t="s">
        <v>219</v>
      </c>
      <c r="D2071" t="s">
        <v>327</v>
      </c>
      <c r="E2071">
        <v>99999999</v>
      </c>
      <c r="F2071">
        <v>11111111</v>
      </c>
      <c r="G2071">
        <v>1111111111</v>
      </c>
      <c r="H2071" t="s">
        <v>5640</v>
      </c>
      <c r="I2071">
        <v>99999999</v>
      </c>
      <c r="J2071" s="188">
        <v>45238</v>
      </c>
      <c r="K2071" t="s">
        <v>5640</v>
      </c>
      <c r="L2071" t="s">
        <v>5640</v>
      </c>
      <c r="M2071" t="s">
        <v>594</v>
      </c>
      <c r="N2071" t="s">
        <v>307</v>
      </c>
      <c r="O2071" t="s">
        <v>2761</v>
      </c>
      <c r="P2071" t="s">
        <v>221</v>
      </c>
      <c r="Q2071" t="s">
        <v>82</v>
      </c>
      <c r="R2071">
        <v>1</v>
      </c>
      <c r="S2071">
        <v>22.5</v>
      </c>
      <c r="T2071">
        <v>0</v>
      </c>
      <c r="U2071">
        <v>1</v>
      </c>
      <c r="V2071">
        <v>1</v>
      </c>
      <c r="W2071">
        <v>46.42</v>
      </c>
      <c r="X2071">
        <v>0</v>
      </c>
      <c r="Y2071">
        <v>0</v>
      </c>
      <c r="Z2071">
        <v>0</v>
      </c>
      <c r="AA2071">
        <v>0</v>
      </c>
      <c r="AB2071">
        <v>0</v>
      </c>
      <c r="AC2071">
        <v>0</v>
      </c>
      <c r="AD2071">
        <v>1</v>
      </c>
      <c r="AE2071">
        <v>0</v>
      </c>
      <c r="AF2071">
        <v>0</v>
      </c>
      <c r="AG2071">
        <v>0</v>
      </c>
      <c r="AH2071">
        <v>0</v>
      </c>
      <c r="AI2071">
        <v>0</v>
      </c>
      <c r="AJ2071">
        <v>0</v>
      </c>
      <c r="AK2071">
        <v>0</v>
      </c>
    </row>
    <row r="2072" spans="1:37" x14ac:dyDescent="0.3">
      <c r="A2072">
        <v>7979</v>
      </c>
      <c r="B2072" t="s">
        <v>219</v>
      </c>
      <c r="D2072" t="s">
        <v>327</v>
      </c>
      <c r="E2072">
        <v>99999999</v>
      </c>
      <c r="F2072">
        <v>11111111</v>
      </c>
      <c r="G2072">
        <v>1111111111</v>
      </c>
      <c r="H2072" t="s">
        <v>5641</v>
      </c>
      <c r="I2072">
        <v>99999999</v>
      </c>
      <c r="J2072" s="188">
        <v>45238</v>
      </c>
      <c r="K2072" t="s">
        <v>5641</v>
      </c>
      <c r="L2072" t="s">
        <v>5641</v>
      </c>
      <c r="M2072" t="s">
        <v>860</v>
      </c>
      <c r="N2072" t="s">
        <v>197</v>
      </c>
      <c r="O2072" t="s">
        <v>2762</v>
      </c>
      <c r="P2072" t="s">
        <v>221</v>
      </c>
      <c r="Q2072" t="s">
        <v>82</v>
      </c>
      <c r="R2072">
        <v>4</v>
      </c>
      <c r="S2072">
        <v>8.92</v>
      </c>
      <c r="T2072">
        <v>0</v>
      </c>
      <c r="U2072">
        <v>1</v>
      </c>
      <c r="V2072">
        <v>2</v>
      </c>
      <c r="W2072">
        <v>26.86</v>
      </c>
      <c r="X2072">
        <v>0</v>
      </c>
      <c r="Y2072">
        <v>0</v>
      </c>
      <c r="Z2072">
        <v>0</v>
      </c>
      <c r="AA2072">
        <v>0</v>
      </c>
      <c r="AB2072">
        <v>0</v>
      </c>
      <c r="AC2072">
        <v>0</v>
      </c>
      <c r="AD2072">
        <v>4</v>
      </c>
      <c r="AE2072">
        <v>0</v>
      </c>
      <c r="AF2072">
        <v>0</v>
      </c>
      <c r="AG2072">
        <v>0</v>
      </c>
      <c r="AH2072">
        <v>0</v>
      </c>
      <c r="AI2072">
        <v>0</v>
      </c>
      <c r="AJ2072">
        <v>0</v>
      </c>
      <c r="AK2072">
        <v>0</v>
      </c>
    </row>
    <row r="2073" spans="1:37" x14ac:dyDescent="0.3">
      <c r="A2073">
        <v>7979</v>
      </c>
      <c r="B2073" t="s">
        <v>219</v>
      </c>
      <c r="D2073" t="s">
        <v>327</v>
      </c>
      <c r="E2073">
        <v>99999999</v>
      </c>
      <c r="F2073">
        <v>11111111</v>
      </c>
      <c r="G2073">
        <v>1111111111</v>
      </c>
      <c r="H2073" t="s">
        <v>5642</v>
      </c>
      <c r="I2073">
        <v>99999999</v>
      </c>
      <c r="J2073" s="188">
        <v>45238</v>
      </c>
      <c r="K2073" t="s">
        <v>5642</v>
      </c>
      <c r="L2073" t="s">
        <v>5642</v>
      </c>
      <c r="M2073" t="s">
        <v>2763</v>
      </c>
      <c r="N2073" t="s">
        <v>97</v>
      </c>
      <c r="O2073" t="s">
        <v>2764</v>
      </c>
      <c r="P2073" t="s">
        <v>221</v>
      </c>
      <c r="Q2073" t="s">
        <v>82</v>
      </c>
      <c r="R2073">
        <v>1</v>
      </c>
      <c r="S2073">
        <v>13</v>
      </c>
      <c r="T2073">
        <v>0</v>
      </c>
      <c r="U2073">
        <v>1</v>
      </c>
      <c r="V2073">
        <v>1</v>
      </c>
      <c r="W2073">
        <v>33.42</v>
      </c>
      <c r="X2073">
        <v>0</v>
      </c>
      <c r="Y2073">
        <v>0</v>
      </c>
      <c r="Z2073">
        <v>0</v>
      </c>
      <c r="AA2073">
        <v>0</v>
      </c>
      <c r="AB2073">
        <v>0</v>
      </c>
      <c r="AC2073">
        <v>0</v>
      </c>
      <c r="AD2073">
        <v>1</v>
      </c>
      <c r="AE2073">
        <v>0</v>
      </c>
      <c r="AF2073">
        <v>0</v>
      </c>
      <c r="AG2073">
        <v>0</v>
      </c>
      <c r="AH2073">
        <v>0</v>
      </c>
      <c r="AI2073">
        <v>0</v>
      </c>
      <c r="AJ2073">
        <v>0</v>
      </c>
      <c r="AK2073">
        <v>0</v>
      </c>
    </row>
    <row r="2074" spans="1:37" x14ac:dyDescent="0.3">
      <c r="A2074">
        <v>7979</v>
      </c>
      <c r="B2074" t="s">
        <v>219</v>
      </c>
      <c r="D2074" t="s">
        <v>327</v>
      </c>
      <c r="E2074">
        <v>99999999</v>
      </c>
      <c r="F2074">
        <v>11111111</v>
      </c>
      <c r="G2074">
        <v>1111111111</v>
      </c>
      <c r="H2074" t="s">
        <v>5643</v>
      </c>
      <c r="I2074">
        <v>99999999</v>
      </c>
      <c r="J2074" s="188">
        <v>45238</v>
      </c>
      <c r="K2074" t="s">
        <v>5643</v>
      </c>
      <c r="L2074" t="s">
        <v>5643</v>
      </c>
      <c r="M2074" t="s">
        <v>1615</v>
      </c>
      <c r="N2074" t="s">
        <v>99</v>
      </c>
      <c r="O2074" t="s">
        <v>2363</v>
      </c>
      <c r="P2074" t="s">
        <v>221</v>
      </c>
      <c r="Q2074" t="s">
        <v>82</v>
      </c>
      <c r="R2074">
        <v>1</v>
      </c>
      <c r="S2074">
        <v>20</v>
      </c>
      <c r="T2074">
        <v>0</v>
      </c>
      <c r="U2074">
        <v>1</v>
      </c>
      <c r="V2074">
        <v>1</v>
      </c>
      <c r="W2074">
        <v>27.74</v>
      </c>
      <c r="X2074">
        <v>0</v>
      </c>
      <c r="Y2074">
        <v>0</v>
      </c>
      <c r="Z2074">
        <v>0</v>
      </c>
      <c r="AA2074">
        <v>0</v>
      </c>
      <c r="AB2074">
        <v>0</v>
      </c>
      <c r="AC2074">
        <v>0</v>
      </c>
      <c r="AD2074">
        <v>1</v>
      </c>
      <c r="AE2074">
        <v>0</v>
      </c>
      <c r="AF2074">
        <v>0</v>
      </c>
      <c r="AG2074">
        <v>0</v>
      </c>
      <c r="AH2074">
        <v>0</v>
      </c>
      <c r="AI2074">
        <v>0</v>
      </c>
      <c r="AJ2074">
        <v>0</v>
      </c>
      <c r="AK2074">
        <v>0</v>
      </c>
    </row>
    <row r="2075" spans="1:37" x14ac:dyDescent="0.3">
      <c r="A2075">
        <v>7979</v>
      </c>
      <c r="B2075" t="s">
        <v>219</v>
      </c>
      <c r="D2075" t="s">
        <v>327</v>
      </c>
      <c r="E2075">
        <v>99999999</v>
      </c>
      <c r="F2075">
        <v>11111111</v>
      </c>
      <c r="G2075">
        <v>1111111111</v>
      </c>
      <c r="H2075" t="s">
        <v>5644</v>
      </c>
      <c r="I2075">
        <v>99999999</v>
      </c>
      <c r="J2075" s="188">
        <v>45238</v>
      </c>
      <c r="K2075" t="s">
        <v>5644</v>
      </c>
      <c r="L2075" t="s">
        <v>5644</v>
      </c>
      <c r="M2075" t="s">
        <v>850</v>
      </c>
      <c r="N2075" t="s">
        <v>130</v>
      </c>
      <c r="O2075">
        <v>80487</v>
      </c>
      <c r="P2075" t="s">
        <v>221</v>
      </c>
      <c r="Q2075" t="s">
        <v>82</v>
      </c>
      <c r="R2075">
        <v>1</v>
      </c>
      <c r="S2075">
        <v>3</v>
      </c>
      <c r="T2075">
        <v>0</v>
      </c>
      <c r="U2075">
        <v>1</v>
      </c>
      <c r="V2075">
        <v>1</v>
      </c>
      <c r="W2075">
        <v>29.64</v>
      </c>
      <c r="X2075">
        <v>0</v>
      </c>
      <c r="Y2075">
        <v>0</v>
      </c>
      <c r="Z2075">
        <v>0</v>
      </c>
      <c r="AA2075">
        <v>0</v>
      </c>
      <c r="AB2075">
        <v>0</v>
      </c>
      <c r="AC2075">
        <v>0</v>
      </c>
      <c r="AD2075">
        <v>1</v>
      </c>
      <c r="AE2075">
        <v>0</v>
      </c>
      <c r="AF2075">
        <v>0</v>
      </c>
      <c r="AG2075">
        <v>0</v>
      </c>
      <c r="AH2075">
        <v>0</v>
      </c>
      <c r="AI2075">
        <v>0</v>
      </c>
      <c r="AJ2075">
        <v>0</v>
      </c>
      <c r="AK2075">
        <v>0</v>
      </c>
    </row>
    <row r="2076" spans="1:37" x14ac:dyDescent="0.3">
      <c r="A2076">
        <v>7979</v>
      </c>
      <c r="B2076" t="s">
        <v>219</v>
      </c>
      <c r="D2076" t="s">
        <v>327</v>
      </c>
      <c r="E2076">
        <v>99999999</v>
      </c>
      <c r="F2076">
        <v>11111111</v>
      </c>
      <c r="G2076">
        <v>1111111111</v>
      </c>
      <c r="H2076" t="s">
        <v>5645</v>
      </c>
      <c r="I2076">
        <v>99999999</v>
      </c>
      <c r="J2076" s="188">
        <v>45238</v>
      </c>
      <c r="K2076" t="s">
        <v>5645</v>
      </c>
      <c r="L2076" t="s">
        <v>5645</v>
      </c>
      <c r="M2076" t="s">
        <v>502</v>
      </c>
      <c r="N2076" t="s">
        <v>91</v>
      </c>
      <c r="O2076" t="s">
        <v>2765</v>
      </c>
      <c r="P2076" t="s">
        <v>221</v>
      </c>
      <c r="Q2076" t="s">
        <v>82</v>
      </c>
      <c r="R2076">
        <v>4</v>
      </c>
      <c r="S2076">
        <v>57.2</v>
      </c>
      <c r="T2076">
        <v>0</v>
      </c>
      <c r="U2076">
        <v>1</v>
      </c>
      <c r="V2076">
        <v>2</v>
      </c>
      <c r="W2076">
        <v>106.08</v>
      </c>
      <c r="X2076">
        <v>0</v>
      </c>
      <c r="Y2076">
        <v>0</v>
      </c>
      <c r="Z2076">
        <v>0</v>
      </c>
      <c r="AA2076">
        <v>0</v>
      </c>
      <c r="AB2076">
        <v>0</v>
      </c>
      <c r="AC2076">
        <v>0</v>
      </c>
      <c r="AD2076">
        <v>4</v>
      </c>
      <c r="AE2076">
        <v>0</v>
      </c>
      <c r="AF2076">
        <v>0</v>
      </c>
      <c r="AG2076">
        <v>0</v>
      </c>
      <c r="AH2076">
        <v>0</v>
      </c>
      <c r="AI2076">
        <v>0</v>
      </c>
      <c r="AJ2076">
        <v>0</v>
      </c>
      <c r="AK2076">
        <v>0</v>
      </c>
    </row>
    <row r="2077" spans="1:37" x14ac:dyDescent="0.3">
      <c r="A2077">
        <v>7979</v>
      </c>
      <c r="B2077" t="s">
        <v>219</v>
      </c>
      <c r="D2077" t="s">
        <v>327</v>
      </c>
      <c r="E2077">
        <v>99999999</v>
      </c>
      <c r="F2077">
        <v>11111111</v>
      </c>
      <c r="G2077">
        <v>1111111111</v>
      </c>
      <c r="H2077" t="s">
        <v>5646</v>
      </c>
      <c r="I2077">
        <v>99999999</v>
      </c>
      <c r="J2077" s="188">
        <v>45238</v>
      </c>
      <c r="K2077" t="s">
        <v>5646</v>
      </c>
      <c r="L2077" t="s">
        <v>5646</v>
      </c>
      <c r="M2077" t="s">
        <v>2766</v>
      </c>
      <c r="N2077" t="s">
        <v>99</v>
      </c>
      <c r="O2077" t="s">
        <v>2767</v>
      </c>
      <c r="P2077" t="s">
        <v>221</v>
      </c>
      <c r="Q2077" t="s">
        <v>82</v>
      </c>
      <c r="R2077">
        <v>1</v>
      </c>
      <c r="S2077">
        <v>0.8</v>
      </c>
      <c r="T2077">
        <v>0</v>
      </c>
      <c r="U2077">
        <v>1</v>
      </c>
      <c r="V2077">
        <v>1</v>
      </c>
      <c r="W2077">
        <v>21.16</v>
      </c>
      <c r="X2077">
        <v>0</v>
      </c>
      <c r="Y2077">
        <v>0</v>
      </c>
      <c r="Z2077">
        <v>0</v>
      </c>
      <c r="AA2077">
        <v>0</v>
      </c>
      <c r="AB2077">
        <v>0</v>
      </c>
      <c r="AC2077">
        <v>0</v>
      </c>
      <c r="AD2077">
        <v>1</v>
      </c>
      <c r="AE2077">
        <v>0</v>
      </c>
      <c r="AF2077">
        <v>0</v>
      </c>
      <c r="AG2077">
        <v>0</v>
      </c>
      <c r="AH2077">
        <v>0</v>
      </c>
      <c r="AI2077">
        <v>0</v>
      </c>
      <c r="AJ2077">
        <v>0</v>
      </c>
      <c r="AK2077">
        <v>0</v>
      </c>
    </row>
    <row r="2078" spans="1:37" x14ac:dyDescent="0.3">
      <c r="A2078">
        <v>7979</v>
      </c>
      <c r="B2078" t="s">
        <v>219</v>
      </c>
      <c r="D2078" t="s">
        <v>327</v>
      </c>
      <c r="E2078">
        <v>99999999</v>
      </c>
      <c r="F2078">
        <v>11111111</v>
      </c>
      <c r="G2078">
        <v>1111111111</v>
      </c>
      <c r="H2078" t="s">
        <v>5647</v>
      </c>
      <c r="I2078">
        <v>99999999</v>
      </c>
      <c r="J2078" s="188">
        <v>45238</v>
      </c>
      <c r="K2078" t="s">
        <v>5647</v>
      </c>
      <c r="L2078" t="s">
        <v>5647</v>
      </c>
      <c r="M2078" t="s">
        <v>343</v>
      </c>
      <c r="N2078" t="s">
        <v>164</v>
      </c>
      <c r="O2078">
        <v>97404</v>
      </c>
      <c r="P2078" t="s">
        <v>221</v>
      </c>
      <c r="Q2078" t="s">
        <v>82</v>
      </c>
      <c r="R2078">
        <v>1</v>
      </c>
      <c r="S2078">
        <v>2</v>
      </c>
      <c r="T2078">
        <v>0</v>
      </c>
      <c r="U2078">
        <v>1</v>
      </c>
      <c r="V2078">
        <v>1</v>
      </c>
      <c r="W2078">
        <v>21.83</v>
      </c>
      <c r="X2078">
        <v>0</v>
      </c>
      <c r="Y2078">
        <v>0</v>
      </c>
      <c r="Z2078">
        <v>0</v>
      </c>
      <c r="AA2078">
        <v>0</v>
      </c>
      <c r="AB2078">
        <v>0</v>
      </c>
      <c r="AC2078">
        <v>0</v>
      </c>
      <c r="AD2078">
        <v>1</v>
      </c>
      <c r="AE2078">
        <v>0</v>
      </c>
      <c r="AF2078">
        <v>0</v>
      </c>
      <c r="AG2078">
        <v>0</v>
      </c>
      <c r="AH2078">
        <v>0</v>
      </c>
      <c r="AI2078">
        <v>0</v>
      </c>
      <c r="AJ2078">
        <v>0</v>
      </c>
      <c r="AK2078">
        <v>0</v>
      </c>
    </row>
    <row r="2079" spans="1:37" x14ac:dyDescent="0.3">
      <c r="A2079">
        <v>7979</v>
      </c>
      <c r="B2079" t="s">
        <v>219</v>
      </c>
      <c r="D2079" t="s">
        <v>327</v>
      </c>
      <c r="E2079">
        <v>99999999</v>
      </c>
      <c r="F2079">
        <v>11111111</v>
      </c>
      <c r="G2079">
        <v>1111111111</v>
      </c>
      <c r="H2079" t="s">
        <v>5648</v>
      </c>
      <c r="I2079">
        <v>99999999</v>
      </c>
      <c r="J2079" s="188">
        <v>45238</v>
      </c>
      <c r="K2079" t="s">
        <v>5648</v>
      </c>
      <c r="L2079" t="s">
        <v>5648</v>
      </c>
      <c r="M2079" t="s">
        <v>1012</v>
      </c>
      <c r="N2079" t="s">
        <v>164</v>
      </c>
      <c r="O2079" t="s">
        <v>2768</v>
      </c>
      <c r="P2079" t="s">
        <v>221</v>
      </c>
      <c r="Q2079" t="s">
        <v>82</v>
      </c>
      <c r="R2079">
        <v>1</v>
      </c>
      <c r="S2079">
        <v>3</v>
      </c>
      <c r="T2079">
        <v>0</v>
      </c>
      <c r="U2079">
        <v>1</v>
      </c>
      <c r="V2079">
        <v>1</v>
      </c>
      <c r="W2079">
        <v>30.71</v>
      </c>
      <c r="X2079">
        <v>0</v>
      </c>
      <c r="Y2079">
        <v>0</v>
      </c>
      <c r="Z2079">
        <v>0</v>
      </c>
      <c r="AA2079">
        <v>0</v>
      </c>
      <c r="AB2079">
        <v>0</v>
      </c>
      <c r="AC2079">
        <v>0</v>
      </c>
      <c r="AD2079">
        <v>1</v>
      </c>
      <c r="AE2079">
        <v>0</v>
      </c>
      <c r="AF2079">
        <v>0</v>
      </c>
      <c r="AG2079">
        <v>0</v>
      </c>
      <c r="AH2079">
        <v>0</v>
      </c>
      <c r="AI2079">
        <v>0</v>
      </c>
      <c r="AJ2079">
        <v>0</v>
      </c>
      <c r="AK2079">
        <v>0</v>
      </c>
    </row>
    <row r="2080" spans="1:37" x14ac:dyDescent="0.3">
      <c r="A2080">
        <v>7979</v>
      </c>
      <c r="B2080" t="s">
        <v>219</v>
      </c>
      <c r="D2080" t="s">
        <v>327</v>
      </c>
      <c r="E2080">
        <v>99999999</v>
      </c>
      <c r="F2080">
        <v>11111111</v>
      </c>
      <c r="G2080">
        <v>1111111111</v>
      </c>
      <c r="H2080" t="s">
        <v>5649</v>
      </c>
      <c r="I2080">
        <v>99999999</v>
      </c>
      <c r="J2080" s="188">
        <v>45238</v>
      </c>
      <c r="K2080" t="s">
        <v>5649</v>
      </c>
      <c r="L2080" t="s">
        <v>5649</v>
      </c>
      <c r="M2080" t="s">
        <v>282</v>
      </c>
      <c r="N2080" t="s">
        <v>197</v>
      </c>
      <c r="O2080" t="s">
        <v>2769</v>
      </c>
      <c r="P2080" t="s">
        <v>221</v>
      </c>
      <c r="Q2080" t="s">
        <v>82</v>
      </c>
      <c r="R2080">
        <v>10</v>
      </c>
      <c r="S2080">
        <v>5.18</v>
      </c>
      <c r="T2080">
        <v>0</v>
      </c>
      <c r="U2080">
        <v>1</v>
      </c>
      <c r="V2080">
        <v>4</v>
      </c>
      <c r="W2080">
        <v>25.07</v>
      </c>
      <c r="X2080">
        <v>0</v>
      </c>
      <c r="Y2080">
        <v>0</v>
      </c>
      <c r="Z2080">
        <v>0</v>
      </c>
      <c r="AA2080">
        <v>0</v>
      </c>
      <c r="AB2080">
        <v>0</v>
      </c>
      <c r="AC2080">
        <v>0</v>
      </c>
      <c r="AD2080">
        <v>10</v>
      </c>
      <c r="AE2080">
        <v>0</v>
      </c>
      <c r="AF2080">
        <v>0</v>
      </c>
      <c r="AG2080">
        <v>0</v>
      </c>
      <c r="AH2080">
        <v>0</v>
      </c>
      <c r="AI2080">
        <v>0</v>
      </c>
      <c r="AJ2080">
        <v>0</v>
      </c>
      <c r="AK2080">
        <v>0</v>
      </c>
    </row>
    <row r="2081" spans="1:37" x14ac:dyDescent="0.3">
      <c r="A2081">
        <v>7979</v>
      </c>
      <c r="B2081" t="s">
        <v>219</v>
      </c>
      <c r="D2081" t="s">
        <v>327</v>
      </c>
      <c r="E2081">
        <v>99999999</v>
      </c>
      <c r="F2081">
        <v>11111111</v>
      </c>
      <c r="G2081">
        <v>1111111111</v>
      </c>
      <c r="H2081" t="s">
        <v>5650</v>
      </c>
      <c r="I2081">
        <v>99999999</v>
      </c>
      <c r="J2081" s="188">
        <v>45238</v>
      </c>
      <c r="K2081" t="s">
        <v>5650</v>
      </c>
      <c r="L2081" t="s">
        <v>5650</v>
      </c>
      <c r="M2081" t="s">
        <v>1191</v>
      </c>
      <c r="N2081" t="s">
        <v>99</v>
      </c>
      <c r="O2081">
        <v>95020</v>
      </c>
      <c r="P2081" t="s">
        <v>221</v>
      </c>
      <c r="Q2081" t="s">
        <v>82</v>
      </c>
      <c r="R2081">
        <v>1</v>
      </c>
      <c r="S2081">
        <v>1</v>
      </c>
      <c r="T2081">
        <v>0</v>
      </c>
      <c r="U2081">
        <v>1</v>
      </c>
      <c r="V2081">
        <v>1</v>
      </c>
      <c r="W2081">
        <v>19.89</v>
      </c>
      <c r="X2081">
        <v>0</v>
      </c>
      <c r="Y2081">
        <v>0</v>
      </c>
      <c r="Z2081">
        <v>0</v>
      </c>
      <c r="AA2081">
        <v>0</v>
      </c>
      <c r="AB2081">
        <v>0</v>
      </c>
      <c r="AC2081">
        <v>0</v>
      </c>
      <c r="AD2081">
        <v>1</v>
      </c>
      <c r="AE2081">
        <v>0</v>
      </c>
      <c r="AF2081">
        <v>0</v>
      </c>
      <c r="AG2081">
        <v>0</v>
      </c>
      <c r="AH2081">
        <v>0</v>
      </c>
      <c r="AI2081">
        <v>0</v>
      </c>
      <c r="AJ2081">
        <v>0</v>
      </c>
      <c r="AK2081">
        <v>0</v>
      </c>
    </row>
    <row r="2082" spans="1:37" x14ac:dyDescent="0.3">
      <c r="A2082">
        <v>7979</v>
      </c>
      <c r="B2082" t="s">
        <v>219</v>
      </c>
      <c r="D2082" t="s">
        <v>327</v>
      </c>
      <c r="E2082">
        <v>99999999</v>
      </c>
      <c r="F2082">
        <v>11111111</v>
      </c>
      <c r="G2082">
        <v>1111111111</v>
      </c>
      <c r="H2082" t="s">
        <v>5651</v>
      </c>
      <c r="I2082">
        <v>99999999</v>
      </c>
      <c r="J2082" s="188">
        <v>45238</v>
      </c>
      <c r="K2082" t="s">
        <v>5651</v>
      </c>
      <c r="L2082" t="s">
        <v>5651</v>
      </c>
      <c r="M2082" t="s">
        <v>2770</v>
      </c>
      <c r="N2082" t="s">
        <v>814</v>
      </c>
      <c r="O2082" t="s">
        <v>2771</v>
      </c>
      <c r="P2082" t="s">
        <v>221</v>
      </c>
      <c r="Q2082" t="s">
        <v>82</v>
      </c>
      <c r="R2082">
        <v>2</v>
      </c>
      <c r="S2082">
        <v>1.78</v>
      </c>
      <c r="T2082">
        <v>0</v>
      </c>
      <c r="U2082">
        <v>1</v>
      </c>
      <c r="V2082">
        <v>1</v>
      </c>
      <c r="W2082">
        <v>24.76</v>
      </c>
      <c r="X2082">
        <v>0</v>
      </c>
      <c r="Y2082">
        <v>0</v>
      </c>
      <c r="Z2082">
        <v>0</v>
      </c>
      <c r="AA2082">
        <v>0</v>
      </c>
      <c r="AB2082">
        <v>0</v>
      </c>
      <c r="AC2082">
        <v>0</v>
      </c>
      <c r="AD2082">
        <v>2</v>
      </c>
      <c r="AE2082">
        <v>0</v>
      </c>
      <c r="AF2082">
        <v>0</v>
      </c>
      <c r="AG2082">
        <v>0</v>
      </c>
      <c r="AH2082">
        <v>0</v>
      </c>
      <c r="AI2082">
        <v>0</v>
      </c>
      <c r="AJ2082">
        <v>0</v>
      </c>
      <c r="AK2082">
        <v>0</v>
      </c>
    </row>
    <row r="2083" spans="1:37" x14ac:dyDescent="0.3">
      <c r="A2083">
        <v>7979</v>
      </c>
      <c r="B2083" t="s">
        <v>219</v>
      </c>
      <c r="D2083" t="s">
        <v>327</v>
      </c>
      <c r="E2083">
        <v>99999999</v>
      </c>
      <c r="F2083">
        <v>11111111</v>
      </c>
      <c r="G2083">
        <v>1111111111</v>
      </c>
      <c r="H2083" t="s">
        <v>5652</v>
      </c>
      <c r="I2083">
        <v>99999999</v>
      </c>
      <c r="J2083" s="188">
        <v>45238</v>
      </c>
      <c r="K2083" t="s">
        <v>5652</v>
      </c>
      <c r="L2083" t="s">
        <v>5652</v>
      </c>
      <c r="M2083" t="s">
        <v>2772</v>
      </c>
      <c r="N2083" t="s">
        <v>164</v>
      </c>
      <c r="O2083">
        <v>97754</v>
      </c>
      <c r="P2083" t="s">
        <v>221</v>
      </c>
      <c r="Q2083" t="s">
        <v>82</v>
      </c>
      <c r="R2083">
        <v>1</v>
      </c>
      <c r="S2083">
        <v>0.66</v>
      </c>
      <c r="T2083">
        <v>0</v>
      </c>
      <c r="U2083">
        <v>1</v>
      </c>
      <c r="V2083">
        <v>1</v>
      </c>
      <c r="W2083">
        <v>29.4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1</v>
      </c>
      <c r="AE2083">
        <v>0</v>
      </c>
      <c r="AF2083">
        <v>0</v>
      </c>
      <c r="AG2083">
        <v>0</v>
      </c>
      <c r="AH2083">
        <v>0</v>
      </c>
      <c r="AI2083">
        <v>0</v>
      </c>
      <c r="AJ2083">
        <v>0</v>
      </c>
      <c r="AK2083">
        <v>0</v>
      </c>
    </row>
    <row r="2084" spans="1:37" x14ac:dyDescent="0.3">
      <c r="A2084">
        <v>7979</v>
      </c>
      <c r="B2084" t="s">
        <v>219</v>
      </c>
      <c r="D2084" t="s">
        <v>327</v>
      </c>
      <c r="E2084">
        <v>99999999</v>
      </c>
      <c r="F2084">
        <v>11111111</v>
      </c>
      <c r="G2084">
        <v>1111111111</v>
      </c>
      <c r="H2084" t="s">
        <v>5653</v>
      </c>
      <c r="I2084">
        <v>99999999</v>
      </c>
      <c r="J2084" s="188">
        <v>45238</v>
      </c>
      <c r="K2084" t="s">
        <v>5653</v>
      </c>
      <c r="L2084" t="s">
        <v>5653</v>
      </c>
      <c r="M2084" t="s">
        <v>2773</v>
      </c>
      <c r="N2084" t="s">
        <v>99</v>
      </c>
      <c r="O2084" t="s">
        <v>2774</v>
      </c>
      <c r="P2084" t="s">
        <v>221</v>
      </c>
      <c r="Q2084" t="s">
        <v>82</v>
      </c>
      <c r="R2084">
        <v>1</v>
      </c>
      <c r="S2084">
        <v>1.18</v>
      </c>
      <c r="T2084">
        <v>0</v>
      </c>
      <c r="U2084">
        <v>1</v>
      </c>
      <c r="V2084">
        <v>1</v>
      </c>
      <c r="W2084">
        <v>21.16</v>
      </c>
      <c r="X2084">
        <v>0</v>
      </c>
      <c r="Y2084">
        <v>0</v>
      </c>
      <c r="Z2084">
        <v>0</v>
      </c>
      <c r="AA2084">
        <v>0</v>
      </c>
      <c r="AB2084">
        <v>0</v>
      </c>
      <c r="AC2084">
        <v>0</v>
      </c>
      <c r="AD2084">
        <v>1</v>
      </c>
      <c r="AE2084">
        <v>0</v>
      </c>
      <c r="AF2084">
        <v>0</v>
      </c>
      <c r="AG2084">
        <v>0</v>
      </c>
      <c r="AH2084">
        <v>0</v>
      </c>
      <c r="AI2084">
        <v>0</v>
      </c>
      <c r="AJ2084">
        <v>0</v>
      </c>
      <c r="AK2084">
        <v>0</v>
      </c>
    </row>
    <row r="2085" spans="1:37" x14ac:dyDescent="0.3">
      <c r="A2085">
        <v>7979</v>
      </c>
      <c r="B2085" t="s">
        <v>219</v>
      </c>
      <c r="D2085" t="s">
        <v>327</v>
      </c>
      <c r="E2085">
        <v>99999999</v>
      </c>
      <c r="F2085">
        <v>11111111</v>
      </c>
      <c r="G2085">
        <v>1111111111</v>
      </c>
      <c r="H2085" t="s">
        <v>5654</v>
      </c>
      <c r="I2085">
        <v>99999999</v>
      </c>
      <c r="J2085" s="188">
        <v>45238</v>
      </c>
      <c r="K2085" t="s">
        <v>5654</v>
      </c>
      <c r="L2085" t="s">
        <v>5654</v>
      </c>
      <c r="M2085" t="s">
        <v>2775</v>
      </c>
      <c r="N2085" t="s">
        <v>85</v>
      </c>
      <c r="O2085" t="s">
        <v>2776</v>
      </c>
      <c r="P2085" t="s">
        <v>221</v>
      </c>
      <c r="Q2085" t="s">
        <v>82</v>
      </c>
      <c r="R2085">
        <v>1</v>
      </c>
      <c r="S2085">
        <v>2.4</v>
      </c>
      <c r="T2085">
        <v>0</v>
      </c>
      <c r="U2085">
        <v>1</v>
      </c>
      <c r="V2085">
        <v>1</v>
      </c>
      <c r="W2085">
        <v>25.23</v>
      </c>
      <c r="X2085">
        <v>0</v>
      </c>
      <c r="Y2085">
        <v>0</v>
      </c>
      <c r="Z2085">
        <v>0</v>
      </c>
      <c r="AA2085">
        <v>0</v>
      </c>
      <c r="AB2085">
        <v>0</v>
      </c>
      <c r="AC2085">
        <v>0</v>
      </c>
      <c r="AD2085">
        <v>1</v>
      </c>
      <c r="AE2085">
        <v>0</v>
      </c>
      <c r="AF2085">
        <v>0</v>
      </c>
      <c r="AG2085">
        <v>0</v>
      </c>
      <c r="AH2085">
        <v>0</v>
      </c>
      <c r="AI2085">
        <v>0</v>
      </c>
      <c r="AJ2085">
        <v>0</v>
      </c>
      <c r="AK2085">
        <v>0</v>
      </c>
    </row>
    <row r="2086" spans="1:37" x14ac:dyDescent="0.3">
      <c r="A2086">
        <v>7979</v>
      </c>
      <c r="B2086" t="s">
        <v>219</v>
      </c>
      <c r="D2086" t="s">
        <v>327</v>
      </c>
      <c r="E2086">
        <v>99999999</v>
      </c>
      <c r="F2086">
        <v>11111111</v>
      </c>
      <c r="G2086">
        <v>1111111111</v>
      </c>
      <c r="H2086" t="s">
        <v>5655</v>
      </c>
      <c r="I2086">
        <v>99999999</v>
      </c>
      <c r="J2086" s="188">
        <v>45238</v>
      </c>
      <c r="K2086" t="s">
        <v>5655</v>
      </c>
      <c r="L2086" t="s">
        <v>5655</v>
      </c>
      <c r="M2086" t="s">
        <v>1732</v>
      </c>
      <c r="N2086" t="s">
        <v>99</v>
      </c>
      <c r="O2086" t="s">
        <v>2777</v>
      </c>
      <c r="P2086" t="s">
        <v>221</v>
      </c>
      <c r="Q2086" t="s">
        <v>82</v>
      </c>
      <c r="R2086">
        <v>1</v>
      </c>
      <c r="S2086">
        <v>4</v>
      </c>
      <c r="T2086">
        <v>0</v>
      </c>
      <c r="U2086">
        <v>1</v>
      </c>
      <c r="V2086">
        <v>1</v>
      </c>
      <c r="W2086">
        <v>22.88</v>
      </c>
      <c r="X2086">
        <v>0</v>
      </c>
      <c r="Y2086">
        <v>0</v>
      </c>
      <c r="Z2086">
        <v>0</v>
      </c>
      <c r="AA2086">
        <v>0</v>
      </c>
      <c r="AB2086">
        <v>0</v>
      </c>
      <c r="AC2086">
        <v>0</v>
      </c>
      <c r="AD2086">
        <v>1</v>
      </c>
      <c r="AE2086">
        <v>0</v>
      </c>
      <c r="AF2086">
        <v>0</v>
      </c>
      <c r="AG2086">
        <v>0</v>
      </c>
      <c r="AH2086">
        <v>0</v>
      </c>
      <c r="AI2086">
        <v>0</v>
      </c>
      <c r="AJ2086">
        <v>0</v>
      </c>
      <c r="AK2086">
        <v>0</v>
      </c>
    </row>
    <row r="2087" spans="1:37" x14ac:dyDescent="0.3">
      <c r="A2087">
        <v>7979</v>
      </c>
      <c r="B2087" t="s">
        <v>219</v>
      </c>
      <c r="D2087" t="s">
        <v>327</v>
      </c>
      <c r="E2087">
        <v>99999999</v>
      </c>
      <c r="F2087">
        <v>11111111</v>
      </c>
      <c r="G2087">
        <v>1111111111</v>
      </c>
      <c r="H2087" t="s">
        <v>5656</v>
      </c>
      <c r="I2087">
        <v>99999999</v>
      </c>
      <c r="J2087" s="188">
        <v>45238</v>
      </c>
      <c r="K2087" t="s">
        <v>5656</v>
      </c>
      <c r="L2087" t="s">
        <v>5656</v>
      </c>
      <c r="M2087" t="s">
        <v>190</v>
      </c>
      <c r="N2087" t="s">
        <v>99</v>
      </c>
      <c r="O2087" t="s">
        <v>2778</v>
      </c>
      <c r="P2087" t="s">
        <v>221</v>
      </c>
      <c r="Q2087" t="s">
        <v>82</v>
      </c>
      <c r="R2087">
        <v>1</v>
      </c>
      <c r="S2087">
        <v>2.5</v>
      </c>
      <c r="T2087">
        <v>0</v>
      </c>
      <c r="U2087">
        <v>1</v>
      </c>
      <c r="V2087">
        <v>1</v>
      </c>
      <c r="W2087">
        <v>21.83</v>
      </c>
      <c r="X2087">
        <v>0</v>
      </c>
      <c r="Y2087">
        <v>0</v>
      </c>
      <c r="Z2087">
        <v>0</v>
      </c>
      <c r="AA2087">
        <v>0</v>
      </c>
      <c r="AB2087">
        <v>0</v>
      </c>
      <c r="AC2087">
        <v>0</v>
      </c>
      <c r="AD2087">
        <v>1</v>
      </c>
      <c r="AE2087">
        <v>0</v>
      </c>
      <c r="AF2087">
        <v>0</v>
      </c>
      <c r="AG2087">
        <v>0</v>
      </c>
      <c r="AH2087">
        <v>0</v>
      </c>
      <c r="AI2087">
        <v>0</v>
      </c>
      <c r="AJ2087">
        <v>0</v>
      </c>
      <c r="AK2087">
        <v>0</v>
      </c>
    </row>
    <row r="2088" spans="1:37" x14ac:dyDescent="0.3">
      <c r="A2088">
        <v>7979</v>
      </c>
      <c r="B2088" t="s">
        <v>219</v>
      </c>
      <c r="D2088" t="s">
        <v>327</v>
      </c>
      <c r="E2088">
        <v>99999999</v>
      </c>
      <c r="F2088">
        <v>11111111</v>
      </c>
      <c r="G2088">
        <v>1111111111</v>
      </c>
      <c r="H2088" t="s">
        <v>5657</v>
      </c>
      <c r="I2088">
        <v>99999999</v>
      </c>
      <c r="J2088" s="188">
        <v>45238</v>
      </c>
      <c r="K2088" t="s">
        <v>5657</v>
      </c>
      <c r="L2088" t="s">
        <v>5657</v>
      </c>
      <c r="M2088" t="s">
        <v>2665</v>
      </c>
      <c r="N2088" t="s">
        <v>381</v>
      </c>
      <c r="O2088" t="s">
        <v>2666</v>
      </c>
      <c r="P2088" t="s">
        <v>221</v>
      </c>
      <c r="Q2088" t="s">
        <v>82</v>
      </c>
      <c r="R2088">
        <v>1</v>
      </c>
      <c r="S2088">
        <v>5</v>
      </c>
      <c r="T2088">
        <v>0</v>
      </c>
      <c r="U2088">
        <v>1</v>
      </c>
      <c r="V2088">
        <v>1</v>
      </c>
      <c r="W2088">
        <v>32.630000000000003</v>
      </c>
      <c r="X2088">
        <v>0</v>
      </c>
      <c r="Y2088">
        <v>0</v>
      </c>
      <c r="Z2088">
        <v>0</v>
      </c>
      <c r="AA2088">
        <v>0</v>
      </c>
      <c r="AB2088">
        <v>0</v>
      </c>
      <c r="AC2088">
        <v>0</v>
      </c>
      <c r="AD2088">
        <v>1</v>
      </c>
      <c r="AE2088">
        <v>0</v>
      </c>
      <c r="AF2088">
        <v>0</v>
      </c>
      <c r="AG2088">
        <v>0</v>
      </c>
      <c r="AH2088">
        <v>0</v>
      </c>
      <c r="AI2088">
        <v>0</v>
      </c>
      <c r="AJ2088">
        <v>0</v>
      </c>
      <c r="AK2088">
        <v>0</v>
      </c>
    </row>
    <row r="2089" spans="1:37" x14ac:dyDescent="0.3">
      <c r="A2089">
        <v>7979</v>
      </c>
      <c r="B2089" t="s">
        <v>219</v>
      </c>
      <c r="D2089" t="s">
        <v>327</v>
      </c>
      <c r="E2089">
        <v>99999999</v>
      </c>
      <c r="F2089">
        <v>11111111</v>
      </c>
      <c r="G2089">
        <v>1111111111</v>
      </c>
      <c r="H2089" t="s">
        <v>5658</v>
      </c>
      <c r="I2089">
        <v>99999999</v>
      </c>
      <c r="J2089" s="188">
        <v>45238</v>
      </c>
      <c r="K2089" t="s">
        <v>5658</v>
      </c>
      <c r="L2089" t="s">
        <v>5658</v>
      </c>
      <c r="M2089" t="s">
        <v>767</v>
      </c>
      <c r="N2089" t="s">
        <v>197</v>
      </c>
      <c r="O2089" t="s">
        <v>2779</v>
      </c>
      <c r="P2089" t="s">
        <v>221</v>
      </c>
      <c r="Q2089" t="s">
        <v>82</v>
      </c>
      <c r="R2089">
        <v>1</v>
      </c>
      <c r="S2089">
        <v>1</v>
      </c>
      <c r="T2089">
        <v>0</v>
      </c>
      <c r="U2089">
        <v>1</v>
      </c>
      <c r="V2089">
        <v>1</v>
      </c>
      <c r="W2089">
        <v>28.27</v>
      </c>
      <c r="X2089">
        <v>0</v>
      </c>
      <c r="Y2089">
        <v>0</v>
      </c>
      <c r="Z2089">
        <v>0</v>
      </c>
      <c r="AA2089">
        <v>0</v>
      </c>
      <c r="AB2089">
        <v>0</v>
      </c>
      <c r="AC2089">
        <v>0</v>
      </c>
      <c r="AD2089">
        <v>1</v>
      </c>
      <c r="AE2089">
        <v>0</v>
      </c>
      <c r="AF2089">
        <v>0</v>
      </c>
      <c r="AG2089">
        <v>0</v>
      </c>
      <c r="AH2089">
        <v>0</v>
      </c>
      <c r="AI2089">
        <v>0</v>
      </c>
      <c r="AJ2089">
        <v>0</v>
      </c>
      <c r="AK2089">
        <v>0</v>
      </c>
    </row>
    <row r="2090" spans="1:37" x14ac:dyDescent="0.3">
      <c r="A2090">
        <v>7979</v>
      </c>
      <c r="B2090" t="s">
        <v>219</v>
      </c>
      <c r="D2090" t="s">
        <v>327</v>
      </c>
      <c r="E2090">
        <v>99999999</v>
      </c>
      <c r="F2090">
        <v>11111111</v>
      </c>
      <c r="G2090">
        <v>1111111111</v>
      </c>
      <c r="H2090" t="s">
        <v>5659</v>
      </c>
      <c r="I2090">
        <v>99999999</v>
      </c>
      <c r="J2090" s="188">
        <v>45238</v>
      </c>
      <c r="K2090" t="s">
        <v>5659</v>
      </c>
      <c r="L2090" t="s">
        <v>5659</v>
      </c>
      <c r="M2090" t="s">
        <v>1346</v>
      </c>
      <c r="N2090" t="s">
        <v>97</v>
      </c>
      <c r="O2090" t="s">
        <v>2780</v>
      </c>
      <c r="P2090" t="s">
        <v>221</v>
      </c>
      <c r="Q2090" t="s">
        <v>82</v>
      </c>
      <c r="R2090">
        <v>1</v>
      </c>
      <c r="S2090">
        <v>4.4000000000000004</v>
      </c>
      <c r="T2090">
        <v>0</v>
      </c>
      <c r="U2090">
        <v>1</v>
      </c>
      <c r="V2090">
        <v>1</v>
      </c>
      <c r="W2090">
        <v>22.88</v>
      </c>
      <c r="X2090">
        <v>0</v>
      </c>
      <c r="Y2090">
        <v>0</v>
      </c>
      <c r="Z2090">
        <v>0</v>
      </c>
      <c r="AA2090">
        <v>0</v>
      </c>
      <c r="AB2090">
        <v>0</v>
      </c>
      <c r="AC2090">
        <v>0</v>
      </c>
      <c r="AD2090">
        <v>1</v>
      </c>
      <c r="AE2090">
        <v>0</v>
      </c>
      <c r="AF2090">
        <v>0</v>
      </c>
      <c r="AG2090">
        <v>0</v>
      </c>
      <c r="AH2090">
        <v>0</v>
      </c>
      <c r="AI2090">
        <v>0</v>
      </c>
      <c r="AJ2090">
        <v>0</v>
      </c>
      <c r="AK2090">
        <v>0</v>
      </c>
    </row>
    <row r="2091" spans="1:37" x14ac:dyDescent="0.3">
      <c r="A2091">
        <v>7979</v>
      </c>
      <c r="B2091" t="s">
        <v>219</v>
      </c>
      <c r="D2091" t="s">
        <v>327</v>
      </c>
      <c r="E2091">
        <v>99999999</v>
      </c>
      <c r="F2091">
        <v>11111111</v>
      </c>
      <c r="G2091">
        <v>1111111111</v>
      </c>
      <c r="H2091" t="s">
        <v>5660</v>
      </c>
      <c r="I2091">
        <v>99999999</v>
      </c>
      <c r="J2091" s="188">
        <v>45238</v>
      </c>
      <c r="K2091" t="s">
        <v>5660</v>
      </c>
      <c r="L2091" t="s">
        <v>5660</v>
      </c>
      <c r="M2091" t="s">
        <v>2781</v>
      </c>
      <c r="N2091" t="s">
        <v>130</v>
      </c>
      <c r="O2091" t="s">
        <v>2782</v>
      </c>
      <c r="P2091" t="s">
        <v>221</v>
      </c>
      <c r="Q2091" t="s">
        <v>82</v>
      </c>
      <c r="R2091">
        <v>3</v>
      </c>
      <c r="S2091">
        <v>3.4159999999999999</v>
      </c>
      <c r="T2091">
        <v>0</v>
      </c>
      <c r="U2091">
        <v>1</v>
      </c>
      <c r="V2091">
        <v>2</v>
      </c>
      <c r="W2091">
        <v>23.53</v>
      </c>
      <c r="X2091">
        <v>0</v>
      </c>
      <c r="Y2091">
        <v>0</v>
      </c>
      <c r="Z2091">
        <v>0</v>
      </c>
      <c r="AA2091">
        <v>0</v>
      </c>
      <c r="AB2091">
        <v>0</v>
      </c>
      <c r="AC2091">
        <v>0</v>
      </c>
      <c r="AD2091">
        <v>3</v>
      </c>
      <c r="AE2091">
        <v>0</v>
      </c>
      <c r="AF2091">
        <v>0</v>
      </c>
      <c r="AG2091">
        <v>0</v>
      </c>
      <c r="AH2091">
        <v>0</v>
      </c>
      <c r="AI2091">
        <v>0</v>
      </c>
      <c r="AJ2091">
        <v>0</v>
      </c>
      <c r="AK2091">
        <v>0</v>
      </c>
    </row>
    <row r="2092" spans="1:37" x14ac:dyDescent="0.3">
      <c r="A2092">
        <v>7979</v>
      </c>
      <c r="B2092" t="s">
        <v>219</v>
      </c>
      <c r="D2092" t="s">
        <v>327</v>
      </c>
      <c r="E2092">
        <v>99999999</v>
      </c>
      <c r="F2092">
        <v>11111111</v>
      </c>
      <c r="G2092">
        <v>1111111111</v>
      </c>
      <c r="H2092" t="s">
        <v>5661</v>
      </c>
      <c r="I2092">
        <v>99999999</v>
      </c>
      <c r="J2092" s="188">
        <v>45238</v>
      </c>
      <c r="K2092" t="s">
        <v>5661</v>
      </c>
      <c r="L2092" t="s">
        <v>5661</v>
      </c>
      <c r="M2092" t="s">
        <v>152</v>
      </c>
      <c r="N2092" t="s">
        <v>141</v>
      </c>
      <c r="O2092" t="s">
        <v>2783</v>
      </c>
      <c r="P2092" t="s">
        <v>221</v>
      </c>
      <c r="Q2092" t="s">
        <v>82</v>
      </c>
      <c r="R2092">
        <v>1</v>
      </c>
      <c r="S2092">
        <v>0.5</v>
      </c>
      <c r="T2092">
        <v>0</v>
      </c>
      <c r="U2092">
        <v>1</v>
      </c>
      <c r="V2092">
        <v>1</v>
      </c>
      <c r="W2092">
        <v>20.73</v>
      </c>
      <c r="X2092">
        <v>0</v>
      </c>
      <c r="Y2092">
        <v>0</v>
      </c>
      <c r="Z2092">
        <v>0</v>
      </c>
      <c r="AA2092">
        <v>0</v>
      </c>
      <c r="AB2092">
        <v>0</v>
      </c>
      <c r="AC2092">
        <v>0</v>
      </c>
      <c r="AD2092">
        <v>1</v>
      </c>
      <c r="AE2092">
        <v>0</v>
      </c>
      <c r="AF2092">
        <v>0</v>
      </c>
      <c r="AG2092">
        <v>0</v>
      </c>
      <c r="AH2092">
        <v>0</v>
      </c>
      <c r="AI2092">
        <v>0</v>
      </c>
      <c r="AJ2092">
        <v>0</v>
      </c>
      <c r="AK2092">
        <v>0</v>
      </c>
    </row>
    <row r="2093" spans="1:37" x14ac:dyDescent="0.3">
      <c r="A2093">
        <v>7979</v>
      </c>
      <c r="B2093" t="s">
        <v>219</v>
      </c>
      <c r="D2093" t="s">
        <v>327</v>
      </c>
      <c r="E2093">
        <v>99999999</v>
      </c>
      <c r="F2093">
        <v>11111111</v>
      </c>
      <c r="G2093">
        <v>1111111111</v>
      </c>
      <c r="H2093" t="s">
        <v>5662</v>
      </c>
      <c r="I2093">
        <v>99999999</v>
      </c>
      <c r="J2093" s="188">
        <v>45238</v>
      </c>
      <c r="K2093" t="s">
        <v>5662</v>
      </c>
      <c r="L2093" t="s">
        <v>5662</v>
      </c>
      <c r="M2093" t="s">
        <v>282</v>
      </c>
      <c r="N2093" t="s">
        <v>197</v>
      </c>
      <c r="O2093" t="s">
        <v>2784</v>
      </c>
      <c r="P2093" t="s">
        <v>221</v>
      </c>
      <c r="Q2093" t="s">
        <v>82</v>
      </c>
      <c r="R2093">
        <v>1</v>
      </c>
      <c r="S2093">
        <v>1.21</v>
      </c>
      <c r="T2093">
        <v>0</v>
      </c>
      <c r="U2093">
        <v>1</v>
      </c>
      <c r="V2093">
        <v>1</v>
      </c>
      <c r="W2093">
        <v>22.16</v>
      </c>
      <c r="X2093">
        <v>0</v>
      </c>
      <c r="Y2093">
        <v>0</v>
      </c>
      <c r="Z2093">
        <v>0</v>
      </c>
      <c r="AA2093">
        <v>0</v>
      </c>
      <c r="AB2093">
        <v>0</v>
      </c>
      <c r="AC2093">
        <v>0</v>
      </c>
      <c r="AD2093">
        <v>1</v>
      </c>
      <c r="AE2093">
        <v>0</v>
      </c>
      <c r="AF2093">
        <v>0</v>
      </c>
      <c r="AG2093">
        <v>0</v>
      </c>
      <c r="AH2093">
        <v>0</v>
      </c>
      <c r="AI2093">
        <v>0</v>
      </c>
      <c r="AJ2093">
        <v>0</v>
      </c>
      <c r="AK2093">
        <v>0</v>
      </c>
    </row>
    <row r="2094" spans="1:37" x14ac:dyDescent="0.3">
      <c r="A2094">
        <v>7979</v>
      </c>
      <c r="B2094" t="s">
        <v>219</v>
      </c>
      <c r="D2094" t="s">
        <v>327</v>
      </c>
      <c r="E2094">
        <v>99999999</v>
      </c>
      <c r="F2094">
        <v>11111111</v>
      </c>
      <c r="G2094">
        <v>1111111111</v>
      </c>
      <c r="H2094" t="s">
        <v>5663</v>
      </c>
      <c r="I2094">
        <v>99999999</v>
      </c>
      <c r="J2094" s="188">
        <v>45238</v>
      </c>
      <c r="K2094" t="s">
        <v>5663</v>
      </c>
      <c r="L2094" t="s">
        <v>5663</v>
      </c>
      <c r="M2094" t="s">
        <v>2390</v>
      </c>
      <c r="N2094" t="s">
        <v>99</v>
      </c>
      <c r="O2094" t="s">
        <v>2785</v>
      </c>
      <c r="P2094" t="s">
        <v>221</v>
      </c>
      <c r="Q2094" t="s">
        <v>82</v>
      </c>
      <c r="R2094">
        <v>1</v>
      </c>
      <c r="S2094">
        <v>10</v>
      </c>
      <c r="T2094">
        <v>0</v>
      </c>
      <c r="U2094">
        <v>1</v>
      </c>
      <c r="V2094">
        <v>1</v>
      </c>
      <c r="W2094">
        <v>24.59</v>
      </c>
      <c r="X2094">
        <v>0</v>
      </c>
      <c r="Y2094">
        <v>0</v>
      </c>
      <c r="Z2094">
        <v>0</v>
      </c>
      <c r="AA2094">
        <v>0</v>
      </c>
      <c r="AB2094">
        <v>0</v>
      </c>
      <c r="AC2094">
        <v>0</v>
      </c>
      <c r="AD2094">
        <v>1</v>
      </c>
      <c r="AE2094">
        <v>0</v>
      </c>
      <c r="AF2094">
        <v>0</v>
      </c>
      <c r="AG2094">
        <v>0</v>
      </c>
      <c r="AH2094">
        <v>0</v>
      </c>
      <c r="AI2094">
        <v>0</v>
      </c>
      <c r="AJ2094">
        <v>0</v>
      </c>
      <c r="AK2094">
        <v>0</v>
      </c>
    </row>
    <row r="2095" spans="1:37" x14ac:dyDescent="0.3">
      <c r="A2095">
        <v>7979</v>
      </c>
      <c r="B2095" t="s">
        <v>219</v>
      </c>
      <c r="D2095" t="s">
        <v>327</v>
      </c>
      <c r="E2095">
        <v>99999999</v>
      </c>
      <c r="F2095">
        <v>11111111</v>
      </c>
      <c r="G2095">
        <v>1111111111</v>
      </c>
      <c r="H2095" t="s">
        <v>5664</v>
      </c>
      <c r="I2095">
        <v>99999999</v>
      </c>
      <c r="J2095" s="188">
        <v>45238</v>
      </c>
      <c r="K2095" t="s">
        <v>5664</v>
      </c>
      <c r="L2095" t="s">
        <v>5664</v>
      </c>
      <c r="M2095" t="s">
        <v>258</v>
      </c>
      <c r="N2095" t="s">
        <v>91</v>
      </c>
      <c r="O2095" t="s">
        <v>2786</v>
      </c>
      <c r="P2095" t="s">
        <v>221</v>
      </c>
      <c r="Q2095" t="s">
        <v>82</v>
      </c>
      <c r="R2095">
        <v>1</v>
      </c>
      <c r="S2095">
        <v>1.1240000000000001</v>
      </c>
      <c r="T2095">
        <v>0</v>
      </c>
      <c r="U2095">
        <v>1</v>
      </c>
      <c r="V2095">
        <v>1</v>
      </c>
      <c r="W2095">
        <v>21.49</v>
      </c>
      <c r="X2095">
        <v>0</v>
      </c>
      <c r="Y2095">
        <v>0</v>
      </c>
      <c r="Z2095">
        <v>0</v>
      </c>
      <c r="AA2095">
        <v>0</v>
      </c>
      <c r="AB2095">
        <v>0</v>
      </c>
      <c r="AC2095">
        <v>0</v>
      </c>
      <c r="AD2095">
        <v>1</v>
      </c>
      <c r="AE2095">
        <v>0</v>
      </c>
      <c r="AF2095">
        <v>0</v>
      </c>
      <c r="AG2095">
        <v>0</v>
      </c>
      <c r="AH2095">
        <v>0</v>
      </c>
      <c r="AI2095">
        <v>0</v>
      </c>
      <c r="AJ2095">
        <v>0</v>
      </c>
      <c r="AK2095">
        <v>0</v>
      </c>
    </row>
    <row r="2096" spans="1:37" x14ac:dyDescent="0.3">
      <c r="A2096">
        <v>7979</v>
      </c>
      <c r="B2096" t="s">
        <v>219</v>
      </c>
      <c r="D2096" t="s">
        <v>327</v>
      </c>
      <c r="E2096">
        <v>99999999</v>
      </c>
      <c r="F2096">
        <v>11111111</v>
      </c>
      <c r="G2096">
        <v>1111111111</v>
      </c>
      <c r="H2096" t="s">
        <v>5665</v>
      </c>
      <c r="I2096">
        <v>99999999</v>
      </c>
      <c r="J2096" s="188">
        <v>45238</v>
      </c>
      <c r="K2096" t="s">
        <v>5665</v>
      </c>
      <c r="L2096" t="s">
        <v>5665</v>
      </c>
      <c r="M2096" t="s">
        <v>564</v>
      </c>
      <c r="N2096" t="s">
        <v>307</v>
      </c>
      <c r="O2096" t="s">
        <v>2787</v>
      </c>
      <c r="P2096" t="s">
        <v>221</v>
      </c>
      <c r="Q2096" t="s">
        <v>82</v>
      </c>
      <c r="R2096">
        <v>1</v>
      </c>
      <c r="S2096">
        <v>0.65</v>
      </c>
      <c r="T2096">
        <v>0</v>
      </c>
      <c r="U2096">
        <v>1</v>
      </c>
      <c r="V2096">
        <v>1</v>
      </c>
      <c r="W2096">
        <v>22.16</v>
      </c>
      <c r="X2096">
        <v>0</v>
      </c>
      <c r="Y2096">
        <v>0</v>
      </c>
      <c r="Z2096">
        <v>0</v>
      </c>
      <c r="AA2096">
        <v>0</v>
      </c>
      <c r="AB2096">
        <v>0</v>
      </c>
      <c r="AC2096">
        <v>0</v>
      </c>
      <c r="AD2096">
        <v>1</v>
      </c>
      <c r="AE2096">
        <v>0</v>
      </c>
      <c r="AF2096">
        <v>0</v>
      </c>
      <c r="AG2096">
        <v>0</v>
      </c>
      <c r="AH2096">
        <v>0</v>
      </c>
      <c r="AI2096">
        <v>0</v>
      </c>
      <c r="AJ2096">
        <v>0</v>
      </c>
      <c r="AK2096">
        <v>0</v>
      </c>
    </row>
    <row r="2097" spans="1:37" x14ac:dyDescent="0.3">
      <c r="A2097">
        <v>7979</v>
      </c>
      <c r="B2097" t="s">
        <v>219</v>
      </c>
      <c r="D2097" t="s">
        <v>327</v>
      </c>
      <c r="E2097">
        <v>99999999</v>
      </c>
      <c r="F2097">
        <v>11111111</v>
      </c>
      <c r="G2097">
        <v>1111111111</v>
      </c>
      <c r="H2097" t="s">
        <v>5666</v>
      </c>
      <c r="I2097">
        <v>99999999</v>
      </c>
      <c r="J2097" s="188">
        <v>45238</v>
      </c>
      <c r="K2097" t="s">
        <v>5666</v>
      </c>
      <c r="L2097" t="s">
        <v>5666</v>
      </c>
      <c r="M2097" t="s">
        <v>2378</v>
      </c>
      <c r="N2097" t="s">
        <v>80</v>
      </c>
      <c r="O2097">
        <v>40324</v>
      </c>
      <c r="P2097" t="s">
        <v>221</v>
      </c>
      <c r="Q2097" t="s">
        <v>82</v>
      </c>
      <c r="R2097">
        <v>1</v>
      </c>
      <c r="S2097">
        <v>0.2</v>
      </c>
      <c r="T2097">
        <v>0</v>
      </c>
      <c r="U2097">
        <v>1</v>
      </c>
      <c r="V2097">
        <v>1</v>
      </c>
      <c r="W2097">
        <v>20.73</v>
      </c>
      <c r="X2097">
        <v>0</v>
      </c>
      <c r="Y2097">
        <v>0</v>
      </c>
      <c r="Z2097">
        <v>0</v>
      </c>
      <c r="AA2097">
        <v>0</v>
      </c>
      <c r="AB2097">
        <v>0</v>
      </c>
      <c r="AC2097">
        <v>0</v>
      </c>
      <c r="AD2097">
        <v>1</v>
      </c>
      <c r="AE2097">
        <v>0</v>
      </c>
      <c r="AF2097">
        <v>0</v>
      </c>
      <c r="AG2097">
        <v>0</v>
      </c>
      <c r="AH2097">
        <v>0</v>
      </c>
      <c r="AI2097">
        <v>0</v>
      </c>
      <c r="AJ2097">
        <v>0</v>
      </c>
      <c r="AK2097">
        <v>0</v>
      </c>
    </row>
    <row r="2098" spans="1:37" x14ac:dyDescent="0.3">
      <c r="A2098">
        <v>7979</v>
      </c>
      <c r="B2098" t="s">
        <v>219</v>
      </c>
      <c r="D2098" t="s">
        <v>327</v>
      </c>
      <c r="E2098">
        <v>99999999</v>
      </c>
      <c r="F2098">
        <v>11111111</v>
      </c>
      <c r="G2098">
        <v>1111111111</v>
      </c>
      <c r="H2098" t="s">
        <v>5667</v>
      </c>
      <c r="I2098">
        <v>99999999</v>
      </c>
      <c r="J2098" s="188">
        <v>45238</v>
      </c>
      <c r="K2098" t="s">
        <v>5667</v>
      </c>
      <c r="L2098" t="s">
        <v>5667</v>
      </c>
      <c r="M2098" t="s">
        <v>2131</v>
      </c>
      <c r="N2098" t="s">
        <v>99</v>
      </c>
      <c r="O2098" t="s">
        <v>2788</v>
      </c>
      <c r="P2098" t="s">
        <v>221</v>
      </c>
      <c r="Q2098" t="s">
        <v>82</v>
      </c>
      <c r="R2098">
        <v>1</v>
      </c>
      <c r="S2098">
        <v>1.1399999999999999</v>
      </c>
      <c r="T2098">
        <v>0</v>
      </c>
      <c r="U2098">
        <v>1</v>
      </c>
      <c r="V2098">
        <v>1</v>
      </c>
      <c r="W2098">
        <v>24.72</v>
      </c>
      <c r="X2098">
        <v>0</v>
      </c>
      <c r="Y2098">
        <v>0</v>
      </c>
      <c r="Z2098">
        <v>0</v>
      </c>
      <c r="AA2098">
        <v>0</v>
      </c>
      <c r="AB2098">
        <v>0</v>
      </c>
      <c r="AC2098">
        <v>0</v>
      </c>
      <c r="AD2098">
        <v>1</v>
      </c>
      <c r="AE2098">
        <v>0</v>
      </c>
      <c r="AF2098">
        <v>0</v>
      </c>
      <c r="AG2098">
        <v>0</v>
      </c>
      <c r="AH2098">
        <v>0</v>
      </c>
      <c r="AI2098">
        <v>0</v>
      </c>
      <c r="AJ2098">
        <v>0</v>
      </c>
      <c r="AK2098">
        <v>0</v>
      </c>
    </row>
    <row r="2099" spans="1:37" x14ac:dyDescent="0.3">
      <c r="A2099">
        <v>7979</v>
      </c>
      <c r="B2099" t="s">
        <v>219</v>
      </c>
      <c r="D2099" t="s">
        <v>327</v>
      </c>
      <c r="E2099">
        <v>99999999</v>
      </c>
      <c r="F2099">
        <v>11111111</v>
      </c>
      <c r="G2099">
        <v>1111111111</v>
      </c>
      <c r="H2099" t="s">
        <v>5668</v>
      </c>
      <c r="I2099">
        <v>99999999</v>
      </c>
      <c r="J2099" s="188">
        <v>45238</v>
      </c>
      <c r="K2099" t="s">
        <v>5668</v>
      </c>
      <c r="L2099" t="s">
        <v>5668</v>
      </c>
      <c r="M2099" t="s">
        <v>282</v>
      </c>
      <c r="N2099" t="s">
        <v>197</v>
      </c>
      <c r="O2099" t="s">
        <v>2789</v>
      </c>
      <c r="P2099" t="s">
        <v>221</v>
      </c>
      <c r="Q2099" t="s">
        <v>82</v>
      </c>
      <c r="R2099">
        <v>1</v>
      </c>
      <c r="S2099">
        <v>3.1</v>
      </c>
      <c r="T2099">
        <v>0</v>
      </c>
      <c r="U2099">
        <v>1</v>
      </c>
      <c r="V2099">
        <v>1</v>
      </c>
      <c r="W2099">
        <v>24.02</v>
      </c>
      <c r="X2099">
        <v>0</v>
      </c>
      <c r="Y2099">
        <v>0</v>
      </c>
      <c r="Z2099">
        <v>0</v>
      </c>
      <c r="AA2099">
        <v>0</v>
      </c>
      <c r="AB2099">
        <v>0</v>
      </c>
      <c r="AC2099">
        <v>0</v>
      </c>
      <c r="AD2099">
        <v>1</v>
      </c>
      <c r="AE2099">
        <v>0</v>
      </c>
      <c r="AF2099">
        <v>0</v>
      </c>
      <c r="AG2099">
        <v>0</v>
      </c>
      <c r="AH2099">
        <v>0</v>
      </c>
      <c r="AI2099">
        <v>0</v>
      </c>
      <c r="AJ2099">
        <v>0</v>
      </c>
      <c r="AK2099">
        <v>0</v>
      </c>
    </row>
    <row r="2100" spans="1:37" x14ac:dyDescent="0.3">
      <c r="A2100">
        <v>7979</v>
      </c>
      <c r="B2100" t="s">
        <v>219</v>
      </c>
      <c r="D2100" t="s">
        <v>327</v>
      </c>
      <c r="E2100">
        <v>99999999</v>
      </c>
      <c r="F2100">
        <v>11111111</v>
      </c>
      <c r="G2100">
        <v>1111111111</v>
      </c>
      <c r="H2100" t="s">
        <v>5669</v>
      </c>
      <c r="I2100">
        <v>99999999</v>
      </c>
      <c r="J2100" s="188">
        <v>45238</v>
      </c>
      <c r="K2100" t="s">
        <v>5669</v>
      </c>
      <c r="L2100" t="s">
        <v>5669</v>
      </c>
      <c r="M2100" t="s">
        <v>2790</v>
      </c>
      <c r="N2100" t="s">
        <v>99</v>
      </c>
      <c r="O2100" t="s">
        <v>2791</v>
      </c>
      <c r="P2100" t="s">
        <v>221</v>
      </c>
      <c r="Q2100" t="s">
        <v>82</v>
      </c>
      <c r="R2100">
        <v>1</v>
      </c>
      <c r="S2100">
        <v>0.25</v>
      </c>
      <c r="T2100">
        <v>0</v>
      </c>
      <c r="U2100">
        <v>1</v>
      </c>
      <c r="V2100">
        <v>1</v>
      </c>
      <c r="W2100">
        <v>27.5</v>
      </c>
      <c r="X2100">
        <v>0</v>
      </c>
      <c r="Y2100">
        <v>0</v>
      </c>
      <c r="Z2100">
        <v>0</v>
      </c>
      <c r="AA2100">
        <v>0</v>
      </c>
      <c r="AB2100">
        <v>0</v>
      </c>
      <c r="AC2100">
        <v>0</v>
      </c>
      <c r="AD2100">
        <v>1</v>
      </c>
      <c r="AE2100">
        <v>0</v>
      </c>
      <c r="AF2100">
        <v>0</v>
      </c>
      <c r="AG2100">
        <v>0</v>
      </c>
      <c r="AH2100">
        <v>0</v>
      </c>
      <c r="AI2100">
        <v>0</v>
      </c>
      <c r="AJ2100">
        <v>0</v>
      </c>
      <c r="AK2100">
        <v>0</v>
      </c>
    </row>
    <row r="2101" spans="1:37" x14ac:dyDescent="0.3">
      <c r="A2101">
        <v>7979</v>
      </c>
      <c r="B2101" t="s">
        <v>219</v>
      </c>
      <c r="D2101" t="s">
        <v>327</v>
      </c>
      <c r="E2101">
        <v>99999999</v>
      </c>
      <c r="F2101">
        <v>11111111</v>
      </c>
      <c r="G2101">
        <v>1111111111</v>
      </c>
      <c r="H2101" t="s">
        <v>5670</v>
      </c>
      <c r="I2101">
        <v>99999999</v>
      </c>
      <c r="J2101" s="188">
        <v>45238</v>
      </c>
      <c r="K2101" t="s">
        <v>5670</v>
      </c>
      <c r="L2101" t="s">
        <v>5670</v>
      </c>
      <c r="M2101" t="s">
        <v>1172</v>
      </c>
      <c r="N2101" t="s">
        <v>99</v>
      </c>
      <c r="O2101" t="s">
        <v>2792</v>
      </c>
      <c r="P2101" t="s">
        <v>221</v>
      </c>
      <c r="Q2101" t="s">
        <v>82</v>
      </c>
      <c r="R2101">
        <v>1</v>
      </c>
      <c r="S2101">
        <v>16</v>
      </c>
      <c r="T2101">
        <v>0</v>
      </c>
      <c r="U2101">
        <v>1</v>
      </c>
      <c r="V2101">
        <v>1</v>
      </c>
      <c r="W2101">
        <v>25.56</v>
      </c>
      <c r="X2101">
        <v>0</v>
      </c>
      <c r="Y2101">
        <v>0</v>
      </c>
      <c r="Z2101">
        <v>0</v>
      </c>
      <c r="AA2101">
        <v>0</v>
      </c>
      <c r="AB2101">
        <v>0</v>
      </c>
      <c r="AC2101">
        <v>0</v>
      </c>
      <c r="AD2101">
        <v>1</v>
      </c>
      <c r="AE2101">
        <v>0</v>
      </c>
      <c r="AF2101">
        <v>0</v>
      </c>
      <c r="AG2101">
        <v>0</v>
      </c>
      <c r="AH2101">
        <v>0</v>
      </c>
      <c r="AI2101">
        <v>0</v>
      </c>
      <c r="AJ2101">
        <v>0</v>
      </c>
      <c r="AK2101">
        <v>0</v>
      </c>
    </row>
    <row r="2102" spans="1:37" x14ac:dyDescent="0.3">
      <c r="A2102">
        <v>7979</v>
      </c>
      <c r="B2102" t="s">
        <v>219</v>
      </c>
      <c r="D2102" t="s">
        <v>327</v>
      </c>
      <c r="E2102">
        <v>99999999</v>
      </c>
      <c r="F2102">
        <v>11111111</v>
      </c>
      <c r="G2102">
        <v>1111111111</v>
      </c>
      <c r="H2102" t="s">
        <v>5671</v>
      </c>
      <c r="I2102">
        <v>99999999</v>
      </c>
      <c r="J2102" s="188">
        <v>45238</v>
      </c>
      <c r="K2102" t="s">
        <v>5671</v>
      </c>
      <c r="L2102" t="s">
        <v>5671</v>
      </c>
      <c r="M2102" t="s">
        <v>2793</v>
      </c>
      <c r="N2102" t="s">
        <v>197</v>
      </c>
      <c r="O2102" t="s">
        <v>2794</v>
      </c>
      <c r="P2102" t="s">
        <v>221</v>
      </c>
      <c r="Q2102" t="s">
        <v>82</v>
      </c>
      <c r="R2102">
        <v>2</v>
      </c>
      <c r="S2102">
        <v>32</v>
      </c>
      <c r="T2102">
        <v>0</v>
      </c>
      <c r="U2102">
        <v>1</v>
      </c>
      <c r="V2102">
        <v>1</v>
      </c>
      <c r="W2102">
        <v>61.8</v>
      </c>
      <c r="X2102">
        <v>0</v>
      </c>
      <c r="Y2102">
        <v>0</v>
      </c>
      <c r="Z2102">
        <v>0</v>
      </c>
      <c r="AA2102">
        <v>0</v>
      </c>
      <c r="AB2102">
        <v>0</v>
      </c>
      <c r="AC2102">
        <v>0</v>
      </c>
      <c r="AD2102">
        <v>2</v>
      </c>
      <c r="AE2102">
        <v>0</v>
      </c>
      <c r="AF2102">
        <v>0</v>
      </c>
      <c r="AG2102">
        <v>0</v>
      </c>
      <c r="AH2102">
        <v>0</v>
      </c>
      <c r="AI2102">
        <v>0</v>
      </c>
      <c r="AJ2102">
        <v>0</v>
      </c>
      <c r="AK2102">
        <v>0</v>
      </c>
    </row>
    <row r="2103" spans="1:37" x14ac:dyDescent="0.3">
      <c r="A2103">
        <v>7979</v>
      </c>
      <c r="B2103" t="s">
        <v>219</v>
      </c>
      <c r="D2103" t="s">
        <v>327</v>
      </c>
      <c r="E2103">
        <v>99999999</v>
      </c>
      <c r="F2103">
        <v>11111111</v>
      </c>
      <c r="G2103">
        <v>1111111111</v>
      </c>
      <c r="H2103" t="s">
        <v>5672</v>
      </c>
      <c r="I2103">
        <v>99999999</v>
      </c>
      <c r="J2103" s="188">
        <v>45238</v>
      </c>
      <c r="K2103" t="s">
        <v>5672</v>
      </c>
      <c r="L2103" t="s">
        <v>5672</v>
      </c>
      <c r="M2103" t="s">
        <v>173</v>
      </c>
      <c r="N2103" t="s">
        <v>164</v>
      </c>
      <c r="O2103" t="s">
        <v>2795</v>
      </c>
      <c r="P2103" t="s">
        <v>221</v>
      </c>
      <c r="Q2103" t="s">
        <v>82</v>
      </c>
      <c r="R2103">
        <v>2</v>
      </c>
      <c r="S2103">
        <v>0.3</v>
      </c>
      <c r="T2103">
        <v>0</v>
      </c>
      <c r="U2103">
        <v>1</v>
      </c>
      <c r="V2103">
        <v>2</v>
      </c>
      <c r="W2103">
        <v>19.260000000000002</v>
      </c>
      <c r="X2103">
        <v>0</v>
      </c>
      <c r="Y2103">
        <v>0</v>
      </c>
      <c r="Z2103">
        <v>0</v>
      </c>
      <c r="AA2103">
        <v>0</v>
      </c>
      <c r="AB2103">
        <v>0</v>
      </c>
      <c r="AC2103">
        <v>0</v>
      </c>
      <c r="AD2103">
        <v>2</v>
      </c>
      <c r="AE2103">
        <v>0</v>
      </c>
      <c r="AF2103">
        <v>0</v>
      </c>
      <c r="AG2103">
        <v>0</v>
      </c>
      <c r="AH2103">
        <v>0</v>
      </c>
      <c r="AI2103">
        <v>0</v>
      </c>
      <c r="AJ2103">
        <v>0</v>
      </c>
      <c r="AK2103">
        <v>0</v>
      </c>
    </row>
    <row r="2104" spans="1:37" x14ac:dyDescent="0.3">
      <c r="A2104">
        <v>7979</v>
      </c>
      <c r="B2104" t="s">
        <v>219</v>
      </c>
      <c r="D2104" t="s">
        <v>327</v>
      </c>
      <c r="E2104">
        <v>99999999</v>
      </c>
      <c r="F2104">
        <v>11111111</v>
      </c>
      <c r="G2104">
        <v>1111111111</v>
      </c>
      <c r="H2104" t="s">
        <v>5673</v>
      </c>
      <c r="I2104">
        <v>99999999</v>
      </c>
      <c r="J2104" s="188">
        <v>45238</v>
      </c>
      <c r="K2104" t="s">
        <v>5673</v>
      </c>
      <c r="L2104" t="s">
        <v>5673</v>
      </c>
      <c r="M2104" t="s">
        <v>2796</v>
      </c>
      <c r="N2104" t="s">
        <v>141</v>
      </c>
      <c r="O2104">
        <v>32168</v>
      </c>
      <c r="P2104" t="s">
        <v>221</v>
      </c>
      <c r="Q2104" t="s">
        <v>82</v>
      </c>
      <c r="R2104">
        <v>1</v>
      </c>
      <c r="S2104">
        <v>1.21</v>
      </c>
      <c r="T2104">
        <v>0</v>
      </c>
      <c r="U2104">
        <v>1</v>
      </c>
      <c r="V2104">
        <v>1</v>
      </c>
      <c r="W2104">
        <v>29.16</v>
      </c>
      <c r="X2104">
        <v>0</v>
      </c>
      <c r="Y2104">
        <v>0</v>
      </c>
      <c r="Z2104">
        <v>0</v>
      </c>
      <c r="AA2104">
        <v>0</v>
      </c>
      <c r="AB2104">
        <v>0</v>
      </c>
      <c r="AC2104">
        <v>0</v>
      </c>
      <c r="AD2104">
        <v>1</v>
      </c>
      <c r="AE2104">
        <v>0</v>
      </c>
      <c r="AF2104">
        <v>0</v>
      </c>
      <c r="AG2104">
        <v>0</v>
      </c>
      <c r="AH2104">
        <v>0</v>
      </c>
      <c r="AI2104">
        <v>0</v>
      </c>
      <c r="AJ2104">
        <v>0</v>
      </c>
      <c r="AK2104">
        <v>0</v>
      </c>
    </row>
    <row r="2105" spans="1:37" x14ac:dyDescent="0.3">
      <c r="A2105">
        <v>7979</v>
      </c>
      <c r="B2105" t="s">
        <v>219</v>
      </c>
      <c r="D2105" t="s">
        <v>327</v>
      </c>
      <c r="E2105">
        <v>99999999</v>
      </c>
      <c r="F2105">
        <v>11111111</v>
      </c>
      <c r="G2105">
        <v>1111111111</v>
      </c>
      <c r="H2105" t="s">
        <v>5674</v>
      </c>
      <c r="I2105">
        <v>99999999</v>
      </c>
      <c r="J2105" s="188">
        <v>45238</v>
      </c>
      <c r="K2105" t="s">
        <v>5674</v>
      </c>
      <c r="L2105" t="s">
        <v>5674</v>
      </c>
      <c r="M2105" t="s">
        <v>2797</v>
      </c>
      <c r="N2105" t="s">
        <v>164</v>
      </c>
      <c r="O2105" t="s">
        <v>2798</v>
      </c>
      <c r="P2105" t="s">
        <v>221</v>
      </c>
      <c r="Q2105" t="s">
        <v>82</v>
      </c>
      <c r="R2105">
        <v>1</v>
      </c>
      <c r="S2105">
        <v>0.17599999999999999</v>
      </c>
      <c r="T2105">
        <v>0</v>
      </c>
      <c r="U2105">
        <v>1</v>
      </c>
      <c r="V2105">
        <v>1</v>
      </c>
      <c r="W2105">
        <v>25.37</v>
      </c>
      <c r="X2105">
        <v>0</v>
      </c>
      <c r="Y2105">
        <v>0</v>
      </c>
      <c r="Z2105">
        <v>0</v>
      </c>
      <c r="AA2105">
        <v>0</v>
      </c>
      <c r="AB2105">
        <v>0</v>
      </c>
      <c r="AC2105">
        <v>0</v>
      </c>
      <c r="AD2105">
        <v>1</v>
      </c>
      <c r="AE2105">
        <v>0</v>
      </c>
      <c r="AF2105">
        <v>0</v>
      </c>
      <c r="AG2105">
        <v>0</v>
      </c>
      <c r="AH2105">
        <v>0</v>
      </c>
      <c r="AI2105">
        <v>0</v>
      </c>
      <c r="AJ2105">
        <v>0</v>
      </c>
      <c r="AK2105">
        <v>0</v>
      </c>
    </row>
    <row r="2106" spans="1:37" x14ac:dyDescent="0.3">
      <c r="A2106">
        <v>7979</v>
      </c>
      <c r="B2106" t="s">
        <v>219</v>
      </c>
      <c r="D2106" t="s">
        <v>327</v>
      </c>
      <c r="E2106">
        <v>99999999</v>
      </c>
      <c r="F2106">
        <v>11111111</v>
      </c>
      <c r="G2106">
        <v>1111111111</v>
      </c>
      <c r="H2106" t="s">
        <v>5675</v>
      </c>
      <c r="I2106">
        <v>99999999</v>
      </c>
      <c r="J2106" s="188">
        <v>45238</v>
      </c>
      <c r="K2106" t="s">
        <v>5675</v>
      </c>
      <c r="L2106" t="s">
        <v>5675</v>
      </c>
      <c r="M2106" t="s">
        <v>482</v>
      </c>
      <c r="N2106" t="s">
        <v>104</v>
      </c>
      <c r="O2106">
        <v>83864</v>
      </c>
      <c r="P2106" t="s">
        <v>221</v>
      </c>
      <c r="Q2106" t="s">
        <v>82</v>
      </c>
      <c r="R2106">
        <v>1</v>
      </c>
      <c r="S2106">
        <v>1</v>
      </c>
      <c r="T2106">
        <v>0</v>
      </c>
      <c r="U2106">
        <v>1</v>
      </c>
      <c r="V2106">
        <v>1</v>
      </c>
      <c r="W2106">
        <v>27.6</v>
      </c>
      <c r="X2106">
        <v>0</v>
      </c>
      <c r="Y2106">
        <v>0</v>
      </c>
      <c r="Z2106">
        <v>0</v>
      </c>
      <c r="AA2106">
        <v>0</v>
      </c>
      <c r="AB2106">
        <v>0</v>
      </c>
      <c r="AC2106">
        <v>0</v>
      </c>
      <c r="AD2106">
        <v>1</v>
      </c>
      <c r="AE2106">
        <v>0</v>
      </c>
      <c r="AF2106">
        <v>0</v>
      </c>
      <c r="AG2106">
        <v>0</v>
      </c>
      <c r="AH2106">
        <v>0</v>
      </c>
      <c r="AI2106">
        <v>0</v>
      </c>
      <c r="AJ2106">
        <v>0</v>
      </c>
      <c r="AK2106">
        <v>0</v>
      </c>
    </row>
    <row r="2107" spans="1:37" x14ac:dyDescent="0.3">
      <c r="A2107">
        <v>7979</v>
      </c>
      <c r="B2107" t="s">
        <v>219</v>
      </c>
      <c r="D2107" t="s">
        <v>327</v>
      </c>
      <c r="E2107">
        <v>99999999</v>
      </c>
      <c r="F2107">
        <v>11111111</v>
      </c>
      <c r="G2107">
        <v>1111111111</v>
      </c>
      <c r="H2107" t="s">
        <v>5676</v>
      </c>
      <c r="I2107">
        <v>99999999</v>
      </c>
      <c r="J2107" s="188">
        <v>45238</v>
      </c>
      <c r="K2107" t="s">
        <v>5676</v>
      </c>
      <c r="L2107" t="s">
        <v>5676</v>
      </c>
      <c r="M2107" t="s">
        <v>369</v>
      </c>
      <c r="N2107" t="s">
        <v>99</v>
      </c>
      <c r="O2107" t="s">
        <v>2799</v>
      </c>
      <c r="P2107" t="s">
        <v>221</v>
      </c>
      <c r="Q2107" t="s">
        <v>82</v>
      </c>
      <c r="R2107">
        <v>2</v>
      </c>
      <c r="S2107">
        <v>4.5999999999999996</v>
      </c>
      <c r="T2107">
        <v>0</v>
      </c>
      <c r="U2107">
        <v>1</v>
      </c>
      <c r="V2107">
        <v>1</v>
      </c>
      <c r="W2107">
        <v>23.04</v>
      </c>
      <c r="X2107">
        <v>0</v>
      </c>
      <c r="Y2107">
        <v>0</v>
      </c>
      <c r="Z2107">
        <v>0</v>
      </c>
      <c r="AA2107">
        <v>0</v>
      </c>
      <c r="AB2107">
        <v>0</v>
      </c>
      <c r="AC2107">
        <v>0</v>
      </c>
      <c r="AD2107">
        <v>2</v>
      </c>
      <c r="AE2107">
        <v>0</v>
      </c>
      <c r="AF2107">
        <v>0</v>
      </c>
      <c r="AG2107">
        <v>0</v>
      </c>
      <c r="AH2107">
        <v>0</v>
      </c>
      <c r="AI2107">
        <v>0</v>
      </c>
      <c r="AJ2107">
        <v>0</v>
      </c>
      <c r="AK2107">
        <v>0</v>
      </c>
    </row>
    <row r="2108" spans="1:37" x14ac:dyDescent="0.3">
      <c r="A2108">
        <v>7979</v>
      </c>
      <c r="B2108" t="s">
        <v>219</v>
      </c>
      <c r="D2108" t="s">
        <v>327</v>
      </c>
      <c r="E2108">
        <v>99999999</v>
      </c>
      <c r="F2108">
        <v>11111111</v>
      </c>
      <c r="G2108">
        <v>1111111111</v>
      </c>
      <c r="H2108" t="s">
        <v>5677</v>
      </c>
      <c r="I2108">
        <v>99999999</v>
      </c>
      <c r="J2108" s="188">
        <v>45238</v>
      </c>
      <c r="K2108" t="s">
        <v>5677</v>
      </c>
      <c r="L2108" t="s">
        <v>5677</v>
      </c>
      <c r="M2108" t="s">
        <v>2800</v>
      </c>
      <c r="N2108" t="s">
        <v>141</v>
      </c>
      <c r="O2108" t="s">
        <v>2801</v>
      </c>
      <c r="P2108" t="s">
        <v>221</v>
      </c>
      <c r="Q2108" t="s">
        <v>82</v>
      </c>
      <c r="R2108">
        <v>1</v>
      </c>
      <c r="S2108">
        <v>0.19</v>
      </c>
      <c r="T2108">
        <v>0</v>
      </c>
      <c r="U2108">
        <v>1</v>
      </c>
      <c r="V2108">
        <v>1</v>
      </c>
      <c r="W2108">
        <v>20.73</v>
      </c>
      <c r="X2108">
        <v>0</v>
      </c>
      <c r="Y2108">
        <v>0</v>
      </c>
      <c r="Z2108">
        <v>0</v>
      </c>
      <c r="AA2108">
        <v>0</v>
      </c>
      <c r="AB2108">
        <v>0</v>
      </c>
      <c r="AC2108">
        <v>0</v>
      </c>
      <c r="AD2108">
        <v>1</v>
      </c>
      <c r="AE2108">
        <v>0</v>
      </c>
      <c r="AF2108">
        <v>0</v>
      </c>
      <c r="AG2108">
        <v>0</v>
      </c>
      <c r="AH2108">
        <v>0</v>
      </c>
      <c r="AI2108">
        <v>0</v>
      </c>
      <c r="AJ2108">
        <v>0</v>
      </c>
      <c r="AK2108">
        <v>0</v>
      </c>
    </row>
    <row r="2109" spans="1:37" x14ac:dyDescent="0.3">
      <c r="A2109">
        <v>7979</v>
      </c>
      <c r="B2109" t="s">
        <v>219</v>
      </c>
      <c r="D2109" t="s">
        <v>327</v>
      </c>
      <c r="E2109">
        <v>99999999</v>
      </c>
      <c r="F2109">
        <v>11111111</v>
      </c>
      <c r="G2109">
        <v>1111111111</v>
      </c>
      <c r="H2109" t="s">
        <v>5678</v>
      </c>
      <c r="I2109">
        <v>99999999</v>
      </c>
      <c r="J2109" s="188">
        <v>45238</v>
      </c>
      <c r="K2109" t="s">
        <v>5678</v>
      </c>
      <c r="L2109" t="s">
        <v>5678</v>
      </c>
      <c r="M2109" t="s">
        <v>2802</v>
      </c>
      <c r="N2109" t="s">
        <v>307</v>
      </c>
      <c r="O2109" t="s">
        <v>2803</v>
      </c>
      <c r="P2109" t="s">
        <v>221</v>
      </c>
      <c r="Q2109" t="s">
        <v>82</v>
      </c>
      <c r="R2109">
        <v>1</v>
      </c>
      <c r="S2109">
        <v>0.3</v>
      </c>
      <c r="T2109">
        <v>0</v>
      </c>
      <c r="U2109">
        <v>1</v>
      </c>
      <c r="V2109">
        <v>1</v>
      </c>
      <c r="W2109">
        <v>26.43</v>
      </c>
      <c r="X2109">
        <v>0</v>
      </c>
      <c r="Y2109">
        <v>0</v>
      </c>
      <c r="Z2109">
        <v>0</v>
      </c>
      <c r="AA2109">
        <v>0</v>
      </c>
      <c r="AB2109">
        <v>0</v>
      </c>
      <c r="AC2109">
        <v>0</v>
      </c>
      <c r="AD2109">
        <v>1</v>
      </c>
      <c r="AE2109">
        <v>0</v>
      </c>
      <c r="AF2109">
        <v>0</v>
      </c>
      <c r="AG2109">
        <v>0</v>
      </c>
      <c r="AH2109">
        <v>0</v>
      </c>
      <c r="AI2109">
        <v>0</v>
      </c>
      <c r="AJ2109">
        <v>0</v>
      </c>
      <c r="AK2109">
        <v>0</v>
      </c>
    </row>
    <row r="2110" spans="1:37" x14ac:dyDescent="0.3">
      <c r="A2110">
        <v>7979</v>
      </c>
      <c r="B2110" t="s">
        <v>219</v>
      </c>
      <c r="D2110" t="s">
        <v>327</v>
      </c>
      <c r="E2110">
        <v>99999999</v>
      </c>
      <c r="F2110">
        <v>11111111</v>
      </c>
      <c r="G2110">
        <v>1111111111</v>
      </c>
      <c r="H2110" t="s">
        <v>5679</v>
      </c>
      <c r="I2110">
        <v>99999999</v>
      </c>
      <c r="J2110" s="188">
        <v>45238</v>
      </c>
      <c r="K2110" t="s">
        <v>5679</v>
      </c>
      <c r="L2110" t="s">
        <v>5679</v>
      </c>
      <c r="M2110" t="s">
        <v>2804</v>
      </c>
      <c r="N2110" t="s">
        <v>99</v>
      </c>
      <c r="O2110">
        <v>91206</v>
      </c>
      <c r="P2110" t="s">
        <v>221</v>
      </c>
      <c r="Q2110" t="s">
        <v>82</v>
      </c>
      <c r="R2110">
        <v>2</v>
      </c>
      <c r="S2110">
        <v>1.611</v>
      </c>
      <c r="T2110">
        <v>0</v>
      </c>
      <c r="U2110">
        <v>1</v>
      </c>
      <c r="V2110">
        <v>2</v>
      </c>
      <c r="W2110">
        <v>21.83</v>
      </c>
      <c r="X2110">
        <v>0</v>
      </c>
      <c r="Y2110">
        <v>0</v>
      </c>
      <c r="Z2110">
        <v>0</v>
      </c>
      <c r="AA2110">
        <v>0</v>
      </c>
      <c r="AB2110">
        <v>0</v>
      </c>
      <c r="AC2110">
        <v>0</v>
      </c>
      <c r="AD2110">
        <v>2</v>
      </c>
      <c r="AE2110">
        <v>0</v>
      </c>
      <c r="AF2110">
        <v>0</v>
      </c>
      <c r="AG2110">
        <v>0</v>
      </c>
      <c r="AH2110">
        <v>0</v>
      </c>
      <c r="AI2110">
        <v>0</v>
      </c>
      <c r="AJ2110">
        <v>0</v>
      </c>
      <c r="AK2110">
        <v>0</v>
      </c>
    </row>
    <row r="2111" spans="1:37" x14ac:dyDescent="0.3">
      <c r="A2111">
        <v>7979</v>
      </c>
      <c r="B2111" t="s">
        <v>219</v>
      </c>
      <c r="D2111" t="s">
        <v>327</v>
      </c>
      <c r="E2111">
        <v>99999999</v>
      </c>
      <c r="F2111">
        <v>11111111</v>
      </c>
      <c r="G2111">
        <v>1111111111</v>
      </c>
      <c r="H2111" t="s">
        <v>5680</v>
      </c>
      <c r="I2111">
        <v>99999999</v>
      </c>
      <c r="J2111" s="188">
        <v>45238</v>
      </c>
      <c r="K2111" t="s">
        <v>5680</v>
      </c>
      <c r="L2111" t="s">
        <v>5680</v>
      </c>
      <c r="M2111" t="s">
        <v>1692</v>
      </c>
      <c r="N2111" t="s">
        <v>99</v>
      </c>
      <c r="O2111" t="s">
        <v>2805</v>
      </c>
      <c r="P2111" t="s">
        <v>221</v>
      </c>
      <c r="Q2111" t="s">
        <v>82</v>
      </c>
      <c r="R2111">
        <v>2</v>
      </c>
      <c r="S2111">
        <v>1.6</v>
      </c>
      <c r="T2111">
        <v>0</v>
      </c>
      <c r="U2111">
        <v>1</v>
      </c>
      <c r="V2111">
        <v>1</v>
      </c>
      <c r="W2111">
        <v>21.83</v>
      </c>
      <c r="X2111">
        <v>0</v>
      </c>
      <c r="Y2111">
        <v>0</v>
      </c>
      <c r="Z2111">
        <v>0</v>
      </c>
      <c r="AA2111">
        <v>0</v>
      </c>
      <c r="AB2111">
        <v>0</v>
      </c>
      <c r="AC2111">
        <v>0</v>
      </c>
      <c r="AD2111">
        <v>2</v>
      </c>
      <c r="AE2111">
        <v>0</v>
      </c>
      <c r="AF2111">
        <v>0</v>
      </c>
      <c r="AG2111">
        <v>0</v>
      </c>
      <c r="AH2111">
        <v>0</v>
      </c>
      <c r="AI2111">
        <v>0</v>
      </c>
      <c r="AJ2111">
        <v>0</v>
      </c>
      <c r="AK2111">
        <v>0</v>
      </c>
    </row>
    <row r="2112" spans="1:37" x14ac:dyDescent="0.3">
      <c r="A2112">
        <v>7979</v>
      </c>
      <c r="B2112" t="s">
        <v>219</v>
      </c>
      <c r="D2112" t="s">
        <v>327</v>
      </c>
      <c r="E2112">
        <v>99999999</v>
      </c>
      <c r="F2112">
        <v>11111111</v>
      </c>
      <c r="G2112">
        <v>1111111111</v>
      </c>
      <c r="H2112" t="s">
        <v>5681</v>
      </c>
      <c r="I2112">
        <v>99999999</v>
      </c>
      <c r="J2112" s="188">
        <v>45238</v>
      </c>
      <c r="K2112" t="s">
        <v>5681</v>
      </c>
      <c r="L2112" t="s">
        <v>5681</v>
      </c>
      <c r="M2112" t="s">
        <v>1137</v>
      </c>
      <c r="N2112" t="s">
        <v>99</v>
      </c>
      <c r="O2112" t="s">
        <v>2806</v>
      </c>
      <c r="P2112" t="s">
        <v>221</v>
      </c>
      <c r="Q2112" t="s">
        <v>82</v>
      </c>
      <c r="R2112">
        <v>1</v>
      </c>
      <c r="S2112">
        <v>1.1299999999999999</v>
      </c>
      <c r="T2112">
        <v>0</v>
      </c>
      <c r="U2112">
        <v>1</v>
      </c>
      <c r="V2112">
        <v>1</v>
      </c>
      <c r="W2112">
        <v>21.16</v>
      </c>
      <c r="X2112">
        <v>0</v>
      </c>
      <c r="Y2112">
        <v>0</v>
      </c>
      <c r="Z2112">
        <v>0</v>
      </c>
      <c r="AA2112">
        <v>0</v>
      </c>
      <c r="AB2112">
        <v>0</v>
      </c>
      <c r="AC2112">
        <v>0</v>
      </c>
      <c r="AD2112">
        <v>1</v>
      </c>
      <c r="AE2112">
        <v>0</v>
      </c>
      <c r="AF2112">
        <v>0</v>
      </c>
      <c r="AG2112">
        <v>0</v>
      </c>
      <c r="AH2112">
        <v>0</v>
      </c>
      <c r="AI2112">
        <v>0</v>
      </c>
      <c r="AJ2112">
        <v>0</v>
      </c>
      <c r="AK2112">
        <v>0</v>
      </c>
    </row>
    <row r="2113" spans="1:37" x14ac:dyDescent="0.3">
      <c r="A2113">
        <v>7979</v>
      </c>
      <c r="B2113" t="s">
        <v>219</v>
      </c>
      <c r="D2113" t="s">
        <v>327</v>
      </c>
      <c r="E2113">
        <v>99999999</v>
      </c>
      <c r="F2113">
        <v>11111111</v>
      </c>
      <c r="G2113">
        <v>1111111111</v>
      </c>
      <c r="H2113" t="s">
        <v>5682</v>
      </c>
      <c r="I2113">
        <v>99999999</v>
      </c>
      <c r="J2113" s="188">
        <v>45238</v>
      </c>
      <c r="K2113" t="s">
        <v>5682</v>
      </c>
      <c r="L2113" t="s">
        <v>5682</v>
      </c>
      <c r="M2113" t="s">
        <v>2807</v>
      </c>
      <c r="N2113" t="s">
        <v>402</v>
      </c>
      <c r="O2113" t="s">
        <v>2808</v>
      </c>
      <c r="P2113" t="s">
        <v>221</v>
      </c>
      <c r="Q2113" t="s">
        <v>82</v>
      </c>
      <c r="R2113">
        <v>1</v>
      </c>
      <c r="S2113">
        <v>0.125</v>
      </c>
      <c r="T2113">
        <v>0</v>
      </c>
      <c r="U2113">
        <v>1</v>
      </c>
      <c r="V2113">
        <v>1</v>
      </c>
      <c r="W2113">
        <v>26.84</v>
      </c>
      <c r="X2113">
        <v>0</v>
      </c>
      <c r="Y2113">
        <v>0</v>
      </c>
      <c r="Z2113">
        <v>0</v>
      </c>
      <c r="AA2113">
        <v>0</v>
      </c>
      <c r="AB2113">
        <v>0</v>
      </c>
      <c r="AC2113">
        <v>0</v>
      </c>
      <c r="AD2113">
        <v>1</v>
      </c>
      <c r="AE2113">
        <v>0</v>
      </c>
      <c r="AF2113">
        <v>0</v>
      </c>
      <c r="AG2113">
        <v>0</v>
      </c>
      <c r="AH2113">
        <v>0</v>
      </c>
      <c r="AI2113">
        <v>0</v>
      </c>
      <c r="AJ2113">
        <v>0</v>
      </c>
      <c r="AK2113">
        <v>0</v>
      </c>
    </row>
    <row r="2114" spans="1:37" x14ac:dyDescent="0.3">
      <c r="A2114">
        <v>7979</v>
      </c>
      <c r="B2114" t="s">
        <v>219</v>
      </c>
      <c r="D2114" t="s">
        <v>327</v>
      </c>
      <c r="E2114">
        <v>99999999</v>
      </c>
      <c r="F2114">
        <v>11111111</v>
      </c>
      <c r="G2114">
        <v>1111111111</v>
      </c>
      <c r="H2114" t="s">
        <v>5683</v>
      </c>
      <c r="I2114">
        <v>99999999</v>
      </c>
      <c r="J2114" s="188">
        <v>45238</v>
      </c>
      <c r="K2114" t="s">
        <v>5683</v>
      </c>
      <c r="L2114" t="s">
        <v>5683</v>
      </c>
      <c r="M2114" t="s">
        <v>915</v>
      </c>
      <c r="N2114" t="s">
        <v>164</v>
      </c>
      <c r="O2114" t="s">
        <v>2809</v>
      </c>
      <c r="P2114" t="s">
        <v>221</v>
      </c>
      <c r="Q2114" t="s">
        <v>82</v>
      </c>
      <c r="R2114">
        <v>1</v>
      </c>
      <c r="S2114">
        <v>3.2</v>
      </c>
      <c r="T2114">
        <v>0</v>
      </c>
      <c r="U2114">
        <v>1</v>
      </c>
      <c r="V2114">
        <v>1</v>
      </c>
      <c r="W2114">
        <v>22.47</v>
      </c>
      <c r="X2114">
        <v>0</v>
      </c>
      <c r="Y2114">
        <v>0</v>
      </c>
      <c r="Z2114">
        <v>0</v>
      </c>
      <c r="AA2114">
        <v>0</v>
      </c>
      <c r="AB2114">
        <v>0</v>
      </c>
      <c r="AC2114">
        <v>0</v>
      </c>
      <c r="AD2114">
        <v>1</v>
      </c>
      <c r="AE2114">
        <v>0</v>
      </c>
      <c r="AF2114">
        <v>0</v>
      </c>
      <c r="AG2114">
        <v>0</v>
      </c>
      <c r="AH2114">
        <v>0</v>
      </c>
      <c r="AI2114">
        <v>0</v>
      </c>
      <c r="AJ2114">
        <v>0</v>
      </c>
      <c r="AK2114">
        <v>0</v>
      </c>
    </row>
    <row r="2115" spans="1:37" x14ac:dyDescent="0.3">
      <c r="A2115">
        <v>7979</v>
      </c>
      <c r="B2115" t="s">
        <v>219</v>
      </c>
      <c r="D2115" t="s">
        <v>327</v>
      </c>
      <c r="E2115">
        <v>99999999</v>
      </c>
      <c r="F2115">
        <v>11111111</v>
      </c>
      <c r="G2115">
        <v>1111111111</v>
      </c>
      <c r="H2115" t="s">
        <v>5684</v>
      </c>
      <c r="I2115">
        <v>99999999</v>
      </c>
      <c r="J2115" s="188">
        <v>45238</v>
      </c>
      <c r="K2115" t="s">
        <v>5684</v>
      </c>
      <c r="L2115" t="s">
        <v>5684</v>
      </c>
      <c r="M2115" t="s">
        <v>947</v>
      </c>
      <c r="N2115" t="s">
        <v>118</v>
      </c>
      <c r="O2115" t="s">
        <v>2810</v>
      </c>
      <c r="P2115" t="s">
        <v>221</v>
      </c>
      <c r="Q2115" t="s">
        <v>82</v>
      </c>
      <c r="R2115">
        <v>1</v>
      </c>
      <c r="S2115">
        <v>2.5350000000000001</v>
      </c>
      <c r="T2115">
        <v>0</v>
      </c>
      <c r="U2115">
        <v>1</v>
      </c>
      <c r="V2115">
        <v>1</v>
      </c>
      <c r="W2115">
        <v>26.09</v>
      </c>
      <c r="X2115">
        <v>0</v>
      </c>
      <c r="Y2115">
        <v>0</v>
      </c>
      <c r="Z2115">
        <v>0</v>
      </c>
      <c r="AA2115">
        <v>0</v>
      </c>
      <c r="AB2115">
        <v>0</v>
      </c>
      <c r="AC2115">
        <v>0</v>
      </c>
      <c r="AD2115">
        <v>1</v>
      </c>
      <c r="AE2115">
        <v>0</v>
      </c>
      <c r="AF2115">
        <v>0</v>
      </c>
      <c r="AG2115">
        <v>0</v>
      </c>
      <c r="AH2115">
        <v>0</v>
      </c>
      <c r="AI2115">
        <v>0</v>
      </c>
      <c r="AJ2115">
        <v>0</v>
      </c>
      <c r="AK2115">
        <v>0</v>
      </c>
    </row>
    <row r="2116" spans="1:37" x14ac:dyDescent="0.3">
      <c r="A2116">
        <v>7979</v>
      </c>
      <c r="B2116" t="s">
        <v>219</v>
      </c>
      <c r="D2116" t="s">
        <v>327</v>
      </c>
      <c r="E2116">
        <v>99999999</v>
      </c>
      <c r="F2116">
        <v>11111111</v>
      </c>
      <c r="G2116">
        <v>1111111111</v>
      </c>
      <c r="H2116" t="s">
        <v>5685</v>
      </c>
      <c r="I2116">
        <v>99999999</v>
      </c>
      <c r="J2116" s="188">
        <v>45238</v>
      </c>
      <c r="K2116" t="s">
        <v>5685</v>
      </c>
      <c r="L2116" t="s">
        <v>5685</v>
      </c>
      <c r="M2116" t="s">
        <v>2811</v>
      </c>
      <c r="N2116" t="s">
        <v>99</v>
      </c>
      <c r="O2116" t="s">
        <v>2812</v>
      </c>
      <c r="P2116" t="s">
        <v>221</v>
      </c>
      <c r="Q2116" t="s">
        <v>82</v>
      </c>
      <c r="R2116">
        <v>2</v>
      </c>
      <c r="S2116">
        <v>4.6500000000000004</v>
      </c>
      <c r="T2116">
        <v>0</v>
      </c>
      <c r="U2116">
        <v>1</v>
      </c>
      <c r="V2116">
        <v>2</v>
      </c>
      <c r="W2116">
        <v>27.56</v>
      </c>
      <c r="X2116">
        <v>0</v>
      </c>
      <c r="Y2116">
        <v>0</v>
      </c>
      <c r="Z2116">
        <v>0</v>
      </c>
      <c r="AA2116">
        <v>0</v>
      </c>
      <c r="AB2116">
        <v>0</v>
      </c>
      <c r="AC2116">
        <v>0</v>
      </c>
      <c r="AD2116">
        <v>2</v>
      </c>
      <c r="AE2116">
        <v>0</v>
      </c>
      <c r="AF2116">
        <v>0</v>
      </c>
      <c r="AG2116">
        <v>0</v>
      </c>
      <c r="AH2116">
        <v>0</v>
      </c>
      <c r="AI2116">
        <v>0</v>
      </c>
      <c r="AJ2116">
        <v>0</v>
      </c>
      <c r="AK2116">
        <v>0</v>
      </c>
    </row>
    <row r="2117" spans="1:37" x14ac:dyDescent="0.3">
      <c r="A2117">
        <v>7979</v>
      </c>
      <c r="B2117" t="s">
        <v>219</v>
      </c>
      <c r="D2117" t="s">
        <v>327</v>
      </c>
      <c r="E2117">
        <v>99999999</v>
      </c>
      <c r="F2117">
        <v>11111111</v>
      </c>
      <c r="G2117">
        <v>1111111111</v>
      </c>
      <c r="H2117" t="s">
        <v>5686</v>
      </c>
      <c r="I2117">
        <v>99999999</v>
      </c>
      <c r="J2117" s="188">
        <v>45238</v>
      </c>
      <c r="K2117" t="s">
        <v>5686</v>
      </c>
      <c r="L2117" t="s">
        <v>5686</v>
      </c>
      <c r="M2117" t="s">
        <v>2813</v>
      </c>
      <c r="N2117" t="s">
        <v>125</v>
      </c>
      <c r="O2117" t="s">
        <v>2814</v>
      </c>
      <c r="P2117" t="s">
        <v>221</v>
      </c>
      <c r="Q2117" t="s">
        <v>82</v>
      </c>
      <c r="R2117">
        <v>1</v>
      </c>
      <c r="S2117">
        <v>1.1000000000000001</v>
      </c>
      <c r="T2117">
        <v>0</v>
      </c>
      <c r="U2117">
        <v>1</v>
      </c>
      <c r="V2117">
        <v>1</v>
      </c>
      <c r="W2117">
        <v>22.76</v>
      </c>
      <c r="X2117">
        <v>0</v>
      </c>
      <c r="Y2117">
        <v>0</v>
      </c>
      <c r="Z2117">
        <v>0</v>
      </c>
      <c r="AA2117">
        <v>0</v>
      </c>
      <c r="AB2117">
        <v>0</v>
      </c>
      <c r="AC2117">
        <v>0</v>
      </c>
      <c r="AD2117">
        <v>1</v>
      </c>
      <c r="AE2117">
        <v>0</v>
      </c>
      <c r="AF2117">
        <v>0</v>
      </c>
      <c r="AG2117">
        <v>0</v>
      </c>
      <c r="AH2117">
        <v>0</v>
      </c>
      <c r="AI2117">
        <v>0</v>
      </c>
      <c r="AJ2117">
        <v>0</v>
      </c>
      <c r="AK2117">
        <v>0</v>
      </c>
    </row>
    <row r="2118" spans="1:37" x14ac:dyDescent="0.3">
      <c r="A2118">
        <v>7979</v>
      </c>
      <c r="B2118" t="s">
        <v>219</v>
      </c>
      <c r="D2118" t="s">
        <v>327</v>
      </c>
      <c r="E2118">
        <v>99999999</v>
      </c>
      <c r="F2118">
        <v>11111111</v>
      </c>
      <c r="G2118">
        <v>1111111111</v>
      </c>
      <c r="H2118" t="s">
        <v>5687</v>
      </c>
      <c r="I2118">
        <v>99999999</v>
      </c>
      <c r="J2118" s="188">
        <v>45238</v>
      </c>
      <c r="K2118" t="s">
        <v>5687</v>
      </c>
      <c r="L2118" t="s">
        <v>5687</v>
      </c>
      <c r="M2118" t="s">
        <v>2815</v>
      </c>
      <c r="N2118" t="s">
        <v>135</v>
      </c>
      <c r="O2118" t="s">
        <v>2816</v>
      </c>
      <c r="P2118" t="s">
        <v>221</v>
      </c>
      <c r="Q2118" t="s">
        <v>82</v>
      </c>
      <c r="R2118">
        <v>1</v>
      </c>
      <c r="S2118">
        <v>1.8</v>
      </c>
      <c r="T2118">
        <v>0</v>
      </c>
      <c r="U2118">
        <v>1</v>
      </c>
      <c r="V2118">
        <v>1</v>
      </c>
      <c r="W2118">
        <v>27.94</v>
      </c>
      <c r="X2118">
        <v>0</v>
      </c>
      <c r="Y2118">
        <v>0</v>
      </c>
      <c r="Z2118">
        <v>0</v>
      </c>
      <c r="AA2118">
        <v>0</v>
      </c>
      <c r="AB2118">
        <v>0</v>
      </c>
      <c r="AC2118">
        <v>0</v>
      </c>
      <c r="AD2118">
        <v>1</v>
      </c>
      <c r="AE2118">
        <v>0</v>
      </c>
      <c r="AF2118">
        <v>0</v>
      </c>
      <c r="AG2118">
        <v>0</v>
      </c>
      <c r="AH2118">
        <v>0</v>
      </c>
      <c r="AI2118">
        <v>0</v>
      </c>
      <c r="AJ2118">
        <v>0</v>
      </c>
      <c r="AK2118">
        <v>0</v>
      </c>
    </row>
    <row r="2119" spans="1:37" x14ac:dyDescent="0.3">
      <c r="A2119">
        <v>7979</v>
      </c>
      <c r="B2119" t="s">
        <v>219</v>
      </c>
      <c r="D2119" t="s">
        <v>327</v>
      </c>
      <c r="E2119">
        <v>99999999</v>
      </c>
      <c r="F2119">
        <v>11111111</v>
      </c>
      <c r="G2119">
        <v>1111111111</v>
      </c>
      <c r="H2119" t="s">
        <v>5688</v>
      </c>
      <c r="I2119">
        <v>99999999</v>
      </c>
      <c r="J2119" s="188">
        <v>45238</v>
      </c>
      <c r="K2119" t="s">
        <v>5688</v>
      </c>
      <c r="L2119" t="s">
        <v>5688</v>
      </c>
      <c r="M2119" t="s">
        <v>101</v>
      </c>
      <c r="N2119" t="s">
        <v>97</v>
      </c>
      <c r="O2119" t="s">
        <v>2817</v>
      </c>
      <c r="P2119" t="s">
        <v>221</v>
      </c>
      <c r="Q2119" t="s">
        <v>82</v>
      </c>
      <c r="R2119">
        <v>1</v>
      </c>
      <c r="S2119">
        <v>9.3000000000000007</v>
      </c>
      <c r="T2119">
        <v>0</v>
      </c>
      <c r="U2119">
        <v>1</v>
      </c>
      <c r="V2119">
        <v>1</v>
      </c>
      <c r="W2119">
        <v>24.35</v>
      </c>
      <c r="X2119">
        <v>0</v>
      </c>
      <c r="Y2119">
        <v>0</v>
      </c>
      <c r="Z2119">
        <v>0</v>
      </c>
      <c r="AA2119">
        <v>0</v>
      </c>
      <c r="AB2119">
        <v>0</v>
      </c>
      <c r="AC2119">
        <v>0</v>
      </c>
      <c r="AD2119">
        <v>1</v>
      </c>
      <c r="AE2119">
        <v>0</v>
      </c>
      <c r="AF2119">
        <v>0</v>
      </c>
      <c r="AG2119">
        <v>0</v>
      </c>
      <c r="AH2119">
        <v>0</v>
      </c>
      <c r="AI2119">
        <v>0</v>
      </c>
      <c r="AJ2119">
        <v>0</v>
      </c>
      <c r="AK2119">
        <v>0</v>
      </c>
    </row>
    <row r="2120" spans="1:37" x14ac:dyDescent="0.3">
      <c r="A2120">
        <v>7979</v>
      </c>
      <c r="B2120" t="s">
        <v>219</v>
      </c>
      <c r="D2120" t="s">
        <v>327</v>
      </c>
      <c r="E2120">
        <v>99999999</v>
      </c>
      <c r="F2120">
        <v>11111111</v>
      </c>
      <c r="G2120">
        <v>1111111111</v>
      </c>
      <c r="H2120" t="s">
        <v>5689</v>
      </c>
      <c r="I2120">
        <v>99999999</v>
      </c>
      <c r="J2120" s="188">
        <v>45238</v>
      </c>
      <c r="K2120" t="s">
        <v>5689</v>
      </c>
      <c r="L2120" t="s">
        <v>5689</v>
      </c>
      <c r="M2120" t="s">
        <v>615</v>
      </c>
      <c r="N2120" t="s">
        <v>543</v>
      </c>
      <c r="O2120" t="s">
        <v>2818</v>
      </c>
      <c r="P2120" t="s">
        <v>221</v>
      </c>
      <c r="Q2120" t="s">
        <v>82</v>
      </c>
      <c r="R2120">
        <v>1</v>
      </c>
      <c r="S2120">
        <v>2.08</v>
      </c>
      <c r="T2120">
        <v>0</v>
      </c>
      <c r="U2120">
        <v>1</v>
      </c>
      <c r="V2120">
        <v>1</v>
      </c>
      <c r="W2120">
        <v>23.3</v>
      </c>
      <c r="X2120">
        <v>0</v>
      </c>
      <c r="Y2120">
        <v>0</v>
      </c>
      <c r="Z2120">
        <v>0</v>
      </c>
      <c r="AA2120">
        <v>0</v>
      </c>
      <c r="AB2120">
        <v>0</v>
      </c>
      <c r="AC2120">
        <v>0</v>
      </c>
      <c r="AD2120">
        <v>1</v>
      </c>
      <c r="AE2120">
        <v>0</v>
      </c>
      <c r="AF2120">
        <v>0</v>
      </c>
      <c r="AG2120">
        <v>0</v>
      </c>
      <c r="AH2120">
        <v>0</v>
      </c>
      <c r="AI2120">
        <v>0</v>
      </c>
      <c r="AJ2120">
        <v>0</v>
      </c>
      <c r="AK2120">
        <v>0</v>
      </c>
    </row>
    <row r="2121" spans="1:37" x14ac:dyDescent="0.3">
      <c r="A2121">
        <v>7979</v>
      </c>
      <c r="B2121" t="s">
        <v>219</v>
      </c>
      <c r="D2121" t="s">
        <v>327</v>
      </c>
      <c r="E2121">
        <v>99999999</v>
      </c>
      <c r="F2121">
        <v>11111111</v>
      </c>
      <c r="G2121">
        <v>1111111111</v>
      </c>
      <c r="H2121" t="s">
        <v>5690</v>
      </c>
      <c r="I2121">
        <v>99999999</v>
      </c>
      <c r="J2121" s="188">
        <v>45238</v>
      </c>
      <c r="K2121" t="s">
        <v>5690</v>
      </c>
      <c r="L2121" t="s">
        <v>5690</v>
      </c>
      <c r="M2121" t="s">
        <v>1269</v>
      </c>
      <c r="N2121" t="s">
        <v>91</v>
      </c>
      <c r="O2121" t="s">
        <v>2277</v>
      </c>
      <c r="P2121" t="s">
        <v>221</v>
      </c>
      <c r="Q2121" t="s">
        <v>82</v>
      </c>
      <c r="R2121">
        <v>1</v>
      </c>
      <c r="S2121">
        <v>2</v>
      </c>
      <c r="T2121">
        <v>0</v>
      </c>
      <c r="U2121">
        <v>1</v>
      </c>
      <c r="V2121">
        <v>1</v>
      </c>
      <c r="W2121">
        <v>28.73</v>
      </c>
      <c r="X2121">
        <v>0</v>
      </c>
      <c r="Y2121">
        <v>0</v>
      </c>
      <c r="Z2121">
        <v>0</v>
      </c>
      <c r="AA2121">
        <v>0</v>
      </c>
      <c r="AB2121">
        <v>0</v>
      </c>
      <c r="AC2121">
        <v>0</v>
      </c>
      <c r="AD2121">
        <v>1</v>
      </c>
      <c r="AE2121">
        <v>0</v>
      </c>
      <c r="AF2121">
        <v>0</v>
      </c>
      <c r="AG2121">
        <v>0</v>
      </c>
      <c r="AH2121">
        <v>0</v>
      </c>
      <c r="AI2121">
        <v>0</v>
      </c>
      <c r="AJ2121">
        <v>0</v>
      </c>
      <c r="AK2121">
        <v>0</v>
      </c>
    </row>
    <row r="2122" spans="1:37" x14ac:dyDescent="0.3">
      <c r="A2122">
        <v>7979</v>
      </c>
      <c r="B2122" t="s">
        <v>219</v>
      </c>
      <c r="D2122" t="s">
        <v>327</v>
      </c>
      <c r="E2122">
        <v>99999999</v>
      </c>
      <c r="F2122">
        <v>11111111</v>
      </c>
      <c r="G2122">
        <v>1111111111</v>
      </c>
      <c r="H2122" t="s">
        <v>5691</v>
      </c>
      <c r="I2122">
        <v>99999999</v>
      </c>
      <c r="J2122" s="188">
        <v>45238</v>
      </c>
      <c r="K2122" t="s">
        <v>5691</v>
      </c>
      <c r="L2122" t="s">
        <v>5691</v>
      </c>
      <c r="M2122" t="s">
        <v>2819</v>
      </c>
      <c r="N2122" t="s">
        <v>151</v>
      </c>
      <c r="O2122" t="s">
        <v>2820</v>
      </c>
      <c r="P2122" t="s">
        <v>221</v>
      </c>
      <c r="Q2122" t="s">
        <v>82</v>
      </c>
      <c r="R2122">
        <v>1</v>
      </c>
      <c r="S2122">
        <v>4</v>
      </c>
      <c r="T2122">
        <v>0</v>
      </c>
      <c r="U2122">
        <v>1</v>
      </c>
      <c r="V2122">
        <v>1</v>
      </c>
      <c r="W2122">
        <v>27.28</v>
      </c>
      <c r="X2122">
        <v>0</v>
      </c>
      <c r="Y2122">
        <v>0</v>
      </c>
      <c r="Z2122">
        <v>0</v>
      </c>
      <c r="AA2122">
        <v>0</v>
      </c>
      <c r="AB2122">
        <v>0</v>
      </c>
      <c r="AC2122">
        <v>0</v>
      </c>
      <c r="AD2122">
        <v>1</v>
      </c>
      <c r="AE2122">
        <v>0</v>
      </c>
      <c r="AF2122">
        <v>0</v>
      </c>
      <c r="AG2122">
        <v>0</v>
      </c>
      <c r="AH2122">
        <v>0</v>
      </c>
      <c r="AI2122">
        <v>0</v>
      </c>
      <c r="AJ2122">
        <v>0</v>
      </c>
      <c r="AK2122">
        <v>0</v>
      </c>
    </row>
    <row r="2123" spans="1:37" x14ac:dyDescent="0.3">
      <c r="A2123">
        <v>7979</v>
      </c>
      <c r="B2123" t="s">
        <v>219</v>
      </c>
      <c r="D2123" t="s">
        <v>327</v>
      </c>
      <c r="E2123">
        <v>99999999</v>
      </c>
      <c r="F2123">
        <v>11111111</v>
      </c>
      <c r="G2123">
        <v>1111111111</v>
      </c>
      <c r="H2123" t="s">
        <v>5692</v>
      </c>
      <c r="I2123">
        <v>99999999</v>
      </c>
      <c r="J2123" s="188">
        <v>45238</v>
      </c>
      <c r="K2123" t="s">
        <v>5692</v>
      </c>
      <c r="L2123" t="s">
        <v>5692</v>
      </c>
      <c r="M2123" t="s">
        <v>1465</v>
      </c>
      <c r="N2123" t="s">
        <v>97</v>
      </c>
      <c r="O2123">
        <v>98250</v>
      </c>
      <c r="P2123" t="s">
        <v>221</v>
      </c>
      <c r="Q2123" t="s">
        <v>82</v>
      </c>
      <c r="R2123">
        <v>1</v>
      </c>
      <c r="S2123">
        <v>0.95</v>
      </c>
      <c r="T2123">
        <v>0</v>
      </c>
      <c r="U2123">
        <v>1</v>
      </c>
      <c r="V2123">
        <v>1</v>
      </c>
      <c r="W2123">
        <v>21.16</v>
      </c>
      <c r="X2123">
        <v>0</v>
      </c>
      <c r="Y2123">
        <v>0</v>
      </c>
      <c r="Z2123">
        <v>0</v>
      </c>
      <c r="AA2123">
        <v>0</v>
      </c>
      <c r="AB2123">
        <v>0</v>
      </c>
      <c r="AC2123">
        <v>0</v>
      </c>
      <c r="AD2123">
        <v>1</v>
      </c>
      <c r="AE2123">
        <v>0</v>
      </c>
      <c r="AF2123">
        <v>0</v>
      </c>
      <c r="AG2123">
        <v>0</v>
      </c>
      <c r="AH2123">
        <v>0</v>
      </c>
      <c r="AI2123">
        <v>0</v>
      </c>
      <c r="AJ2123">
        <v>0</v>
      </c>
      <c r="AK2123">
        <v>0</v>
      </c>
    </row>
    <row r="2124" spans="1:37" x14ac:dyDescent="0.3">
      <c r="A2124">
        <v>7979</v>
      </c>
      <c r="B2124" t="s">
        <v>219</v>
      </c>
      <c r="D2124" t="s">
        <v>327</v>
      </c>
      <c r="E2124">
        <v>99999999</v>
      </c>
      <c r="F2124">
        <v>11111111</v>
      </c>
      <c r="G2124">
        <v>1111111111</v>
      </c>
      <c r="H2124" t="s">
        <v>5693</v>
      </c>
      <c r="I2124">
        <v>99999999</v>
      </c>
      <c r="J2124" s="188">
        <v>45238</v>
      </c>
      <c r="K2124" t="s">
        <v>5693</v>
      </c>
      <c r="L2124" t="s">
        <v>5693</v>
      </c>
      <c r="M2124" t="s">
        <v>988</v>
      </c>
      <c r="N2124" t="s">
        <v>99</v>
      </c>
      <c r="O2124">
        <v>91301</v>
      </c>
      <c r="P2124" t="s">
        <v>221</v>
      </c>
      <c r="Q2124" t="s">
        <v>82</v>
      </c>
      <c r="R2124">
        <v>2</v>
      </c>
      <c r="S2124">
        <v>22.56</v>
      </c>
      <c r="T2124">
        <v>0</v>
      </c>
      <c r="U2124">
        <v>1</v>
      </c>
      <c r="V2124">
        <v>2</v>
      </c>
      <c r="W2124">
        <v>30.84</v>
      </c>
      <c r="X2124">
        <v>0</v>
      </c>
      <c r="Y2124">
        <v>0</v>
      </c>
      <c r="Z2124">
        <v>0</v>
      </c>
      <c r="AA2124">
        <v>0</v>
      </c>
      <c r="AB2124">
        <v>0</v>
      </c>
      <c r="AC2124">
        <v>0</v>
      </c>
      <c r="AD2124">
        <v>2</v>
      </c>
      <c r="AE2124">
        <v>0</v>
      </c>
      <c r="AF2124">
        <v>0</v>
      </c>
      <c r="AG2124">
        <v>0</v>
      </c>
      <c r="AH2124">
        <v>0</v>
      </c>
      <c r="AI2124">
        <v>0</v>
      </c>
      <c r="AJ2124">
        <v>0</v>
      </c>
      <c r="AK2124">
        <v>0</v>
      </c>
    </row>
    <row r="2125" spans="1:37" x14ac:dyDescent="0.3">
      <c r="A2125">
        <v>7979</v>
      </c>
      <c r="B2125" t="s">
        <v>219</v>
      </c>
      <c r="D2125" t="s">
        <v>327</v>
      </c>
      <c r="E2125">
        <v>99999999</v>
      </c>
      <c r="F2125">
        <v>11111111</v>
      </c>
      <c r="G2125">
        <v>1111111111</v>
      </c>
      <c r="H2125" t="s">
        <v>5694</v>
      </c>
      <c r="I2125">
        <v>99999999</v>
      </c>
      <c r="J2125" s="188">
        <v>45238</v>
      </c>
      <c r="K2125" t="s">
        <v>5694</v>
      </c>
      <c r="L2125" t="s">
        <v>5694</v>
      </c>
      <c r="M2125" t="s">
        <v>2577</v>
      </c>
      <c r="N2125" t="s">
        <v>91</v>
      </c>
      <c r="O2125" t="s">
        <v>2821</v>
      </c>
      <c r="P2125" t="s">
        <v>221</v>
      </c>
      <c r="Q2125" t="s">
        <v>82</v>
      </c>
      <c r="R2125">
        <v>1</v>
      </c>
      <c r="S2125">
        <v>3.4</v>
      </c>
      <c r="T2125">
        <v>0</v>
      </c>
      <c r="U2125">
        <v>1</v>
      </c>
      <c r="V2125">
        <v>1</v>
      </c>
      <c r="W2125">
        <v>28.58</v>
      </c>
      <c r="X2125">
        <v>0</v>
      </c>
      <c r="Y2125">
        <v>0</v>
      </c>
      <c r="Z2125">
        <v>0</v>
      </c>
      <c r="AA2125">
        <v>0</v>
      </c>
      <c r="AB2125">
        <v>0</v>
      </c>
      <c r="AC2125">
        <v>0</v>
      </c>
      <c r="AD2125">
        <v>1</v>
      </c>
      <c r="AE2125">
        <v>0</v>
      </c>
      <c r="AF2125">
        <v>0</v>
      </c>
      <c r="AG2125">
        <v>0</v>
      </c>
      <c r="AH2125">
        <v>0</v>
      </c>
      <c r="AI2125">
        <v>0</v>
      </c>
      <c r="AJ2125">
        <v>0</v>
      </c>
      <c r="AK2125">
        <v>0</v>
      </c>
    </row>
    <row r="2126" spans="1:37" x14ac:dyDescent="0.3">
      <c r="A2126">
        <v>7979</v>
      </c>
      <c r="B2126" t="s">
        <v>219</v>
      </c>
      <c r="D2126" t="s">
        <v>327</v>
      </c>
      <c r="E2126">
        <v>99999999</v>
      </c>
      <c r="F2126">
        <v>11111111</v>
      </c>
      <c r="G2126">
        <v>1111111111</v>
      </c>
      <c r="H2126" t="s">
        <v>5695</v>
      </c>
      <c r="I2126">
        <v>99999999</v>
      </c>
      <c r="J2126" s="188">
        <v>45238</v>
      </c>
      <c r="K2126" t="s">
        <v>5695</v>
      </c>
      <c r="L2126" t="s">
        <v>5695</v>
      </c>
      <c r="M2126" t="s">
        <v>2822</v>
      </c>
      <c r="N2126" t="s">
        <v>402</v>
      </c>
      <c r="O2126" t="s">
        <v>2823</v>
      </c>
      <c r="P2126" t="s">
        <v>221</v>
      </c>
      <c r="Q2126" t="s">
        <v>82</v>
      </c>
      <c r="R2126">
        <v>1</v>
      </c>
      <c r="S2126">
        <v>0.5</v>
      </c>
      <c r="T2126">
        <v>0</v>
      </c>
      <c r="U2126">
        <v>1</v>
      </c>
      <c r="V2126">
        <v>1</v>
      </c>
      <c r="W2126">
        <v>26.84</v>
      </c>
      <c r="X2126">
        <v>0</v>
      </c>
      <c r="Y2126">
        <v>0</v>
      </c>
      <c r="Z2126">
        <v>0</v>
      </c>
      <c r="AA2126">
        <v>0</v>
      </c>
      <c r="AB2126">
        <v>0</v>
      </c>
      <c r="AC2126">
        <v>0</v>
      </c>
      <c r="AD2126">
        <v>1</v>
      </c>
      <c r="AE2126">
        <v>0</v>
      </c>
      <c r="AF2126">
        <v>0</v>
      </c>
      <c r="AG2126">
        <v>0</v>
      </c>
      <c r="AH2126">
        <v>0</v>
      </c>
      <c r="AI2126">
        <v>0</v>
      </c>
      <c r="AJ2126">
        <v>0</v>
      </c>
      <c r="AK2126">
        <v>0</v>
      </c>
    </row>
    <row r="2127" spans="1:37" x14ac:dyDescent="0.3">
      <c r="A2127">
        <v>7979</v>
      </c>
      <c r="B2127" t="s">
        <v>219</v>
      </c>
      <c r="D2127" t="s">
        <v>327</v>
      </c>
      <c r="E2127">
        <v>99999999</v>
      </c>
      <c r="F2127">
        <v>11111111</v>
      </c>
      <c r="G2127">
        <v>1111111111</v>
      </c>
      <c r="H2127" t="s">
        <v>5696</v>
      </c>
      <c r="I2127">
        <v>99999999</v>
      </c>
      <c r="J2127" s="188">
        <v>45238</v>
      </c>
      <c r="K2127" t="s">
        <v>5696</v>
      </c>
      <c r="L2127" t="s">
        <v>5696</v>
      </c>
      <c r="M2127" t="s">
        <v>457</v>
      </c>
      <c r="N2127" t="s">
        <v>99</v>
      </c>
      <c r="O2127" t="s">
        <v>2824</v>
      </c>
      <c r="P2127" t="s">
        <v>221</v>
      </c>
      <c r="Q2127" t="s">
        <v>82</v>
      </c>
      <c r="R2127">
        <v>4</v>
      </c>
      <c r="S2127">
        <v>1.58</v>
      </c>
      <c r="T2127">
        <v>0</v>
      </c>
      <c r="U2127">
        <v>1</v>
      </c>
      <c r="V2127">
        <v>4</v>
      </c>
      <c r="W2127">
        <v>21.83</v>
      </c>
      <c r="X2127">
        <v>0</v>
      </c>
      <c r="Y2127">
        <v>0</v>
      </c>
      <c r="Z2127">
        <v>0</v>
      </c>
      <c r="AA2127">
        <v>0</v>
      </c>
      <c r="AB2127">
        <v>0</v>
      </c>
      <c r="AC2127">
        <v>0</v>
      </c>
      <c r="AD2127">
        <v>4</v>
      </c>
      <c r="AE2127">
        <v>0</v>
      </c>
      <c r="AF2127">
        <v>0</v>
      </c>
      <c r="AG2127">
        <v>0</v>
      </c>
      <c r="AH2127">
        <v>0</v>
      </c>
      <c r="AI2127">
        <v>0</v>
      </c>
      <c r="AJ2127">
        <v>0</v>
      </c>
      <c r="AK2127">
        <v>0</v>
      </c>
    </row>
    <row r="2128" spans="1:37" x14ac:dyDescent="0.3">
      <c r="A2128">
        <v>7979</v>
      </c>
      <c r="B2128" t="s">
        <v>219</v>
      </c>
      <c r="D2128" t="s">
        <v>327</v>
      </c>
      <c r="E2128">
        <v>99999999</v>
      </c>
      <c r="F2128">
        <v>11111111</v>
      </c>
      <c r="G2128">
        <v>1111111111</v>
      </c>
      <c r="H2128" t="s">
        <v>5697</v>
      </c>
      <c r="I2128">
        <v>99999999</v>
      </c>
      <c r="J2128" s="188">
        <v>45238</v>
      </c>
      <c r="K2128" t="s">
        <v>5697</v>
      </c>
      <c r="L2128" t="s">
        <v>5697</v>
      </c>
      <c r="M2128" t="s">
        <v>2825</v>
      </c>
      <c r="N2128" t="s">
        <v>88</v>
      </c>
      <c r="O2128" t="s">
        <v>2826</v>
      </c>
      <c r="P2128" t="s">
        <v>221</v>
      </c>
      <c r="Q2128" t="s">
        <v>82</v>
      </c>
      <c r="R2128">
        <v>1</v>
      </c>
      <c r="S2128">
        <v>2.38</v>
      </c>
      <c r="T2128">
        <v>0</v>
      </c>
      <c r="U2128">
        <v>1</v>
      </c>
      <c r="V2128">
        <v>1</v>
      </c>
      <c r="W2128">
        <v>29.99</v>
      </c>
      <c r="X2128">
        <v>0</v>
      </c>
      <c r="Y2128">
        <v>0</v>
      </c>
      <c r="Z2128">
        <v>0</v>
      </c>
      <c r="AA2128">
        <v>0</v>
      </c>
      <c r="AB2128">
        <v>0</v>
      </c>
      <c r="AC2128">
        <v>0</v>
      </c>
      <c r="AD2128">
        <v>1</v>
      </c>
      <c r="AE2128">
        <v>0</v>
      </c>
      <c r="AF2128">
        <v>0</v>
      </c>
      <c r="AG2128">
        <v>0</v>
      </c>
      <c r="AH2128">
        <v>0</v>
      </c>
      <c r="AI2128">
        <v>0</v>
      </c>
      <c r="AJ2128">
        <v>0</v>
      </c>
      <c r="AK2128">
        <v>0</v>
      </c>
    </row>
    <row r="2129" spans="1:37" x14ac:dyDescent="0.3">
      <c r="A2129">
        <v>7979</v>
      </c>
      <c r="B2129" t="s">
        <v>219</v>
      </c>
      <c r="D2129" t="s">
        <v>327</v>
      </c>
      <c r="E2129">
        <v>99999999</v>
      </c>
      <c r="F2129">
        <v>11111111</v>
      </c>
      <c r="G2129">
        <v>1111111111</v>
      </c>
      <c r="H2129" t="s">
        <v>5698</v>
      </c>
      <c r="I2129">
        <v>99999999</v>
      </c>
      <c r="J2129" s="188">
        <v>45238</v>
      </c>
      <c r="K2129" t="s">
        <v>5698</v>
      </c>
      <c r="L2129" t="s">
        <v>5698</v>
      </c>
      <c r="M2129" t="s">
        <v>1732</v>
      </c>
      <c r="N2129" t="s">
        <v>99</v>
      </c>
      <c r="O2129" t="s">
        <v>2827</v>
      </c>
      <c r="P2129" t="s">
        <v>221</v>
      </c>
      <c r="Q2129" t="s">
        <v>82</v>
      </c>
      <c r="R2129">
        <v>14</v>
      </c>
      <c r="S2129">
        <v>18.48</v>
      </c>
      <c r="T2129">
        <v>0</v>
      </c>
      <c r="U2129">
        <v>1</v>
      </c>
      <c r="V2129">
        <v>1</v>
      </c>
      <c r="W2129">
        <v>27.26</v>
      </c>
      <c r="X2129">
        <v>0</v>
      </c>
      <c r="Y2129">
        <v>0</v>
      </c>
      <c r="Z2129">
        <v>0</v>
      </c>
      <c r="AA2129">
        <v>0</v>
      </c>
      <c r="AB2129">
        <v>0</v>
      </c>
      <c r="AC2129">
        <v>0</v>
      </c>
      <c r="AD2129">
        <v>14</v>
      </c>
      <c r="AE2129">
        <v>0</v>
      </c>
      <c r="AF2129">
        <v>0</v>
      </c>
      <c r="AG2129">
        <v>0</v>
      </c>
      <c r="AH2129">
        <v>0</v>
      </c>
      <c r="AI2129">
        <v>0</v>
      </c>
      <c r="AJ2129">
        <v>0</v>
      </c>
      <c r="AK2129">
        <v>0</v>
      </c>
    </row>
    <row r="2130" spans="1:37" x14ac:dyDescent="0.3">
      <c r="A2130">
        <v>7979</v>
      </c>
      <c r="B2130" t="s">
        <v>219</v>
      </c>
      <c r="D2130" t="s">
        <v>327</v>
      </c>
      <c r="E2130">
        <v>99999999</v>
      </c>
      <c r="F2130">
        <v>11111111</v>
      </c>
      <c r="G2130">
        <v>1111111111</v>
      </c>
      <c r="H2130" t="s">
        <v>5699</v>
      </c>
      <c r="I2130">
        <v>99999999</v>
      </c>
      <c r="J2130" s="188">
        <v>45238</v>
      </c>
      <c r="K2130" t="s">
        <v>5699</v>
      </c>
      <c r="L2130" t="s">
        <v>5699</v>
      </c>
      <c r="M2130" t="s">
        <v>2828</v>
      </c>
      <c r="N2130" t="s">
        <v>99</v>
      </c>
      <c r="O2130">
        <v>95962</v>
      </c>
      <c r="P2130" t="s">
        <v>221</v>
      </c>
      <c r="Q2130" t="s">
        <v>82</v>
      </c>
      <c r="R2130">
        <v>1</v>
      </c>
      <c r="S2130">
        <v>6.59</v>
      </c>
      <c r="T2130">
        <v>0</v>
      </c>
      <c r="U2130">
        <v>1</v>
      </c>
      <c r="V2130">
        <v>1</v>
      </c>
      <c r="W2130">
        <v>29.42</v>
      </c>
      <c r="X2130">
        <v>0</v>
      </c>
      <c r="Y2130">
        <v>0</v>
      </c>
      <c r="Z2130">
        <v>0</v>
      </c>
      <c r="AA2130">
        <v>0</v>
      </c>
      <c r="AB2130">
        <v>0</v>
      </c>
      <c r="AC2130">
        <v>0</v>
      </c>
      <c r="AD2130">
        <v>1</v>
      </c>
      <c r="AE2130">
        <v>0</v>
      </c>
      <c r="AF2130">
        <v>0</v>
      </c>
      <c r="AG2130">
        <v>0</v>
      </c>
      <c r="AH2130">
        <v>0</v>
      </c>
      <c r="AI2130">
        <v>0</v>
      </c>
      <c r="AJ2130">
        <v>0</v>
      </c>
      <c r="AK2130">
        <v>0</v>
      </c>
    </row>
    <row r="2131" spans="1:37" x14ac:dyDescent="0.3">
      <c r="A2131">
        <v>7979</v>
      </c>
      <c r="B2131" t="s">
        <v>219</v>
      </c>
      <c r="D2131" t="s">
        <v>327</v>
      </c>
      <c r="E2131">
        <v>99999999</v>
      </c>
      <c r="F2131">
        <v>11111111</v>
      </c>
      <c r="G2131">
        <v>1111111111</v>
      </c>
      <c r="H2131" t="s">
        <v>5700</v>
      </c>
      <c r="I2131">
        <v>99999999</v>
      </c>
      <c r="J2131" s="188">
        <v>45238</v>
      </c>
      <c r="K2131" t="s">
        <v>5700</v>
      </c>
      <c r="L2131" t="s">
        <v>5700</v>
      </c>
      <c r="M2131" t="s">
        <v>95</v>
      </c>
      <c r="N2131" t="s">
        <v>91</v>
      </c>
      <c r="O2131" t="s">
        <v>2829</v>
      </c>
      <c r="P2131" t="s">
        <v>221</v>
      </c>
      <c r="Q2131" t="s">
        <v>82</v>
      </c>
      <c r="R2131">
        <v>1</v>
      </c>
      <c r="S2131">
        <v>1.56</v>
      </c>
      <c r="T2131">
        <v>0</v>
      </c>
      <c r="U2131">
        <v>1</v>
      </c>
      <c r="V2131">
        <v>1</v>
      </c>
      <c r="W2131">
        <v>22.62</v>
      </c>
      <c r="X2131">
        <v>0</v>
      </c>
      <c r="Y2131">
        <v>0</v>
      </c>
      <c r="Z2131">
        <v>0</v>
      </c>
      <c r="AA2131">
        <v>0</v>
      </c>
      <c r="AB2131">
        <v>0</v>
      </c>
      <c r="AC2131">
        <v>0</v>
      </c>
      <c r="AD2131">
        <v>1</v>
      </c>
      <c r="AE2131">
        <v>0</v>
      </c>
      <c r="AF2131">
        <v>0</v>
      </c>
      <c r="AG2131">
        <v>0</v>
      </c>
      <c r="AH2131">
        <v>0</v>
      </c>
      <c r="AI2131">
        <v>0</v>
      </c>
      <c r="AJ2131">
        <v>0</v>
      </c>
      <c r="AK2131">
        <v>0</v>
      </c>
    </row>
    <row r="2132" spans="1:37" x14ac:dyDescent="0.3">
      <c r="A2132">
        <v>7979</v>
      </c>
      <c r="B2132" t="s">
        <v>219</v>
      </c>
      <c r="D2132" t="s">
        <v>327</v>
      </c>
      <c r="E2132">
        <v>99999999</v>
      </c>
      <c r="F2132">
        <v>11111111</v>
      </c>
      <c r="G2132">
        <v>1111111111</v>
      </c>
      <c r="H2132" t="s">
        <v>5701</v>
      </c>
      <c r="I2132">
        <v>99999999</v>
      </c>
      <c r="J2132" s="188">
        <v>45238</v>
      </c>
      <c r="K2132" t="s">
        <v>5701</v>
      </c>
      <c r="L2132" t="s">
        <v>5701</v>
      </c>
      <c r="M2132" t="s">
        <v>2483</v>
      </c>
      <c r="N2132" t="s">
        <v>91</v>
      </c>
      <c r="O2132" t="s">
        <v>2484</v>
      </c>
      <c r="P2132" t="s">
        <v>221</v>
      </c>
      <c r="Q2132" t="s">
        <v>82</v>
      </c>
      <c r="R2132">
        <v>1</v>
      </c>
      <c r="S2132">
        <v>1.5</v>
      </c>
      <c r="T2132">
        <v>0</v>
      </c>
      <c r="U2132">
        <v>1</v>
      </c>
      <c r="V2132">
        <v>1</v>
      </c>
      <c r="W2132">
        <v>21.49</v>
      </c>
      <c r="X2132">
        <v>0</v>
      </c>
      <c r="Y2132">
        <v>0</v>
      </c>
      <c r="Z2132">
        <v>0</v>
      </c>
      <c r="AA2132">
        <v>0</v>
      </c>
      <c r="AB2132">
        <v>0</v>
      </c>
      <c r="AC2132">
        <v>0</v>
      </c>
      <c r="AD2132">
        <v>1</v>
      </c>
      <c r="AE2132">
        <v>0</v>
      </c>
      <c r="AF2132">
        <v>0</v>
      </c>
      <c r="AG2132">
        <v>0</v>
      </c>
      <c r="AH2132">
        <v>0</v>
      </c>
      <c r="AI2132">
        <v>0</v>
      </c>
      <c r="AJ2132">
        <v>0</v>
      </c>
      <c r="AK2132">
        <v>0</v>
      </c>
    </row>
    <row r="2133" spans="1:37" x14ac:dyDescent="0.3">
      <c r="A2133">
        <v>7979</v>
      </c>
      <c r="B2133" t="s">
        <v>219</v>
      </c>
      <c r="D2133" t="s">
        <v>327</v>
      </c>
      <c r="E2133">
        <v>99999999</v>
      </c>
      <c r="F2133">
        <v>11111111</v>
      </c>
      <c r="G2133">
        <v>1111111111</v>
      </c>
      <c r="H2133" t="s">
        <v>5702</v>
      </c>
      <c r="I2133">
        <v>99999999</v>
      </c>
      <c r="J2133" s="188">
        <v>45238</v>
      </c>
      <c r="K2133" t="s">
        <v>5702</v>
      </c>
      <c r="L2133" t="s">
        <v>5702</v>
      </c>
      <c r="M2133" t="s">
        <v>2830</v>
      </c>
      <c r="N2133" t="s">
        <v>91</v>
      </c>
      <c r="O2133" t="s">
        <v>2831</v>
      </c>
      <c r="P2133" t="s">
        <v>221</v>
      </c>
      <c r="Q2133" t="s">
        <v>82</v>
      </c>
      <c r="R2133">
        <v>1</v>
      </c>
      <c r="S2133">
        <v>1</v>
      </c>
      <c r="T2133">
        <v>0</v>
      </c>
      <c r="U2133">
        <v>1</v>
      </c>
      <c r="V2133">
        <v>1</v>
      </c>
      <c r="W2133">
        <v>27.6</v>
      </c>
      <c r="X2133">
        <v>0</v>
      </c>
      <c r="Y2133">
        <v>0</v>
      </c>
      <c r="Z2133">
        <v>0</v>
      </c>
      <c r="AA2133">
        <v>0</v>
      </c>
      <c r="AB2133">
        <v>0</v>
      </c>
      <c r="AC2133">
        <v>0</v>
      </c>
      <c r="AD2133">
        <v>1</v>
      </c>
      <c r="AE2133">
        <v>0</v>
      </c>
      <c r="AF2133">
        <v>0</v>
      </c>
      <c r="AG2133">
        <v>0</v>
      </c>
      <c r="AH2133">
        <v>0</v>
      </c>
      <c r="AI2133">
        <v>0</v>
      </c>
      <c r="AJ2133">
        <v>0</v>
      </c>
      <c r="AK2133">
        <v>0</v>
      </c>
    </row>
    <row r="2134" spans="1:37" x14ac:dyDescent="0.3">
      <c r="A2134">
        <v>7979</v>
      </c>
      <c r="B2134" t="s">
        <v>219</v>
      </c>
      <c r="D2134" t="s">
        <v>327</v>
      </c>
      <c r="E2134">
        <v>99999999</v>
      </c>
      <c r="F2134">
        <v>11111111</v>
      </c>
      <c r="G2134">
        <v>1111111111</v>
      </c>
      <c r="H2134" t="s">
        <v>5703</v>
      </c>
      <c r="I2134">
        <v>99999999</v>
      </c>
      <c r="J2134" s="188">
        <v>45238</v>
      </c>
      <c r="K2134" t="s">
        <v>5703</v>
      </c>
      <c r="L2134" t="s">
        <v>5703</v>
      </c>
      <c r="M2134" t="s">
        <v>657</v>
      </c>
      <c r="N2134" t="s">
        <v>99</v>
      </c>
      <c r="O2134" t="s">
        <v>2832</v>
      </c>
      <c r="P2134" t="s">
        <v>221</v>
      </c>
      <c r="Q2134" t="s">
        <v>82</v>
      </c>
      <c r="R2134">
        <v>1</v>
      </c>
      <c r="S2134">
        <v>0.88100000000000001</v>
      </c>
      <c r="T2134">
        <v>0</v>
      </c>
      <c r="U2134">
        <v>1</v>
      </c>
      <c r="V2134">
        <v>1</v>
      </c>
      <c r="W2134">
        <v>24.72</v>
      </c>
      <c r="X2134">
        <v>0</v>
      </c>
      <c r="Y2134">
        <v>0</v>
      </c>
      <c r="Z2134">
        <v>0</v>
      </c>
      <c r="AA2134">
        <v>0</v>
      </c>
      <c r="AB2134">
        <v>0</v>
      </c>
      <c r="AC2134">
        <v>0</v>
      </c>
      <c r="AD2134">
        <v>1</v>
      </c>
      <c r="AE2134">
        <v>0</v>
      </c>
      <c r="AF2134">
        <v>0</v>
      </c>
      <c r="AG2134">
        <v>0</v>
      </c>
      <c r="AH2134">
        <v>0</v>
      </c>
      <c r="AI2134">
        <v>0</v>
      </c>
      <c r="AJ2134">
        <v>0</v>
      </c>
      <c r="AK2134">
        <v>0</v>
      </c>
    </row>
    <row r="2135" spans="1:37" x14ac:dyDescent="0.3">
      <c r="A2135">
        <v>7979</v>
      </c>
      <c r="B2135" t="s">
        <v>219</v>
      </c>
      <c r="D2135" t="s">
        <v>327</v>
      </c>
      <c r="E2135">
        <v>99999999</v>
      </c>
      <c r="F2135">
        <v>11111111</v>
      </c>
      <c r="G2135">
        <v>1111111111</v>
      </c>
      <c r="H2135" t="s">
        <v>5704</v>
      </c>
      <c r="I2135">
        <v>99999999</v>
      </c>
      <c r="J2135" s="188">
        <v>45238</v>
      </c>
      <c r="K2135" t="s">
        <v>5704</v>
      </c>
      <c r="L2135" t="s">
        <v>5704</v>
      </c>
      <c r="M2135" t="s">
        <v>2833</v>
      </c>
      <c r="N2135" t="s">
        <v>99</v>
      </c>
      <c r="O2135" t="s">
        <v>2834</v>
      </c>
      <c r="P2135" t="s">
        <v>221</v>
      </c>
      <c r="Q2135" t="s">
        <v>82</v>
      </c>
      <c r="R2135">
        <v>1</v>
      </c>
      <c r="S2135">
        <v>4.1900000000000004</v>
      </c>
      <c r="T2135">
        <v>0</v>
      </c>
      <c r="U2135">
        <v>1</v>
      </c>
      <c r="V2135">
        <v>1</v>
      </c>
      <c r="W2135">
        <v>22.88</v>
      </c>
      <c r="X2135">
        <v>0</v>
      </c>
      <c r="Y2135">
        <v>0</v>
      </c>
      <c r="Z2135">
        <v>0</v>
      </c>
      <c r="AA2135">
        <v>0</v>
      </c>
      <c r="AB2135">
        <v>0</v>
      </c>
      <c r="AC2135">
        <v>0</v>
      </c>
      <c r="AD2135">
        <v>1</v>
      </c>
      <c r="AE2135">
        <v>0</v>
      </c>
      <c r="AF2135">
        <v>0</v>
      </c>
      <c r="AG2135">
        <v>0</v>
      </c>
      <c r="AH2135">
        <v>0</v>
      </c>
      <c r="AI2135">
        <v>0</v>
      </c>
      <c r="AJ2135">
        <v>0</v>
      </c>
      <c r="AK2135">
        <v>0</v>
      </c>
    </row>
    <row r="2136" spans="1:37" x14ac:dyDescent="0.3">
      <c r="A2136">
        <v>7979</v>
      </c>
      <c r="B2136" t="s">
        <v>219</v>
      </c>
      <c r="D2136" t="s">
        <v>327</v>
      </c>
      <c r="E2136">
        <v>99999999</v>
      </c>
      <c r="F2136">
        <v>11111111</v>
      </c>
      <c r="G2136">
        <v>1111111111</v>
      </c>
      <c r="H2136" t="s">
        <v>5705</v>
      </c>
      <c r="I2136">
        <v>99999999</v>
      </c>
      <c r="J2136" s="188">
        <v>45238</v>
      </c>
      <c r="K2136" t="s">
        <v>5705</v>
      </c>
      <c r="L2136" t="s">
        <v>5705</v>
      </c>
      <c r="M2136" t="s">
        <v>1550</v>
      </c>
      <c r="N2136" t="s">
        <v>99</v>
      </c>
      <c r="O2136" t="s">
        <v>2835</v>
      </c>
      <c r="P2136" t="s">
        <v>221</v>
      </c>
      <c r="Q2136" t="s">
        <v>82</v>
      </c>
      <c r="R2136">
        <v>1</v>
      </c>
      <c r="S2136">
        <v>0.5</v>
      </c>
      <c r="T2136">
        <v>0</v>
      </c>
      <c r="U2136">
        <v>1</v>
      </c>
      <c r="V2136">
        <v>1</v>
      </c>
      <c r="W2136">
        <v>19.260000000000002</v>
      </c>
      <c r="X2136">
        <v>0</v>
      </c>
      <c r="Y2136">
        <v>0</v>
      </c>
      <c r="Z2136">
        <v>0</v>
      </c>
      <c r="AA2136">
        <v>0</v>
      </c>
      <c r="AB2136">
        <v>0</v>
      </c>
      <c r="AC2136">
        <v>0</v>
      </c>
      <c r="AD2136">
        <v>1</v>
      </c>
      <c r="AE2136">
        <v>0</v>
      </c>
      <c r="AF2136">
        <v>0</v>
      </c>
      <c r="AG2136">
        <v>0</v>
      </c>
      <c r="AH2136">
        <v>0</v>
      </c>
      <c r="AI2136">
        <v>0</v>
      </c>
      <c r="AJ2136">
        <v>0</v>
      </c>
      <c r="AK2136">
        <v>0</v>
      </c>
    </row>
    <row r="2137" spans="1:37" x14ac:dyDescent="0.3">
      <c r="A2137">
        <v>7979</v>
      </c>
      <c r="B2137" t="s">
        <v>219</v>
      </c>
      <c r="D2137" t="s">
        <v>327</v>
      </c>
      <c r="E2137">
        <v>99999999</v>
      </c>
      <c r="F2137">
        <v>11111111</v>
      </c>
      <c r="G2137">
        <v>1111111111</v>
      </c>
      <c r="H2137" t="s">
        <v>5706</v>
      </c>
      <c r="I2137">
        <v>99999999</v>
      </c>
      <c r="J2137" s="188">
        <v>45238</v>
      </c>
      <c r="K2137" t="s">
        <v>5706</v>
      </c>
      <c r="L2137" t="s">
        <v>5706</v>
      </c>
      <c r="M2137" t="s">
        <v>2836</v>
      </c>
      <c r="N2137" t="s">
        <v>233</v>
      </c>
      <c r="O2137">
        <v>11413</v>
      </c>
      <c r="P2137" t="s">
        <v>221</v>
      </c>
      <c r="Q2137" t="s">
        <v>82</v>
      </c>
      <c r="R2137">
        <v>1</v>
      </c>
      <c r="S2137">
        <v>0.38</v>
      </c>
      <c r="T2137">
        <v>0</v>
      </c>
      <c r="U2137">
        <v>1</v>
      </c>
      <c r="V2137">
        <v>1</v>
      </c>
      <c r="W2137">
        <v>20.73</v>
      </c>
      <c r="X2137">
        <v>0</v>
      </c>
      <c r="Y2137">
        <v>0</v>
      </c>
      <c r="Z2137">
        <v>0</v>
      </c>
      <c r="AA2137">
        <v>0</v>
      </c>
      <c r="AB2137">
        <v>0</v>
      </c>
      <c r="AC2137">
        <v>0</v>
      </c>
      <c r="AD2137">
        <v>1</v>
      </c>
      <c r="AE2137">
        <v>0</v>
      </c>
      <c r="AF2137">
        <v>0</v>
      </c>
      <c r="AG2137">
        <v>0</v>
      </c>
      <c r="AH2137">
        <v>0</v>
      </c>
      <c r="AI2137">
        <v>0</v>
      </c>
      <c r="AJ2137">
        <v>0</v>
      </c>
      <c r="AK2137">
        <v>0</v>
      </c>
    </row>
    <row r="2138" spans="1:37" x14ac:dyDescent="0.3">
      <c r="A2138">
        <v>7979</v>
      </c>
      <c r="B2138" t="s">
        <v>219</v>
      </c>
      <c r="D2138" t="s">
        <v>327</v>
      </c>
      <c r="E2138">
        <v>99999999</v>
      </c>
      <c r="F2138">
        <v>11111111</v>
      </c>
      <c r="G2138">
        <v>1111111111</v>
      </c>
      <c r="H2138" t="s">
        <v>5707</v>
      </c>
      <c r="I2138">
        <v>99999999</v>
      </c>
      <c r="J2138" s="188">
        <v>45238</v>
      </c>
      <c r="K2138" t="s">
        <v>5707</v>
      </c>
      <c r="L2138" t="s">
        <v>5707</v>
      </c>
      <c r="M2138" t="s">
        <v>2837</v>
      </c>
      <c r="N2138" t="s">
        <v>151</v>
      </c>
      <c r="O2138" t="s">
        <v>2838</v>
      </c>
      <c r="P2138" t="s">
        <v>221</v>
      </c>
      <c r="Q2138" t="s">
        <v>82</v>
      </c>
      <c r="R2138">
        <v>1</v>
      </c>
      <c r="S2138">
        <v>1.1000000000000001</v>
      </c>
      <c r="T2138">
        <v>0</v>
      </c>
      <c r="U2138">
        <v>1</v>
      </c>
      <c r="V2138">
        <v>1</v>
      </c>
      <c r="W2138">
        <v>29.16</v>
      </c>
      <c r="X2138">
        <v>0</v>
      </c>
      <c r="Y2138">
        <v>0</v>
      </c>
      <c r="Z2138">
        <v>0</v>
      </c>
      <c r="AA2138">
        <v>0</v>
      </c>
      <c r="AB2138">
        <v>0</v>
      </c>
      <c r="AC2138">
        <v>0</v>
      </c>
      <c r="AD2138">
        <v>1</v>
      </c>
      <c r="AE2138">
        <v>0</v>
      </c>
      <c r="AF2138">
        <v>0</v>
      </c>
      <c r="AG2138">
        <v>0</v>
      </c>
      <c r="AH2138">
        <v>0</v>
      </c>
      <c r="AI2138">
        <v>0</v>
      </c>
      <c r="AJ2138">
        <v>0</v>
      </c>
      <c r="AK2138">
        <v>0</v>
      </c>
    </row>
    <row r="2139" spans="1:37" x14ac:dyDescent="0.3">
      <c r="A2139">
        <v>7979</v>
      </c>
      <c r="B2139" t="s">
        <v>219</v>
      </c>
      <c r="D2139" t="s">
        <v>327</v>
      </c>
      <c r="E2139">
        <v>99999999</v>
      </c>
      <c r="F2139">
        <v>11111111</v>
      </c>
      <c r="G2139">
        <v>1111111111</v>
      </c>
      <c r="H2139" t="s">
        <v>5708</v>
      </c>
      <c r="I2139">
        <v>99999999</v>
      </c>
      <c r="J2139" s="188">
        <v>45238</v>
      </c>
      <c r="K2139" t="s">
        <v>5708</v>
      </c>
      <c r="L2139" t="s">
        <v>5708</v>
      </c>
      <c r="M2139" t="s">
        <v>754</v>
      </c>
      <c r="N2139" t="s">
        <v>130</v>
      </c>
      <c r="O2139">
        <v>80301</v>
      </c>
      <c r="P2139" t="s">
        <v>221</v>
      </c>
      <c r="Q2139" t="s">
        <v>82</v>
      </c>
      <c r="R2139">
        <v>1</v>
      </c>
      <c r="S2139">
        <v>1.55</v>
      </c>
      <c r="T2139">
        <v>0</v>
      </c>
      <c r="U2139">
        <v>1</v>
      </c>
      <c r="V2139">
        <v>1</v>
      </c>
      <c r="W2139">
        <v>22.62</v>
      </c>
      <c r="X2139">
        <v>0</v>
      </c>
      <c r="Y2139">
        <v>0</v>
      </c>
      <c r="Z2139">
        <v>0</v>
      </c>
      <c r="AA2139">
        <v>0</v>
      </c>
      <c r="AB2139">
        <v>0</v>
      </c>
      <c r="AC2139">
        <v>0</v>
      </c>
      <c r="AD2139">
        <v>1</v>
      </c>
      <c r="AE2139">
        <v>0</v>
      </c>
      <c r="AF2139">
        <v>0</v>
      </c>
      <c r="AG2139">
        <v>0</v>
      </c>
      <c r="AH2139">
        <v>0</v>
      </c>
      <c r="AI2139">
        <v>0</v>
      </c>
      <c r="AJ2139">
        <v>0</v>
      </c>
      <c r="AK2139">
        <v>0</v>
      </c>
    </row>
    <row r="2140" spans="1:37" x14ac:dyDescent="0.3">
      <c r="A2140">
        <v>7979</v>
      </c>
      <c r="B2140" t="s">
        <v>219</v>
      </c>
      <c r="D2140" t="s">
        <v>327</v>
      </c>
      <c r="E2140">
        <v>99999999</v>
      </c>
      <c r="F2140">
        <v>11111111</v>
      </c>
      <c r="G2140">
        <v>1111111111</v>
      </c>
      <c r="H2140" t="s">
        <v>5709</v>
      </c>
      <c r="I2140">
        <v>99999999</v>
      </c>
      <c r="J2140" s="188">
        <v>45238</v>
      </c>
      <c r="K2140" t="s">
        <v>5709</v>
      </c>
      <c r="L2140" t="s">
        <v>5709</v>
      </c>
      <c r="M2140" t="s">
        <v>2839</v>
      </c>
      <c r="N2140" t="s">
        <v>233</v>
      </c>
      <c r="O2140">
        <v>14080</v>
      </c>
      <c r="P2140" t="s">
        <v>221</v>
      </c>
      <c r="Q2140" t="s">
        <v>82</v>
      </c>
      <c r="R2140">
        <v>1</v>
      </c>
      <c r="S2140">
        <v>2.65</v>
      </c>
      <c r="T2140">
        <v>0</v>
      </c>
      <c r="U2140">
        <v>1</v>
      </c>
      <c r="V2140">
        <v>1</v>
      </c>
      <c r="W2140">
        <v>32.200000000000003</v>
      </c>
      <c r="X2140">
        <v>0</v>
      </c>
      <c r="Y2140">
        <v>0</v>
      </c>
      <c r="Z2140">
        <v>0</v>
      </c>
      <c r="AA2140">
        <v>0</v>
      </c>
      <c r="AB2140">
        <v>0</v>
      </c>
      <c r="AC2140">
        <v>0</v>
      </c>
      <c r="AD2140">
        <v>1</v>
      </c>
      <c r="AE2140">
        <v>0</v>
      </c>
      <c r="AF2140">
        <v>0</v>
      </c>
      <c r="AG2140">
        <v>0</v>
      </c>
      <c r="AH2140">
        <v>0</v>
      </c>
      <c r="AI2140">
        <v>0</v>
      </c>
      <c r="AJ2140">
        <v>0</v>
      </c>
      <c r="AK2140">
        <v>0</v>
      </c>
    </row>
    <row r="2141" spans="1:37" x14ac:dyDescent="0.3">
      <c r="A2141">
        <v>7979</v>
      </c>
      <c r="B2141" t="s">
        <v>219</v>
      </c>
      <c r="D2141" t="s">
        <v>327</v>
      </c>
      <c r="E2141">
        <v>99999999</v>
      </c>
      <c r="F2141">
        <v>11111111</v>
      </c>
      <c r="G2141">
        <v>1111111111</v>
      </c>
      <c r="H2141" t="s">
        <v>5710</v>
      </c>
      <c r="I2141">
        <v>99999999</v>
      </c>
      <c r="J2141" s="188">
        <v>45238</v>
      </c>
      <c r="K2141" t="s">
        <v>5710</v>
      </c>
      <c r="L2141" t="s">
        <v>5710</v>
      </c>
      <c r="M2141" t="s">
        <v>2552</v>
      </c>
      <c r="N2141" t="s">
        <v>241</v>
      </c>
      <c r="O2141" t="s">
        <v>2840</v>
      </c>
      <c r="P2141" t="s">
        <v>221</v>
      </c>
      <c r="Q2141" t="s">
        <v>82</v>
      </c>
      <c r="R2141">
        <v>1</v>
      </c>
      <c r="S2141">
        <v>1.1000000000000001</v>
      </c>
      <c r="T2141">
        <v>0</v>
      </c>
      <c r="U2141">
        <v>1</v>
      </c>
      <c r="V2141">
        <v>1</v>
      </c>
      <c r="W2141">
        <v>22.76</v>
      </c>
      <c r="X2141">
        <v>0</v>
      </c>
      <c r="Y2141">
        <v>0</v>
      </c>
      <c r="Z2141">
        <v>0</v>
      </c>
      <c r="AA2141">
        <v>0</v>
      </c>
      <c r="AB2141">
        <v>0</v>
      </c>
      <c r="AC2141">
        <v>0</v>
      </c>
      <c r="AD2141">
        <v>1</v>
      </c>
      <c r="AE2141">
        <v>0</v>
      </c>
      <c r="AF2141">
        <v>0</v>
      </c>
      <c r="AG2141">
        <v>0</v>
      </c>
      <c r="AH2141">
        <v>0</v>
      </c>
      <c r="AI2141">
        <v>0</v>
      </c>
      <c r="AJ2141">
        <v>0</v>
      </c>
      <c r="AK2141">
        <v>0</v>
      </c>
    </row>
    <row r="2142" spans="1:37" x14ac:dyDescent="0.3">
      <c r="A2142">
        <v>7979</v>
      </c>
      <c r="B2142" t="s">
        <v>219</v>
      </c>
      <c r="D2142" t="s">
        <v>327</v>
      </c>
      <c r="E2142">
        <v>99999999</v>
      </c>
      <c r="F2142">
        <v>11111111</v>
      </c>
      <c r="G2142">
        <v>1111111111</v>
      </c>
      <c r="H2142" t="s">
        <v>5711</v>
      </c>
      <c r="I2142">
        <v>99999999</v>
      </c>
      <c r="J2142" s="188">
        <v>45238</v>
      </c>
      <c r="K2142" t="s">
        <v>5711</v>
      </c>
      <c r="L2142" t="s">
        <v>5711</v>
      </c>
      <c r="M2142" t="s">
        <v>2841</v>
      </c>
      <c r="N2142" t="s">
        <v>91</v>
      </c>
      <c r="O2142" t="s">
        <v>2842</v>
      </c>
      <c r="P2142" t="s">
        <v>221</v>
      </c>
      <c r="Q2142" t="s">
        <v>82</v>
      </c>
      <c r="R2142">
        <v>1</v>
      </c>
      <c r="S2142">
        <v>1.33</v>
      </c>
      <c r="T2142">
        <v>0</v>
      </c>
      <c r="U2142">
        <v>1</v>
      </c>
      <c r="V2142">
        <v>1</v>
      </c>
      <c r="W2142">
        <v>29.4</v>
      </c>
      <c r="X2142">
        <v>0</v>
      </c>
      <c r="Y2142">
        <v>0</v>
      </c>
      <c r="Z2142">
        <v>0</v>
      </c>
      <c r="AA2142">
        <v>0</v>
      </c>
      <c r="AB2142">
        <v>0</v>
      </c>
      <c r="AC2142">
        <v>0</v>
      </c>
      <c r="AD2142">
        <v>1</v>
      </c>
      <c r="AE2142">
        <v>0</v>
      </c>
      <c r="AF2142">
        <v>0</v>
      </c>
      <c r="AG2142">
        <v>0</v>
      </c>
      <c r="AH2142">
        <v>0</v>
      </c>
      <c r="AI2142">
        <v>0</v>
      </c>
      <c r="AJ2142">
        <v>0</v>
      </c>
      <c r="AK2142">
        <v>0</v>
      </c>
    </row>
    <row r="2143" spans="1:37" x14ac:dyDescent="0.3">
      <c r="A2143">
        <v>7979</v>
      </c>
      <c r="B2143" t="s">
        <v>219</v>
      </c>
      <c r="D2143" t="s">
        <v>327</v>
      </c>
      <c r="E2143">
        <v>99999999</v>
      </c>
      <c r="F2143">
        <v>11111111</v>
      </c>
      <c r="G2143">
        <v>1111111111</v>
      </c>
      <c r="H2143" t="s">
        <v>5712</v>
      </c>
      <c r="I2143">
        <v>99999999</v>
      </c>
      <c r="J2143" s="188">
        <v>45238</v>
      </c>
      <c r="K2143" t="s">
        <v>5712</v>
      </c>
      <c r="L2143" t="s">
        <v>5712</v>
      </c>
      <c r="M2143" t="s">
        <v>2340</v>
      </c>
      <c r="N2143" t="s">
        <v>197</v>
      </c>
      <c r="O2143" t="s">
        <v>2843</v>
      </c>
      <c r="P2143" t="s">
        <v>221</v>
      </c>
      <c r="Q2143" t="s">
        <v>82</v>
      </c>
      <c r="R2143">
        <v>5</v>
      </c>
      <c r="S2143">
        <v>7.59</v>
      </c>
      <c r="T2143">
        <v>0</v>
      </c>
      <c r="U2143">
        <v>1</v>
      </c>
      <c r="V2143">
        <v>5</v>
      </c>
      <c r="W2143">
        <v>26.62</v>
      </c>
      <c r="X2143">
        <v>0</v>
      </c>
      <c r="Y2143">
        <v>0</v>
      </c>
      <c r="Z2143">
        <v>0</v>
      </c>
      <c r="AA2143">
        <v>0</v>
      </c>
      <c r="AB2143">
        <v>0</v>
      </c>
      <c r="AC2143">
        <v>0</v>
      </c>
      <c r="AD2143">
        <v>5</v>
      </c>
      <c r="AE2143">
        <v>0</v>
      </c>
      <c r="AF2143">
        <v>0</v>
      </c>
      <c r="AG2143">
        <v>0</v>
      </c>
      <c r="AH2143">
        <v>0</v>
      </c>
      <c r="AI2143">
        <v>0</v>
      </c>
      <c r="AJ2143">
        <v>0</v>
      </c>
      <c r="AK2143">
        <v>0</v>
      </c>
    </row>
    <row r="2144" spans="1:37" x14ac:dyDescent="0.3">
      <c r="A2144">
        <v>7979</v>
      </c>
      <c r="B2144" t="s">
        <v>219</v>
      </c>
      <c r="D2144" t="s">
        <v>327</v>
      </c>
      <c r="E2144">
        <v>99999999</v>
      </c>
      <c r="F2144">
        <v>11111111</v>
      </c>
      <c r="G2144">
        <v>1111111111</v>
      </c>
      <c r="H2144" t="s">
        <v>5713</v>
      </c>
      <c r="I2144">
        <v>99999999</v>
      </c>
      <c r="J2144" s="188">
        <v>45238</v>
      </c>
      <c r="K2144" t="s">
        <v>5713</v>
      </c>
      <c r="L2144" t="s">
        <v>5713</v>
      </c>
      <c r="M2144" t="s">
        <v>895</v>
      </c>
      <c r="N2144" t="s">
        <v>91</v>
      </c>
      <c r="O2144" t="s">
        <v>2844</v>
      </c>
      <c r="P2144" t="s">
        <v>221</v>
      </c>
      <c r="Q2144" t="s">
        <v>82</v>
      </c>
      <c r="R2144">
        <v>2</v>
      </c>
      <c r="S2144">
        <v>13.566000000000001</v>
      </c>
      <c r="T2144">
        <v>0</v>
      </c>
      <c r="U2144">
        <v>1</v>
      </c>
      <c r="V2144">
        <v>2</v>
      </c>
      <c r="W2144">
        <v>28.11</v>
      </c>
      <c r="X2144">
        <v>0</v>
      </c>
      <c r="Y2144">
        <v>0</v>
      </c>
      <c r="Z2144">
        <v>0</v>
      </c>
      <c r="AA2144">
        <v>0</v>
      </c>
      <c r="AB2144">
        <v>0</v>
      </c>
      <c r="AC2144">
        <v>0</v>
      </c>
      <c r="AD2144">
        <v>2</v>
      </c>
      <c r="AE2144">
        <v>0</v>
      </c>
      <c r="AF2144">
        <v>0</v>
      </c>
      <c r="AG2144">
        <v>0</v>
      </c>
      <c r="AH2144">
        <v>0</v>
      </c>
      <c r="AI2144">
        <v>0</v>
      </c>
      <c r="AJ2144">
        <v>0</v>
      </c>
      <c r="AK2144">
        <v>0</v>
      </c>
    </row>
    <row r="2145" spans="1:37" x14ac:dyDescent="0.3">
      <c r="A2145">
        <v>7979</v>
      </c>
      <c r="B2145" t="s">
        <v>219</v>
      </c>
      <c r="D2145" t="s">
        <v>327</v>
      </c>
      <c r="E2145">
        <v>99999999</v>
      </c>
      <c r="F2145">
        <v>11111111</v>
      </c>
      <c r="G2145">
        <v>1111111111</v>
      </c>
      <c r="H2145" t="s">
        <v>5714</v>
      </c>
      <c r="I2145">
        <v>99999999</v>
      </c>
      <c r="J2145" s="188">
        <v>45238</v>
      </c>
      <c r="K2145" t="s">
        <v>5714</v>
      </c>
      <c r="L2145" t="s">
        <v>5714</v>
      </c>
      <c r="M2145" t="s">
        <v>115</v>
      </c>
      <c r="N2145" t="s">
        <v>99</v>
      </c>
      <c r="O2145" t="s">
        <v>2845</v>
      </c>
      <c r="P2145" t="s">
        <v>221</v>
      </c>
      <c r="Q2145" t="s">
        <v>82</v>
      </c>
      <c r="R2145">
        <v>5</v>
      </c>
      <c r="S2145">
        <v>11.95</v>
      </c>
      <c r="T2145">
        <v>0</v>
      </c>
      <c r="U2145">
        <v>1</v>
      </c>
      <c r="V2145">
        <v>4</v>
      </c>
      <c r="W2145">
        <v>22.65</v>
      </c>
      <c r="X2145">
        <v>0</v>
      </c>
      <c r="Y2145">
        <v>0</v>
      </c>
      <c r="Z2145">
        <v>0</v>
      </c>
      <c r="AA2145">
        <v>0</v>
      </c>
      <c r="AB2145">
        <v>0</v>
      </c>
      <c r="AC2145">
        <v>0</v>
      </c>
      <c r="AD2145">
        <v>5</v>
      </c>
      <c r="AE2145">
        <v>0</v>
      </c>
      <c r="AF2145">
        <v>0</v>
      </c>
      <c r="AG2145">
        <v>0</v>
      </c>
      <c r="AH2145">
        <v>0</v>
      </c>
      <c r="AI2145">
        <v>0</v>
      </c>
      <c r="AJ2145">
        <v>0</v>
      </c>
      <c r="AK2145">
        <v>0</v>
      </c>
    </row>
    <row r="2146" spans="1:37" x14ac:dyDescent="0.3">
      <c r="A2146">
        <v>7979</v>
      </c>
      <c r="B2146" t="s">
        <v>219</v>
      </c>
      <c r="D2146" t="s">
        <v>327</v>
      </c>
      <c r="E2146">
        <v>99999999</v>
      </c>
      <c r="F2146">
        <v>11111111</v>
      </c>
      <c r="G2146">
        <v>1111111111</v>
      </c>
      <c r="H2146" t="s">
        <v>5715</v>
      </c>
      <c r="I2146">
        <v>99999999</v>
      </c>
      <c r="J2146" s="188">
        <v>45238</v>
      </c>
      <c r="K2146" t="s">
        <v>5715</v>
      </c>
      <c r="L2146" t="s">
        <v>5715</v>
      </c>
      <c r="M2146" t="s">
        <v>1290</v>
      </c>
      <c r="N2146" t="s">
        <v>231</v>
      </c>
      <c r="O2146" t="s">
        <v>2846</v>
      </c>
      <c r="P2146" t="s">
        <v>221</v>
      </c>
      <c r="Q2146" t="s">
        <v>82</v>
      </c>
      <c r="R2146">
        <v>2</v>
      </c>
      <c r="S2146">
        <v>4.88</v>
      </c>
      <c r="T2146">
        <v>0</v>
      </c>
      <c r="U2146">
        <v>1</v>
      </c>
      <c r="V2146">
        <v>2</v>
      </c>
      <c r="W2146">
        <v>33.4</v>
      </c>
      <c r="X2146">
        <v>0</v>
      </c>
      <c r="Y2146">
        <v>0</v>
      </c>
      <c r="Z2146">
        <v>0</v>
      </c>
      <c r="AA2146">
        <v>0</v>
      </c>
      <c r="AB2146">
        <v>0</v>
      </c>
      <c r="AC2146">
        <v>0</v>
      </c>
      <c r="AD2146">
        <v>2</v>
      </c>
      <c r="AE2146">
        <v>0</v>
      </c>
      <c r="AF2146">
        <v>0</v>
      </c>
      <c r="AG2146">
        <v>0</v>
      </c>
      <c r="AH2146">
        <v>0</v>
      </c>
      <c r="AI2146">
        <v>0</v>
      </c>
      <c r="AJ2146">
        <v>0</v>
      </c>
      <c r="AK2146">
        <v>0</v>
      </c>
    </row>
    <row r="2147" spans="1:37" x14ac:dyDescent="0.3">
      <c r="A2147">
        <v>7979</v>
      </c>
      <c r="B2147" t="s">
        <v>219</v>
      </c>
      <c r="D2147" t="s">
        <v>327</v>
      </c>
      <c r="E2147">
        <v>99999999</v>
      </c>
      <c r="F2147">
        <v>11111111</v>
      </c>
      <c r="G2147">
        <v>1111111111</v>
      </c>
      <c r="H2147" t="s">
        <v>5716</v>
      </c>
      <c r="I2147">
        <v>99999999</v>
      </c>
      <c r="J2147" s="188">
        <v>45238</v>
      </c>
      <c r="K2147" t="s">
        <v>5716</v>
      </c>
      <c r="L2147" t="s">
        <v>5716</v>
      </c>
      <c r="M2147" t="s">
        <v>401</v>
      </c>
      <c r="N2147" t="s">
        <v>164</v>
      </c>
      <c r="O2147">
        <v>97123</v>
      </c>
      <c r="P2147" t="s">
        <v>221</v>
      </c>
      <c r="Q2147" t="s">
        <v>82</v>
      </c>
      <c r="R2147">
        <v>2</v>
      </c>
      <c r="S2147">
        <v>4.12</v>
      </c>
      <c r="T2147">
        <v>0</v>
      </c>
      <c r="U2147">
        <v>1</v>
      </c>
      <c r="V2147">
        <v>2</v>
      </c>
      <c r="W2147">
        <v>22.88</v>
      </c>
      <c r="X2147">
        <v>0</v>
      </c>
      <c r="Y2147">
        <v>0</v>
      </c>
      <c r="Z2147">
        <v>0</v>
      </c>
      <c r="AA2147">
        <v>0</v>
      </c>
      <c r="AB2147">
        <v>0</v>
      </c>
      <c r="AC2147">
        <v>0</v>
      </c>
      <c r="AD2147">
        <v>2</v>
      </c>
      <c r="AE2147">
        <v>0</v>
      </c>
      <c r="AF2147">
        <v>0</v>
      </c>
      <c r="AG2147">
        <v>0</v>
      </c>
      <c r="AH2147">
        <v>0</v>
      </c>
      <c r="AI2147">
        <v>0</v>
      </c>
      <c r="AJ2147">
        <v>0</v>
      </c>
      <c r="AK2147">
        <v>0</v>
      </c>
    </row>
    <row r="2148" spans="1:37" x14ac:dyDescent="0.3">
      <c r="A2148">
        <v>7979</v>
      </c>
      <c r="B2148" t="s">
        <v>219</v>
      </c>
      <c r="D2148" t="s">
        <v>327</v>
      </c>
      <c r="E2148">
        <v>99999999</v>
      </c>
      <c r="F2148">
        <v>11111111</v>
      </c>
      <c r="G2148">
        <v>1111111111</v>
      </c>
      <c r="H2148" t="s">
        <v>5717</v>
      </c>
      <c r="I2148">
        <v>99999999</v>
      </c>
      <c r="J2148" s="188">
        <v>45238</v>
      </c>
      <c r="K2148" t="s">
        <v>5717</v>
      </c>
      <c r="L2148" t="s">
        <v>5717</v>
      </c>
      <c r="M2148" t="s">
        <v>1561</v>
      </c>
      <c r="N2148" t="s">
        <v>307</v>
      </c>
      <c r="O2148">
        <v>74855</v>
      </c>
      <c r="P2148" t="s">
        <v>221</v>
      </c>
      <c r="Q2148" t="s">
        <v>82</v>
      </c>
      <c r="R2148">
        <v>2</v>
      </c>
      <c r="S2148">
        <v>6</v>
      </c>
      <c r="T2148">
        <v>0</v>
      </c>
      <c r="U2148">
        <v>1</v>
      </c>
      <c r="V2148">
        <v>2</v>
      </c>
      <c r="W2148">
        <v>33.65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2</v>
      </c>
      <c r="AE2148">
        <v>0</v>
      </c>
      <c r="AF2148">
        <v>0</v>
      </c>
      <c r="AG2148">
        <v>0</v>
      </c>
      <c r="AH2148">
        <v>0</v>
      </c>
      <c r="AI2148">
        <v>0</v>
      </c>
      <c r="AJ2148">
        <v>0</v>
      </c>
      <c r="AK2148">
        <v>0</v>
      </c>
    </row>
    <row r="2149" spans="1:37" x14ac:dyDescent="0.3">
      <c r="A2149">
        <v>7979</v>
      </c>
      <c r="B2149" t="s">
        <v>219</v>
      </c>
      <c r="D2149" t="s">
        <v>327</v>
      </c>
      <c r="E2149">
        <v>99999999</v>
      </c>
      <c r="F2149">
        <v>11111111</v>
      </c>
      <c r="G2149">
        <v>1111111111</v>
      </c>
      <c r="H2149" t="s">
        <v>5718</v>
      </c>
      <c r="I2149">
        <v>99999999</v>
      </c>
      <c r="J2149" s="188">
        <v>45238</v>
      </c>
      <c r="K2149" t="s">
        <v>5718</v>
      </c>
      <c r="L2149" t="s">
        <v>5718</v>
      </c>
      <c r="M2149" t="s">
        <v>2847</v>
      </c>
      <c r="N2149" t="s">
        <v>99</v>
      </c>
      <c r="O2149" t="s">
        <v>2848</v>
      </c>
      <c r="P2149" t="s">
        <v>221</v>
      </c>
      <c r="Q2149" t="s">
        <v>82</v>
      </c>
      <c r="R2149">
        <v>3</v>
      </c>
      <c r="S2149">
        <v>3.3</v>
      </c>
      <c r="T2149">
        <v>0</v>
      </c>
      <c r="U2149">
        <v>1</v>
      </c>
      <c r="V2149">
        <v>3</v>
      </c>
      <c r="W2149">
        <v>22.47</v>
      </c>
      <c r="X2149">
        <v>0</v>
      </c>
      <c r="Y2149">
        <v>0</v>
      </c>
      <c r="Z2149">
        <v>0</v>
      </c>
      <c r="AA2149">
        <v>0</v>
      </c>
      <c r="AB2149">
        <v>0</v>
      </c>
      <c r="AC2149">
        <v>0</v>
      </c>
      <c r="AD2149">
        <v>3</v>
      </c>
      <c r="AE2149">
        <v>0</v>
      </c>
      <c r="AF2149">
        <v>0</v>
      </c>
      <c r="AG2149">
        <v>0</v>
      </c>
      <c r="AH2149">
        <v>0</v>
      </c>
      <c r="AI2149">
        <v>0</v>
      </c>
      <c r="AJ2149">
        <v>0</v>
      </c>
      <c r="AK2149">
        <v>0</v>
      </c>
    </row>
    <row r="2150" spans="1:37" x14ac:dyDescent="0.3">
      <c r="A2150">
        <v>7979</v>
      </c>
      <c r="B2150" t="s">
        <v>219</v>
      </c>
      <c r="D2150" t="s">
        <v>327</v>
      </c>
      <c r="E2150">
        <v>99999999</v>
      </c>
      <c r="F2150">
        <v>11111111</v>
      </c>
      <c r="G2150">
        <v>1111111111</v>
      </c>
      <c r="H2150" t="s">
        <v>5719</v>
      </c>
      <c r="I2150">
        <v>99999999</v>
      </c>
      <c r="J2150" s="188">
        <v>45238</v>
      </c>
      <c r="K2150" t="s">
        <v>5719</v>
      </c>
      <c r="L2150" t="s">
        <v>5719</v>
      </c>
      <c r="M2150" t="s">
        <v>562</v>
      </c>
      <c r="N2150" t="s">
        <v>197</v>
      </c>
      <c r="O2150">
        <v>78232</v>
      </c>
      <c r="P2150" t="s">
        <v>221</v>
      </c>
      <c r="Q2150" t="s">
        <v>82</v>
      </c>
      <c r="R2150">
        <v>2</v>
      </c>
      <c r="S2150">
        <v>1.1299999999999999</v>
      </c>
      <c r="T2150">
        <v>0</v>
      </c>
      <c r="U2150">
        <v>1</v>
      </c>
      <c r="V2150">
        <v>2</v>
      </c>
      <c r="W2150">
        <v>22.16</v>
      </c>
      <c r="X2150">
        <v>0</v>
      </c>
      <c r="Y2150">
        <v>0</v>
      </c>
      <c r="Z2150">
        <v>0</v>
      </c>
      <c r="AA2150">
        <v>0</v>
      </c>
      <c r="AB2150">
        <v>0</v>
      </c>
      <c r="AC2150">
        <v>0</v>
      </c>
      <c r="AD2150">
        <v>2</v>
      </c>
      <c r="AE2150">
        <v>0</v>
      </c>
      <c r="AF2150">
        <v>0</v>
      </c>
      <c r="AG2150">
        <v>0</v>
      </c>
      <c r="AH2150">
        <v>0</v>
      </c>
      <c r="AI2150">
        <v>0</v>
      </c>
      <c r="AJ2150">
        <v>0</v>
      </c>
      <c r="AK2150">
        <v>0</v>
      </c>
    </row>
    <row r="2151" spans="1:37" x14ac:dyDescent="0.3">
      <c r="A2151">
        <v>7979</v>
      </c>
      <c r="B2151" t="s">
        <v>219</v>
      </c>
      <c r="D2151" t="s">
        <v>327</v>
      </c>
      <c r="E2151">
        <v>99999999</v>
      </c>
      <c r="F2151">
        <v>11111111</v>
      </c>
      <c r="G2151">
        <v>1111111111</v>
      </c>
      <c r="H2151" t="s">
        <v>5720</v>
      </c>
      <c r="I2151">
        <v>99999999</v>
      </c>
      <c r="J2151" s="188">
        <v>45238</v>
      </c>
      <c r="K2151" t="s">
        <v>5720</v>
      </c>
      <c r="L2151" t="s">
        <v>5720</v>
      </c>
      <c r="M2151" t="s">
        <v>865</v>
      </c>
      <c r="N2151" t="s">
        <v>91</v>
      </c>
      <c r="O2151" t="s">
        <v>2849</v>
      </c>
      <c r="P2151" t="s">
        <v>221</v>
      </c>
      <c r="Q2151" t="s">
        <v>82</v>
      </c>
      <c r="R2151">
        <v>3</v>
      </c>
      <c r="S2151">
        <v>1.07</v>
      </c>
      <c r="T2151">
        <v>0</v>
      </c>
      <c r="U2151">
        <v>1</v>
      </c>
      <c r="V2151">
        <v>3</v>
      </c>
      <c r="W2151">
        <v>21.49</v>
      </c>
      <c r="X2151">
        <v>0</v>
      </c>
      <c r="Y2151">
        <v>0</v>
      </c>
      <c r="Z2151">
        <v>0</v>
      </c>
      <c r="AA2151">
        <v>0</v>
      </c>
      <c r="AB2151">
        <v>0</v>
      </c>
      <c r="AC2151">
        <v>0</v>
      </c>
      <c r="AD2151">
        <v>3</v>
      </c>
      <c r="AE2151">
        <v>0</v>
      </c>
      <c r="AF2151">
        <v>0</v>
      </c>
      <c r="AG2151">
        <v>0</v>
      </c>
      <c r="AH2151">
        <v>0</v>
      </c>
      <c r="AI2151">
        <v>0</v>
      </c>
      <c r="AJ2151">
        <v>0</v>
      </c>
      <c r="AK2151">
        <v>0</v>
      </c>
    </row>
    <row r="2152" spans="1:37" x14ac:dyDescent="0.3">
      <c r="A2152">
        <v>7979</v>
      </c>
      <c r="B2152" t="s">
        <v>219</v>
      </c>
      <c r="D2152" t="s">
        <v>327</v>
      </c>
      <c r="E2152">
        <v>99999999</v>
      </c>
      <c r="F2152">
        <v>11111111</v>
      </c>
      <c r="G2152">
        <v>1111111111</v>
      </c>
      <c r="H2152" t="s">
        <v>5721</v>
      </c>
      <c r="I2152">
        <v>99999999</v>
      </c>
      <c r="J2152" s="188">
        <v>45238</v>
      </c>
      <c r="K2152" t="s">
        <v>5721</v>
      </c>
      <c r="L2152" t="s">
        <v>5721</v>
      </c>
      <c r="M2152" t="s">
        <v>1416</v>
      </c>
      <c r="N2152" t="s">
        <v>197</v>
      </c>
      <c r="O2152" t="s">
        <v>2850</v>
      </c>
      <c r="P2152" t="s">
        <v>221</v>
      </c>
      <c r="Q2152" t="s">
        <v>82</v>
      </c>
      <c r="R2152">
        <v>4</v>
      </c>
      <c r="S2152">
        <v>17.186</v>
      </c>
      <c r="T2152">
        <v>0</v>
      </c>
      <c r="U2152">
        <v>1</v>
      </c>
      <c r="V2152">
        <v>4</v>
      </c>
      <c r="W2152">
        <v>40.94</v>
      </c>
      <c r="X2152">
        <v>0</v>
      </c>
      <c r="Y2152">
        <v>0</v>
      </c>
      <c r="Z2152">
        <v>0</v>
      </c>
      <c r="AA2152">
        <v>0</v>
      </c>
      <c r="AB2152">
        <v>0</v>
      </c>
      <c r="AC2152">
        <v>0</v>
      </c>
      <c r="AD2152">
        <v>4</v>
      </c>
      <c r="AE2152">
        <v>0</v>
      </c>
      <c r="AF2152">
        <v>0</v>
      </c>
      <c r="AG2152">
        <v>0</v>
      </c>
      <c r="AH2152">
        <v>0</v>
      </c>
      <c r="AI2152">
        <v>0</v>
      </c>
      <c r="AJ2152">
        <v>0</v>
      </c>
      <c r="AK2152">
        <v>0</v>
      </c>
    </row>
    <row r="2153" spans="1:37" x14ac:dyDescent="0.3">
      <c r="A2153">
        <v>7979</v>
      </c>
      <c r="B2153" t="s">
        <v>219</v>
      </c>
      <c r="D2153" t="s">
        <v>327</v>
      </c>
      <c r="E2153">
        <v>99999999</v>
      </c>
      <c r="F2153">
        <v>11111111</v>
      </c>
      <c r="G2153">
        <v>1111111111</v>
      </c>
      <c r="H2153" t="s">
        <v>5722</v>
      </c>
      <c r="I2153">
        <v>99999999</v>
      </c>
      <c r="J2153" s="188">
        <v>45238</v>
      </c>
      <c r="K2153" t="s">
        <v>5722</v>
      </c>
      <c r="L2153" t="s">
        <v>5722</v>
      </c>
      <c r="M2153" t="s">
        <v>95</v>
      </c>
      <c r="N2153" t="s">
        <v>91</v>
      </c>
      <c r="O2153">
        <v>85050</v>
      </c>
      <c r="P2153" t="s">
        <v>221</v>
      </c>
      <c r="Q2153" t="s">
        <v>82</v>
      </c>
      <c r="R2153">
        <v>2</v>
      </c>
      <c r="S2153">
        <v>2.0699999999999998</v>
      </c>
      <c r="T2153">
        <v>0</v>
      </c>
      <c r="U2153">
        <v>1</v>
      </c>
      <c r="V2153">
        <v>2</v>
      </c>
      <c r="W2153">
        <v>22.62</v>
      </c>
      <c r="X2153">
        <v>0</v>
      </c>
      <c r="Y2153">
        <v>0</v>
      </c>
      <c r="Z2153">
        <v>0</v>
      </c>
      <c r="AA2153">
        <v>0</v>
      </c>
      <c r="AB2153">
        <v>0</v>
      </c>
      <c r="AC2153">
        <v>0</v>
      </c>
      <c r="AD2153">
        <v>2</v>
      </c>
      <c r="AE2153">
        <v>0</v>
      </c>
      <c r="AF2153">
        <v>0</v>
      </c>
      <c r="AG2153">
        <v>0</v>
      </c>
      <c r="AH2153">
        <v>0</v>
      </c>
      <c r="AI2153">
        <v>0</v>
      </c>
      <c r="AJ2153">
        <v>0</v>
      </c>
      <c r="AK2153">
        <v>0</v>
      </c>
    </row>
    <row r="2154" spans="1:37" x14ac:dyDescent="0.3">
      <c r="A2154">
        <v>7979</v>
      </c>
      <c r="B2154" t="s">
        <v>219</v>
      </c>
      <c r="D2154" t="s">
        <v>327</v>
      </c>
      <c r="E2154">
        <v>99999999</v>
      </c>
      <c r="F2154">
        <v>11111111</v>
      </c>
      <c r="G2154">
        <v>1111111111</v>
      </c>
      <c r="H2154" t="s">
        <v>5723</v>
      </c>
      <c r="I2154">
        <v>99999999</v>
      </c>
      <c r="J2154" s="188">
        <v>45238</v>
      </c>
      <c r="K2154" t="s">
        <v>5723</v>
      </c>
      <c r="L2154" t="s">
        <v>5723</v>
      </c>
      <c r="M2154" t="s">
        <v>767</v>
      </c>
      <c r="N2154" t="s">
        <v>197</v>
      </c>
      <c r="O2154" t="s">
        <v>2851</v>
      </c>
      <c r="P2154" t="s">
        <v>221</v>
      </c>
      <c r="Q2154" t="s">
        <v>82</v>
      </c>
      <c r="R2154">
        <v>2</v>
      </c>
      <c r="S2154">
        <v>0.71799999999999997</v>
      </c>
      <c r="T2154">
        <v>0</v>
      </c>
      <c r="U2154">
        <v>1</v>
      </c>
      <c r="V2154">
        <v>2</v>
      </c>
      <c r="W2154">
        <v>28.27</v>
      </c>
      <c r="X2154">
        <v>0</v>
      </c>
      <c r="Y2154">
        <v>0</v>
      </c>
      <c r="Z2154">
        <v>0</v>
      </c>
      <c r="AA2154">
        <v>0</v>
      </c>
      <c r="AB2154">
        <v>0</v>
      </c>
      <c r="AC2154">
        <v>0</v>
      </c>
      <c r="AD2154">
        <v>2</v>
      </c>
      <c r="AE2154">
        <v>0</v>
      </c>
      <c r="AF2154">
        <v>0</v>
      </c>
      <c r="AG2154">
        <v>0</v>
      </c>
      <c r="AH2154">
        <v>0</v>
      </c>
      <c r="AI2154">
        <v>0</v>
      </c>
      <c r="AJ2154">
        <v>0</v>
      </c>
      <c r="AK2154">
        <v>0</v>
      </c>
    </row>
    <row r="2155" spans="1:37" x14ac:dyDescent="0.3">
      <c r="A2155">
        <v>7979</v>
      </c>
      <c r="B2155" t="s">
        <v>219</v>
      </c>
      <c r="D2155" t="s">
        <v>327</v>
      </c>
      <c r="E2155">
        <v>99999999</v>
      </c>
      <c r="F2155">
        <v>11111111</v>
      </c>
      <c r="G2155">
        <v>1111111111</v>
      </c>
      <c r="H2155" t="s">
        <v>5724</v>
      </c>
      <c r="I2155">
        <v>99999999</v>
      </c>
      <c r="J2155" s="188">
        <v>45238</v>
      </c>
      <c r="K2155" t="s">
        <v>5724</v>
      </c>
      <c r="L2155" t="s">
        <v>5724</v>
      </c>
      <c r="M2155" t="s">
        <v>484</v>
      </c>
      <c r="N2155" t="s">
        <v>99</v>
      </c>
      <c r="O2155" t="s">
        <v>2852</v>
      </c>
      <c r="P2155" t="s">
        <v>221</v>
      </c>
      <c r="Q2155" t="s">
        <v>82</v>
      </c>
      <c r="R2155">
        <v>3</v>
      </c>
      <c r="S2155">
        <v>2.14</v>
      </c>
      <c r="T2155">
        <v>0</v>
      </c>
      <c r="U2155">
        <v>1</v>
      </c>
      <c r="V2155">
        <v>3</v>
      </c>
      <c r="W2155">
        <v>21.83</v>
      </c>
      <c r="X2155">
        <v>0</v>
      </c>
      <c r="Y2155">
        <v>0</v>
      </c>
      <c r="Z2155">
        <v>0</v>
      </c>
      <c r="AA2155">
        <v>0</v>
      </c>
      <c r="AB2155">
        <v>0</v>
      </c>
      <c r="AC2155">
        <v>0</v>
      </c>
      <c r="AD2155">
        <v>3</v>
      </c>
      <c r="AE2155">
        <v>0</v>
      </c>
      <c r="AF2155">
        <v>0</v>
      </c>
      <c r="AG2155">
        <v>0</v>
      </c>
      <c r="AH2155">
        <v>0</v>
      </c>
      <c r="AI2155">
        <v>0</v>
      </c>
      <c r="AJ2155">
        <v>0</v>
      </c>
      <c r="AK2155">
        <v>0</v>
      </c>
    </row>
    <row r="2156" spans="1:37" x14ac:dyDescent="0.3">
      <c r="A2156">
        <v>7979</v>
      </c>
      <c r="B2156" t="s">
        <v>219</v>
      </c>
      <c r="D2156" t="s">
        <v>327</v>
      </c>
      <c r="E2156">
        <v>99999999</v>
      </c>
      <c r="F2156">
        <v>11111111</v>
      </c>
      <c r="G2156">
        <v>1111111111</v>
      </c>
      <c r="H2156" t="s">
        <v>5725</v>
      </c>
      <c r="I2156">
        <v>99999999</v>
      </c>
      <c r="J2156" s="188">
        <v>45238</v>
      </c>
      <c r="K2156" t="s">
        <v>5725</v>
      </c>
      <c r="L2156" t="s">
        <v>5725</v>
      </c>
      <c r="M2156" t="s">
        <v>1174</v>
      </c>
      <c r="N2156" t="s">
        <v>130</v>
      </c>
      <c r="O2156" t="s">
        <v>2853</v>
      </c>
      <c r="P2156" t="s">
        <v>221</v>
      </c>
      <c r="Q2156" t="s">
        <v>82</v>
      </c>
      <c r="R2156">
        <v>2</v>
      </c>
      <c r="S2156">
        <v>3.2</v>
      </c>
      <c r="T2156">
        <v>0</v>
      </c>
      <c r="U2156">
        <v>1</v>
      </c>
      <c r="V2156">
        <v>2</v>
      </c>
      <c r="W2156">
        <v>23.53</v>
      </c>
      <c r="X2156">
        <v>0</v>
      </c>
      <c r="Y2156">
        <v>0</v>
      </c>
      <c r="Z2156">
        <v>0</v>
      </c>
      <c r="AA2156">
        <v>0</v>
      </c>
      <c r="AB2156">
        <v>0</v>
      </c>
      <c r="AC2156">
        <v>0</v>
      </c>
      <c r="AD2156">
        <v>2</v>
      </c>
      <c r="AE2156">
        <v>0</v>
      </c>
      <c r="AF2156">
        <v>0</v>
      </c>
      <c r="AG2156">
        <v>0</v>
      </c>
      <c r="AH2156">
        <v>0</v>
      </c>
      <c r="AI2156">
        <v>0</v>
      </c>
      <c r="AJ2156">
        <v>0</v>
      </c>
      <c r="AK2156">
        <v>0</v>
      </c>
    </row>
    <row r="2157" spans="1:37" x14ac:dyDescent="0.3">
      <c r="A2157">
        <v>7979</v>
      </c>
      <c r="B2157" t="s">
        <v>219</v>
      </c>
      <c r="D2157" t="s">
        <v>327</v>
      </c>
      <c r="E2157">
        <v>99999999</v>
      </c>
      <c r="F2157">
        <v>11111111</v>
      </c>
      <c r="G2157">
        <v>1111111111</v>
      </c>
      <c r="H2157" t="s">
        <v>5726</v>
      </c>
      <c r="I2157">
        <v>99999999</v>
      </c>
      <c r="J2157" s="188">
        <v>45238</v>
      </c>
      <c r="K2157" t="s">
        <v>5726</v>
      </c>
      <c r="L2157" t="s">
        <v>5726</v>
      </c>
      <c r="M2157" t="s">
        <v>167</v>
      </c>
      <c r="N2157" t="s">
        <v>99</v>
      </c>
      <c r="O2157" t="s">
        <v>2854</v>
      </c>
      <c r="P2157" t="s">
        <v>221</v>
      </c>
      <c r="Q2157" t="s">
        <v>82</v>
      </c>
      <c r="R2157">
        <v>4</v>
      </c>
      <c r="S2157">
        <v>15.78</v>
      </c>
      <c r="T2157">
        <v>0</v>
      </c>
      <c r="U2157">
        <v>1</v>
      </c>
      <c r="V2157">
        <v>2</v>
      </c>
      <c r="W2157">
        <v>26.02</v>
      </c>
      <c r="X2157">
        <v>0</v>
      </c>
      <c r="Y2157">
        <v>0</v>
      </c>
      <c r="Z2157">
        <v>0</v>
      </c>
      <c r="AA2157">
        <v>0</v>
      </c>
      <c r="AB2157">
        <v>0</v>
      </c>
      <c r="AC2157">
        <v>0</v>
      </c>
      <c r="AD2157">
        <v>4</v>
      </c>
      <c r="AE2157">
        <v>0</v>
      </c>
      <c r="AF2157">
        <v>0</v>
      </c>
      <c r="AG2157">
        <v>0</v>
      </c>
      <c r="AH2157">
        <v>0</v>
      </c>
      <c r="AI2157">
        <v>0</v>
      </c>
      <c r="AJ2157">
        <v>0</v>
      </c>
      <c r="AK2157">
        <v>0</v>
      </c>
    </row>
    <row r="2158" spans="1:37" x14ac:dyDescent="0.3">
      <c r="A2158">
        <v>7979</v>
      </c>
      <c r="B2158" t="s">
        <v>219</v>
      </c>
      <c r="D2158" t="s">
        <v>327</v>
      </c>
      <c r="E2158">
        <v>99999999</v>
      </c>
      <c r="F2158">
        <v>11111111</v>
      </c>
      <c r="G2158">
        <v>1111111111</v>
      </c>
      <c r="H2158" t="s">
        <v>5727</v>
      </c>
      <c r="I2158">
        <v>99999999</v>
      </c>
      <c r="J2158" s="188">
        <v>45238</v>
      </c>
      <c r="K2158" t="s">
        <v>5727</v>
      </c>
      <c r="L2158" t="s">
        <v>5727</v>
      </c>
      <c r="M2158" t="s">
        <v>1741</v>
      </c>
      <c r="N2158" t="s">
        <v>164</v>
      </c>
      <c r="O2158" t="s">
        <v>2855</v>
      </c>
      <c r="P2158" t="s">
        <v>221</v>
      </c>
      <c r="Q2158" t="s">
        <v>82</v>
      </c>
      <c r="R2158">
        <v>2</v>
      </c>
      <c r="S2158">
        <v>12</v>
      </c>
      <c r="T2158">
        <v>0</v>
      </c>
      <c r="U2158">
        <v>1</v>
      </c>
      <c r="V2158">
        <v>2</v>
      </c>
      <c r="W2158">
        <v>31.11</v>
      </c>
      <c r="X2158">
        <v>0</v>
      </c>
      <c r="Y2158">
        <v>0</v>
      </c>
      <c r="Z2158">
        <v>0</v>
      </c>
      <c r="AA2158">
        <v>0</v>
      </c>
      <c r="AB2158">
        <v>0</v>
      </c>
      <c r="AC2158">
        <v>0</v>
      </c>
      <c r="AD2158">
        <v>2</v>
      </c>
      <c r="AE2158">
        <v>0</v>
      </c>
      <c r="AF2158">
        <v>0</v>
      </c>
      <c r="AG2158">
        <v>0</v>
      </c>
      <c r="AH2158">
        <v>0</v>
      </c>
      <c r="AI2158">
        <v>0</v>
      </c>
      <c r="AJ2158">
        <v>0</v>
      </c>
      <c r="AK2158">
        <v>0</v>
      </c>
    </row>
    <row r="2159" spans="1:37" x14ac:dyDescent="0.3">
      <c r="A2159">
        <v>7979</v>
      </c>
      <c r="B2159" t="s">
        <v>219</v>
      </c>
      <c r="D2159" t="s">
        <v>327</v>
      </c>
      <c r="E2159">
        <v>99999999</v>
      </c>
      <c r="F2159">
        <v>11111111</v>
      </c>
      <c r="G2159">
        <v>1111111111</v>
      </c>
      <c r="H2159" t="s">
        <v>5728</v>
      </c>
      <c r="I2159">
        <v>99999999</v>
      </c>
      <c r="J2159" s="188">
        <v>45238</v>
      </c>
      <c r="K2159" t="s">
        <v>5728</v>
      </c>
      <c r="L2159" t="s">
        <v>5728</v>
      </c>
      <c r="M2159" t="s">
        <v>754</v>
      </c>
      <c r="N2159" t="s">
        <v>130</v>
      </c>
      <c r="O2159" t="s">
        <v>2856</v>
      </c>
      <c r="P2159" t="s">
        <v>221</v>
      </c>
      <c r="Q2159" t="s">
        <v>82</v>
      </c>
      <c r="R2159">
        <v>2</v>
      </c>
      <c r="S2159">
        <v>1.45</v>
      </c>
      <c r="T2159">
        <v>0</v>
      </c>
      <c r="U2159">
        <v>1</v>
      </c>
      <c r="V2159">
        <v>2</v>
      </c>
      <c r="W2159">
        <v>21.49</v>
      </c>
      <c r="X2159">
        <v>0</v>
      </c>
      <c r="Y2159">
        <v>0</v>
      </c>
      <c r="Z2159">
        <v>0</v>
      </c>
      <c r="AA2159">
        <v>0</v>
      </c>
      <c r="AB2159">
        <v>0</v>
      </c>
      <c r="AC2159">
        <v>0</v>
      </c>
      <c r="AD2159">
        <v>2</v>
      </c>
      <c r="AE2159">
        <v>0</v>
      </c>
      <c r="AF2159">
        <v>0</v>
      </c>
      <c r="AG2159">
        <v>0</v>
      </c>
      <c r="AH2159">
        <v>0</v>
      </c>
      <c r="AI2159">
        <v>0</v>
      </c>
      <c r="AJ2159">
        <v>0</v>
      </c>
      <c r="AK2159">
        <v>0</v>
      </c>
    </row>
    <row r="2160" spans="1:37" x14ac:dyDescent="0.3">
      <c r="A2160">
        <v>7979</v>
      </c>
      <c r="B2160" t="s">
        <v>219</v>
      </c>
      <c r="D2160" t="s">
        <v>327</v>
      </c>
      <c r="E2160">
        <v>99999999</v>
      </c>
      <c r="F2160">
        <v>11111111</v>
      </c>
      <c r="G2160">
        <v>1111111111</v>
      </c>
      <c r="H2160" t="s">
        <v>5729</v>
      </c>
      <c r="I2160">
        <v>99999999</v>
      </c>
      <c r="J2160" s="188">
        <v>45238</v>
      </c>
      <c r="K2160" t="s">
        <v>5729</v>
      </c>
      <c r="L2160" t="s">
        <v>5729</v>
      </c>
      <c r="M2160" t="s">
        <v>1291</v>
      </c>
      <c r="N2160" t="s">
        <v>97</v>
      </c>
      <c r="O2160" t="s">
        <v>2857</v>
      </c>
      <c r="P2160" t="s">
        <v>221</v>
      </c>
      <c r="Q2160" t="s">
        <v>82</v>
      </c>
      <c r="R2160">
        <v>3</v>
      </c>
      <c r="S2160">
        <v>17.399999999999999</v>
      </c>
      <c r="T2160">
        <v>0</v>
      </c>
      <c r="U2160">
        <v>1</v>
      </c>
      <c r="V2160">
        <v>2</v>
      </c>
      <c r="W2160">
        <v>34.47</v>
      </c>
      <c r="X2160">
        <v>0</v>
      </c>
      <c r="Y2160">
        <v>0</v>
      </c>
      <c r="Z2160">
        <v>0</v>
      </c>
      <c r="AA2160">
        <v>0</v>
      </c>
      <c r="AB2160">
        <v>0</v>
      </c>
      <c r="AC2160">
        <v>0</v>
      </c>
      <c r="AD2160">
        <v>3</v>
      </c>
      <c r="AE2160">
        <v>0</v>
      </c>
      <c r="AF2160">
        <v>0</v>
      </c>
      <c r="AG2160">
        <v>0</v>
      </c>
      <c r="AH2160">
        <v>0</v>
      </c>
      <c r="AI2160">
        <v>0</v>
      </c>
      <c r="AJ2160">
        <v>0</v>
      </c>
      <c r="AK2160">
        <v>0</v>
      </c>
    </row>
    <row r="2161" spans="1:37" x14ac:dyDescent="0.3">
      <c r="A2161">
        <v>7979</v>
      </c>
      <c r="B2161" t="s">
        <v>219</v>
      </c>
      <c r="D2161" t="s">
        <v>327</v>
      </c>
      <c r="E2161">
        <v>99999999</v>
      </c>
      <c r="F2161">
        <v>11111111</v>
      </c>
      <c r="G2161">
        <v>1111111111</v>
      </c>
      <c r="H2161" t="s">
        <v>5730</v>
      </c>
      <c r="I2161">
        <v>99999999</v>
      </c>
      <c r="J2161" s="188">
        <v>45238</v>
      </c>
      <c r="K2161" t="s">
        <v>5730</v>
      </c>
      <c r="L2161" t="s">
        <v>5730</v>
      </c>
      <c r="M2161" t="s">
        <v>410</v>
      </c>
      <c r="N2161" t="s">
        <v>130</v>
      </c>
      <c r="O2161" t="s">
        <v>2858</v>
      </c>
      <c r="P2161" t="s">
        <v>221</v>
      </c>
      <c r="Q2161" t="s">
        <v>82</v>
      </c>
      <c r="R2161">
        <v>2</v>
      </c>
      <c r="S2161">
        <v>1.0840000000000001</v>
      </c>
      <c r="T2161">
        <v>0</v>
      </c>
      <c r="U2161">
        <v>1</v>
      </c>
      <c r="V2161">
        <v>2</v>
      </c>
      <c r="W2161">
        <v>29.73</v>
      </c>
      <c r="X2161">
        <v>0</v>
      </c>
      <c r="Y2161">
        <v>0</v>
      </c>
      <c r="Z2161">
        <v>0</v>
      </c>
      <c r="AA2161">
        <v>0</v>
      </c>
      <c r="AB2161">
        <v>0</v>
      </c>
      <c r="AC2161">
        <v>0</v>
      </c>
      <c r="AD2161">
        <v>2</v>
      </c>
      <c r="AE2161">
        <v>0</v>
      </c>
      <c r="AF2161">
        <v>0</v>
      </c>
      <c r="AG2161">
        <v>0</v>
      </c>
      <c r="AH2161">
        <v>0</v>
      </c>
      <c r="AI2161">
        <v>0</v>
      </c>
      <c r="AJ2161">
        <v>0</v>
      </c>
      <c r="AK2161">
        <v>0</v>
      </c>
    </row>
    <row r="2162" spans="1:37" x14ac:dyDescent="0.3">
      <c r="A2162">
        <v>7979</v>
      </c>
      <c r="B2162" t="s">
        <v>219</v>
      </c>
      <c r="D2162" t="s">
        <v>327</v>
      </c>
      <c r="E2162">
        <v>99999999</v>
      </c>
      <c r="F2162">
        <v>11111111</v>
      </c>
      <c r="G2162">
        <v>1111111111</v>
      </c>
      <c r="H2162" t="s">
        <v>5731</v>
      </c>
      <c r="I2162">
        <v>99999999</v>
      </c>
      <c r="J2162" s="188">
        <v>45238</v>
      </c>
      <c r="K2162" t="s">
        <v>5731</v>
      </c>
      <c r="L2162" t="s">
        <v>5731</v>
      </c>
      <c r="M2162" t="s">
        <v>2859</v>
      </c>
      <c r="N2162" t="s">
        <v>99</v>
      </c>
      <c r="O2162" t="s">
        <v>2860</v>
      </c>
      <c r="P2162" t="s">
        <v>221</v>
      </c>
      <c r="Q2162" t="s">
        <v>82</v>
      </c>
      <c r="R2162">
        <v>1</v>
      </c>
      <c r="S2162">
        <v>8</v>
      </c>
      <c r="T2162">
        <v>0</v>
      </c>
      <c r="U2162">
        <v>1</v>
      </c>
      <c r="V2162">
        <v>1</v>
      </c>
      <c r="W2162">
        <v>24.17</v>
      </c>
      <c r="X2162">
        <v>0</v>
      </c>
      <c r="Y2162">
        <v>0</v>
      </c>
      <c r="Z2162">
        <v>0</v>
      </c>
      <c r="AA2162">
        <v>0</v>
      </c>
      <c r="AB2162">
        <v>0</v>
      </c>
      <c r="AC2162">
        <v>0</v>
      </c>
      <c r="AD2162">
        <v>1</v>
      </c>
      <c r="AE2162">
        <v>0</v>
      </c>
      <c r="AF2162">
        <v>0</v>
      </c>
      <c r="AG2162">
        <v>0</v>
      </c>
      <c r="AH2162">
        <v>0</v>
      </c>
      <c r="AI2162">
        <v>0</v>
      </c>
      <c r="AJ2162">
        <v>0</v>
      </c>
      <c r="AK2162">
        <v>0</v>
      </c>
    </row>
    <row r="2163" spans="1:37" x14ac:dyDescent="0.3">
      <c r="A2163">
        <v>7979</v>
      </c>
      <c r="B2163" t="s">
        <v>219</v>
      </c>
      <c r="D2163" t="s">
        <v>327</v>
      </c>
      <c r="E2163">
        <v>99999999</v>
      </c>
      <c r="F2163">
        <v>11111111</v>
      </c>
      <c r="G2163">
        <v>1111111111</v>
      </c>
      <c r="H2163" t="s">
        <v>5732</v>
      </c>
      <c r="I2163">
        <v>99999999</v>
      </c>
      <c r="J2163" s="188">
        <v>45238</v>
      </c>
      <c r="K2163" t="s">
        <v>5732</v>
      </c>
      <c r="L2163" t="s">
        <v>5732</v>
      </c>
      <c r="M2163" t="s">
        <v>915</v>
      </c>
      <c r="N2163" t="s">
        <v>164</v>
      </c>
      <c r="O2163" t="s">
        <v>2861</v>
      </c>
      <c r="P2163" t="s">
        <v>221</v>
      </c>
      <c r="Q2163" t="s">
        <v>82</v>
      </c>
      <c r="R2163">
        <v>8</v>
      </c>
      <c r="S2163">
        <v>12</v>
      </c>
      <c r="T2163">
        <v>0</v>
      </c>
      <c r="U2163">
        <v>1</v>
      </c>
      <c r="V2163">
        <v>1</v>
      </c>
      <c r="W2163">
        <v>25</v>
      </c>
      <c r="X2163">
        <v>0</v>
      </c>
      <c r="Y2163">
        <v>0</v>
      </c>
      <c r="Z2163">
        <v>0</v>
      </c>
      <c r="AA2163">
        <v>0</v>
      </c>
      <c r="AB2163">
        <v>0</v>
      </c>
      <c r="AC2163">
        <v>0</v>
      </c>
      <c r="AD2163">
        <v>8</v>
      </c>
      <c r="AE2163">
        <v>0</v>
      </c>
      <c r="AF2163">
        <v>0</v>
      </c>
      <c r="AG2163">
        <v>0</v>
      </c>
      <c r="AH2163">
        <v>0</v>
      </c>
      <c r="AI2163">
        <v>0</v>
      </c>
      <c r="AJ2163">
        <v>0</v>
      </c>
      <c r="AK2163">
        <v>0</v>
      </c>
    </row>
    <row r="2164" spans="1:37" x14ac:dyDescent="0.3">
      <c r="A2164">
        <v>7979</v>
      </c>
      <c r="B2164" t="s">
        <v>219</v>
      </c>
      <c r="D2164" t="s">
        <v>327</v>
      </c>
      <c r="E2164">
        <v>99999999</v>
      </c>
      <c r="F2164">
        <v>11111111</v>
      </c>
      <c r="G2164">
        <v>1111111111</v>
      </c>
      <c r="H2164" t="s">
        <v>5733</v>
      </c>
      <c r="I2164">
        <v>99999999</v>
      </c>
      <c r="J2164" s="188">
        <v>45238</v>
      </c>
      <c r="K2164" t="s">
        <v>5733</v>
      </c>
      <c r="L2164" t="s">
        <v>5733</v>
      </c>
      <c r="M2164" t="s">
        <v>2862</v>
      </c>
      <c r="N2164" t="s">
        <v>99</v>
      </c>
      <c r="O2164" t="s">
        <v>2863</v>
      </c>
      <c r="P2164" t="s">
        <v>221</v>
      </c>
      <c r="Q2164" t="s">
        <v>82</v>
      </c>
      <c r="R2164">
        <v>1</v>
      </c>
      <c r="S2164">
        <v>11.07</v>
      </c>
      <c r="T2164">
        <v>0</v>
      </c>
      <c r="U2164">
        <v>1</v>
      </c>
      <c r="V2164">
        <v>1</v>
      </c>
      <c r="W2164">
        <v>30.82</v>
      </c>
      <c r="X2164">
        <v>0</v>
      </c>
      <c r="Y2164">
        <v>0</v>
      </c>
      <c r="Z2164">
        <v>0</v>
      </c>
      <c r="AA2164">
        <v>0</v>
      </c>
      <c r="AB2164">
        <v>0</v>
      </c>
      <c r="AC2164">
        <v>0</v>
      </c>
      <c r="AD2164">
        <v>1</v>
      </c>
      <c r="AE2164">
        <v>0</v>
      </c>
      <c r="AF2164">
        <v>0</v>
      </c>
      <c r="AG2164">
        <v>0</v>
      </c>
      <c r="AH2164">
        <v>0</v>
      </c>
      <c r="AI2164">
        <v>0</v>
      </c>
      <c r="AJ2164">
        <v>0</v>
      </c>
      <c r="AK2164">
        <v>0</v>
      </c>
    </row>
    <row r="2165" spans="1:37" x14ac:dyDescent="0.3">
      <c r="A2165">
        <v>7979</v>
      </c>
      <c r="B2165" t="s">
        <v>219</v>
      </c>
      <c r="D2165" t="s">
        <v>327</v>
      </c>
      <c r="E2165">
        <v>99999999</v>
      </c>
      <c r="F2165">
        <v>11111111</v>
      </c>
      <c r="G2165">
        <v>1111111111</v>
      </c>
      <c r="H2165" t="s">
        <v>5734</v>
      </c>
      <c r="I2165">
        <v>99999999</v>
      </c>
      <c r="J2165" s="188">
        <v>45238</v>
      </c>
      <c r="K2165" t="s">
        <v>5734</v>
      </c>
      <c r="L2165" t="s">
        <v>5734</v>
      </c>
      <c r="M2165" t="s">
        <v>2864</v>
      </c>
      <c r="N2165" t="s">
        <v>99</v>
      </c>
      <c r="O2165">
        <v>94528</v>
      </c>
      <c r="P2165" t="s">
        <v>221</v>
      </c>
      <c r="Q2165" t="s">
        <v>82</v>
      </c>
      <c r="R2165">
        <v>1</v>
      </c>
      <c r="S2165">
        <v>2</v>
      </c>
      <c r="T2165">
        <v>0</v>
      </c>
      <c r="U2165">
        <v>1</v>
      </c>
      <c r="V2165">
        <v>1</v>
      </c>
      <c r="W2165">
        <v>26.74</v>
      </c>
      <c r="X2165">
        <v>0</v>
      </c>
      <c r="Y2165">
        <v>0</v>
      </c>
      <c r="Z2165">
        <v>0</v>
      </c>
      <c r="AA2165">
        <v>0</v>
      </c>
      <c r="AB2165">
        <v>0</v>
      </c>
      <c r="AC2165">
        <v>0</v>
      </c>
      <c r="AD2165">
        <v>1</v>
      </c>
      <c r="AE2165">
        <v>0</v>
      </c>
      <c r="AF2165">
        <v>0</v>
      </c>
      <c r="AG2165">
        <v>0</v>
      </c>
      <c r="AH2165">
        <v>0</v>
      </c>
      <c r="AI2165">
        <v>0</v>
      </c>
      <c r="AJ2165">
        <v>0</v>
      </c>
      <c r="AK2165">
        <v>0</v>
      </c>
    </row>
    <row r="2166" spans="1:37" x14ac:dyDescent="0.3">
      <c r="A2166">
        <v>7979</v>
      </c>
      <c r="B2166" t="s">
        <v>219</v>
      </c>
      <c r="D2166" t="s">
        <v>327</v>
      </c>
      <c r="E2166">
        <v>99999999</v>
      </c>
      <c r="F2166">
        <v>11111111</v>
      </c>
      <c r="G2166">
        <v>1111111111</v>
      </c>
      <c r="H2166" t="s">
        <v>5735</v>
      </c>
      <c r="I2166">
        <v>99999999</v>
      </c>
      <c r="J2166" s="188">
        <v>45238</v>
      </c>
      <c r="K2166" t="s">
        <v>5735</v>
      </c>
      <c r="L2166" t="s">
        <v>5735</v>
      </c>
      <c r="M2166" t="s">
        <v>1526</v>
      </c>
      <c r="N2166" t="s">
        <v>99</v>
      </c>
      <c r="O2166" t="s">
        <v>2865</v>
      </c>
      <c r="P2166" t="s">
        <v>221</v>
      </c>
      <c r="Q2166" t="s">
        <v>82</v>
      </c>
      <c r="R2166">
        <v>1</v>
      </c>
      <c r="S2166">
        <v>12.5</v>
      </c>
      <c r="T2166">
        <v>0</v>
      </c>
      <c r="U2166">
        <v>1</v>
      </c>
      <c r="V2166">
        <v>1</v>
      </c>
      <c r="W2166">
        <v>31.11</v>
      </c>
      <c r="X2166">
        <v>0</v>
      </c>
      <c r="Y2166">
        <v>0</v>
      </c>
      <c r="Z2166">
        <v>0</v>
      </c>
      <c r="AA2166">
        <v>0</v>
      </c>
      <c r="AB2166">
        <v>0</v>
      </c>
      <c r="AC2166">
        <v>0</v>
      </c>
      <c r="AD2166">
        <v>1</v>
      </c>
      <c r="AE2166">
        <v>0</v>
      </c>
      <c r="AF2166">
        <v>0</v>
      </c>
      <c r="AG2166">
        <v>0</v>
      </c>
      <c r="AH2166">
        <v>0</v>
      </c>
      <c r="AI2166">
        <v>0</v>
      </c>
      <c r="AJ2166">
        <v>0</v>
      </c>
      <c r="AK2166">
        <v>0</v>
      </c>
    </row>
    <row r="2167" spans="1:37" x14ac:dyDescent="0.3">
      <c r="A2167">
        <v>7979</v>
      </c>
      <c r="B2167" t="s">
        <v>219</v>
      </c>
      <c r="D2167" t="s">
        <v>327</v>
      </c>
      <c r="E2167">
        <v>99999999</v>
      </c>
      <c r="F2167">
        <v>11111111</v>
      </c>
      <c r="G2167">
        <v>1111111111</v>
      </c>
      <c r="H2167" t="s">
        <v>5736</v>
      </c>
      <c r="I2167">
        <v>99999999</v>
      </c>
      <c r="J2167" s="188">
        <v>45238</v>
      </c>
      <c r="K2167" t="s">
        <v>5736</v>
      </c>
      <c r="L2167" t="s">
        <v>5736</v>
      </c>
      <c r="M2167" t="s">
        <v>258</v>
      </c>
      <c r="N2167" t="s">
        <v>91</v>
      </c>
      <c r="O2167" t="s">
        <v>2866</v>
      </c>
      <c r="P2167" t="s">
        <v>221</v>
      </c>
      <c r="Q2167" t="s">
        <v>82</v>
      </c>
      <c r="R2167">
        <v>1</v>
      </c>
      <c r="S2167">
        <v>15.12</v>
      </c>
      <c r="T2167">
        <v>0</v>
      </c>
      <c r="U2167">
        <v>1</v>
      </c>
      <c r="V2167">
        <v>1</v>
      </c>
      <c r="W2167">
        <v>28.49</v>
      </c>
      <c r="X2167">
        <v>0</v>
      </c>
      <c r="Y2167">
        <v>0</v>
      </c>
      <c r="Z2167">
        <v>0</v>
      </c>
      <c r="AA2167">
        <v>0</v>
      </c>
      <c r="AB2167">
        <v>0</v>
      </c>
      <c r="AC2167">
        <v>0</v>
      </c>
      <c r="AD2167">
        <v>1</v>
      </c>
      <c r="AE2167">
        <v>0</v>
      </c>
      <c r="AF2167">
        <v>0</v>
      </c>
      <c r="AG2167">
        <v>0</v>
      </c>
      <c r="AH2167">
        <v>0</v>
      </c>
      <c r="AI2167">
        <v>0</v>
      </c>
      <c r="AJ2167">
        <v>0</v>
      </c>
      <c r="AK2167">
        <v>0</v>
      </c>
    </row>
    <row r="2168" spans="1:37" x14ac:dyDescent="0.3">
      <c r="A2168">
        <v>7979</v>
      </c>
      <c r="B2168" t="s">
        <v>219</v>
      </c>
      <c r="D2168" t="s">
        <v>327</v>
      </c>
      <c r="E2168">
        <v>99999999</v>
      </c>
      <c r="F2168">
        <v>11111111</v>
      </c>
      <c r="G2168">
        <v>1111111111</v>
      </c>
      <c r="H2168" t="s">
        <v>5737</v>
      </c>
      <c r="I2168">
        <v>99999999</v>
      </c>
      <c r="J2168" s="188">
        <v>45238</v>
      </c>
      <c r="K2168" t="s">
        <v>5737</v>
      </c>
      <c r="L2168" t="s">
        <v>5737</v>
      </c>
      <c r="M2168" t="s">
        <v>694</v>
      </c>
      <c r="N2168" t="s">
        <v>97</v>
      </c>
      <c r="O2168">
        <v>98922</v>
      </c>
      <c r="P2168" t="s">
        <v>221</v>
      </c>
      <c r="Q2168" t="s">
        <v>82</v>
      </c>
      <c r="R2168">
        <v>1</v>
      </c>
      <c r="S2168">
        <v>8.0500000000000007</v>
      </c>
      <c r="T2168">
        <v>0</v>
      </c>
      <c r="U2168">
        <v>1</v>
      </c>
      <c r="V2168">
        <v>1</v>
      </c>
      <c r="W2168">
        <v>32.409999999999997</v>
      </c>
      <c r="X2168">
        <v>0</v>
      </c>
      <c r="Y2168">
        <v>0</v>
      </c>
      <c r="Z2168">
        <v>0</v>
      </c>
      <c r="AA2168">
        <v>0</v>
      </c>
      <c r="AB2168">
        <v>0</v>
      </c>
      <c r="AC2168">
        <v>0</v>
      </c>
      <c r="AD2168">
        <v>1</v>
      </c>
      <c r="AE2168">
        <v>0</v>
      </c>
      <c r="AF2168">
        <v>0</v>
      </c>
      <c r="AG2168">
        <v>0</v>
      </c>
      <c r="AH2168">
        <v>0</v>
      </c>
      <c r="AI2168">
        <v>0</v>
      </c>
      <c r="AJ2168">
        <v>0</v>
      </c>
      <c r="AK2168">
        <v>0</v>
      </c>
    </row>
    <row r="2169" spans="1:37" x14ac:dyDescent="0.3">
      <c r="A2169">
        <v>7979</v>
      </c>
      <c r="B2169" t="s">
        <v>219</v>
      </c>
      <c r="D2169" t="s">
        <v>327</v>
      </c>
      <c r="E2169">
        <v>99999999</v>
      </c>
      <c r="F2169">
        <v>11111111</v>
      </c>
      <c r="G2169">
        <v>1111111111</v>
      </c>
      <c r="H2169" t="s">
        <v>5738</v>
      </c>
      <c r="I2169">
        <v>99999999</v>
      </c>
      <c r="J2169" s="188">
        <v>45238</v>
      </c>
      <c r="K2169" t="s">
        <v>5738</v>
      </c>
      <c r="L2169" t="s">
        <v>5738</v>
      </c>
      <c r="M2169" t="s">
        <v>1922</v>
      </c>
      <c r="N2169" t="s">
        <v>99</v>
      </c>
      <c r="O2169">
        <v>94402</v>
      </c>
      <c r="P2169" t="s">
        <v>221</v>
      </c>
      <c r="Q2169" t="s">
        <v>82</v>
      </c>
      <c r="R2169">
        <v>1</v>
      </c>
      <c r="S2169">
        <v>2</v>
      </c>
      <c r="T2169">
        <v>0</v>
      </c>
      <c r="U2169">
        <v>1</v>
      </c>
      <c r="V2169">
        <v>1</v>
      </c>
      <c r="W2169">
        <v>20.63</v>
      </c>
      <c r="X2169">
        <v>0</v>
      </c>
      <c r="Y2169">
        <v>0</v>
      </c>
      <c r="Z2169">
        <v>0</v>
      </c>
      <c r="AA2169">
        <v>0</v>
      </c>
      <c r="AB2169">
        <v>0</v>
      </c>
      <c r="AC2169">
        <v>0</v>
      </c>
      <c r="AD2169">
        <v>1</v>
      </c>
      <c r="AE2169">
        <v>0</v>
      </c>
      <c r="AF2169">
        <v>0</v>
      </c>
      <c r="AG2169">
        <v>0</v>
      </c>
      <c r="AH2169">
        <v>0</v>
      </c>
      <c r="AI2169">
        <v>0</v>
      </c>
      <c r="AJ2169">
        <v>0</v>
      </c>
      <c r="AK2169">
        <v>0</v>
      </c>
    </row>
    <row r="2170" spans="1:37" x14ac:dyDescent="0.3">
      <c r="A2170">
        <v>7979</v>
      </c>
      <c r="B2170" t="s">
        <v>219</v>
      </c>
      <c r="D2170" t="s">
        <v>327</v>
      </c>
      <c r="E2170">
        <v>99999999</v>
      </c>
      <c r="F2170">
        <v>11111111</v>
      </c>
      <c r="G2170">
        <v>1111111111</v>
      </c>
      <c r="H2170" t="s">
        <v>5739</v>
      </c>
      <c r="I2170">
        <v>99999999</v>
      </c>
      <c r="J2170" s="188">
        <v>45238</v>
      </c>
      <c r="K2170" t="s">
        <v>5739</v>
      </c>
      <c r="L2170" t="s">
        <v>5739</v>
      </c>
      <c r="M2170" t="s">
        <v>128</v>
      </c>
      <c r="N2170" t="s">
        <v>85</v>
      </c>
      <c r="O2170" t="s">
        <v>2867</v>
      </c>
      <c r="P2170" t="s">
        <v>221</v>
      </c>
      <c r="Q2170" t="s">
        <v>82</v>
      </c>
      <c r="R2170">
        <v>1</v>
      </c>
      <c r="S2170">
        <v>8</v>
      </c>
      <c r="T2170">
        <v>0</v>
      </c>
      <c r="U2170">
        <v>1</v>
      </c>
      <c r="V2170">
        <v>1</v>
      </c>
      <c r="W2170">
        <v>21.41</v>
      </c>
      <c r="X2170">
        <v>0</v>
      </c>
      <c r="Y2170">
        <v>0</v>
      </c>
      <c r="Z2170">
        <v>0</v>
      </c>
      <c r="AA2170">
        <v>0</v>
      </c>
      <c r="AB2170">
        <v>0</v>
      </c>
      <c r="AC2170">
        <v>0</v>
      </c>
      <c r="AD2170">
        <v>1</v>
      </c>
      <c r="AE2170">
        <v>0</v>
      </c>
      <c r="AF2170">
        <v>0</v>
      </c>
      <c r="AG2170">
        <v>0</v>
      </c>
      <c r="AH2170">
        <v>0</v>
      </c>
      <c r="AI2170">
        <v>0</v>
      </c>
      <c r="AJ2170">
        <v>0</v>
      </c>
      <c r="AK2170">
        <v>0</v>
      </c>
    </row>
    <row r="2171" spans="1:37" x14ac:dyDescent="0.3">
      <c r="A2171">
        <v>7979</v>
      </c>
      <c r="B2171" t="s">
        <v>219</v>
      </c>
      <c r="D2171" t="s">
        <v>327</v>
      </c>
      <c r="E2171">
        <v>99999999</v>
      </c>
      <c r="F2171">
        <v>11111111</v>
      </c>
      <c r="G2171">
        <v>1111111111</v>
      </c>
      <c r="H2171" t="s">
        <v>5740</v>
      </c>
      <c r="I2171">
        <v>99999999</v>
      </c>
      <c r="J2171" s="188">
        <v>45238</v>
      </c>
      <c r="K2171" t="s">
        <v>5740</v>
      </c>
      <c r="L2171" t="s">
        <v>5740</v>
      </c>
      <c r="M2171" t="s">
        <v>2868</v>
      </c>
      <c r="N2171" t="s">
        <v>99</v>
      </c>
      <c r="O2171">
        <v>94503</v>
      </c>
      <c r="P2171" t="s">
        <v>221</v>
      </c>
      <c r="Q2171" t="s">
        <v>82</v>
      </c>
      <c r="R2171">
        <v>3</v>
      </c>
      <c r="S2171">
        <v>9.3000000000000007</v>
      </c>
      <c r="T2171">
        <v>0</v>
      </c>
      <c r="U2171">
        <v>1</v>
      </c>
      <c r="V2171">
        <v>1</v>
      </c>
      <c r="W2171">
        <v>22.77</v>
      </c>
      <c r="X2171">
        <v>0</v>
      </c>
      <c r="Y2171">
        <v>0</v>
      </c>
      <c r="Z2171">
        <v>0</v>
      </c>
      <c r="AA2171">
        <v>0</v>
      </c>
      <c r="AB2171">
        <v>0</v>
      </c>
      <c r="AC2171">
        <v>0</v>
      </c>
      <c r="AD2171">
        <v>3</v>
      </c>
      <c r="AE2171">
        <v>0</v>
      </c>
      <c r="AF2171">
        <v>0</v>
      </c>
      <c r="AG2171">
        <v>0</v>
      </c>
      <c r="AH2171">
        <v>0</v>
      </c>
      <c r="AI2171">
        <v>0</v>
      </c>
      <c r="AJ2171">
        <v>0</v>
      </c>
      <c r="AK2171">
        <v>0</v>
      </c>
    </row>
    <row r="2172" spans="1:37" x14ac:dyDescent="0.3">
      <c r="A2172">
        <v>7979</v>
      </c>
      <c r="B2172" t="s">
        <v>219</v>
      </c>
      <c r="D2172" t="s">
        <v>327</v>
      </c>
      <c r="E2172">
        <v>99999999</v>
      </c>
      <c r="F2172">
        <v>11111111</v>
      </c>
      <c r="G2172">
        <v>1111111111</v>
      </c>
      <c r="H2172" t="s">
        <v>5741</v>
      </c>
      <c r="I2172">
        <v>99999999</v>
      </c>
      <c r="J2172" s="188">
        <v>45238</v>
      </c>
      <c r="K2172" t="s">
        <v>5741</v>
      </c>
      <c r="L2172" t="s">
        <v>5741</v>
      </c>
      <c r="M2172" t="s">
        <v>2869</v>
      </c>
      <c r="N2172" t="s">
        <v>197</v>
      </c>
      <c r="O2172" t="s">
        <v>2870</v>
      </c>
      <c r="P2172" t="s">
        <v>221</v>
      </c>
      <c r="Q2172" t="s">
        <v>82</v>
      </c>
      <c r="R2172">
        <v>1</v>
      </c>
      <c r="S2172">
        <v>6.62</v>
      </c>
      <c r="T2172">
        <v>0</v>
      </c>
      <c r="U2172">
        <v>1</v>
      </c>
      <c r="V2172">
        <v>1</v>
      </c>
      <c r="W2172">
        <v>32.299999999999997</v>
      </c>
      <c r="X2172">
        <v>0</v>
      </c>
      <c r="Y2172">
        <v>0</v>
      </c>
      <c r="Z2172">
        <v>0</v>
      </c>
      <c r="AA2172">
        <v>0</v>
      </c>
      <c r="AB2172">
        <v>0</v>
      </c>
      <c r="AC2172">
        <v>0</v>
      </c>
      <c r="AD2172">
        <v>1</v>
      </c>
      <c r="AE2172">
        <v>0</v>
      </c>
      <c r="AF2172">
        <v>0</v>
      </c>
      <c r="AG2172">
        <v>0</v>
      </c>
      <c r="AH2172">
        <v>0</v>
      </c>
      <c r="AI2172">
        <v>0</v>
      </c>
      <c r="AJ2172">
        <v>0</v>
      </c>
      <c r="AK2172">
        <v>0</v>
      </c>
    </row>
    <row r="2173" spans="1:37" x14ac:dyDescent="0.3">
      <c r="A2173">
        <v>7979</v>
      </c>
      <c r="B2173" t="s">
        <v>219</v>
      </c>
      <c r="D2173" t="s">
        <v>327</v>
      </c>
      <c r="E2173">
        <v>99999999</v>
      </c>
      <c r="F2173">
        <v>11111111</v>
      </c>
      <c r="G2173">
        <v>1111111111</v>
      </c>
      <c r="H2173" t="s">
        <v>5742</v>
      </c>
      <c r="I2173">
        <v>99999999</v>
      </c>
      <c r="J2173" s="188">
        <v>45238</v>
      </c>
      <c r="K2173" t="s">
        <v>5742</v>
      </c>
      <c r="L2173" t="s">
        <v>5742</v>
      </c>
      <c r="M2173" t="s">
        <v>1392</v>
      </c>
      <c r="N2173" t="s">
        <v>99</v>
      </c>
      <c r="O2173">
        <v>92860</v>
      </c>
      <c r="P2173" t="s">
        <v>221</v>
      </c>
      <c r="Q2173" t="s">
        <v>82</v>
      </c>
      <c r="R2173">
        <v>2</v>
      </c>
      <c r="S2173">
        <v>7</v>
      </c>
      <c r="T2173">
        <v>0</v>
      </c>
      <c r="U2173">
        <v>1</v>
      </c>
      <c r="V2173">
        <v>1</v>
      </c>
      <c r="W2173">
        <v>24.1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2</v>
      </c>
      <c r="AE2173">
        <v>0</v>
      </c>
      <c r="AF2173">
        <v>0</v>
      </c>
      <c r="AG2173">
        <v>0</v>
      </c>
      <c r="AH2173">
        <v>0</v>
      </c>
      <c r="AI2173">
        <v>0</v>
      </c>
      <c r="AJ2173">
        <v>0</v>
      </c>
      <c r="AK2173">
        <v>0</v>
      </c>
    </row>
    <row r="2174" spans="1:37" x14ac:dyDescent="0.3">
      <c r="A2174">
        <v>7979</v>
      </c>
      <c r="B2174" t="s">
        <v>219</v>
      </c>
      <c r="D2174" t="s">
        <v>327</v>
      </c>
      <c r="E2174">
        <v>99999999</v>
      </c>
      <c r="F2174">
        <v>11111111</v>
      </c>
      <c r="G2174">
        <v>1111111111</v>
      </c>
      <c r="H2174" t="s">
        <v>5743</v>
      </c>
      <c r="I2174">
        <v>99999999</v>
      </c>
      <c r="J2174" s="188">
        <v>45238</v>
      </c>
      <c r="K2174" t="s">
        <v>5743</v>
      </c>
      <c r="L2174" t="s">
        <v>5743</v>
      </c>
      <c r="M2174" t="s">
        <v>1679</v>
      </c>
      <c r="N2174" t="s">
        <v>99</v>
      </c>
      <c r="O2174">
        <v>94596</v>
      </c>
      <c r="P2174" t="s">
        <v>221</v>
      </c>
      <c r="Q2174" t="s">
        <v>82</v>
      </c>
      <c r="R2174">
        <v>2</v>
      </c>
      <c r="S2174">
        <v>6.9</v>
      </c>
      <c r="T2174">
        <v>0</v>
      </c>
      <c r="U2174">
        <v>1</v>
      </c>
      <c r="V2174">
        <v>2</v>
      </c>
      <c r="W2174">
        <v>22.37</v>
      </c>
      <c r="X2174">
        <v>0</v>
      </c>
      <c r="Y2174">
        <v>0</v>
      </c>
      <c r="Z2174">
        <v>0</v>
      </c>
      <c r="AA2174">
        <v>0</v>
      </c>
      <c r="AB2174">
        <v>0</v>
      </c>
      <c r="AC2174">
        <v>0</v>
      </c>
      <c r="AD2174">
        <v>2</v>
      </c>
      <c r="AE2174">
        <v>0</v>
      </c>
      <c r="AF2174">
        <v>0</v>
      </c>
      <c r="AG2174">
        <v>0</v>
      </c>
      <c r="AH2174">
        <v>0</v>
      </c>
      <c r="AI2174">
        <v>0</v>
      </c>
      <c r="AJ2174">
        <v>0</v>
      </c>
      <c r="AK2174">
        <v>0</v>
      </c>
    </row>
    <row r="2175" spans="1:37" x14ac:dyDescent="0.3">
      <c r="A2175">
        <v>7979</v>
      </c>
      <c r="B2175" t="s">
        <v>219</v>
      </c>
      <c r="D2175" t="s">
        <v>327</v>
      </c>
      <c r="E2175">
        <v>99999999</v>
      </c>
      <c r="F2175">
        <v>11111111</v>
      </c>
      <c r="G2175">
        <v>1111111111</v>
      </c>
      <c r="H2175" t="s">
        <v>5744</v>
      </c>
      <c r="I2175">
        <v>99999999</v>
      </c>
      <c r="J2175" s="188">
        <v>45238</v>
      </c>
      <c r="K2175" t="s">
        <v>5744</v>
      </c>
      <c r="L2175" t="s">
        <v>5744</v>
      </c>
      <c r="M2175" t="s">
        <v>2871</v>
      </c>
      <c r="N2175" t="s">
        <v>164</v>
      </c>
      <c r="O2175" t="s">
        <v>2872</v>
      </c>
      <c r="P2175" t="s">
        <v>221</v>
      </c>
      <c r="Q2175" t="s">
        <v>82</v>
      </c>
      <c r="R2175">
        <v>2</v>
      </c>
      <c r="S2175">
        <v>11.5</v>
      </c>
      <c r="T2175">
        <v>0</v>
      </c>
      <c r="U2175">
        <v>1</v>
      </c>
      <c r="V2175">
        <v>2</v>
      </c>
      <c r="W2175">
        <v>30.89</v>
      </c>
      <c r="X2175">
        <v>0</v>
      </c>
      <c r="Y2175">
        <v>0</v>
      </c>
      <c r="Z2175">
        <v>0</v>
      </c>
      <c r="AA2175">
        <v>0</v>
      </c>
      <c r="AB2175">
        <v>0</v>
      </c>
      <c r="AC2175">
        <v>0</v>
      </c>
      <c r="AD2175">
        <v>2</v>
      </c>
      <c r="AE2175">
        <v>0</v>
      </c>
      <c r="AF2175">
        <v>0</v>
      </c>
      <c r="AG2175">
        <v>0</v>
      </c>
      <c r="AH2175">
        <v>0</v>
      </c>
      <c r="AI2175">
        <v>0</v>
      </c>
      <c r="AJ2175">
        <v>0</v>
      </c>
      <c r="AK2175">
        <v>0</v>
      </c>
    </row>
    <row r="2176" spans="1:37" x14ac:dyDescent="0.3">
      <c r="A2176">
        <v>7979</v>
      </c>
      <c r="B2176" t="s">
        <v>219</v>
      </c>
      <c r="D2176" t="s">
        <v>327</v>
      </c>
      <c r="E2176">
        <v>99999999</v>
      </c>
      <c r="F2176">
        <v>11111111</v>
      </c>
      <c r="G2176">
        <v>1111111111</v>
      </c>
      <c r="H2176" t="s">
        <v>5745</v>
      </c>
      <c r="I2176">
        <v>99999999</v>
      </c>
      <c r="J2176" s="188">
        <v>45238</v>
      </c>
      <c r="K2176" t="s">
        <v>5745</v>
      </c>
      <c r="L2176" t="s">
        <v>5745</v>
      </c>
      <c r="M2176" t="s">
        <v>337</v>
      </c>
      <c r="N2176" t="s">
        <v>99</v>
      </c>
      <c r="O2176" t="s">
        <v>2873</v>
      </c>
      <c r="P2176" t="s">
        <v>221</v>
      </c>
      <c r="Q2176" t="s">
        <v>82</v>
      </c>
      <c r="R2176">
        <v>1</v>
      </c>
      <c r="S2176">
        <v>5.2</v>
      </c>
      <c r="T2176">
        <v>0</v>
      </c>
      <c r="U2176">
        <v>1</v>
      </c>
      <c r="V2176">
        <v>1</v>
      </c>
      <c r="W2176">
        <v>19.97</v>
      </c>
      <c r="X2176">
        <v>0</v>
      </c>
      <c r="Y2176">
        <v>0</v>
      </c>
      <c r="Z2176">
        <v>0</v>
      </c>
      <c r="AA2176">
        <v>0</v>
      </c>
      <c r="AB2176">
        <v>0</v>
      </c>
      <c r="AC2176">
        <v>0</v>
      </c>
      <c r="AD2176">
        <v>1</v>
      </c>
      <c r="AE2176">
        <v>0</v>
      </c>
      <c r="AF2176">
        <v>0</v>
      </c>
      <c r="AG2176">
        <v>0</v>
      </c>
      <c r="AH2176">
        <v>0</v>
      </c>
      <c r="AI2176">
        <v>0</v>
      </c>
      <c r="AJ2176">
        <v>0</v>
      </c>
      <c r="AK2176">
        <v>0</v>
      </c>
    </row>
    <row r="2177" spans="1:37" x14ac:dyDescent="0.3">
      <c r="A2177">
        <v>7979</v>
      </c>
      <c r="B2177" t="s">
        <v>219</v>
      </c>
      <c r="D2177" t="s">
        <v>327</v>
      </c>
      <c r="E2177">
        <v>99999999</v>
      </c>
      <c r="F2177">
        <v>11111111</v>
      </c>
      <c r="G2177">
        <v>1111111111</v>
      </c>
      <c r="H2177" t="s">
        <v>5746</v>
      </c>
      <c r="I2177">
        <v>99999999</v>
      </c>
      <c r="J2177" s="188">
        <v>45238</v>
      </c>
      <c r="K2177" t="s">
        <v>5746</v>
      </c>
      <c r="L2177" t="s">
        <v>5746</v>
      </c>
      <c r="M2177" t="s">
        <v>1685</v>
      </c>
      <c r="N2177" t="s">
        <v>99</v>
      </c>
      <c r="O2177" t="s">
        <v>2874</v>
      </c>
      <c r="P2177" t="s">
        <v>221</v>
      </c>
      <c r="Q2177" t="s">
        <v>82</v>
      </c>
      <c r="R2177">
        <v>1</v>
      </c>
      <c r="S2177">
        <v>14.8</v>
      </c>
      <c r="T2177">
        <v>0</v>
      </c>
      <c r="U2177">
        <v>1</v>
      </c>
      <c r="V2177">
        <v>1</v>
      </c>
      <c r="W2177">
        <v>25.8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1</v>
      </c>
      <c r="AE2177">
        <v>0</v>
      </c>
      <c r="AF2177">
        <v>0</v>
      </c>
      <c r="AG2177">
        <v>0</v>
      </c>
      <c r="AH2177">
        <v>0</v>
      </c>
      <c r="AI2177">
        <v>0</v>
      </c>
      <c r="AJ2177">
        <v>0</v>
      </c>
      <c r="AK2177">
        <v>0</v>
      </c>
    </row>
    <row r="2178" spans="1:37" x14ac:dyDescent="0.3">
      <c r="A2178">
        <v>7979</v>
      </c>
      <c r="B2178" t="s">
        <v>219</v>
      </c>
      <c r="D2178" t="s">
        <v>327</v>
      </c>
      <c r="E2178">
        <v>99999999</v>
      </c>
      <c r="F2178">
        <v>11111111</v>
      </c>
      <c r="G2178">
        <v>1111111111</v>
      </c>
      <c r="H2178" t="s">
        <v>5747</v>
      </c>
      <c r="I2178">
        <v>99999999</v>
      </c>
      <c r="J2178" s="188">
        <v>45238</v>
      </c>
      <c r="K2178" t="s">
        <v>5747</v>
      </c>
      <c r="L2178" t="s">
        <v>5747</v>
      </c>
      <c r="M2178" t="s">
        <v>719</v>
      </c>
      <c r="N2178" t="s">
        <v>97</v>
      </c>
      <c r="O2178" t="s">
        <v>2875</v>
      </c>
      <c r="P2178" t="s">
        <v>221</v>
      </c>
      <c r="Q2178" t="s">
        <v>82</v>
      </c>
      <c r="R2178">
        <v>1</v>
      </c>
      <c r="S2178">
        <v>9</v>
      </c>
      <c r="T2178">
        <v>0</v>
      </c>
      <c r="U2178">
        <v>1</v>
      </c>
      <c r="V2178">
        <v>1</v>
      </c>
      <c r="W2178">
        <v>24.35</v>
      </c>
      <c r="X2178">
        <v>0</v>
      </c>
      <c r="Y2178">
        <v>0</v>
      </c>
      <c r="Z2178">
        <v>0</v>
      </c>
      <c r="AA2178">
        <v>0</v>
      </c>
      <c r="AB2178">
        <v>0</v>
      </c>
      <c r="AC2178">
        <v>0</v>
      </c>
      <c r="AD2178">
        <v>1</v>
      </c>
      <c r="AE2178">
        <v>0</v>
      </c>
      <c r="AF2178">
        <v>0</v>
      </c>
      <c r="AG2178">
        <v>0</v>
      </c>
      <c r="AH2178">
        <v>0</v>
      </c>
      <c r="AI2178">
        <v>0</v>
      </c>
      <c r="AJ2178">
        <v>0</v>
      </c>
      <c r="AK2178">
        <v>0</v>
      </c>
    </row>
    <row r="2179" spans="1:37" x14ac:dyDescent="0.3">
      <c r="A2179">
        <v>7979</v>
      </c>
      <c r="B2179" t="s">
        <v>219</v>
      </c>
      <c r="D2179" t="s">
        <v>327</v>
      </c>
      <c r="E2179">
        <v>99999999</v>
      </c>
      <c r="F2179">
        <v>11111111</v>
      </c>
      <c r="G2179">
        <v>1111111111</v>
      </c>
      <c r="H2179" t="s">
        <v>5748</v>
      </c>
      <c r="I2179">
        <v>99999999</v>
      </c>
      <c r="J2179" s="188">
        <v>45238</v>
      </c>
      <c r="K2179" t="s">
        <v>5748</v>
      </c>
      <c r="L2179" t="s">
        <v>5748</v>
      </c>
      <c r="M2179" t="s">
        <v>1369</v>
      </c>
      <c r="N2179" t="s">
        <v>99</v>
      </c>
      <c r="O2179" t="s">
        <v>2876</v>
      </c>
      <c r="P2179" t="s">
        <v>221</v>
      </c>
      <c r="Q2179" t="s">
        <v>82</v>
      </c>
      <c r="R2179">
        <v>1</v>
      </c>
      <c r="S2179">
        <v>5.24</v>
      </c>
      <c r="T2179">
        <v>0</v>
      </c>
      <c r="U2179">
        <v>1</v>
      </c>
      <c r="V2179">
        <v>1</v>
      </c>
      <c r="W2179">
        <v>24.39</v>
      </c>
      <c r="X2179">
        <v>0</v>
      </c>
      <c r="Y2179">
        <v>0</v>
      </c>
      <c r="Z2179">
        <v>0</v>
      </c>
      <c r="AA2179">
        <v>0</v>
      </c>
      <c r="AB2179">
        <v>0</v>
      </c>
      <c r="AC2179">
        <v>0</v>
      </c>
      <c r="AD2179">
        <v>1</v>
      </c>
      <c r="AE2179">
        <v>0</v>
      </c>
      <c r="AF2179">
        <v>0</v>
      </c>
      <c r="AG2179">
        <v>0</v>
      </c>
      <c r="AH2179">
        <v>0</v>
      </c>
      <c r="AI2179">
        <v>0</v>
      </c>
      <c r="AJ2179">
        <v>0</v>
      </c>
      <c r="AK2179">
        <v>0</v>
      </c>
    </row>
    <row r="2180" spans="1:37" x14ac:dyDescent="0.3">
      <c r="A2180">
        <v>7979</v>
      </c>
      <c r="B2180" t="s">
        <v>219</v>
      </c>
      <c r="D2180" t="s">
        <v>327</v>
      </c>
      <c r="E2180">
        <v>99999999</v>
      </c>
      <c r="F2180">
        <v>11111111</v>
      </c>
      <c r="G2180">
        <v>1111111111</v>
      </c>
      <c r="H2180" t="s">
        <v>5749</v>
      </c>
      <c r="I2180">
        <v>99999999</v>
      </c>
      <c r="J2180" s="188">
        <v>45238</v>
      </c>
      <c r="K2180" t="s">
        <v>5749</v>
      </c>
      <c r="L2180" t="s">
        <v>5749</v>
      </c>
      <c r="M2180" t="s">
        <v>2023</v>
      </c>
      <c r="N2180" t="s">
        <v>99</v>
      </c>
      <c r="O2180" t="s">
        <v>2877</v>
      </c>
      <c r="P2180" t="s">
        <v>221</v>
      </c>
      <c r="Q2180" t="s">
        <v>82</v>
      </c>
      <c r="R2180">
        <v>5</v>
      </c>
      <c r="S2180">
        <v>16.899999999999999</v>
      </c>
      <c r="T2180">
        <v>0</v>
      </c>
      <c r="U2180">
        <v>1</v>
      </c>
      <c r="V2180">
        <v>3</v>
      </c>
      <c r="W2180">
        <v>31.97</v>
      </c>
      <c r="X2180">
        <v>0</v>
      </c>
      <c r="Y2180">
        <v>0</v>
      </c>
      <c r="Z2180">
        <v>0</v>
      </c>
      <c r="AA2180">
        <v>0</v>
      </c>
      <c r="AB2180">
        <v>0</v>
      </c>
      <c r="AC2180">
        <v>0</v>
      </c>
      <c r="AD2180">
        <v>5</v>
      </c>
      <c r="AE2180">
        <v>0</v>
      </c>
      <c r="AF2180">
        <v>0</v>
      </c>
      <c r="AG2180">
        <v>0</v>
      </c>
      <c r="AH2180">
        <v>0</v>
      </c>
      <c r="AI2180">
        <v>0</v>
      </c>
      <c r="AJ2180">
        <v>0</v>
      </c>
      <c r="AK2180">
        <v>0</v>
      </c>
    </row>
    <row r="2181" spans="1:37" x14ac:dyDescent="0.3">
      <c r="A2181">
        <v>7979</v>
      </c>
      <c r="B2181" t="s">
        <v>219</v>
      </c>
      <c r="D2181" t="s">
        <v>327</v>
      </c>
      <c r="E2181">
        <v>99999999</v>
      </c>
      <c r="F2181">
        <v>11111111</v>
      </c>
      <c r="G2181">
        <v>1111111111</v>
      </c>
      <c r="H2181" t="s">
        <v>5750</v>
      </c>
      <c r="I2181">
        <v>99999999</v>
      </c>
      <c r="J2181" s="188">
        <v>45238</v>
      </c>
      <c r="K2181" t="s">
        <v>5750</v>
      </c>
      <c r="L2181" t="s">
        <v>5750</v>
      </c>
      <c r="M2181" t="s">
        <v>2878</v>
      </c>
      <c r="N2181" t="s">
        <v>228</v>
      </c>
      <c r="O2181" t="s">
        <v>2879</v>
      </c>
      <c r="P2181" t="s">
        <v>221</v>
      </c>
      <c r="Q2181" t="s">
        <v>82</v>
      </c>
      <c r="R2181">
        <v>1</v>
      </c>
      <c r="S2181">
        <v>2.2000000000000002</v>
      </c>
      <c r="T2181">
        <v>0</v>
      </c>
      <c r="U2181">
        <v>1</v>
      </c>
      <c r="V2181">
        <v>1</v>
      </c>
      <c r="W2181">
        <v>30.86</v>
      </c>
      <c r="X2181">
        <v>0</v>
      </c>
      <c r="Y2181">
        <v>0</v>
      </c>
      <c r="Z2181">
        <v>0</v>
      </c>
      <c r="AA2181">
        <v>0</v>
      </c>
      <c r="AB2181">
        <v>0</v>
      </c>
      <c r="AC2181">
        <v>0</v>
      </c>
      <c r="AD2181">
        <v>1</v>
      </c>
      <c r="AE2181">
        <v>0</v>
      </c>
      <c r="AF2181">
        <v>0</v>
      </c>
      <c r="AG2181">
        <v>0</v>
      </c>
      <c r="AH2181">
        <v>0</v>
      </c>
      <c r="AI2181">
        <v>0</v>
      </c>
      <c r="AJ2181">
        <v>0</v>
      </c>
      <c r="AK2181">
        <v>0</v>
      </c>
    </row>
    <row r="2182" spans="1:37" x14ac:dyDescent="0.3">
      <c r="A2182">
        <v>7979</v>
      </c>
      <c r="B2182" t="s">
        <v>219</v>
      </c>
      <c r="D2182" t="s">
        <v>327</v>
      </c>
      <c r="E2182">
        <v>99999999</v>
      </c>
      <c r="F2182">
        <v>11111111</v>
      </c>
      <c r="G2182">
        <v>1111111111</v>
      </c>
      <c r="H2182" t="s">
        <v>5751</v>
      </c>
      <c r="I2182">
        <v>99999999</v>
      </c>
      <c r="J2182" s="188">
        <v>45238</v>
      </c>
      <c r="K2182" t="s">
        <v>5751</v>
      </c>
      <c r="L2182" t="s">
        <v>5751</v>
      </c>
      <c r="M2182" t="s">
        <v>657</v>
      </c>
      <c r="N2182" t="s">
        <v>99</v>
      </c>
      <c r="O2182" t="s">
        <v>711</v>
      </c>
      <c r="P2182" t="s">
        <v>221</v>
      </c>
      <c r="Q2182" t="s">
        <v>82</v>
      </c>
      <c r="R2182">
        <v>1</v>
      </c>
      <c r="S2182">
        <v>8.58</v>
      </c>
      <c r="T2182">
        <v>0</v>
      </c>
      <c r="U2182">
        <v>1</v>
      </c>
      <c r="V2182">
        <v>1</v>
      </c>
      <c r="W2182">
        <v>27.73</v>
      </c>
      <c r="X2182">
        <v>0</v>
      </c>
      <c r="Y2182">
        <v>0</v>
      </c>
      <c r="Z2182">
        <v>0</v>
      </c>
      <c r="AA2182">
        <v>0</v>
      </c>
      <c r="AB2182">
        <v>0</v>
      </c>
      <c r="AC2182">
        <v>0</v>
      </c>
      <c r="AD2182">
        <v>1</v>
      </c>
      <c r="AE2182">
        <v>0</v>
      </c>
      <c r="AF2182">
        <v>0</v>
      </c>
      <c r="AG2182">
        <v>0</v>
      </c>
      <c r="AH2182">
        <v>0</v>
      </c>
      <c r="AI2182">
        <v>0</v>
      </c>
      <c r="AJ2182">
        <v>0</v>
      </c>
      <c r="AK2182">
        <v>0</v>
      </c>
    </row>
    <row r="2183" spans="1:37" x14ac:dyDescent="0.3">
      <c r="A2183">
        <v>7979</v>
      </c>
      <c r="B2183" t="s">
        <v>219</v>
      </c>
      <c r="D2183" t="s">
        <v>327</v>
      </c>
      <c r="E2183">
        <v>99999999</v>
      </c>
      <c r="F2183">
        <v>11111111</v>
      </c>
      <c r="G2183">
        <v>1111111111</v>
      </c>
      <c r="H2183" t="s">
        <v>5752</v>
      </c>
      <c r="I2183">
        <v>99999999</v>
      </c>
      <c r="J2183" s="188">
        <v>45238</v>
      </c>
      <c r="K2183" t="s">
        <v>5752</v>
      </c>
      <c r="L2183" t="s">
        <v>5752</v>
      </c>
      <c r="M2183" t="s">
        <v>1577</v>
      </c>
      <c r="N2183" t="s">
        <v>97</v>
      </c>
      <c r="O2183" t="s">
        <v>2880</v>
      </c>
      <c r="P2183" t="s">
        <v>221</v>
      </c>
      <c r="Q2183" t="s">
        <v>82</v>
      </c>
      <c r="R2183">
        <v>2</v>
      </c>
      <c r="S2183">
        <v>88</v>
      </c>
      <c r="T2183">
        <v>0</v>
      </c>
      <c r="U2183">
        <v>2</v>
      </c>
      <c r="V2183">
        <v>1</v>
      </c>
      <c r="W2183">
        <v>103.77</v>
      </c>
      <c r="X2183">
        <v>0</v>
      </c>
      <c r="Y2183">
        <v>0</v>
      </c>
      <c r="Z2183">
        <v>0</v>
      </c>
      <c r="AA2183">
        <v>0</v>
      </c>
      <c r="AB2183">
        <v>0</v>
      </c>
      <c r="AC2183">
        <v>0</v>
      </c>
      <c r="AD2183">
        <v>2</v>
      </c>
      <c r="AE2183">
        <v>0</v>
      </c>
      <c r="AF2183">
        <v>0</v>
      </c>
      <c r="AG2183">
        <v>0</v>
      </c>
      <c r="AH2183">
        <v>0</v>
      </c>
      <c r="AI2183">
        <v>0</v>
      </c>
      <c r="AJ2183">
        <v>0</v>
      </c>
      <c r="AK2183">
        <v>0</v>
      </c>
    </row>
    <row r="2184" spans="1:37" x14ac:dyDescent="0.3">
      <c r="A2184">
        <v>7979</v>
      </c>
      <c r="B2184" t="s">
        <v>219</v>
      </c>
      <c r="D2184" t="s">
        <v>327</v>
      </c>
      <c r="E2184">
        <v>99999999</v>
      </c>
      <c r="F2184">
        <v>11111111</v>
      </c>
      <c r="G2184">
        <v>1111111111</v>
      </c>
      <c r="H2184" t="s">
        <v>5753</v>
      </c>
      <c r="I2184">
        <v>99999999</v>
      </c>
      <c r="J2184" s="188">
        <v>45238</v>
      </c>
      <c r="K2184" t="s">
        <v>5753</v>
      </c>
      <c r="L2184" t="s">
        <v>5753</v>
      </c>
      <c r="M2184" t="s">
        <v>1572</v>
      </c>
      <c r="N2184" t="s">
        <v>99</v>
      </c>
      <c r="O2184" t="s">
        <v>2881</v>
      </c>
      <c r="P2184" t="s">
        <v>221</v>
      </c>
      <c r="Q2184" t="s">
        <v>82</v>
      </c>
      <c r="R2184">
        <v>2</v>
      </c>
      <c r="S2184">
        <v>1.786</v>
      </c>
      <c r="T2184">
        <v>0</v>
      </c>
      <c r="U2184">
        <v>1</v>
      </c>
      <c r="V2184">
        <v>2</v>
      </c>
      <c r="W2184">
        <v>26.8</v>
      </c>
      <c r="X2184">
        <v>0</v>
      </c>
      <c r="Y2184">
        <v>0</v>
      </c>
      <c r="Z2184">
        <v>0</v>
      </c>
      <c r="AA2184">
        <v>0</v>
      </c>
      <c r="AB2184">
        <v>0</v>
      </c>
      <c r="AC2184">
        <v>0</v>
      </c>
      <c r="AD2184">
        <v>2</v>
      </c>
      <c r="AE2184">
        <v>0</v>
      </c>
      <c r="AF2184">
        <v>0</v>
      </c>
      <c r="AG2184">
        <v>0</v>
      </c>
      <c r="AH2184">
        <v>0</v>
      </c>
      <c r="AI2184">
        <v>0</v>
      </c>
      <c r="AJ2184">
        <v>0</v>
      </c>
      <c r="AK2184">
        <v>0</v>
      </c>
    </row>
    <row r="2185" spans="1:37" x14ac:dyDescent="0.3">
      <c r="A2185">
        <v>7979</v>
      </c>
      <c r="B2185" t="s">
        <v>219</v>
      </c>
      <c r="D2185" t="s">
        <v>327</v>
      </c>
      <c r="E2185">
        <v>99999999</v>
      </c>
      <c r="F2185">
        <v>11111111</v>
      </c>
      <c r="G2185">
        <v>1111111111</v>
      </c>
      <c r="H2185" t="s">
        <v>5754</v>
      </c>
      <c r="I2185">
        <v>99999999</v>
      </c>
      <c r="J2185" s="188">
        <v>45238</v>
      </c>
      <c r="K2185" t="s">
        <v>5754</v>
      </c>
      <c r="L2185" t="s">
        <v>5754</v>
      </c>
      <c r="M2185" t="s">
        <v>1594</v>
      </c>
      <c r="N2185" t="s">
        <v>99</v>
      </c>
      <c r="O2185" t="s">
        <v>2882</v>
      </c>
      <c r="P2185" t="s">
        <v>221</v>
      </c>
      <c r="Q2185" t="s">
        <v>82</v>
      </c>
      <c r="R2185">
        <v>1</v>
      </c>
      <c r="S2185">
        <v>44</v>
      </c>
      <c r="T2185">
        <v>0</v>
      </c>
      <c r="U2185">
        <v>1</v>
      </c>
      <c r="V2185">
        <v>1</v>
      </c>
      <c r="W2185">
        <v>51.9</v>
      </c>
      <c r="X2185">
        <v>0</v>
      </c>
      <c r="Y2185">
        <v>0</v>
      </c>
      <c r="Z2185">
        <v>0</v>
      </c>
      <c r="AA2185">
        <v>0</v>
      </c>
      <c r="AB2185">
        <v>0</v>
      </c>
      <c r="AC2185">
        <v>0</v>
      </c>
      <c r="AD2185">
        <v>1</v>
      </c>
      <c r="AE2185">
        <v>0</v>
      </c>
      <c r="AF2185">
        <v>0</v>
      </c>
      <c r="AG2185">
        <v>0</v>
      </c>
      <c r="AH2185">
        <v>0</v>
      </c>
      <c r="AI2185">
        <v>0</v>
      </c>
      <c r="AJ2185">
        <v>0</v>
      </c>
      <c r="AK2185">
        <v>0</v>
      </c>
    </row>
    <row r="2186" spans="1:37" x14ac:dyDescent="0.3">
      <c r="A2186">
        <v>7979</v>
      </c>
      <c r="B2186" t="s">
        <v>219</v>
      </c>
      <c r="D2186" t="s">
        <v>327</v>
      </c>
      <c r="E2186">
        <v>99999999</v>
      </c>
      <c r="F2186">
        <v>11111111</v>
      </c>
      <c r="G2186">
        <v>1111111111</v>
      </c>
      <c r="H2186" t="s">
        <v>5755</v>
      </c>
      <c r="I2186">
        <v>99999999</v>
      </c>
      <c r="J2186" s="188">
        <v>45238</v>
      </c>
      <c r="K2186" t="s">
        <v>5755</v>
      </c>
      <c r="L2186" t="s">
        <v>5755</v>
      </c>
      <c r="M2186" t="s">
        <v>396</v>
      </c>
      <c r="N2186" t="s">
        <v>99</v>
      </c>
      <c r="O2186" t="s">
        <v>397</v>
      </c>
      <c r="P2186" t="s">
        <v>221</v>
      </c>
      <c r="Q2186" t="s">
        <v>82</v>
      </c>
      <c r="R2186">
        <v>1</v>
      </c>
      <c r="S2186">
        <v>2.4</v>
      </c>
      <c r="T2186">
        <v>0</v>
      </c>
      <c r="U2186">
        <v>1</v>
      </c>
      <c r="V2186">
        <v>1</v>
      </c>
      <c r="W2186">
        <v>20.63</v>
      </c>
      <c r="X2186">
        <v>0</v>
      </c>
      <c r="Y2186">
        <v>0</v>
      </c>
      <c r="Z2186">
        <v>0</v>
      </c>
      <c r="AA2186">
        <v>0</v>
      </c>
      <c r="AB2186">
        <v>0</v>
      </c>
      <c r="AC2186">
        <v>0</v>
      </c>
      <c r="AD2186">
        <v>1</v>
      </c>
      <c r="AE2186">
        <v>0</v>
      </c>
      <c r="AF2186">
        <v>0</v>
      </c>
      <c r="AG2186">
        <v>0</v>
      </c>
      <c r="AH2186">
        <v>0</v>
      </c>
      <c r="AI2186">
        <v>0</v>
      </c>
      <c r="AJ2186">
        <v>0</v>
      </c>
      <c r="AK2186">
        <v>0</v>
      </c>
    </row>
    <row r="2187" spans="1:37" x14ac:dyDescent="0.3">
      <c r="A2187">
        <v>7979</v>
      </c>
      <c r="B2187" t="s">
        <v>219</v>
      </c>
      <c r="D2187" t="s">
        <v>327</v>
      </c>
      <c r="E2187">
        <v>99999999</v>
      </c>
      <c r="F2187">
        <v>11111111</v>
      </c>
      <c r="G2187">
        <v>1111111111</v>
      </c>
      <c r="H2187" t="s">
        <v>5756</v>
      </c>
      <c r="I2187">
        <v>99999999</v>
      </c>
      <c r="J2187" s="188">
        <v>45238</v>
      </c>
      <c r="K2187" t="s">
        <v>5756</v>
      </c>
      <c r="L2187" t="s">
        <v>5756</v>
      </c>
      <c r="M2187" t="s">
        <v>659</v>
      </c>
      <c r="N2187" t="s">
        <v>99</v>
      </c>
      <c r="O2187" t="s">
        <v>2883</v>
      </c>
      <c r="P2187" t="s">
        <v>221</v>
      </c>
      <c r="Q2187" t="s">
        <v>82</v>
      </c>
      <c r="R2187">
        <v>2</v>
      </c>
      <c r="S2187">
        <v>2</v>
      </c>
      <c r="T2187">
        <v>0</v>
      </c>
      <c r="U2187">
        <v>1</v>
      </c>
      <c r="V2187">
        <v>1</v>
      </c>
      <c r="W2187">
        <v>26.83</v>
      </c>
      <c r="X2187">
        <v>0</v>
      </c>
      <c r="Y2187">
        <v>0</v>
      </c>
      <c r="Z2187">
        <v>0</v>
      </c>
      <c r="AA2187">
        <v>0</v>
      </c>
      <c r="AB2187">
        <v>0</v>
      </c>
      <c r="AC2187">
        <v>0</v>
      </c>
      <c r="AD2187">
        <v>2</v>
      </c>
      <c r="AE2187">
        <v>0</v>
      </c>
      <c r="AF2187">
        <v>0</v>
      </c>
      <c r="AG2187">
        <v>0</v>
      </c>
      <c r="AH2187">
        <v>0</v>
      </c>
      <c r="AI2187">
        <v>0</v>
      </c>
      <c r="AJ2187">
        <v>0</v>
      </c>
      <c r="AK2187">
        <v>0</v>
      </c>
    </row>
    <row r="2188" spans="1:37" x14ac:dyDescent="0.3">
      <c r="A2188">
        <v>7979</v>
      </c>
      <c r="B2188" t="s">
        <v>219</v>
      </c>
      <c r="D2188" t="s">
        <v>327</v>
      </c>
      <c r="E2188">
        <v>99999999</v>
      </c>
      <c r="F2188">
        <v>11111111</v>
      </c>
      <c r="G2188">
        <v>1111111111</v>
      </c>
      <c r="H2188" t="s">
        <v>5757</v>
      </c>
      <c r="I2188">
        <v>99999999</v>
      </c>
      <c r="J2188" s="188">
        <v>45238</v>
      </c>
      <c r="K2188" t="s">
        <v>5757</v>
      </c>
      <c r="L2188" t="s">
        <v>5757</v>
      </c>
      <c r="M2188" t="s">
        <v>677</v>
      </c>
      <c r="N2188" t="s">
        <v>85</v>
      </c>
      <c r="O2188" t="s">
        <v>2884</v>
      </c>
      <c r="P2188" t="s">
        <v>221</v>
      </c>
      <c r="Q2188" t="s">
        <v>82</v>
      </c>
      <c r="R2188">
        <v>1</v>
      </c>
      <c r="S2188">
        <v>2.4</v>
      </c>
      <c r="T2188">
        <v>0</v>
      </c>
      <c r="U2188">
        <v>1</v>
      </c>
      <c r="V2188">
        <v>1</v>
      </c>
      <c r="W2188">
        <v>21.83</v>
      </c>
      <c r="X2188">
        <v>0</v>
      </c>
      <c r="Y2188">
        <v>0</v>
      </c>
      <c r="Z2188">
        <v>0</v>
      </c>
      <c r="AA2188">
        <v>0</v>
      </c>
      <c r="AB2188">
        <v>0</v>
      </c>
      <c r="AC2188">
        <v>0</v>
      </c>
      <c r="AD2188">
        <v>1</v>
      </c>
      <c r="AE2188">
        <v>0</v>
      </c>
      <c r="AF2188">
        <v>0</v>
      </c>
      <c r="AG2188">
        <v>0</v>
      </c>
      <c r="AH2188">
        <v>0</v>
      </c>
      <c r="AI2188">
        <v>0</v>
      </c>
      <c r="AJ2188">
        <v>0</v>
      </c>
      <c r="AK2188">
        <v>0</v>
      </c>
    </row>
    <row r="2189" spans="1:37" x14ac:dyDescent="0.3">
      <c r="A2189">
        <v>7979</v>
      </c>
      <c r="B2189" t="s">
        <v>219</v>
      </c>
      <c r="D2189" t="s">
        <v>327</v>
      </c>
      <c r="E2189">
        <v>99999999</v>
      </c>
      <c r="F2189">
        <v>11111111</v>
      </c>
      <c r="G2189">
        <v>1111111111</v>
      </c>
      <c r="H2189" t="s">
        <v>5758</v>
      </c>
      <c r="I2189">
        <v>99999999</v>
      </c>
      <c r="J2189" s="188">
        <v>45238</v>
      </c>
      <c r="K2189" t="s">
        <v>5758</v>
      </c>
      <c r="L2189" t="s">
        <v>5758</v>
      </c>
      <c r="M2189" t="s">
        <v>111</v>
      </c>
      <c r="N2189" t="s">
        <v>814</v>
      </c>
      <c r="O2189" t="s">
        <v>2885</v>
      </c>
      <c r="P2189" t="s">
        <v>221</v>
      </c>
      <c r="Q2189" t="s">
        <v>82</v>
      </c>
      <c r="R2189">
        <v>1</v>
      </c>
      <c r="S2189">
        <v>0.19</v>
      </c>
      <c r="T2189">
        <v>0</v>
      </c>
      <c r="U2189">
        <v>1</v>
      </c>
      <c r="V2189">
        <v>1</v>
      </c>
      <c r="W2189">
        <v>26.84</v>
      </c>
      <c r="X2189">
        <v>0</v>
      </c>
      <c r="Y2189">
        <v>0</v>
      </c>
      <c r="Z2189">
        <v>0</v>
      </c>
      <c r="AA2189">
        <v>0</v>
      </c>
      <c r="AB2189">
        <v>0</v>
      </c>
      <c r="AC2189">
        <v>0</v>
      </c>
      <c r="AD2189">
        <v>1</v>
      </c>
      <c r="AE2189">
        <v>0</v>
      </c>
      <c r="AF2189">
        <v>0</v>
      </c>
      <c r="AG2189">
        <v>0</v>
      </c>
      <c r="AH2189">
        <v>0</v>
      </c>
      <c r="AI2189">
        <v>0</v>
      </c>
      <c r="AJ2189">
        <v>0</v>
      </c>
      <c r="AK2189">
        <v>0</v>
      </c>
    </row>
    <row r="2190" spans="1:37" x14ac:dyDescent="0.3">
      <c r="A2190">
        <v>7979</v>
      </c>
      <c r="B2190" t="s">
        <v>219</v>
      </c>
      <c r="D2190" t="s">
        <v>327</v>
      </c>
      <c r="E2190">
        <v>99999999</v>
      </c>
      <c r="F2190">
        <v>11111111</v>
      </c>
      <c r="G2190">
        <v>1111111111</v>
      </c>
      <c r="H2190" t="s">
        <v>5759</v>
      </c>
      <c r="I2190">
        <v>99999999</v>
      </c>
      <c r="J2190" s="188">
        <v>45238</v>
      </c>
      <c r="K2190" t="s">
        <v>5759</v>
      </c>
      <c r="L2190" t="s">
        <v>5759</v>
      </c>
      <c r="M2190" t="s">
        <v>334</v>
      </c>
      <c r="N2190" t="s">
        <v>97</v>
      </c>
      <c r="O2190" t="s">
        <v>2886</v>
      </c>
      <c r="P2190" t="s">
        <v>221</v>
      </c>
      <c r="Q2190" t="s">
        <v>82</v>
      </c>
      <c r="R2190">
        <v>1</v>
      </c>
      <c r="S2190">
        <v>2.4</v>
      </c>
      <c r="T2190">
        <v>0</v>
      </c>
      <c r="U2190">
        <v>1</v>
      </c>
      <c r="V2190">
        <v>1</v>
      </c>
      <c r="W2190">
        <v>27.94</v>
      </c>
      <c r="X2190">
        <v>0</v>
      </c>
      <c r="Y2190">
        <v>0</v>
      </c>
      <c r="Z2190">
        <v>0</v>
      </c>
      <c r="AA2190">
        <v>0</v>
      </c>
      <c r="AB2190">
        <v>0</v>
      </c>
      <c r="AC2190">
        <v>0</v>
      </c>
      <c r="AD2190">
        <v>1</v>
      </c>
      <c r="AE2190">
        <v>0</v>
      </c>
      <c r="AF2190">
        <v>0</v>
      </c>
      <c r="AG2190">
        <v>0</v>
      </c>
      <c r="AH2190">
        <v>0</v>
      </c>
      <c r="AI2190">
        <v>0</v>
      </c>
      <c r="AJ2190">
        <v>0</v>
      </c>
      <c r="AK2190">
        <v>0</v>
      </c>
    </row>
    <row r="2191" spans="1:37" x14ac:dyDescent="0.3">
      <c r="A2191">
        <v>7979</v>
      </c>
      <c r="B2191" t="s">
        <v>219</v>
      </c>
      <c r="D2191" t="s">
        <v>327</v>
      </c>
      <c r="E2191">
        <v>99999999</v>
      </c>
      <c r="F2191">
        <v>11111111</v>
      </c>
      <c r="G2191">
        <v>1111111111</v>
      </c>
      <c r="H2191" t="s">
        <v>5760</v>
      </c>
      <c r="I2191">
        <v>99999999</v>
      </c>
      <c r="J2191" s="188">
        <v>45238</v>
      </c>
      <c r="K2191" t="s">
        <v>5760</v>
      </c>
      <c r="L2191" t="s">
        <v>5760</v>
      </c>
      <c r="M2191" t="s">
        <v>95</v>
      </c>
      <c r="N2191" t="s">
        <v>91</v>
      </c>
      <c r="O2191" t="s">
        <v>2887</v>
      </c>
      <c r="P2191" t="s">
        <v>221</v>
      </c>
      <c r="Q2191" t="s">
        <v>82</v>
      </c>
      <c r="R2191">
        <v>1</v>
      </c>
      <c r="S2191">
        <v>2</v>
      </c>
      <c r="T2191">
        <v>0</v>
      </c>
      <c r="U2191">
        <v>1</v>
      </c>
      <c r="V2191">
        <v>1</v>
      </c>
      <c r="W2191">
        <v>22.62</v>
      </c>
      <c r="X2191">
        <v>0</v>
      </c>
      <c r="Y2191">
        <v>0</v>
      </c>
      <c r="Z2191">
        <v>0</v>
      </c>
      <c r="AA2191">
        <v>0</v>
      </c>
      <c r="AB2191">
        <v>0</v>
      </c>
      <c r="AC2191">
        <v>0</v>
      </c>
      <c r="AD2191">
        <v>1</v>
      </c>
      <c r="AE2191">
        <v>0</v>
      </c>
      <c r="AF2191">
        <v>0</v>
      </c>
      <c r="AG2191">
        <v>0</v>
      </c>
      <c r="AH2191">
        <v>0</v>
      </c>
      <c r="AI2191">
        <v>0</v>
      </c>
      <c r="AJ2191">
        <v>0</v>
      </c>
      <c r="AK2191">
        <v>0</v>
      </c>
    </row>
    <row r="2192" spans="1:37" x14ac:dyDescent="0.3">
      <c r="A2192">
        <v>7979</v>
      </c>
      <c r="B2192" t="s">
        <v>219</v>
      </c>
      <c r="D2192" t="s">
        <v>327</v>
      </c>
      <c r="E2192">
        <v>99999999</v>
      </c>
      <c r="F2192">
        <v>11111111</v>
      </c>
      <c r="G2192">
        <v>1111111111</v>
      </c>
      <c r="H2192" t="s">
        <v>5761</v>
      </c>
      <c r="I2192">
        <v>99999999</v>
      </c>
      <c r="J2192" s="188">
        <v>45238</v>
      </c>
      <c r="K2192" t="s">
        <v>5761</v>
      </c>
      <c r="L2192" t="s">
        <v>5761</v>
      </c>
      <c r="M2192" t="s">
        <v>1828</v>
      </c>
      <c r="N2192" t="s">
        <v>99</v>
      </c>
      <c r="O2192" t="s">
        <v>1829</v>
      </c>
      <c r="P2192" t="s">
        <v>221</v>
      </c>
      <c r="Q2192" t="s">
        <v>82</v>
      </c>
      <c r="R2192">
        <v>1</v>
      </c>
      <c r="S2192">
        <v>1.2</v>
      </c>
      <c r="T2192">
        <v>0</v>
      </c>
      <c r="U2192">
        <v>1</v>
      </c>
      <c r="V2192">
        <v>1</v>
      </c>
      <c r="W2192">
        <v>19.89</v>
      </c>
      <c r="X2192">
        <v>0</v>
      </c>
      <c r="Y2192">
        <v>0</v>
      </c>
      <c r="Z2192">
        <v>0</v>
      </c>
      <c r="AA2192">
        <v>0</v>
      </c>
      <c r="AB2192">
        <v>0</v>
      </c>
      <c r="AC2192">
        <v>0</v>
      </c>
      <c r="AD2192">
        <v>1</v>
      </c>
      <c r="AE2192">
        <v>0</v>
      </c>
      <c r="AF2192">
        <v>0</v>
      </c>
      <c r="AG2192">
        <v>0</v>
      </c>
      <c r="AH2192">
        <v>0</v>
      </c>
      <c r="AI2192">
        <v>0</v>
      </c>
      <c r="AJ2192">
        <v>0</v>
      </c>
      <c r="AK2192">
        <v>0</v>
      </c>
    </row>
    <row r="2193" spans="1:37" x14ac:dyDescent="0.3">
      <c r="A2193">
        <v>7979</v>
      </c>
      <c r="B2193" t="s">
        <v>219</v>
      </c>
      <c r="D2193" t="s">
        <v>327</v>
      </c>
      <c r="E2193">
        <v>99999999</v>
      </c>
      <c r="F2193">
        <v>11111111</v>
      </c>
      <c r="G2193">
        <v>1111111111</v>
      </c>
      <c r="H2193" t="s">
        <v>5762</v>
      </c>
      <c r="I2193">
        <v>99999999</v>
      </c>
      <c r="J2193" s="188">
        <v>45238</v>
      </c>
      <c r="K2193" t="s">
        <v>5762</v>
      </c>
      <c r="L2193" t="s">
        <v>5762</v>
      </c>
      <c r="M2193" t="s">
        <v>2888</v>
      </c>
      <c r="N2193" t="s">
        <v>99</v>
      </c>
      <c r="O2193" t="s">
        <v>2889</v>
      </c>
      <c r="P2193" t="s">
        <v>221</v>
      </c>
      <c r="Q2193" t="s">
        <v>82</v>
      </c>
      <c r="R2193">
        <v>1</v>
      </c>
      <c r="S2193">
        <v>11.07</v>
      </c>
      <c r="T2193">
        <v>0</v>
      </c>
      <c r="U2193">
        <v>1</v>
      </c>
      <c r="V2193">
        <v>1</v>
      </c>
      <c r="W2193">
        <v>24.78</v>
      </c>
      <c r="X2193">
        <v>0</v>
      </c>
      <c r="Y2193">
        <v>0</v>
      </c>
      <c r="Z2193">
        <v>0</v>
      </c>
      <c r="AA2193">
        <v>0</v>
      </c>
      <c r="AB2193">
        <v>0</v>
      </c>
      <c r="AC2193">
        <v>0</v>
      </c>
      <c r="AD2193">
        <v>1</v>
      </c>
      <c r="AE2193">
        <v>0</v>
      </c>
      <c r="AF2193">
        <v>0</v>
      </c>
      <c r="AG2193">
        <v>0</v>
      </c>
      <c r="AH2193">
        <v>0</v>
      </c>
      <c r="AI2193">
        <v>0</v>
      </c>
      <c r="AJ2193">
        <v>0</v>
      </c>
      <c r="AK2193">
        <v>0</v>
      </c>
    </row>
    <row r="2194" spans="1:37" x14ac:dyDescent="0.3">
      <c r="A2194">
        <v>7979</v>
      </c>
      <c r="B2194" t="s">
        <v>219</v>
      </c>
      <c r="D2194" t="s">
        <v>327</v>
      </c>
      <c r="E2194">
        <v>99999999</v>
      </c>
      <c r="F2194">
        <v>11111111</v>
      </c>
      <c r="G2194">
        <v>1111111111</v>
      </c>
      <c r="H2194" t="s">
        <v>5763</v>
      </c>
      <c r="I2194">
        <v>99999999</v>
      </c>
      <c r="J2194" s="188">
        <v>45238</v>
      </c>
      <c r="K2194" t="s">
        <v>5763</v>
      </c>
      <c r="L2194" t="s">
        <v>5763</v>
      </c>
      <c r="M2194" t="s">
        <v>2890</v>
      </c>
      <c r="N2194" t="s">
        <v>983</v>
      </c>
      <c r="O2194" t="s">
        <v>2891</v>
      </c>
      <c r="P2194" t="s">
        <v>221</v>
      </c>
      <c r="Q2194" t="s">
        <v>82</v>
      </c>
      <c r="R2194">
        <v>1</v>
      </c>
      <c r="S2194">
        <v>1</v>
      </c>
      <c r="T2194">
        <v>0</v>
      </c>
      <c r="U2194">
        <v>1</v>
      </c>
      <c r="V2194">
        <v>1</v>
      </c>
      <c r="W2194">
        <v>29.16</v>
      </c>
      <c r="X2194">
        <v>0</v>
      </c>
      <c r="Y2194">
        <v>0</v>
      </c>
      <c r="Z2194">
        <v>0</v>
      </c>
      <c r="AA2194">
        <v>0</v>
      </c>
      <c r="AB2194">
        <v>0</v>
      </c>
      <c r="AC2194">
        <v>0</v>
      </c>
      <c r="AD2194">
        <v>1</v>
      </c>
      <c r="AE2194">
        <v>0</v>
      </c>
      <c r="AF2194">
        <v>0</v>
      </c>
      <c r="AG2194">
        <v>0</v>
      </c>
      <c r="AH2194">
        <v>0</v>
      </c>
      <c r="AI2194">
        <v>0</v>
      </c>
      <c r="AJ2194">
        <v>0</v>
      </c>
      <c r="AK2194">
        <v>0</v>
      </c>
    </row>
    <row r="2195" spans="1:37" x14ac:dyDescent="0.3">
      <c r="A2195">
        <v>7979</v>
      </c>
      <c r="B2195" t="s">
        <v>219</v>
      </c>
      <c r="D2195" t="s">
        <v>327</v>
      </c>
      <c r="E2195">
        <v>99999999</v>
      </c>
      <c r="F2195">
        <v>11111111</v>
      </c>
      <c r="G2195">
        <v>1111111111</v>
      </c>
      <c r="H2195" t="s">
        <v>5764</v>
      </c>
      <c r="I2195">
        <v>99999999</v>
      </c>
      <c r="J2195" s="188">
        <v>45238</v>
      </c>
      <c r="K2195" t="s">
        <v>5764</v>
      </c>
      <c r="L2195" t="s">
        <v>5764</v>
      </c>
      <c r="M2195" t="s">
        <v>2892</v>
      </c>
      <c r="N2195" t="s">
        <v>197</v>
      </c>
      <c r="O2195" t="s">
        <v>2893</v>
      </c>
      <c r="P2195" t="s">
        <v>221</v>
      </c>
      <c r="Q2195" t="s">
        <v>82</v>
      </c>
      <c r="R2195">
        <v>4</v>
      </c>
      <c r="S2195">
        <v>2.2400000000000002</v>
      </c>
      <c r="T2195">
        <v>0</v>
      </c>
      <c r="U2195">
        <v>1</v>
      </c>
      <c r="V2195">
        <v>1</v>
      </c>
      <c r="W2195">
        <v>31.54</v>
      </c>
      <c r="X2195">
        <v>0</v>
      </c>
      <c r="Y2195">
        <v>0</v>
      </c>
      <c r="Z2195">
        <v>0</v>
      </c>
      <c r="AA2195">
        <v>0</v>
      </c>
      <c r="AB2195">
        <v>0</v>
      </c>
      <c r="AC2195">
        <v>0</v>
      </c>
      <c r="AD2195">
        <v>4</v>
      </c>
      <c r="AE2195">
        <v>0</v>
      </c>
      <c r="AF2195">
        <v>0</v>
      </c>
      <c r="AG2195">
        <v>0</v>
      </c>
      <c r="AH2195">
        <v>0</v>
      </c>
      <c r="AI2195">
        <v>0</v>
      </c>
      <c r="AJ2195">
        <v>0</v>
      </c>
      <c r="AK2195">
        <v>0</v>
      </c>
    </row>
    <row r="2196" spans="1:37" x14ac:dyDescent="0.3">
      <c r="A2196">
        <v>7979</v>
      </c>
      <c r="B2196" t="s">
        <v>219</v>
      </c>
      <c r="D2196" t="s">
        <v>327</v>
      </c>
      <c r="E2196">
        <v>99999999</v>
      </c>
      <c r="F2196">
        <v>11111111</v>
      </c>
      <c r="G2196">
        <v>1111111111</v>
      </c>
      <c r="H2196" t="s">
        <v>5765</v>
      </c>
      <c r="I2196">
        <v>99999999</v>
      </c>
      <c r="J2196" s="188">
        <v>45238</v>
      </c>
      <c r="K2196" t="s">
        <v>5765</v>
      </c>
      <c r="L2196" t="s">
        <v>5765</v>
      </c>
      <c r="M2196" t="s">
        <v>235</v>
      </c>
      <c r="N2196" t="s">
        <v>164</v>
      </c>
      <c r="O2196" t="s">
        <v>2894</v>
      </c>
      <c r="P2196" t="s">
        <v>221</v>
      </c>
      <c r="Q2196" t="s">
        <v>82</v>
      </c>
      <c r="R2196">
        <v>1</v>
      </c>
      <c r="S2196">
        <v>5.14</v>
      </c>
      <c r="T2196">
        <v>0</v>
      </c>
      <c r="U2196">
        <v>1</v>
      </c>
      <c r="V2196">
        <v>1</v>
      </c>
      <c r="W2196">
        <v>27.56</v>
      </c>
      <c r="X2196">
        <v>0</v>
      </c>
      <c r="Y2196">
        <v>0</v>
      </c>
      <c r="Z2196">
        <v>0</v>
      </c>
      <c r="AA2196">
        <v>0</v>
      </c>
      <c r="AB2196">
        <v>0</v>
      </c>
      <c r="AC2196">
        <v>0</v>
      </c>
      <c r="AD2196">
        <v>1</v>
      </c>
      <c r="AE2196">
        <v>0</v>
      </c>
      <c r="AF2196">
        <v>0</v>
      </c>
      <c r="AG2196">
        <v>0</v>
      </c>
      <c r="AH2196">
        <v>0</v>
      </c>
      <c r="AI2196">
        <v>0</v>
      </c>
      <c r="AJ2196">
        <v>0</v>
      </c>
      <c r="AK2196">
        <v>0</v>
      </c>
    </row>
    <row r="2197" spans="1:37" x14ac:dyDescent="0.3">
      <c r="A2197">
        <v>7979</v>
      </c>
      <c r="B2197" t="s">
        <v>219</v>
      </c>
      <c r="D2197" t="s">
        <v>327</v>
      </c>
      <c r="E2197">
        <v>99999999</v>
      </c>
      <c r="F2197">
        <v>11111111</v>
      </c>
      <c r="G2197">
        <v>1111111111</v>
      </c>
      <c r="H2197" t="s">
        <v>5766</v>
      </c>
      <c r="I2197">
        <v>99999999</v>
      </c>
      <c r="J2197" s="188">
        <v>45238</v>
      </c>
      <c r="K2197" t="s">
        <v>5766</v>
      </c>
      <c r="L2197" t="s">
        <v>5766</v>
      </c>
      <c r="M2197" t="s">
        <v>2895</v>
      </c>
      <c r="N2197" t="s">
        <v>233</v>
      </c>
      <c r="O2197" t="s">
        <v>2896</v>
      </c>
      <c r="P2197" t="s">
        <v>221</v>
      </c>
      <c r="Q2197" t="s">
        <v>82</v>
      </c>
      <c r="R2197">
        <v>1</v>
      </c>
      <c r="S2197">
        <v>0.05</v>
      </c>
      <c r="T2197">
        <v>0</v>
      </c>
      <c r="U2197">
        <v>1</v>
      </c>
      <c r="V2197">
        <v>1</v>
      </c>
      <c r="W2197">
        <v>26.84</v>
      </c>
      <c r="X2197">
        <v>0</v>
      </c>
      <c r="Y2197">
        <v>0</v>
      </c>
      <c r="Z2197">
        <v>0</v>
      </c>
      <c r="AA2197">
        <v>0</v>
      </c>
      <c r="AB2197">
        <v>0</v>
      </c>
      <c r="AC2197">
        <v>0</v>
      </c>
      <c r="AD2197">
        <v>1</v>
      </c>
      <c r="AE2197">
        <v>0</v>
      </c>
      <c r="AF2197">
        <v>0</v>
      </c>
      <c r="AG2197">
        <v>0</v>
      </c>
      <c r="AH2197">
        <v>0</v>
      </c>
      <c r="AI2197">
        <v>0</v>
      </c>
      <c r="AJ2197">
        <v>0</v>
      </c>
      <c r="AK2197">
        <v>0</v>
      </c>
    </row>
    <row r="2198" spans="1:37" x14ac:dyDescent="0.3">
      <c r="A2198">
        <v>7979</v>
      </c>
      <c r="B2198" t="s">
        <v>219</v>
      </c>
      <c r="D2198" t="s">
        <v>327</v>
      </c>
      <c r="E2198">
        <v>99999999</v>
      </c>
      <c r="F2198">
        <v>11111111</v>
      </c>
      <c r="G2198">
        <v>1111111111</v>
      </c>
      <c r="H2198" t="s">
        <v>5767</v>
      </c>
      <c r="I2198">
        <v>99999999</v>
      </c>
      <c r="J2198" s="188">
        <v>45238</v>
      </c>
      <c r="K2198" t="s">
        <v>5767</v>
      </c>
      <c r="L2198" t="s">
        <v>5767</v>
      </c>
      <c r="M2198" t="s">
        <v>2272</v>
      </c>
      <c r="N2198" t="s">
        <v>99</v>
      </c>
      <c r="O2198" t="s">
        <v>2897</v>
      </c>
      <c r="P2198" t="s">
        <v>221</v>
      </c>
      <c r="Q2198" t="s">
        <v>82</v>
      </c>
      <c r="R2198">
        <v>1</v>
      </c>
      <c r="S2198">
        <v>10</v>
      </c>
      <c r="T2198">
        <v>0</v>
      </c>
      <c r="U2198">
        <v>1</v>
      </c>
      <c r="V2198">
        <v>1</v>
      </c>
      <c r="W2198">
        <v>30.7</v>
      </c>
      <c r="X2198">
        <v>0</v>
      </c>
      <c r="Y2198">
        <v>0</v>
      </c>
      <c r="Z2198">
        <v>0</v>
      </c>
      <c r="AA2198">
        <v>0</v>
      </c>
      <c r="AB2198">
        <v>0</v>
      </c>
      <c r="AC2198">
        <v>0</v>
      </c>
      <c r="AD2198">
        <v>1</v>
      </c>
      <c r="AE2198">
        <v>0</v>
      </c>
      <c r="AF2198">
        <v>0</v>
      </c>
      <c r="AG2198">
        <v>0</v>
      </c>
      <c r="AH2198">
        <v>0</v>
      </c>
      <c r="AI2198">
        <v>0</v>
      </c>
      <c r="AJ2198">
        <v>0</v>
      </c>
      <c r="AK2198">
        <v>0</v>
      </c>
    </row>
    <row r="2199" spans="1:37" x14ac:dyDescent="0.3">
      <c r="A2199">
        <v>7979</v>
      </c>
      <c r="B2199" t="s">
        <v>219</v>
      </c>
      <c r="D2199" t="s">
        <v>327</v>
      </c>
      <c r="E2199">
        <v>99999999</v>
      </c>
      <c r="F2199">
        <v>11111111</v>
      </c>
      <c r="G2199">
        <v>1111111111</v>
      </c>
      <c r="H2199" t="s">
        <v>5768</v>
      </c>
      <c r="I2199">
        <v>99999999</v>
      </c>
      <c r="J2199" s="188">
        <v>45238</v>
      </c>
      <c r="K2199" t="s">
        <v>5768</v>
      </c>
      <c r="L2199" t="s">
        <v>5768</v>
      </c>
      <c r="M2199" t="s">
        <v>734</v>
      </c>
      <c r="N2199" t="s">
        <v>99</v>
      </c>
      <c r="O2199" t="s">
        <v>2898</v>
      </c>
      <c r="P2199" t="s">
        <v>221</v>
      </c>
      <c r="Q2199" t="s">
        <v>82</v>
      </c>
      <c r="R2199">
        <v>1</v>
      </c>
      <c r="S2199">
        <v>3.4</v>
      </c>
      <c r="T2199">
        <v>0</v>
      </c>
      <c r="U2199">
        <v>1</v>
      </c>
      <c r="V2199">
        <v>1</v>
      </c>
      <c r="W2199">
        <v>30.71</v>
      </c>
      <c r="X2199">
        <v>0</v>
      </c>
      <c r="Y2199">
        <v>0</v>
      </c>
      <c r="Z2199">
        <v>0</v>
      </c>
      <c r="AA2199">
        <v>0</v>
      </c>
      <c r="AB2199">
        <v>0</v>
      </c>
      <c r="AC2199">
        <v>0</v>
      </c>
      <c r="AD2199">
        <v>1</v>
      </c>
      <c r="AE2199">
        <v>0</v>
      </c>
      <c r="AF2199">
        <v>0</v>
      </c>
      <c r="AG2199">
        <v>0</v>
      </c>
      <c r="AH2199">
        <v>0</v>
      </c>
      <c r="AI2199">
        <v>0</v>
      </c>
      <c r="AJ2199">
        <v>0</v>
      </c>
      <c r="AK2199">
        <v>0</v>
      </c>
    </row>
    <row r="2200" spans="1:37" x14ac:dyDescent="0.3">
      <c r="A2200">
        <v>7979</v>
      </c>
      <c r="B2200" t="s">
        <v>219</v>
      </c>
      <c r="D2200" t="s">
        <v>327</v>
      </c>
      <c r="E2200">
        <v>99999999</v>
      </c>
      <c r="F2200">
        <v>11111111</v>
      </c>
      <c r="G2200">
        <v>1111111111</v>
      </c>
      <c r="H2200" t="s">
        <v>5769</v>
      </c>
      <c r="I2200">
        <v>99999999</v>
      </c>
      <c r="J2200" s="188">
        <v>45238</v>
      </c>
      <c r="K2200" t="s">
        <v>5769</v>
      </c>
      <c r="L2200" t="s">
        <v>5769</v>
      </c>
      <c r="M2200" t="s">
        <v>612</v>
      </c>
      <c r="N2200" t="s">
        <v>164</v>
      </c>
      <c r="O2200" t="s">
        <v>2899</v>
      </c>
      <c r="P2200" t="s">
        <v>221</v>
      </c>
      <c r="Q2200" t="s">
        <v>82</v>
      </c>
      <c r="R2200">
        <v>1</v>
      </c>
      <c r="S2200">
        <v>6.2</v>
      </c>
      <c r="T2200">
        <v>0</v>
      </c>
      <c r="U2200">
        <v>1</v>
      </c>
      <c r="V2200">
        <v>1</v>
      </c>
      <c r="W2200">
        <v>23.49</v>
      </c>
      <c r="X2200">
        <v>0</v>
      </c>
      <c r="Y2200">
        <v>0</v>
      </c>
      <c r="Z2200">
        <v>0</v>
      </c>
      <c r="AA2200">
        <v>0</v>
      </c>
      <c r="AB2200">
        <v>0</v>
      </c>
      <c r="AC2200">
        <v>0</v>
      </c>
      <c r="AD2200">
        <v>1</v>
      </c>
      <c r="AE2200">
        <v>0</v>
      </c>
      <c r="AF2200">
        <v>0</v>
      </c>
      <c r="AG2200">
        <v>0</v>
      </c>
      <c r="AH2200">
        <v>0</v>
      </c>
      <c r="AI2200">
        <v>0</v>
      </c>
      <c r="AJ2200">
        <v>0</v>
      </c>
      <c r="AK2200">
        <v>0</v>
      </c>
    </row>
    <row r="2201" spans="1:37" x14ac:dyDescent="0.3">
      <c r="A2201">
        <v>7979</v>
      </c>
      <c r="B2201" t="s">
        <v>219</v>
      </c>
      <c r="D2201" t="s">
        <v>327</v>
      </c>
      <c r="E2201">
        <v>99999999</v>
      </c>
      <c r="F2201">
        <v>11111111</v>
      </c>
      <c r="G2201">
        <v>1111111111</v>
      </c>
      <c r="H2201" t="s">
        <v>5770</v>
      </c>
      <c r="I2201">
        <v>99999999</v>
      </c>
      <c r="J2201" s="188">
        <v>45238</v>
      </c>
      <c r="K2201" t="s">
        <v>5770</v>
      </c>
      <c r="L2201" t="s">
        <v>5770</v>
      </c>
      <c r="M2201" t="s">
        <v>390</v>
      </c>
      <c r="N2201" t="s">
        <v>97</v>
      </c>
      <c r="O2201" t="s">
        <v>391</v>
      </c>
      <c r="P2201" t="s">
        <v>221</v>
      </c>
      <c r="Q2201" t="s">
        <v>82</v>
      </c>
      <c r="R2201">
        <v>1</v>
      </c>
      <c r="S2201">
        <v>10</v>
      </c>
      <c r="T2201">
        <v>0</v>
      </c>
      <c r="U2201">
        <v>1</v>
      </c>
      <c r="V2201">
        <v>1</v>
      </c>
      <c r="W2201">
        <v>24.59</v>
      </c>
      <c r="X2201">
        <v>0</v>
      </c>
      <c r="Y2201">
        <v>0</v>
      </c>
      <c r="Z2201">
        <v>0</v>
      </c>
      <c r="AA2201">
        <v>0</v>
      </c>
      <c r="AB2201">
        <v>0</v>
      </c>
      <c r="AC2201">
        <v>0</v>
      </c>
      <c r="AD2201">
        <v>1</v>
      </c>
      <c r="AE2201">
        <v>0</v>
      </c>
      <c r="AF2201">
        <v>0</v>
      </c>
      <c r="AG2201">
        <v>0</v>
      </c>
      <c r="AH2201">
        <v>0</v>
      </c>
      <c r="AI2201">
        <v>0</v>
      </c>
      <c r="AJ2201">
        <v>0</v>
      </c>
      <c r="AK2201">
        <v>0</v>
      </c>
    </row>
    <row r="2202" spans="1:37" x14ac:dyDescent="0.3">
      <c r="A2202">
        <v>7979</v>
      </c>
      <c r="B2202" t="s">
        <v>219</v>
      </c>
      <c r="D2202" t="s">
        <v>327</v>
      </c>
      <c r="E2202">
        <v>99999999</v>
      </c>
      <c r="F2202">
        <v>11111111</v>
      </c>
      <c r="G2202">
        <v>1111111111</v>
      </c>
      <c r="H2202" t="s">
        <v>5771</v>
      </c>
      <c r="I2202">
        <v>99999999</v>
      </c>
      <c r="J2202" s="188">
        <v>45238</v>
      </c>
      <c r="K2202" t="s">
        <v>5771</v>
      </c>
      <c r="L2202" t="s">
        <v>5771</v>
      </c>
      <c r="M2202" t="s">
        <v>448</v>
      </c>
      <c r="N2202" t="s">
        <v>197</v>
      </c>
      <c r="O2202" t="s">
        <v>2900</v>
      </c>
      <c r="P2202" t="s">
        <v>221</v>
      </c>
      <c r="Q2202" t="s">
        <v>82</v>
      </c>
      <c r="R2202">
        <v>1</v>
      </c>
      <c r="S2202">
        <v>12.2</v>
      </c>
      <c r="T2202">
        <v>0</v>
      </c>
      <c r="U2202">
        <v>1</v>
      </c>
      <c r="V2202">
        <v>1</v>
      </c>
      <c r="W2202">
        <v>33.86</v>
      </c>
      <c r="X2202">
        <v>0</v>
      </c>
      <c r="Y2202">
        <v>0</v>
      </c>
      <c r="Z2202">
        <v>0</v>
      </c>
      <c r="AA2202">
        <v>0</v>
      </c>
      <c r="AB2202">
        <v>0</v>
      </c>
      <c r="AC2202">
        <v>0</v>
      </c>
      <c r="AD2202">
        <v>1</v>
      </c>
      <c r="AE2202">
        <v>0</v>
      </c>
      <c r="AF2202">
        <v>0</v>
      </c>
      <c r="AG2202">
        <v>0</v>
      </c>
      <c r="AH2202">
        <v>0</v>
      </c>
      <c r="AI2202">
        <v>0</v>
      </c>
      <c r="AJ2202">
        <v>0</v>
      </c>
      <c r="AK2202">
        <v>0</v>
      </c>
    </row>
    <row r="2203" spans="1:37" x14ac:dyDescent="0.3">
      <c r="A2203">
        <v>7979</v>
      </c>
      <c r="B2203" t="s">
        <v>219</v>
      </c>
      <c r="D2203" t="s">
        <v>327</v>
      </c>
      <c r="E2203">
        <v>99999999</v>
      </c>
      <c r="F2203">
        <v>11111111</v>
      </c>
      <c r="G2203">
        <v>1111111111</v>
      </c>
      <c r="H2203" t="s">
        <v>5772</v>
      </c>
      <c r="I2203">
        <v>99999999</v>
      </c>
      <c r="J2203" s="188">
        <v>45238</v>
      </c>
      <c r="K2203" t="s">
        <v>5772</v>
      </c>
      <c r="L2203" t="s">
        <v>5772</v>
      </c>
      <c r="M2203" t="s">
        <v>334</v>
      </c>
      <c r="N2203" t="s">
        <v>97</v>
      </c>
      <c r="O2203" t="s">
        <v>2901</v>
      </c>
      <c r="P2203" t="s">
        <v>221</v>
      </c>
      <c r="Q2203" t="s">
        <v>82</v>
      </c>
      <c r="R2203">
        <v>1</v>
      </c>
      <c r="S2203">
        <v>0.8</v>
      </c>
      <c r="T2203">
        <v>0</v>
      </c>
      <c r="U2203">
        <v>1</v>
      </c>
      <c r="V2203">
        <v>1</v>
      </c>
      <c r="W2203">
        <v>27.27</v>
      </c>
      <c r="X2203">
        <v>0</v>
      </c>
      <c r="Y2203">
        <v>0</v>
      </c>
      <c r="Z2203">
        <v>0</v>
      </c>
      <c r="AA2203">
        <v>0</v>
      </c>
      <c r="AB2203">
        <v>0</v>
      </c>
      <c r="AC2203">
        <v>0</v>
      </c>
      <c r="AD2203">
        <v>1</v>
      </c>
      <c r="AE2203">
        <v>0</v>
      </c>
      <c r="AF2203">
        <v>0</v>
      </c>
      <c r="AG2203">
        <v>0</v>
      </c>
      <c r="AH2203">
        <v>0</v>
      </c>
      <c r="AI2203">
        <v>0</v>
      </c>
      <c r="AJ2203">
        <v>0</v>
      </c>
      <c r="AK2203">
        <v>0</v>
      </c>
    </row>
    <row r="2204" spans="1:37" x14ac:dyDescent="0.3">
      <c r="A2204">
        <v>7979</v>
      </c>
      <c r="B2204" t="s">
        <v>219</v>
      </c>
      <c r="D2204" t="s">
        <v>327</v>
      </c>
      <c r="E2204">
        <v>99999999</v>
      </c>
      <c r="F2204">
        <v>11111111</v>
      </c>
      <c r="G2204">
        <v>1111111111</v>
      </c>
      <c r="H2204" t="s">
        <v>5773</v>
      </c>
      <c r="I2204">
        <v>99999999</v>
      </c>
      <c r="J2204" s="188">
        <v>45238</v>
      </c>
      <c r="K2204" t="s">
        <v>5773</v>
      </c>
      <c r="L2204" t="s">
        <v>5773</v>
      </c>
      <c r="M2204" t="s">
        <v>95</v>
      </c>
      <c r="N2204" t="s">
        <v>91</v>
      </c>
      <c r="O2204" t="s">
        <v>2902</v>
      </c>
      <c r="P2204" t="s">
        <v>221</v>
      </c>
      <c r="Q2204" t="s">
        <v>82</v>
      </c>
      <c r="R2204">
        <v>1</v>
      </c>
      <c r="S2204">
        <v>4.4000000000000004</v>
      </c>
      <c r="T2204">
        <v>0</v>
      </c>
      <c r="U2204">
        <v>1</v>
      </c>
      <c r="V2204">
        <v>1</v>
      </c>
      <c r="W2204">
        <v>24.32</v>
      </c>
      <c r="X2204">
        <v>0</v>
      </c>
      <c r="Y2204">
        <v>0</v>
      </c>
      <c r="Z2204">
        <v>0</v>
      </c>
      <c r="AA2204">
        <v>0</v>
      </c>
      <c r="AB2204">
        <v>0</v>
      </c>
      <c r="AC2204">
        <v>0</v>
      </c>
      <c r="AD2204">
        <v>1</v>
      </c>
      <c r="AE2204">
        <v>0</v>
      </c>
      <c r="AF2204">
        <v>0</v>
      </c>
      <c r="AG2204">
        <v>0</v>
      </c>
      <c r="AH2204">
        <v>0</v>
      </c>
      <c r="AI2204">
        <v>0</v>
      </c>
      <c r="AJ2204">
        <v>0</v>
      </c>
      <c r="AK2204">
        <v>0</v>
      </c>
    </row>
    <row r="2205" spans="1:37" x14ac:dyDescent="0.3">
      <c r="A2205">
        <v>7979</v>
      </c>
      <c r="B2205" t="s">
        <v>219</v>
      </c>
      <c r="D2205" t="s">
        <v>327</v>
      </c>
      <c r="E2205">
        <v>99999999</v>
      </c>
      <c r="F2205">
        <v>11111111</v>
      </c>
      <c r="G2205">
        <v>1111111111</v>
      </c>
      <c r="H2205" t="s">
        <v>5774</v>
      </c>
      <c r="I2205">
        <v>99999999</v>
      </c>
      <c r="J2205" s="188">
        <v>45238</v>
      </c>
      <c r="K2205" t="s">
        <v>5774</v>
      </c>
      <c r="L2205" t="s">
        <v>5774</v>
      </c>
      <c r="M2205" t="s">
        <v>128</v>
      </c>
      <c r="N2205" t="s">
        <v>85</v>
      </c>
      <c r="O2205" t="s">
        <v>2598</v>
      </c>
      <c r="P2205" t="s">
        <v>221</v>
      </c>
      <c r="Q2205" t="s">
        <v>82</v>
      </c>
      <c r="R2205">
        <v>2</v>
      </c>
      <c r="S2205">
        <v>2.6</v>
      </c>
      <c r="T2205">
        <v>0</v>
      </c>
      <c r="U2205">
        <v>1</v>
      </c>
      <c r="V2205">
        <v>1</v>
      </c>
      <c r="W2205">
        <v>25.61</v>
      </c>
      <c r="X2205">
        <v>0</v>
      </c>
      <c r="Y2205">
        <v>0</v>
      </c>
      <c r="Z2205">
        <v>0</v>
      </c>
      <c r="AA2205">
        <v>0</v>
      </c>
      <c r="AB2205">
        <v>0</v>
      </c>
      <c r="AC2205">
        <v>0</v>
      </c>
      <c r="AD2205">
        <v>2</v>
      </c>
      <c r="AE2205">
        <v>0</v>
      </c>
      <c r="AF2205">
        <v>0</v>
      </c>
      <c r="AG2205">
        <v>0</v>
      </c>
      <c r="AH2205">
        <v>0</v>
      </c>
      <c r="AI2205">
        <v>0</v>
      </c>
      <c r="AJ2205">
        <v>0</v>
      </c>
      <c r="AK2205">
        <v>0</v>
      </c>
    </row>
    <row r="2206" spans="1:37" x14ac:dyDescent="0.3">
      <c r="A2206">
        <v>7979</v>
      </c>
      <c r="B2206" t="s">
        <v>219</v>
      </c>
      <c r="D2206" t="s">
        <v>327</v>
      </c>
      <c r="E2206">
        <v>99999999</v>
      </c>
      <c r="F2206">
        <v>11111111</v>
      </c>
      <c r="G2206">
        <v>1111111111</v>
      </c>
      <c r="H2206" t="s">
        <v>5775</v>
      </c>
      <c r="I2206">
        <v>99999999</v>
      </c>
      <c r="J2206" s="188">
        <v>45238</v>
      </c>
      <c r="K2206" t="s">
        <v>5775</v>
      </c>
      <c r="L2206" t="s">
        <v>5775</v>
      </c>
      <c r="M2206" t="s">
        <v>2903</v>
      </c>
      <c r="N2206" t="s">
        <v>99</v>
      </c>
      <c r="O2206" t="s">
        <v>2904</v>
      </c>
      <c r="P2206" t="s">
        <v>221</v>
      </c>
      <c r="Q2206" t="s">
        <v>82</v>
      </c>
      <c r="R2206">
        <v>1</v>
      </c>
      <c r="S2206">
        <v>17.666</v>
      </c>
      <c r="T2206">
        <v>0</v>
      </c>
      <c r="U2206">
        <v>1</v>
      </c>
      <c r="V2206">
        <v>1</v>
      </c>
      <c r="W2206">
        <v>26.75</v>
      </c>
      <c r="X2206">
        <v>0</v>
      </c>
      <c r="Y2206">
        <v>0</v>
      </c>
      <c r="Z2206">
        <v>0</v>
      </c>
      <c r="AA2206">
        <v>0</v>
      </c>
      <c r="AB2206">
        <v>0</v>
      </c>
      <c r="AC2206">
        <v>0</v>
      </c>
      <c r="AD2206">
        <v>1</v>
      </c>
      <c r="AE2206">
        <v>0</v>
      </c>
      <c r="AF2206">
        <v>0</v>
      </c>
      <c r="AG2206">
        <v>0</v>
      </c>
      <c r="AH2206">
        <v>0</v>
      </c>
      <c r="AI2206">
        <v>0</v>
      </c>
      <c r="AJ2206">
        <v>0</v>
      </c>
      <c r="AK2206">
        <v>0</v>
      </c>
    </row>
    <row r="2207" spans="1:37" x14ac:dyDescent="0.3">
      <c r="A2207">
        <v>7979</v>
      </c>
      <c r="B2207" t="s">
        <v>219</v>
      </c>
      <c r="D2207" t="s">
        <v>327</v>
      </c>
      <c r="E2207">
        <v>99999999</v>
      </c>
      <c r="F2207">
        <v>11111111</v>
      </c>
      <c r="G2207">
        <v>1111111111</v>
      </c>
      <c r="H2207" t="s">
        <v>5776</v>
      </c>
      <c r="I2207">
        <v>99999999</v>
      </c>
      <c r="J2207" s="188">
        <v>45238</v>
      </c>
      <c r="K2207" t="s">
        <v>5776</v>
      </c>
      <c r="L2207" t="s">
        <v>5776</v>
      </c>
      <c r="M2207" t="s">
        <v>2905</v>
      </c>
      <c r="N2207" t="s">
        <v>197</v>
      </c>
      <c r="O2207">
        <v>78393</v>
      </c>
      <c r="P2207" t="s">
        <v>221</v>
      </c>
      <c r="Q2207" t="s">
        <v>82</v>
      </c>
      <c r="R2207">
        <v>1</v>
      </c>
      <c r="S2207">
        <v>44</v>
      </c>
      <c r="T2207">
        <v>0</v>
      </c>
      <c r="U2207">
        <v>1</v>
      </c>
      <c r="V2207">
        <v>1</v>
      </c>
      <c r="W2207">
        <v>87.32</v>
      </c>
      <c r="X2207">
        <v>0</v>
      </c>
      <c r="Y2207">
        <v>0</v>
      </c>
      <c r="Z2207">
        <v>0</v>
      </c>
      <c r="AA2207">
        <v>0</v>
      </c>
      <c r="AB2207">
        <v>0</v>
      </c>
      <c r="AC2207">
        <v>0</v>
      </c>
      <c r="AD2207">
        <v>1</v>
      </c>
      <c r="AE2207">
        <v>0</v>
      </c>
      <c r="AF2207">
        <v>0</v>
      </c>
      <c r="AG2207">
        <v>0</v>
      </c>
      <c r="AH2207">
        <v>0</v>
      </c>
      <c r="AI2207">
        <v>0</v>
      </c>
      <c r="AJ2207">
        <v>0</v>
      </c>
      <c r="AK2207">
        <v>0</v>
      </c>
    </row>
    <row r="2208" spans="1:37" x14ac:dyDescent="0.3">
      <c r="A2208">
        <v>7979</v>
      </c>
      <c r="B2208" t="s">
        <v>219</v>
      </c>
      <c r="D2208" t="s">
        <v>327</v>
      </c>
      <c r="E2208">
        <v>99999999</v>
      </c>
      <c r="F2208">
        <v>11111111</v>
      </c>
      <c r="G2208">
        <v>1111111111</v>
      </c>
      <c r="H2208" t="s">
        <v>5777</v>
      </c>
      <c r="I2208">
        <v>99999999</v>
      </c>
      <c r="J2208" s="188">
        <v>45238</v>
      </c>
      <c r="K2208" t="s">
        <v>5777</v>
      </c>
      <c r="L2208" t="s">
        <v>5777</v>
      </c>
      <c r="M2208" t="s">
        <v>1062</v>
      </c>
      <c r="N2208" t="s">
        <v>164</v>
      </c>
      <c r="O2208" t="s">
        <v>2906</v>
      </c>
      <c r="P2208" t="s">
        <v>221</v>
      </c>
      <c r="Q2208" t="s">
        <v>82</v>
      </c>
      <c r="R2208">
        <v>1</v>
      </c>
      <c r="S2208">
        <v>21.5</v>
      </c>
      <c r="T2208">
        <v>0</v>
      </c>
      <c r="U2208">
        <v>1</v>
      </c>
      <c r="V2208">
        <v>1</v>
      </c>
      <c r="W2208">
        <v>35.22</v>
      </c>
      <c r="X2208">
        <v>0</v>
      </c>
      <c r="Y2208">
        <v>0</v>
      </c>
      <c r="Z2208">
        <v>0</v>
      </c>
      <c r="AA2208">
        <v>0</v>
      </c>
      <c r="AB2208">
        <v>0</v>
      </c>
      <c r="AC2208">
        <v>0</v>
      </c>
      <c r="AD2208">
        <v>1</v>
      </c>
      <c r="AE2208">
        <v>0</v>
      </c>
      <c r="AF2208">
        <v>0</v>
      </c>
      <c r="AG2208">
        <v>0</v>
      </c>
      <c r="AH2208">
        <v>0</v>
      </c>
      <c r="AI2208">
        <v>0</v>
      </c>
      <c r="AJ2208">
        <v>0</v>
      </c>
      <c r="AK2208">
        <v>0</v>
      </c>
    </row>
    <row r="2209" spans="1:37" x14ac:dyDescent="0.3">
      <c r="A2209">
        <v>7979</v>
      </c>
      <c r="B2209" t="s">
        <v>219</v>
      </c>
      <c r="D2209" t="s">
        <v>327</v>
      </c>
      <c r="E2209">
        <v>99999999</v>
      </c>
      <c r="F2209">
        <v>11111111</v>
      </c>
      <c r="G2209">
        <v>1111111111</v>
      </c>
      <c r="H2209" t="s">
        <v>5778</v>
      </c>
      <c r="I2209">
        <v>99999999</v>
      </c>
      <c r="J2209" s="188">
        <v>45238</v>
      </c>
      <c r="K2209" t="s">
        <v>5778</v>
      </c>
      <c r="L2209" t="s">
        <v>5778</v>
      </c>
      <c r="M2209" t="s">
        <v>418</v>
      </c>
      <c r="N2209" t="s">
        <v>91</v>
      </c>
      <c r="O2209" t="s">
        <v>2907</v>
      </c>
      <c r="P2209" t="s">
        <v>221</v>
      </c>
      <c r="Q2209" t="s">
        <v>82</v>
      </c>
      <c r="R2209">
        <v>1</v>
      </c>
      <c r="S2209">
        <v>15</v>
      </c>
      <c r="T2209">
        <v>0</v>
      </c>
      <c r="U2209">
        <v>1</v>
      </c>
      <c r="V2209">
        <v>1</v>
      </c>
      <c r="W2209">
        <v>34.6</v>
      </c>
      <c r="X2209">
        <v>0</v>
      </c>
      <c r="Y2209">
        <v>0</v>
      </c>
      <c r="Z2209">
        <v>0</v>
      </c>
      <c r="AA2209">
        <v>0</v>
      </c>
      <c r="AB2209">
        <v>0</v>
      </c>
      <c r="AC2209">
        <v>0</v>
      </c>
      <c r="AD2209">
        <v>1</v>
      </c>
      <c r="AE2209">
        <v>0</v>
      </c>
      <c r="AF2209">
        <v>0</v>
      </c>
      <c r="AG2209">
        <v>0</v>
      </c>
      <c r="AH2209">
        <v>0</v>
      </c>
      <c r="AI2209">
        <v>0</v>
      </c>
      <c r="AJ2209">
        <v>0</v>
      </c>
      <c r="AK2209">
        <v>0</v>
      </c>
    </row>
    <row r="2210" spans="1:37" x14ac:dyDescent="0.3">
      <c r="A2210">
        <v>7979</v>
      </c>
      <c r="B2210" t="s">
        <v>219</v>
      </c>
      <c r="D2210" t="s">
        <v>327</v>
      </c>
      <c r="E2210">
        <v>99999999</v>
      </c>
      <c r="F2210">
        <v>11111111</v>
      </c>
      <c r="G2210">
        <v>1111111111</v>
      </c>
      <c r="H2210" t="s">
        <v>5779</v>
      </c>
      <c r="I2210">
        <v>99999999</v>
      </c>
      <c r="J2210" s="188">
        <v>45238</v>
      </c>
      <c r="K2210" t="s">
        <v>5779</v>
      </c>
      <c r="L2210" t="s">
        <v>5779</v>
      </c>
      <c r="M2210" t="s">
        <v>2908</v>
      </c>
      <c r="N2210" t="s">
        <v>551</v>
      </c>
      <c r="O2210" t="s">
        <v>2909</v>
      </c>
      <c r="P2210" t="s">
        <v>221</v>
      </c>
      <c r="Q2210" t="s">
        <v>82</v>
      </c>
      <c r="R2210">
        <v>1</v>
      </c>
      <c r="S2210">
        <v>44</v>
      </c>
      <c r="T2210">
        <v>0</v>
      </c>
      <c r="U2210">
        <v>1</v>
      </c>
      <c r="V2210">
        <v>1</v>
      </c>
      <c r="W2210">
        <v>54.03</v>
      </c>
      <c r="X2210">
        <v>0</v>
      </c>
      <c r="Y2210">
        <v>0</v>
      </c>
      <c r="Z2210">
        <v>0</v>
      </c>
      <c r="AA2210">
        <v>0</v>
      </c>
      <c r="AB2210">
        <v>0</v>
      </c>
      <c r="AC2210">
        <v>0</v>
      </c>
      <c r="AD2210">
        <v>1</v>
      </c>
      <c r="AE2210">
        <v>0</v>
      </c>
      <c r="AF2210">
        <v>0</v>
      </c>
      <c r="AG2210">
        <v>0</v>
      </c>
      <c r="AH2210">
        <v>0</v>
      </c>
      <c r="AI2210">
        <v>0</v>
      </c>
      <c r="AJ2210">
        <v>0</v>
      </c>
      <c r="AK2210">
        <v>0</v>
      </c>
    </row>
    <row r="2211" spans="1:37" x14ac:dyDescent="0.3">
      <c r="A2211">
        <v>7979</v>
      </c>
      <c r="B2211" t="s">
        <v>219</v>
      </c>
      <c r="D2211" t="s">
        <v>327</v>
      </c>
      <c r="E2211">
        <v>99999999</v>
      </c>
      <c r="F2211">
        <v>11111111</v>
      </c>
      <c r="G2211">
        <v>1111111111</v>
      </c>
      <c r="H2211" t="s">
        <v>5780</v>
      </c>
      <c r="I2211">
        <v>99999999</v>
      </c>
      <c r="J2211" s="188">
        <v>45238</v>
      </c>
      <c r="K2211" t="s">
        <v>5780</v>
      </c>
      <c r="L2211" t="s">
        <v>5780</v>
      </c>
      <c r="M2211" t="s">
        <v>2173</v>
      </c>
      <c r="N2211" t="s">
        <v>197</v>
      </c>
      <c r="O2211" t="s">
        <v>2910</v>
      </c>
      <c r="P2211" t="s">
        <v>221</v>
      </c>
      <c r="Q2211" t="s">
        <v>82</v>
      </c>
      <c r="R2211">
        <v>1</v>
      </c>
      <c r="S2211">
        <v>20.74</v>
      </c>
      <c r="T2211">
        <v>0</v>
      </c>
      <c r="U2211">
        <v>1</v>
      </c>
      <c r="V2211">
        <v>1</v>
      </c>
      <c r="W2211">
        <v>39.06</v>
      </c>
      <c r="X2211">
        <v>0</v>
      </c>
      <c r="Y2211">
        <v>0</v>
      </c>
      <c r="Z2211">
        <v>0</v>
      </c>
      <c r="AA2211">
        <v>0</v>
      </c>
      <c r="AB2211">
        <v>0</v>
      </c>
      <c r="AC2211">
        <v>0</v>
      </c>
      <c r="AD2211">
        <v>1</v>
      </c>
      <c r="AE2211">
        <v>0</v>
      </c>
      <c r="AF2211">
        <v>0</v>
      </c>
      <c r="AG2211">
        <v>0</v>
      </c>
      <c r="AH2211">
        <v>0</v>
      </c>
      <c r="AI2211">
        <v>0</v>
      </c>
      <c r="AJ2211">
        <v>0</v>
      </c>
      <c r="AK2211">
        <v>0</v>
      </c>
    </row>
    <row r="2212" spans="1:37" x14ac:dyDescent="0.3">
      <c r="A2212">
        <v>7979</v>
      </c>
      <c r="B2212" t="s">
        <v>219</v>
      </c>
      <c r="D2212" t="s">
        <v>327</v>
      </c>
      <c r="E2212">
        <v>99999999</v>
      </c>
      <c r="F2212">
        <v>11111111</v>
      </c>
      <c r="G2212">
        <v>1111111111</v>
      </c>
      <c r="H2212" t="s">
        <v>5781</v>
      </c>
      <c r="I2212">
        <v>99999999</v>
      </c>
      <c r="J2212" s="188">
        <v>45238</v>
      </c>
      <c r="K2212" t="s">
        <v>5781</v>
      </c>
      <c r="L2212" t="s">
        <v>5781</v>
      </c>
      <c r="M2212" t="s">
        <v>2871</v>
      </c>
      <c r="N2212" t="s">
        <v>164</v>
      </c>
      <c r="O2212">
        <v>97455</v>
      </c>
      <c r="P2212" t="s">
        <v>221</v>
      </c>
      <c r="Q2212" t="s">
        <v>82</v>
      </c>
      <c r="R2212">
        <v>1</v>
      </c>
      <c r="S2212">
        <v>50</v>
      </c>
      <c r="T2212">
        <v>0</v>
      </c>
      <c r="U2212">
        <v>1</v>
      </c>
      <c r="V2212">
        <v>1</v>
      </c>
      <c r="W2212">
        <v>92.66</v>
      </c>
      <c r="X2212">
        <v>0</v>
      </c>
      <c r="Y2212">
        <v>0</v>
      </c>
      <c r="Z2212">
        <v>0</v>
      </c>
      <c r="AA2212">
        <v>0</v>
      </c>
      <c r="AB2212">
        <v>0</v>
      </c>
      <c r="AC2212">
        <v>0</v>
      </c>
      <c r="AD2212">
        <v>1</v>
      </c>
      <c r="AE2212">
        <v>0</v>
      </c>
      <c r="AF2212">
        <v>0</v>
      </c>
      <c r="AG2212">
        <v>0</v>
      </c>
      <c r="AH2212">
        <v>0</v>
      </c>
      <c r="AI2212">
        <v>0</v>
      </c>
      <c r="AJ2212">
        <v>0</v>
      </c>
      <c r="AK2212">
        <v>0</v>
      </c>
    </row>
    <row r="2213" spans="1:37" x14ac:dyDescent="0.3">
      <c r="A2213">
        <v>7979</v>
      </c>
      <c r="B2213" t="s">
        <v>219</v>
      </c>
      <c r="D2213" t="s">
        <v>327</v>
      </c>
      <c r="E2213">
        <v>99999999</v>
      </c>
      <c r="F2213">
        <v>11111111</v>
      </c>
      <c r="G2213">
        <v>1111111111</v>
      </c>
      <c r="H2213" t="s">
        <v>5782</v>
      </c>
      <c r="I2213">
        <v>99999999</v>
      </c>
      <c r="J2213" s="188">
        <v>45238</v>
      </c>
      <c r="K2213" t="s">
        <v>5782</v>
      </c>
      <c r="L2213" t="s">
        <v>5782</v>
      </c>
      <c r="M2213" t="s">
        <v>1692</v>
      </c>
      <c r="N2213" t="s">
        <v>99</v>
      </c>
      <c r="O2213" t="s">
        <v>2911</v>
      </c>
      <c r="P2213" t="s">
        <v>221</v>
      </c>
      <c r="Q2213" t="s">
        <v>82</v>
      </c>
      <c r="R2213">
        <v>1</v>
      </c>
      <c r="S2213">
        <v>50</v>
      </c>
      <c r="T2213">
        <v>0</v>
      </c>
      <c r="U2213">
        <v>1</v>
      </c>
      <c r="V2213">
        <v>1</v>
      </c>
      <c r="W2213">
        <v>86.55</v>
      </c>
      <c r="X2213">
        <v>0</v>
      </c>
      <c r="Y2213">
        <v>0</v>
      </c>
      <c r="Z2213">
        <v>0</v>
      </c>
      <c r="AA2213">
        <v>0</v>
      </c>
      <c r="AB2213">
        <v>0</v>
      </c>
      <c r="AC2213">
        <v>0</v>
      </c>
      <c r="AD2213">
        <v>1</v>
      </c>
      <c r="AE2213">
        <v>0</v>
      </c>
      <c r="AF2213">
        <v>0</v>
      </c>
      <c r="AG2213">
        <v>0</v>
      </c>
      <c r="AH2213">
        <v>0</v>
      </c>
      <c r="AI2213">
        <v>0</v>
      </c>
      <c r="AJ2213">
        <v>0</v>
      </c>
      <c r="AK2213">
        <v>0</v>
      </c>
    </row>
    <row r="2214" spans="1:37" x14ac:dyDescent="0.3">
      <c r="A2214">
        <v>7979</v>
      </c>
      <c r="B2214" t="s">
        <v>219</v>
      </c>
      <c r="D2214" t="s">
        <v>327</v>
      </c>
      <c r="E2214">
        <v>99999999</v>
      </c>
      <c r="F2214">
        <v>11111111</v>
      </c>
      <c r="G2214">
        <v>1111111111</v>
      </c>
      <c r="H2214" t="s">
        <v>5783</v>
      </c>
      <c r="I2214">
        <v>99999999</v>
      </c>
      <c r="J2214" s="188">
        <v>45238</v>
      </c>
      <c r="K2214" t="s">
        <v>5783</v>
      </c>
      <c r="L2214" t="s">
        <v>5783</v>
      </c>
      <c r="M2214" t="s">
        <v>418</v>
      </c>
      <c r="N2214" t="s">
        <v>91</v>
      </c>
      <c r="O2214" t="s">
        <v>2912</v>
      </c>
      <c r="P2214" t="s">
        <v>221</v>
      </c>
      <c r="Q2214" t="s">
        <v>82</v>
      </c>
      <c r="R2214">
        <v>1</v>
      </c>
      <c r="S2214">
        <v>24.7</v>
      </c>
      <c r="T2214">
        <v>0</v>
      </c>
      <c r="U2214">
        <v>1</v>
      </c>
      <c r="V2214">
        <v>1</v>
      </c>
      <c r="W2214">
        <v>37.08</v>
      </c>
      <c r="X2214">
        <v>0</v>
      </c>
      <c r="Y2214">
        <v>0</v>
      </c>
      <c r="Z2214">
        <v>0</v>
      </c>
      <c r="AA2214">
        <v>0</v>
      </c>
      <c r="AB2214">
        <v>0</v>
      </c>
      <c r="AC2214">
        <v>0</v>
      </c>
      <c r="AD2214">
        <v>1</v>
      </c>
      <c r="AE2214">
        <v>0</v>
      </c>
      <c r="AF2214">
        <v>0</v>
      </c>
      <c r="AG2214">
        <v>0</v>
      </c>
      <c r="AH2214">
        <v>0</v>
      </c>
      <c r="AI2214">
        <v>0</v>
      </c>
      <c r="AJ2214">
        <v>0</v>
      </c>
      <c r="AK2214">
        <v>0</v>
      </c>
    </row>
    <row r="2215" spans="1:37" x14ac:dyDescent="0.3">
      <c r="A2215">
        <v>7979</v>
      </c>
      <c r="B2215" t="s">
        <v>219</v>
      </c>
      <c r="D2215" t="s">
        <v>327</v>
      </c>
      <c r="E2215">
        <v>99999999</v>
      </c>
      <c r="F2215">
        <v>11111111</v>
      </c>
      <c r="G2215">
        <v>1111111111</v>
      </c>
      <c r="H2215" t="s">
        <v>5784</v>
      </c>
      <c r="I2215">
        <v>99999999</v>
      </c>
      <c r="J2215" s="188">
        <v>45238</v>
      </c>
      <c r="K2215" t="s">
        <v>5784</v>
      </c>
      <c r="L2215" t="s">
        <v>5784</v>
      </c>
      <c r="M2215" t="s">
        <v>171</v>
      </c>
      <c r="N2215" t="s">
        <v>104</v>
      </c>
      <c r="O2215" t="s">
        <v>2913</v>
      </c>
      <c r="P2215" t="s">
        <v>221</v>
      </c>
      <c r="Q2215" t="s">
        <v>82</v>
      </c>
      <c r="R2215">
        <v>1</v>
      </c>
      <c r="S2215">
        <v>24.7</v>
      </c>
      <c r="T2215">
        <v>0</v>
      </c>
      <c r="U2215">
        <v>1</v>
      </c>
      <c r="V2215">
        <v>1</v>
      </c>
      <c r="W2215">
        <v>31.99</v>
      </c>
      <c r="X2215">
        <v>0</v>
      </c>
      <c r="Y2215">
        <v>0</v>
      </c>
      <c r="Z2215">
        <v>0</v>
      </c>
      <c r="AA2215">
        <v>0</v>
      </c>
      <c r="AB2215">
        <v>0</v>
      </c>
      <c r="AC2215">
        <v>0</v>
      </c>
      <c r="AD2215">
        <v>1</v>
      </c>
      <c r="AE2215">
        <v>0</v>
      </c>
      <c r="AF2215">
        <v>0</v>
      </c>
      <c r="AG2215">
        <v>0</v>
      </c>
      <c r="AH2215">
        <v>0</v>
      </c>
      <c r="AI2215">
        <v>0</v>
      </c>
      <c r="AJ2215">
        <v>0</v>
      </c>
      <c r="AK2215">
        <v>0</v>
      </c>
    </row>
    <row r="2216" spans="1:37" x14ac:dyDescent="0.3">
      <c r="A2216">
        <v>7979</v>
      </c>
      <c r="B2216" t="s">
        <v>219</v>
      </c>
      <c r="D2216" t="s">
        <v>327</v>
      </c>
      <c r="E2216">
        <v>99999999</v>
      </c>
      <c r="F2216">
        <v>11111111</v>
      </c>
      <c r="G2216">
        <v>1111111111</v>
      </c>
      <c r="H2216" t="s">
        <v>5785</v>
      </c>
      <c r="I2216">
        <v>99999999</v>
      </c>
      <c r="J2216" s="188">
        <v>45238</v>
      </c>
      <c r="K2216" t="s">
        <v>5785</v>
      </c>
      <c r="L2216" t="s">
        <v>5785</v>
      </c>
      <c r="M2216" t="s">
        <v>2914</v>
      </c>
      <c r="N2216" t="s">
        <v>197</v>
      </c>
      <c r="O2216" t="s">
        <v>2915</v>
      </c>
      <c r="P2216" t="s">
        <v>221</v>
      </c>
      <c r="Q2216" t="s">
        <v>82</v>
      </c>
      <c r="R2216">
        <v>1</v>
      </c>
      <c r="S2216">
        <v>1.2</v>
      </c>
      <c r="T2216">
        <v>0</v>
      </c>
      <c r="U2216">
        <v>1</v>
      </c>
      <c r="V2216">
        <v>1</v>
      </c>
      <c r="W2216">
        <v>28.27</v>
      </c>
      <c r="X2216">
        <v>0</v>
      </c>
      <c r="Y2216">
        <v>0</v>
      </c>
      <c r="Z2216">
        <v>0</v>
      </c>
      <c r="AA2216">
        <v>0</v>
      </c>
      <c r="AB2216">
        <v>0</v>
      </c>
      <c r="AC2216">
        <v>0</v>
      </c>
      <c r="AD2216">
        <v>1</v>
      </c>
      <c r="AE2216">
        <v>0</v>
      </c>
      <c r="AF2216">
        <v>0</v>
      </c>
      <c r="AG2216">
        <v>0</v>
      </c>
      <c r="AH2216">
        <v>0</v>
      </c>
      <c r="AI2216">
        <v>0</v>
      </c>
      <c r="AJ2216">
        <v>0</v>
      </c>
      <c r="AK2216">
        <v>0</v>
      </c>
    </row>
    <row r="2217" spans="1:37" x14ac:dyDescent="0.3">
      <c r="A2217">
        <v>7979</v>
      </c>
      <c r="B2217" t="s">
        <v>219</v>
      </c>
      <c r="D2217" t="s">
        <v>327</v>
      </c>
      <c r="E2217">
        <v>99999999</v>
      </c>
      <c r="F2217">
        <v>11111111</v>
      </c>
      <c r="G2217">
        <v>1111111111</v>
      </c>
      <c r="H2217" t="s">
        <v>5786</v>
      </c>
      <c r="I2217">
        <v>99999999</v>
      </c>
      <c r="J2217" s="188">
        <v>45238</v>
      </c>
      <c r="K2217" t="s">
        <v>5786</v>
      </c>
      <c r="L2217" t="s">
        <v>5786</v>
      </c>
      <c r="M2217" t="s">
        <v>2916</v>
      </c>
      <c r="N2217" t="s">
        <v>99</v>
      </c>
      <c r="O2217" t="s">
        <v>2917</v>
      </c>
      <c r="P2217" t="s">
        <v>221</v>
      </c>
      <c r="Q2217" t="s">
        <v>82</v>
      </c>
      <c r="R2217">
        <v>1</v>
      </c>
      <c r="S2217">
        <v>7.5</v>
      </c>
      <c r="T2217">
        <v>0</v>
      </c>
      <c r="U2217">
        <v>1</v>
      </c>
      <c r="V2217">
        <v>1</v>
      </c>
      <c r="W2217">
        <v>30.61</v>
      </c>
      <c r="X2217">
        <v>0</v>
      </c>
      <c r="Y2217">
        <v>0</v>
      </c>
      <c r="Z2217">
        <v>0</v>
      </c>
      <c r="AA2217">
        <v>0</v>
      </c>
      <c r="AB2217">
        <v>0</v>
      </c>
      <c r="AC2217">
        <v>0</v>
      </c>
      <c r="AD2217">
        <v>1</v>
      </c>
      <c r="AE2217">
        <v>0</v>
      </c>
      <c r="AF2217">
        <v>0</v>
      </c>
      <c r="AG2217">
        <v>0</v>
      </c>
      <c r="AH2217">
        <v>0</v>
      </c>
      <c r="AI2217">
        <v>0</v>
      </c>
      <c r="AJ2217">
        <v>0</v>
      </c>
      <c r="AK2217">
        <v>0</v>
      </c>
    </row>
    <row r="2218" spans="1:37" x14ac:dyDescent="0.3">
      <c r="A2218">
        <v>7979</v>
      </c>
      <c r="B2218" t="s">
        <v>219</v>
      </c>
      <c r="D2218" t="s">
        <v>327</v>
      </c>
      <c r="E2218">
        <v>99999999</v>
      </c>
      <c r="F2218">
        <v>11111111</v>
      </c>
      <c r="G2218">
        <v>1111111111</v>
      </c>
      <c r="H2218" t="s">
        <v>5787</v>
      </c>
      <c r="I2218">
        <v>99999999</v>
      </c>
      <c r="J2218" s="188">
        <v>45238</v>
      </c>
      <c r="K2218" t="s">
        <v>5787</v>
      </c>
      <c r="L2218" t="s">
        <v>5787</v>
      </c>
      <c r="M2218" t="s">
        <v>173</v>
      </c>
      <c r="N2218" t="s">
        <v>164</v>
      </c>
      <c r="O2218">
        <v>97217</v>
      </c>
      <c r="P2218" t="s">
        <v>221</v>
      </c>
      <c r="Q2218" t="s">
        <v>82</v>
      </c>
      <c r="R2218">
        <v>2</v>
      </c>
      <c r="S2218">
        <v>0.5</v>
      </c>
      <c r="T2218">
        <v>0</v>
      </c>
      <c r="U2218">
        <v>1</v>
      </c>
      <c r="V2218">
        <v>1</v>
      </c>
      <c r="W2218">
        <v>19.260000000000002</v>
      </c>
      <c r="X2218">
        <v>0</v>
      </c>
      <c r="Y2218">
        <v>0</v>
      </c>
      <c r="Z2218">
        <v>0</v>
      </c>
      <c r="AA2218">
        <v>0</v>
      </c>
      <c r="AB2218">
        <v>0</v>
      </c>
      <c r="AC2218">
        <v>0</v>
      </c>
      <c r="AD2218">
        <v>2</v>
      </c>
      <c r="AE2218">
        <v>0</v>
      </c>
      <c r="AF2218">
        <v>0</v>
      </c>
      <c r="AG2218">
        <v>0</v>
      </c>
      <c r="AH2218">
        <v>0</v>
      </c>
      <c r="AI2218">
        <v>0</v>
      </c>
      <c r="AJ2218">
        <v>0</v>
      </c>
      <c r="AK2218">
        <v>0</v>
      </c>
    </row>
    <row r="2219" spans="1:37" x14ac:dyDescent="0.3">
      <c r="A2219">
        <v>7979</v>
      </c>
      <c r="B2219" t="s">
        <v>219</v>
      </c>
      <c r="D2219" t="s">
        <v>327</v>
      </c>
      <c r="E2219">
        <v>99999999</v>
      </c>
      <c r="F2219">
        <v>11111111</v>
      </c>
      <c r="G2219">
        <v>1111111111</v>
      </c>
      <c r="H2219" t="s">
        <v>5788</v>
      </c>
      <c r="I2219">
        <v>99999999</v>
      </c>
      <c r="J2219" s="188">
        <v>45238</v>
      </c>
      <c r="K2219" t="s">
        <v>5788</v>
      </c>
      <c r="L2219" t="s">
        <v>5788</v>
      </c>
      <c r="M2219" t="s">
        <v>2918</v>
      </c>
      <c r="N2219" t="s">
        <v>97</v>
      </c>
      <c r="O2219" t="s">
        <v>2919</v>
      </c>
      <c r="P2219" t="s">
        <v>221</v>
      </c>
      <c r="Q2219" t="s">
        <v>82</v>
      </c>
      <c r="R2219">
        <v>1</v>
      </c>
      <c r="S2219">
        <v>5.6</v>
      </c>
      <c r="T2219">
        <v>0</v>
      </c>
      <c r="U2219">
        <v>1</v>
      </c>
      <c r="V2219">
        <v>1</v>
      </c>
      <c r="W2219">
        <v>31.73</v>
      </c>
      <c r="X2219">
        <v>0</v>
      </c>
      <c r="Y2219">
        <v>0</v>
      </c>
      <c r="Z2219">
        <v>0</v>
      </c>
      <c r="AA2219">
        <v>0</v>
      </c>
      <c r="AB2219">
        <v>0</v>
      </c>
      <c r="AC2219">
        <v>0</v>
      </c>
      <c r="AD2219">
        <v>1</v>
      </c>
      <c r="AE2219">
        <v>0</v>
      </c>
      <c r="AF2219">
        <v>0</v>
      </c>
      <c r="AG2219">
        <v>0</v>
      </c>
      <c r="AH2219">
        <v>0</v>
      </c>
      <c r="AI2219">
        <v>0</v>
      </c>
      <c r="AJ2219">
        <v>0</v>
      </c>
      <c r="AK2219">
        <v>0</v>
      </c>
    </row>
    <row r="2220" spans="1:37" x14ac:dyDescent="0.3">
      <c r="A2220">
        <v>7979</v>
      </c>
      <c r="B2220" t="s">
        <v>219</v>
      </c>
      <c r="D2220" t="s">
        <v>327</v>
      </c>
      <c r="E2220">
        <v>99999999</v>
      </c>
      <c r="F2220">
        <v>11111111</v>
      </c>
      <c r="G2220">
        <v>1111111111</v>
      </c>
      <c r="H2220" t="s">
        <v>5789</v>
      </c>
      <c r="I2220">
        <v>99999999</v>
      </c>
      <c r="J2220" s="188">
        <v>45238</v>
      </c>
      <c r="K2220" t="s">
        <v>5789</v>
      </c>
      <c r="L2220" t="s">
        <v>5789</v>
      </c>
      <c r="M2220" t="s">
        <v>2020</v>
      </c>
      <c r="N2220" t="s">
        <v>99</v>
      </c>
      <c r="O2220" t="s">
        <v>2920</v>
      </c>
      <c r="P2220" t="s">
        <v>221</v>
      </c>
      <c r="Q2220" t="s">
        <v>82</v>
      </c>
      <c r="R2220">
        <v>1</v>
      </c>
      <c r="S2220">
        <v>3.2</v>
      </c>
      <c r="T2220">
        <v>0</v>
      </c>
      <c r="U2220">
        <v>1</v>
      </c>
      <c r="V2220">
        <v>1</v>
      </c>
      <c r="W2220">
        <v>22.47</v>
      </c>
      <c r="X2220">
        <v>0</v>
      </c>
      <c r="Y2220">
        <v>0</v>
      </c>
      <c r="Z2220">
        <v>0</v>
      </c>
      <c r="AA2220">
        <v>0</v>
      </c>
      <c r="AB2220">
        <v>0</v>
      </c>
      <c r="AC2220">
        <v>0</v>
      </c>
      <c r="AD2220">
        <v>1</v>
      </c>
      <c r="AE2220">
        <v>0</v>
      </c>
      <c r="AF2220">
        <v>0</v>
      </c>
      <c r="AG2220">
        <v>0</v>
      </c>
      <c r="AH2220">
        <v>0</v>
      </c>
      <c r="AI2220">
        <v>0</v>
      </c>
      <c r="AJ2220">
        <v>0</v>
      </c>
      <c r="AK2220">
        <v>0</v>
      </c>
    </row>
    <row r="2221" spans="1:37" x14ac:dyDescent="0.3">
      <c r="A2221">
        <v>7979</v>
      </c>
      <c r="B2221" t="s">
        <v>219</v>
      </c>
      <c r="D2221" t="s">
        <v>327</v>
      </c>
      <c r="E2221">
        <v>99999999</v>
      </c>
      <c r="F2221">
        <v>11111111</v>
      </c>
      <c r="G2221">
        <v>1111111111</v>
      </c>
      <c r="H2221" t="s">
        <v>5790</v>
      </c>
      <c r="I2221">
        <v>99999999</v>
      </c>
      <c r="J2221" s="188">
        <v>45238</v>
      </c>
      <c r="K2221" t="s">
        <v>5790</v>
      </c>
      <c r="L2221" t="s">
        <v>5790</v>
      </c>
      <c r="M2221" t="s">
        <v>2871</v>
      </c>
      <c r="N2221" t="s">
        <v>99</v>
      </c>
      <c r="O2221" t="s">
        <v>2921</v>
      </c>
      <c r="P2221" t="s">
        <v>221</v>
      </c>
      <c r="Q2221" t="s">
        <v>82</v>
      </c>
      <c r="R2221">
        <v>8</v>
      </c>
      <c r="S2221">
        <v>2.56</v>
      </c>
      <c r="T2221">
        <v>0</v>
      </c>
      <c r="U2221">
        <v>1</v>
      </c>
      <c r="V2221">
        <v>1</v>
      </c>
      <c r="W2221">
        <v>20.72</v>
      </c>
      <c r="X2221">
        <v>0</v>
      </c>
      <c r="Y2221">
        <v>0</v>
      </c>
      <c r="Z2221">
        <v>0</v>
      </c>
      <c r="AA2221">
        <v>0</v>
      </c>
      <c r="AB2221">
        <v>0</v>
      </c>
      <c r="AC2221">
        <v>0</v>
      </c>
      <c r="AD2221">
        <v>8</v>
      </c>
      <c r="AE2221">
        <v>0</v>
      </c>
      <c r="AF2221">
        <v>0</v>
      </c>
      <c r="AG2221">
        <v>0</v>
      </c>
      <c r="AH2221">
        <v>0</v>
      </c>
      <c r="AI2221">
        <v>0</v>
      </c>
      <c r="AJ2221">
        <v>0</v>
      </c>
      <c r="AK2221">
        <v>0</v>
      </c>
    </row>
    <row r="2222" spans="1:37" x14ac:dyDescent="0.3">
      <c r="A2222">
        <v>7979</v>
      </c>
      <c r="B2222" t="s">
        <v>219</v>
      </c>
      <c r="D2222" t="s">
        <v>327</v>
      </c>
      <c r="E2222">
        <v>99999999</v>
      </c>
      <c r="F2222">
        <v>11111111</v>
      </c>
      <c r="G2222">
        <v>1111111111</v>
      </c>
      <c r="H2222" t="s">
        <v>5791</v>
      </c>
      <c r="I2222">
        <v>99999999</v>
      </c>
      <c r="J2222" s="188">
        <v>45238</v>
      </c>
      <c r="K2222" t="s">
        <v>5791</v>
      </c>
      <c r="L2222" t="s">
        <v>5791</v>
      </c>
      <c r="M2222" t="s">
        <v>2922</v>
      </c>
      <c r="N2222" t="s">
        <v>99</v>
      </c>
      <c r="O2222" t="s">
        <v>2923</v>
      </c>
      <c r="P2222" t="s">
        <v>221</v>
      </c>
      <c r="Q2222" t="s">
        <v>82</v>
      </c>
      <c r="R2222">
        <v>1</v>
      </c>
      <c r="S2222">
        <v>1.2</v>
      </c>
      <c r="T2222">
        <v>0</v>
      </c>
      <c r="U2222">
        <v>1</v>
      </c>
      <c r="V2222">
        <v>1</v>
      </c>
      <c r="W2222">
        <v>34.93</v>
      </c>
      <c r="X2222">
        <v>0</v>
      </c>
      <c r="Y2222">
        <v>0</v>
      </c>
      <c r="Z2222">
        <v>0</v>
      </c>
      <c r="AA2222">
        <v>0</v>
      </c>
      <c r="AB2222">
        <v>0</v>
      </c>
      <c r="AC2222">
        <v>0</v>
      </c>
      <c r="AD2222">
        <v>1</v>
      </c>
      <c r="AE2222">
        <v>0</v>
      </c>
      <c r="AF2222">
        <v>0</v>
      </c>
      <c r="AG2222">
        <v>0</v>
      </c>
      <c r="AH2222">
        <v>0</v>
      </c>
      <c r="AI2222">
        <v>0</v>
      </c>
      <c r="AJ2222">
        <v>0</v>
      </c>
      <c r="AK2222">
        <v>0</v>
      </c>
    </row>
    <row r="2223" spans="1:37" x14ac:dyDescent="0.3">
      <c r="A2223">
        <v>7979</v>
      </c>
      <c r="B2223" t="s">
        <v>219</v>
      </c>
      <c r="D2223" t="s">
        <v>327</v>
      </c>
      <c r="E2223">
        <v>99999999</v>
      </c>
      <c r="F2223">
        <v>11111111</v>
      </c>
      <c r="G2223">
        <v>1111111111</v>
      </c>
      <c r="H2223" t="s">
        <v>5792</v>
      </c>
      <c r="I2223">
        <v>99999999</v>
      </c>
      <c r="J2223" s="188">
        <v>45238</v>
      </c>
      <c r="K2223" t="s">
        <v>5792</v>
      </c>
      <c r="L2223" t="s">
        <v>5792</v>
      </c>
      <c r="M2223" t="s">
        <v>2924</v>
      </c>
      <c r="N2223" t="s">
        <v>97</v>
      </c>
      <c r="O2223">
        <v>98012</v>
      </c>
      <c r="P2223" t="s">
        <v>221</v>
      </c>
      <c r="Q2223" t="s">
        <v>82</v>
      </c>
      <c r="R2223">
        <v>1</v>
      </c>
      <c r="S2223">
        <v>2.6</v>
      </c>
      <c r="T2223">
        <v>0</v>
      </c>
      <c r="U2223">
        <v>1</v>
      </c>
      <c r="V2223">
        <v>1</v>
      </c>
      <c r="W2223">
        <v>22.47</v>
      </c>
      <c r="X2223">
        <v>0</v>
      </c>
      <c r="Y2223">
        <v>0</v>
      </c>
      <c r="Z2223">
        <v>0</v>
      </c>
      <c r="AA2223">
        <v>0</v>
      </c>
      <c r="AB2223">
        <v>0</v>
      </c>
      <c r="AC2223">
        <v>0</v>
      </c>
      <c r="AD2223">
        <v>1</v>
      </c>
      <c r="AE2223">
        <v>0</v>
      </c>
      <c r="AF2223">
        <v>0</v>
      </c>
      <c r="AG2223">
        <v>0</v>
      </c>
      <c r="AH2223">
        <v>0</v>
      </c>
      <c r="AI2223">
        <v>0</v>
      </c>
      <c r="AJ2223">
        <v>0</v>
      </c>
      <c r="AK2223">
        <v>0</v>
      </c>
    </row>
    <row r="2224" spans="1:37" x14ac:dyDescent="0.3">
      <c r="A2224">
        <v>7979</v>
      </c>
      <c r="B2224" t="s">
        <v>219</v>
      </c>
      <c r="D2224" t="s">
        <v>327</v>
      </c>
      <c r="E2224">
        <v>99999999</v>
      </c>
      <c r="F2224">
        <v>11111111</v>
      </c>
      <c r="G2224">
        <v>1111111111</v>
      </c>
      <c r="H2224" t="s">
        <v>5793</v>
      </c>
      <c r="I2224">
        <v>99999999</v>
      </c>
      <c r="J2224" s="188">
        <v>45238</v>
      </c>
      <c r="K2224" t="s">
        <v>5793</v>
      </c>
      <c r="L2224" t="s">
        <v>5793</v>
      </c>
      <c r="M2224" t="s">
        <v>1574</v>
      </c>
      <c r="N2224" t="s">
        <v>99</v>
      </c>
      <c r="O2224" t="s">
        <v>1917</v>
      </c>
      <c r="P2224" t="s">
        <v>221</v>
      </c>
      <c r="Q2224" t="s">
        <v>82</v>
      </c>
      <c r="R2224">
        <v>1</v>
      </c>
      <c r="S2224">
        <v>3</v>
      </c>
      <c r="T2224">
        <v>0</v>
      </c>
      <c r="U2224">
        <v>1</v>
      </c>
      <c r="V2224">
        <v>1</v>
      </c>
      <c r="W2224">
        <v>20.72</v>
      </c>
      <c r="X2224">
        <v>0</v>
      </c>
      <c r="Y2224">
        <v>0</v>
      </c>
      <c r="Z2224">
        <v>0</v>
      </c>
      <c r="AA2224">
        <v>0</v>
      </c>
      <c r="AB2224">
        <v>0</v>
      </c>
      <c r="AC2224">
        <v>0</v>
      </c>
      <c r="AD2224">
        <v>1</v>
      </c>
      <c r="AE2224">
        <v>0</v>
      </c>
      <c r="AF2224">
        <v>0</v>
      </c>
      <c r="AG2224">
        <v>0</v>
      </c>
      <c r="AH2224">
        <v>0</v>
      </c>
      <c r="AI2224">
        <v>0</v>
      </c>
      <c r="AJ2224">
        <v>0</v>
      </c>
      <c r="AK2224">
        <v>0</v>
      </c>
    </row>
    <row r="2225" spans="1:37" x14ac:dyDescent="0.3">
      <c r="A2225">
        <v>7979</v>
      </c>
      <c r="B2225" t="s">
        <v>219</v>
      </c>
      <c r="D2225" t="s">
        <v>327</v>
      </c>
      <c r="E2225">
        <v>99999999</v>
      </c>
      <c r="F2225">
        <v>11111111</v>
      </c>
      <c r="G2225">
        <v>1111111111</v>
      </c>
      <c r="H2225" t="s">
        <v>5794</v>
      </c>
      <c r="I2225">
        <v>99999999</v>
      </c>
      <c r="J2225" s="188">
        <v>45238</v>
      </c>
      <c r="K2225" t="s">
        <v>5794</v>
      </c>
      <c r="L2225" t="s">
        <v>5794</v>
      </c>
      <c r="M2225" t="s">
        <v>2561</v>
      </c>
      <c r="N2225" t="s">
        <v>97</v>
      </c>
      <c r="O2225" t="s">
        <v>2925</v>
      </c>
      <c r="P2225" t="s">
        <v>221</v>
      </c>
      <c r="Q2225" t="s">
        <v>82</v>
      </c>
      <c r="R2225">
        <v>1</v>
      </c>
      <c r="S2225">
        <v>2.2400000000000002</v>
      </c>
      <c r="T2225">
        <v>0</v>
      </c>
      <c r="U2225">
        <v>1</v>
      </c>
      <c r="V2225">
        <v>1</v>
      </c>
      <c r="W2225">
        <v>27.94</v>
      </c>
      <c r="X2225">
        <v>0</v>
      </c>
      <c r="Y2225">
        <v>0</v>
      </c>
      <c r="Z2225">
        <v>0</v>
      </c>
      <c r="AA2225">
        <v>0</v>
      </c>
      <c r="AB2225">
        <v>0</v>
      </c>
      <c r="AC2225">
        <v>0</v>
      </c>
      <c r="AD2225">
        <v>1</v>
      </c>
      <c r="AE2225">
        <v>0</v>
      </c>
      <c r="AF2225">
        <v>0</v>
      </c>
      <c r="AG2225">
        <v>0</v>
      </c>
      <c r="AH2225">
        <v>0</v>
      </c>
      <c r="AI2225">
        <v>0</v>
      </c>
      <c r="AJ2225">
        <v>0</v>
      </c>
      <c r="AK2225">
        <v>0</v>
      </c>
    </row>
    <row r="2226" spans="1:37" x14ac:dyDescent="0.3">
      <c r="A2226">
        <v>7979</v>
      </c>
      <c r="B2226" t="s">
        <v>219</v>
      </c>
      <c r="D2226" t="s">
        <v>327</v>
      </c>
      <c r="E2226">
        <v>99999999</v>
      </c>
      <c r="F2226">
        <v>11111111</v>
      </c>
      <c r="G2226">
        <v>1111111111</v>
      </c>
      <c r="H2226" t="s">
        <v>5795</v>
      </c>
      <c r="I2226">
        <v>99999999</v>
      </c>
      <c r="J2226" s="188">
        <v>45238</v>
      </c>
      <c r="K2226" t="s">
        <v>5795</v>
      </c>
      <c r="L2226" t="s">
        <v>5795</v>
      </c>
      <c r="M2226" t="s">
        <v>2926</v>
      </c>
      <c r="N2226" t="s">
        <v>164</v>
      </c>
      <c r="O2226" t="s">
        <v>2927</v>
      </c>
      <c r="P2226" t="s">
        <v>221</v>
      </c>
      <c r="Q2226" t="s">
        <v>82</v>
      </c>
      <c r="R2226">
        <v>1</v>
      </c>
      <c r="S2226">
        <v>11.666</v>
      </c>
      <c r="T2226">
        <v>0</v>
      </c>
      <c r="U2226">
        <v>1</v>
      </c>
      <c r="V2226">
        <v>1</v>
      </c>
      <c r="W2226">
        <v>33.24</v>
      </c>
      <c r="X2226">
        <v>0</v>
      </c>
      <c r="Y2226">
        <v>0</v>
      </c>
      <c r="Z2226">
        <v>0</v>
      </c>
      <c r="AA2226">
        <v>0</v>
      </c>
      <c r="AB2226">
        <v>0</v>
      </c>
      <c r="AC2226">
        <v>0</v>
      </c>
      <c r="AD2226">
        <v>1</v>
      </c>
      <c r="AE2226">
        <v>0</v>
      </c>
      <c r="AF2226">
        <v>0</v>
      </c>
      <c r="AG2226">
        <v>0</v>
      </c>
      <c r="AH2226">
        <v>0</v>
      </c>
      <c r="AI2226">
        <v>0</v>
      </c>
      <c r="AJ2226">
        <v>0</v>
      </c>
      <c r="AK2226">
        <v>0</v>
      </c>
    </row>
    <row r="2227" spans="1:37" x14ac:dyDescent="0.3">
      <c r="A2227">
        <v>7979</v>
      </c>
      <c r="B2227" t="s">
        <v>219</v>
      </c>
      <c r="D2227" t="s">
        <v>327</v>
      </c>
      <c r="E2227">
        <v>99999999</v>
      </c>
      <c r="F2227">
        <v>11111111</v>
      </c>
      <c r="G2227">
        <v>1111111111</v>
      </c>
      <c r="H2227" t="s">
        <v>5796</v>
      </c>
      <c r="I2227">
        <v>99999999</v>
      </c>
      <c r="J2227" s="188">
        <v>45238</v>
      </c>
      <c r="K2227" t="s">
        <v>5796</v>
      </c>
      <c r="L2227" t="s">
        <v>5796</v>
      </c>
      <c r="M2227" t="s">
        <v>1334</v>
      </c>
      <c r="N2227" t="s">
        <v>197</v>
      </c>
      <c r="O2227" t="s">
        <v>2928</v>
      </c>
      <c r="P2227" t="s">
        <v>221</v>
      </c>
      <c r="Q2227" t="s">
        <v>82</v>
      </c>
      <c r="R2227">
        <v>1</v>
      </c>
      <c r="S2227">
        <v>5.6</v>
      </c>
      <c r="T2227">
        <v>0</v>
      </c>
      <c r="U2227">
        <v>1</v>
      </c>
      <c r="V2227">
        <v>1</v>
      </c>
      <c r="W2227">
        <v>33.65</v>
      </c>
      <c r="X2227">
        <v>0</v>
      </c>
      <c r="Y2227">
        <v>0</v>
      </c>
      <c r="Z2227">
        <v>0</v>
      </c>
      <c r="AA2227">
        <v>0</v>
      </c>
      <c r="AB2227">
        <v>0</v>
      </c>
      <c r="AC2227">
        <v>0</v>
      </c>
      <c r="AD2227">
        <v>1</v>
      </c>
      <c r="AE2227">
        <v>0</v>
      </c>
      <c r="AF2227">
        <v>0</v>
      </c>
      <c r="AG2227">
        <v>0</v>
      </c>
      <c r="AH2227">
        <v>0</v>
      </c>
      <c r="AI2227">
        <v>0</v>
      </c>
      <c r="AJ2227">
        <v>0</v>
      </c>
      <c r="AK2227">
        <v>0</v>
      </c>
    </row>
    <row r="2228" spans="1:37" x14ac:dyDescent="0.3">
      <c r="A2228">
        <v>7979</v>
      </c>
      <c r="B2228" t="s">
        <v>219</v>
      </c>
      <c r="D2228" t="s">
        <v>327</v>
      </c>
      <c r="E2228">
        <v>99999999</v>
      </c>
      <c r="F2228">
        <v>11111111</v>
      </c>
      <c r="G2228">
        <v>1111111111</v>
      </c>
      <c r="H2228" t="s">
        <v>5797</v>
      </c>
      <c r="I2228">
        <v>99999999</v>
      </c>
      <c r="J2228" s="188">
        <v>45238</v>
      </c>
      <c r="K2228" t="s">
        <v>5797</v>
      </c>
      <c r="L2228" t="s">
        <v>5797</v>
      </c>
      <c r="M2228" t="s">
        <v>2158</v>
      </c>
      <c r="N2228" t="s">
        <v>97</v>
      </c>
      <c r="O2228" t="s">
        <v>2929</v>
      </c>
      <c r="P2228" t="s">
        <v>221</v>
      </c>
      <c r="Q2228" t="s">
        <v>82</v>
      </c>
      <c r="R2228">
        <v>1</v>
      </c>
      <c r="S2228">
        <v>3.2</v>
      </c>
      <c r="T2228">
        <v>0</v>
      </c>
      <c r="U2228">
        <v>1</v>
      </c>
      <c r="V2228">
        <v>1</v>
      </c>
      <c r="W2228">
        <v>22.47</v>
      </c>
      <c r="X2228">
        <v>0</v>
      </c>
      <c r="Y2228">
        <v>0</v>
      </c>
      <c r="Z2228">
        <v>0</v>
      </c>
      <c r="AA2228">
        <v>0</v>
      </c>
      <c r="AB2228">
        <v>0</v>
      </c>
      <c r="AC2228">
        <v>0</v>
      </c>
      <c r="AD2228">
        <v>1</v>
      </c>
      <c r="AE2228">
        <v>0</v>
      </c>
      <c r="AF2228">
        <v>0</v>
      </c>
      <c r="AG2228">
        <v>0</v>
      </c>
      <c r="AH2228">
        <v>0</v>
      </c>
      <c r="AI2228">
        <v>0</v>
      </c>
      <c r="AJ2228">
        <v>0</v>
      </c>
      <c r="AK2228">
        <v>0</v>
      </c>
    </row>
    <row r="2229" spans="1:37" x14ac:dyDescent="0.3">
      <c r="A2229">
        <v>7979</v>
      </c>
      <c r="B2229" t="s">
        <v>219</v>
      </c>
      <c r="D2229" t="s">
        <v>327</v>
      </c>
      <c r="E2229">
        <v>99999999</v>
      </c>
      <c r="F2229">
        <v>11111111</v>
      </c>
      <c r="G2229">
        <v>1111111111</v>
      </c>
      <c r="H2229" t="s">
        <v>5798</v>
      </c>
      <c r="I2229">
        <v>99999999</v>
      </c>
      <c r="J2229" s="188">
        <v>45238</v>
      </c>
      <c r="K2229" t="s">
        <v>5798</v>
      </c>
      <c r="L2229" t="s">
        <v>5798</v>
      </c>
      <c r="M2229" t="s">
        <v>590</v>
      </c>
      <c r="N2229" t="s">
        <v>130</v>
      </c>
      <c r="O2229" t="s">
        <v>2930</v>
      </c>
      <c r="P2229" t="s">
        <v>221</v>
      </c>
      <c r="Q2229" t="s">
        <v>82</v>
      </c>
      <c r="R2229">
        <v>1</v>
      </c>
      <c r="S2229">
        <v>10</v>
      </c>
      <c r="T2229">
        <v>0</v>
      </c>
      <c r="U2229">
        <v>1</v>
      </c>
      <c r="V2229">
        <v>1</v>
      </c>
      <c r="W2229">
        <v>34.46</v>
      </c>
      <c r="X2229">
        <v>0</v>
      </c>
      <c r="Y2229">
        <v>0</v>
      </c>
      <c r="Z2229">
        <v>0</v>
      </c>
      <c r="AA2229">
        <v>0</v>
      </c>
      <c r="AB2229">
        <v>0</v>
      </c>
      <c r="AC2229">
        <v>0</v>
      </c>
      <c r="AD2229">
        <v>1</v>
      </c>
      <c r="AE2229">
        <v>0</v>
      </c>
      <c r="AF2229">
        <v>0</v>
      </c>
      <c r="AG2229">
        <v>0</v>
      </c>
      <c r="AH2229">
        <v>0</v>
      </c>
      <c r="AI2229">
        <v>0</v>
      </c>
      <c r="AJ2229">
        <v>0</v>
      </c>
      <c r="AK2229">
        <v>0</v>
      </c>
    </row>
    <row r="2230" spans="1:37" x14ac:dyDescent="0.3">
      <c r="A2230">
        <v>7979</v>
      </c>
      <c r="B2230" t="s">
        <v>219</v>
      </c>
      <c r="D2230" t="s">
        <v>327</v>
      </c>
      <c r="E2230">
        <v>99999999</v>
      </c>
      <c r="F2230">
        <v>11111111</v>
      </c>
      <c r="G2230">
        <v>1111111111</v>
      </c>
      <c r="H2230" t="s">
        <v>5799</v>
      </c>
      <c r="I2230">
        <v>99999999</v>
      </c>
      <c r="J2230" s="188">
        <v>45238</v>
      </c>
      <c r="K2230" t="s">
        <v>5799</v>
      </c>
      <c r="L2230" t="s">
        <v>5799</v>
      </c>
      <c r="M2230" t="s">
        <v>2931</v>
      </c>
      <c r="N2230" t="s">
        <v>164</v>
      </c>
      <c r="O2230" t="s">
        <v>2932</v>
      </c>
      <c r="P2230" t="s">
        <v>221</v>
      </c>
      <c r="Q2230" t="s">
        <v>82</v>
      </c>
      <c r="R2230">
        <v>1</v>
      </c>
      <c r="S2230">
        <v>12</v>
      </c>
      <c r="T2230">
        <v>0</v>
      </c>
      <c r="U2230">
        <v>1</v>
      </c>
      <c r="V2230">
        <v>1</v>
      </c>
      <c r="W2230">
        <v>25</v>
      </c>
      <c r="X2230">
        <v>0</v>
      </c>
      <c r="Y2230">
        <v>0</v>
      </c>
      <c r="Z2230">
        <v>0</v>
      </c>
      <c r="AA2230">
        <v>0</v>
      </c>
      <c r="AB2230">
        <v>0</v>
      </c>
      <c r="AC2230">
        <v>0</v>
      </c>
      <c r="AD2230">
        <v>1</v>
      </c>
      <c r="AE2230">
        <v>0</v>
      </c>
      <c r="AF2230">
        <v>0</v>
      </c>
      <c r="AG2230">
        <v>0</v>
      </c>
      <c r="AH2230">
        <v>0</v>
      </c>
      <c r="AI2230">
        <v>0</v>
      </c>
      <c r="AJ2230">
        <v>0</v>
      </c>
      <c r="AK2230">
        <v>0</v>
      </c>
    </row>
    <row r="2231" spans="1:37" x14ac:dyDescent="0.3">
      <c r="A2231">
        <v>7979</v>
      </c>
      <c r="B2231" t="s">
        <v>219</v>
      </c>
      <c r="D2231" t="s">
        <v>327</v>
      </c>
      <c r="E2231">
        <v>99999999</v>
      </c>
      <c r="F2231">
        <v>11111111</v>
      </c>
      <c r="G2231">
        <v>1111111111</v>
      </c>
      <c r="H2231" t="s">
        <v>5800</v>
      </c>
      <c r="I2231">
        <v>99999999</v>
      </c>
      <c r="J2231" s="188">
        <v>45238</v>
      </c>
      <c r="K2231" t="s">
        <v>5800</v>
      </c>
      <c r="L2231" t="s">
        <v>5800</v>
      </c>
      <c r="M2231" t="s">
        <v>2933</v>
      </c>
      <c r="N2231" t="s">
        <v>99</v>
      </c>
      <c r="O2231" t="s">
        <v>2934</v>
      </c>
      <c r="P2231" t="s">
        <v>221</v>
      </c>
      <c r="Q2231" t="s">
        <v>82</v>
      </c>
      <c r="R2231">
        <v>1</v>
      </c>
      <c r="S2231">
        <v>1.5</v>
      </c>
      <c r="T2231">
        <v>0</v>
      </c>
      <c r="U2231">
        <v>1</v>
      </c>
      <c r="V2231">
        <v>1</v>
      </c>
      <c r="W2231">
        <v>28.13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1</v>
      </c>
      <c r="AE2231">
        <v>0</v>
      </c>
      <c r="AF2231">
        <v>0</v>
      </c>
      <c r="AG2231">
        <v>0</v>
      </c>
      <c r="AH2231">
        <v>0</v>
      </c>
      <c r="AI2231">
        <v>0</v>
      </c>
      <c r="AJ2231">
        <v>0</v>
      </c>
      <c r="AK2231">
        <v>0</v>
      </c>
    </row>
    <row r="2232" spans="1:37" x14ac:dyDescent="0.3">
      <c r="A2232">
        <v>7979</v>
      </c>
      <c r="B2232" t="s">
        <v>219</v>
      </c>
      <c r="D2232" t="s">
        <v>327</v>
      </c>
      <c r="E2232">
        <v>99999999</v>
      </c>
      <c r="F2232">
        <v>11111111</v>
      </c>
      <c r="G2232">
        <v>1111111111</v>
      </c>
      <c r="H2232" t="s">
        <v>5801</v>
      </c>
      <c r="I2232">
        <v>99999999</v>
      </c>
      <c r="J2232" s="188">
        <v>45238</v>
      </c>
      <c r="K2232" t="s">
        <v>5801</v>
      </c>
      <c r="L2232" t="s">
        <v>5801</v>
      </c>
      <c r="M2232" t="s">
        <v>2935</v>
      </c>
      <c r="N2232" t="s">
        <v>97</v>
      </c>
      <c r="O2232" t="s">
        <v>2936</v>
      </c>
      <c r="P2232" t="s">
        <v>221</v>
      </c>
      <c r="Q2232" t="s">
        <v>82</v>
      </c>
      <c r="R2232">
        <v>1</v>
      </c>
      <c r="S2232">
        <v>3.2</v>
      </c>
      <c r="T2232">
        <v>0</v>
      </c>
      <c r="U2232">
        <v>1</v>
      </c>
      <c r="V2232">
        <v>1</v>
      </c>
      <c r="W2232">
        <v>28.58</v>
      </c>
      <c r="X2232">
        <v>0</v>
      </c>
      <c r="Y2232">
        <v>0</v>
      </c>
      <c r="Z2232">
        <v>0</v>
      </c>
      <c r="AA2232">
        <v>0</v>
      </c>
      <c r="AB2232">
        <v>0</v>
      </c>
      <c r="AC2232">
        <v>0</v>
      </c>
      <c r="AD2232">
        <v>1</v>
      </c>
      <c r="AE2232">
        <v>0</v>
      </c>
      <c r="AF2232">
        <v>0</v>
      </c>
      <c r="AG2232">
        <v>0</v>
      </c>
      <c r="AH2232">
        <v>0</v>
      </c>
      <c r="AI2232">
        <v>0</v>
      </c>
      <c r="AJ2232">
        <v>0</v>
      </c>
      <c r="AK2232">
        <v>0</v>
      </c>
    </row>
    <row r="2233" spans="1:37" x14ac:dyDescent="0.3">
      <c r="A2233">
        <v>7979</v>
      </c>
      <c r="B2233" t="s">
        <v>219</v>
      </c>
      <c r="D2233" t="s">
        <v>327</v>
      </c>
      <c r="E2233">
        <v>99999999</v>
      </c>
      <c r="F2233">
        <v>11111111</v>
      </c>
      <c r="G2233">
        <v>1111111111</v>
      </c>
      <c r="H2233" t="s">
        <v>5802</v>
      </c>
      <c r="I2233">
        <v>99999999</v>
      </c>
      <c r="J2233" s="188">
        <v>45238</v>
      </c>
      <c r="K2233" t="s">
        <v>5802</v>
      </c>
      <c r="L2233" t="s">
        <v>5802</v>
      </c>
      <c r="M2233" t="s">
        <v>2937</v>
      </c>
      <c r="N2233" t="s">
        <v>99</v>
      </c>
      <c r="O2233">
        <v>95073</v>
      </c>
      <c r="P2233" t="s">
        <v>221</v>
      </c>
      <c r="Q2233" t="s">
        <v>82</v>
      </c>
      <c r="R2233">
        <v>1</v>
      </c>
      <c r="S2233">
        <v>5.1100000000000003</v>
      </c>
      <c r="T2233">
        <v>0</v>
      </c>
      <c r="U2233">
        <v>1</v>
      </c>
      <c r="V2233">
        <v>1</v>
      </c>
      <c r="W2233">
        <v>21.45</v>
      </c>
      <c r="X2233">
        <v>0</v>
      </c>
      <c r="Y2233">
        <v>0</v>
      </c>
      <c r="Z2233">
        <v>0</v>
      </c>
      <c r="AA2233">
        <v>0</v>
      </c>
      <c r="AB2233">
        <v>0</v>
      </c>
      <c r="AC2233">
        <v>0</v>
      </c>
      <c r="AD2233">
        <v>1</v>
      </c>
      <c r="AE2233">
        <v>0</v>
      </c>
      <c r="AF2233">
        <v>0</v>
      </c>
      <c r="AG2233">
        <v>0</v>
      </c>
      <c r="AH2233">
        <v>0</v>
      </c>
      <c r="AI2233">
        <v>0</v>
      </c>
      <c r="AJ2233">
        <v>0</v>
      </c>
      <c r="AK2233">
        <v>0</v>
      </c>
    </row>
    <row r="2234" spans="1:37" x14ac:dyDescent="0.3">
      <c r="A2234">
        <v>7979</v>
      </c>
      <c r="B2234" t="s">
        <v>219</v>
      </c>
      <c r="D2234" t="s">
        <v>327</v>
      </c>
      <c r="E2234">
        <v>99999999</v>
      </c>
      <c r="F2234">
        <v>11111111</v>
      </c>
      <c r="G2234">
        <v>1111111111</v>
      </c>
      <c r="H2234" t="s">
        <v>5803</v>
      </c>
      <c r="I2234">
        <v>99999999</v>
      </c>
      <c r="J2234" s="188">
        <v>45238</v>
      </c>
      <c r="K2234" t="s">
        <v>5803</v>
      </c>
      <c r="L2234" t="s">
        <v>5803</v>
      </c>
      <c r="M2234" t="s">
        <v>2938</v>
      </c>
      <c r="N2234" t="s">
        <v>97</v>
      </c>
      <c r="O2234" t="s">
        <v>2939</v>
      </c>
      <c r="P2234" t="s">
        <v>221</v>
      </c>
      <c r="Q2234" t="s">
        <v>82</v>
      </c>
      <c r="R2234">
        <v>1</v>
      </c>
      <c r="S2234">
        <v>3.2</v>
      </c>
      <c r="T2234">
        <v>0</v>
      </c>
      <c r="U2234">
        <v>1</v>
      </c>
      <c r="V2234">
        <v>1</v>
      </c>
      <c r="W2234">
        <v>30.71</v>
      </c>
      <c r="X2234">
        <v>0</v>
      </c>
      <c r="Y2234">
        <v>0</v>
      </c>
      <c r="Z2234">
        <v>0</v>
      </c>
      <c r="AA2234">
        <v>0</v>
      </c>
      <c r="AB2234">
        <v>0</v>
      </c>
      <c r="AC2234">
        <v>0</v>
      </c>
      <c r="AD2234">
        <v>1</v>
      </c>
      <c r="AE2234">
        <v>0</v>
      </c>
      <c r="AF2234">
        <v>0</v>
      </c>
      <c r="AG2234">
        <v>0</v>
      </c>
      <c r="AH2234">
        <v>0</v>
      </c>
      <c r="AI2234">
        <v>0</v>
      </c>
      <c r="AJ2234">
        <v>0</v>
      </c>
      <c r="AK2234">
        <v>0</v>
      </c>
    </row>
    <row r="2235" spans="1:37" x14ac:dyDescent="0.3">
      <c r="A2235">
        <v>7979</v>
      </c>
      <c r="B2235" t="s">
        <v>219</v>
      </c>
      <c r="D2235" t="s">
        <v>327</v>
      </c>
      <c r="E2235">
        <v>99999999</v>
      </c>
      <c r="F2235">
        <v>11111111</v>
      </c>
      <c r="G2235">
        <v>1111111111</v>
      </c>
      <c r="H2235" t="s">
        <v>5804</v>
      </c>
      <c r="I2235">
        <v>99999999</v>
      </c>
      <c r="J2235" s="188">
        <v>45238</v>
      </c>
      <c r="K2235" t="s">
        <v>5804</v>
      </c>
      <c r="L2235" t="s">
        <v>5804</v>
      </c>
      <c r="M2235" t="s">
        <v>2940</v>
      </c>
      <c r="N2235" t="s">
        <v>118</v>
      </c>
      <c r="O2235" t="s">
        <v>2941</v>
      </c>
      <c r="P2235" t="s">
        <v>221</v>
      </c>
      <c r="Q2235" t="s">
        <v>82</v>
      </c>
      <c r="R2235">
        <v>1</v>
      </c>
      <c r="S2235">
        <v>5</v>
      </c>
      <c r="T2235">
        <v>0</v>
      </c>
      <c r="U2235">
        <v>1</v>
      </c>
      <c r="V2235">
        <v>1</v>
      </c>
      <c r="W2235">
        <v>27.29</v>
      </c>
      <c r="X2235">
        <v>0</v>
      </c>
      <c r="Y2235">
        <v>0</v>
      </c>
      <c r="Z2235">
        <v>0</v>
      </c>
      <c r="AA2235">
        <v>0</v>
      </c>
      <c r="AB2235">
        <v>0</v>
      </c>
      <c r="AC2235">
        <v>0</v>
      </c>
      <c r="AD2235">
        <v>1</v>
      </c>
      <c r="AE2235">
        <v>0</v>
      </c>
      <c r="AF2235">
        <v>0</v>
      </c>
      <c r="AG2235">
        <v>0</v>
      </c>
      <c r="AH2235">
        <v>0</v>
      </c>
      <c r="AI2235">
        <v>0</v>
      </c>
      <c r="AJ2235">
        <v>0</v>
      </c>
      <c r="AK2235">
        <v>0</v>
      </c>
    </row>
    <row r="2236" spans="1:37" x14ac:dyDescent="0.3">
      <c r="A2236">
        <v>7979</v>
      </c>
      <c r="B2236" t="s">
        <v>219</v>
      </c>
      <c r="D2236" t="s">
        <v>327</v>
      </c>
      <c r="E2236">
        <v>99999999</v>
      </c>
      <c r="F2236">
        <v>11111111</v>
      </c>
      <c r="G2236">
        <v>1111111111</v>
      </c>
      <c r="H2236" t="s">
        <v>5805</v>
      </c>
      <c r="I2236">
        <v>99999999</v>
      </c>
      <c r="J2236" s="188">
        <v>45238</v>
      </c>
      <c r="K2236" t="s">
        <v>5805</v>
      </c>
      <c r="L2236" t="s">
        <v>5805</v>
      </c>
      <c r="M2236" t="s">
        <v>1424</v>
      </c>
      <c r="N2236" t="s">
        <v>551</v>
      </c>
      <c r="O2236" t="s">
        <v>2942</v>
      </c>
      <c r="P2236" t="s">
        <v>221</v>
      </c>
      <c r="Q2236" t="s">
        <v>82</v>
      </c>
      <c r="R2236">
        <v>3</v>
      </c>
      <c r="S2236">
        <v>0.42</v>
      </c>
      <c r="T2236">
        <v>0</v>
      </c>
      <c r="U2236">
        <v>1</v>
      </c>
      <c r="V2236">
        <v>2</v>
      </c>
      <c r="W2236">
        <v>28.1</v>
      </c>
      <c r="X2236">
        <v>0</v>
      </c>
      <c r="Y2236">
        <v>0</v>
      </c>
      <c r="Z2236">
        <v>0</v>
      </c>
      <c r="AA2236">
        <v>0</v>
      </c>
      <c r="AB2236">
        <v>0</v>
      </c>
      <c r="AC2236">
        <v>0</v>
      </c>
      <c r="AD2236">
        <v>3</v>
      </c>
      <c r="AE2236">
        <v>0</v>
      </c>
      <c r="AF2236">
        <v>0</v>
      </c>
      <c r="AG2236">
        <v>0</v>
      </c>
      <c r="AH2236">
        <v>0</v>
      </c>
      <c r="AI2236">
        <v>0</v>
      </c>
      <c r="AJ2236">
        <v>0</v>
      </c>
      <c r="AK2236">
        <v>0</v>
      </c>
    </row>
    <row r="2237" spans="1:37" x14ac:dyDescent="0.3">
      <c r="A2237">
        <v>7979</v>
      </c>
      <c r="B2237" t="s">
        <v>219</v>
      </c>
      <c r="D2237" t="s">
        <v>327</v>
      </c>
      <c r="E2237">
        <v>99999999</v>
      </c>
      <c r="F2237">
        <v>11111111</v>
      </c>
      <c r="G2237">
        <v>1111111111</v>
      </c>
      <c r="H2237" t="s">
        <v>5806</v>
      </c>
      <c r="I2237">
        <v>99999999</v>
      </c>
      <c r="J2237" s="188">
        <v>45238</v>
      </c>
      <c r="K2237" t="s">
        <v>5806</v>
      </c>
      <c r="L2237" t="s">
        <v>5806</v>
      </c>
      <c r="M2237" t="s">
        <v>1172</v>
      </c>
      <c r="N2237" t="s">
        <v>99</v>
      </c>
      <c r="O2237" t="s">
        <v>2943</v>
      </c>
      <c r="P2237" t="s">
        <v>221</v>
      </c>
      <c r="Q2237" t="s">
        <v>82</v>
      </c>
      <c r="R2237">
        <v>4</v>
      </c>
      <c r="S2237">
        <v>1.5129999999999999</v>
      </c>
      <c r="T2237">
        <v>0</v>
      </c>
      <c r="U2237">
        <v>1</v>
      </c>
      <c r="V2237">
        <v>3</v>
      </c>
      <c r="W2237">
        <v>20.63</v>
      </c>
      <c r="X2237">
        <v>0</v>
      </c>
      <c r="Y2237">
        <v>0</v>
      </c>
      <c r="Z2237">
        <v>0</v>
      </c>
      <c r="AA2237">
        <v>0</v>
      </c>
      <c r="AB2237">
        <v>0</v>
      </c>
      <c r="AC2237">
        <v>0</v>
      </c>
      <c r="AD2237">
        <v>4</v>
      </c>
      <c r="AE2237">
        <v>0</v>
      </c>
      <c r="AF2237">
        <v>0</v>
      </c>
      <c r="AG2237">
        <v>0</v>
      </c>
      <c r="AH2237">
        <v>0</v>
      </c>
      <c r="AI2237">
        <v>0</v>
      </c>
      <c r="AJ2237">
        <v>0</v>
      </c>
      <c r="AK2237">
        <v>0</v>
      </c>
    </row>
    <row r="2238" spans="1:37" x14ac:dyDescent="0.3">
      <c r="A2238">
        <v>7979</v>
      </c>
      <c r="B2238" t="s">
        <v>219</v>
      </c>
      <c r="D2238" t="s">
        <v>327</v>
      </c>
      <c r="E2238">
        <v>99999999</v>
      </c>
      <c r="F2238">
        <v>11111111</v>
      </c>
      <c r="G2238">
        <v>1111111111</v>
      </c>
      <c r="H2238" t="s">
        <v>5807</v>
      </c>
      <c r="I2238">
        <v>99999999</v>
      </c>
      <c r="J2238" s="188">
        <v>45238</v>
      </c>
      <c r="K2238" t="s">
        <v>5807</v>
      </c>
      <c r="L2238" t="s">
        <v>5807</v>
      </c>
      <c r="M2238" t="s">
        <v>1103</v>
      </c>
      <c r="N2238" t="s">
        <v>97</v>
      </c>
      <c r="O2238" t="s">
        <v>2944</v>
      </c>
      <c r="P2238" t="s">
        <v>221</v>
      </c>
      <c r="Q2238" t="s">
        <v>82</v>
      </c>
      <c r="R2238">
        <v>1</v>
      </c>
      <c r="S2238">
        <v>0.45</v>
      </c>
      <c r="T2238">
        <v>0</v>
      </c>
      <c r="U2238">
        <v>1</v>
      </c>
      <c r="V2238">
        <v>1</v>
      </c>
      <c r="W2238">
        <v>25.37</v>
      </c>
      <c r="X2238">
        <v>0</v>
      </c>
      <c r="Y2238">
        <v>0</v>
      </c>
      <c r="Z2238">
        <v>0</v>
      </c>
      <c r="AA2238">
        <v>0</v>
      </c>
      <c r="AB2238">
        <v>0</v>
      </c>
      <c r="AC2238">
        <v>0</v>
      </c>
      <c r="AD2238">
        <v>1</v>
      </c>
      <c r="AE2238">
        <v>0</v>
      </c>
      <c r="AF2238">
        <v>0</v>
      </c>
      <c r="AG2238">
        <v>0</v>
      </c>
      <c r="AH2238">
        <v>0</v>
      </c>
      <c r="AI2238">
        <v>0</v>
      </c>
      <c r="AJ2238">
        <v>0</v>
      </c>
      <c r="AK2238">
        <v>0</v>
      </c>
    </row>
    <row r="2239" spans="1:37" x14ac:dyDescent="0.3">
      <c r="A2239">
        <v>7979</v>
      </c>
      <c r="B2239" t="s">
        <v>219</v>
      </c>
      <c r="D2239" t="s">
        <v>327</v>
      </c>
      <c r="E2239">
        <v>99999999</v>
      </c>
      <c r="F2239">
        <v>11111111</v>
      </c>
      <c r="G2239">
        <v>1111111111</v>
      </c>
      <c r="H2239" t="s">
        <v>5808</v>
      </c>
      <c r="I2239">
        <v>99999999</v>
      </c>
      <c r="J2239" s="188">
        <v>45238</v>
      </c>
      <c r="K2239" t="s">
        <v>5808</v>
      </c>
      <c r="L2239" t="s">
        <v>5808</v>
      </c>
      <c r="M2239" t="s">
        <v>2945</v>
      </c>
      <c r="N2239" t="s">
        <v>307</v>
      </c>
      <c r="O2239" t="s">
        <v>2946</v>
      </c>
      <c r="P2239" t="s">
        <v>221</v>
      </c>
      <c r="Q2239" t="s">
        <v>82</v>
      </c>
      <c r="R2239">
        <v>2</v>
      </c>
      <c r="S2239">
        <v>0.22</v>
      </c>
      <c r="T2239">
        <v>0</v>
      </c>
      <c r="U2239">
        <v>1</v>
      </c>
      <c r="V2239">
        <v>2</v>
      </c>
      <c r="W2239">
        <v>26.43</v>
      </c>
      <c r="X2239">
        <v>0</v>
      </c>
      <c r="Y2239">
        <v>0</v>
      </c>
      <c r="Z2239">
        <v>0</v>
      </c>
      <c r="AA2239">
        <v>0</v>
      </c>
      <c r="AB2239">
        <v>0</v>
      </c>
      <c r="AC2239">
        <v>0</v>
      </c>
      <c r="AD2239">
        <v>2</v>
      </c>
      <c r="AE2239">
        <v>0</v>
      </c>
      <c r="AF2239">
        <v>0</v>
      </c>
      <c r="AG2239">
        <v>0</v>
      </c>
      <c r="AH2239">
        <v>0</v>
      </c>
      <c r="AI2239">
        <v>0</v>
      </c>
      <c r="AJ2239">
        <v>0</v>
      </c>
      <c r="AK2239">
        <v>0</v>
      </c>
    </row>
    <row r="2240" spans="1:37" x14ac:dyDescent="0.3">
      <c r="A2240">
        <v>7979</v>
      </c>
      <c r="B2240" t="s">
        <v>219</v>
      </c>
      <c r="D2240" t="s">
        <v>327</v>
      </c>
      <c r="E2240">
        <v>99999999</v>
      </c>
      <c r="F2240">
        <v>11111111</v>
      </c>
      <c r="G2240">
        <v>1111111111</v>
      </c>
      <c r="H2240" t="s">
        <v>5809</v>
      </c>
      <c r="I2240">
        <v>99999999</v>
      </c>
      <c r="J2240" s="188">
        <v>45238</v>
      </c>
      <c r="K2240" t="s">
        <v>5809</v>
      </c>
      <c r="L2240" t="s">
        <v>5809</v>
      </c>
      <c r="M2240" t="s">
        <v>1051</v>
      </c>
      <c r="N2240" t="s">
        <v>135</v>
      </c>
      <c r="O2240" t="s">
        <v>2947</v>
      </c>
      <c r="P2240" t="s">
        <v>221</v>
      </c>
      <c r="Q2240" t="s">
        <v>82</v>
      </c>
      <c r="R2240">
        <v>2</v>
      </c>
      <c r="S2240">
        <v>0.32</v>
      </c>
      <c r="T2240">
        <v>0</v>
      </c>
      <c r="U2240">
        <v>1</v>
      </c>
      <c r="V2240">
        <v>1</v>
      </c>
      <c r="W2240">
        <v>25.37</v>
      </c>
      <c r="X2240">
        <v>0</v>
      </c>
      <c r="Y2240">
        <v>0</v>
      </c>
      <c r="Z2240">
        <v>0</v>
      </c>
      <c r="AA2240">
        <v>0</v>
      </c>
      <c r="AB2240">
        <v>0</v>
      </c>
      <c r="AC2240">
        <v>0</v>
      </c>
      <c r="AD2240">
        <v>2</v>
      </c>
      <c r="AE2240">
        <v>0</v>
      </c>
      <c r="AF2240">
        <v>0</v>
      </c>
      <c r="AG2240">
        <v>0</v>
      </c>
      <c r="AH2240">
        <v>0</v>
      </c>
      <c r="AI2240">
        <v>0</v>
      </c>
      <c r="AJ2240">
        <v>0</v>
      </c>
      <c r="AK2240">
        <v>0</v>
      </c>
    </row>
    <row r="2241" spans="1:37" x14ac:dyDescent="0.3">
      <c r="A2241">
        <v>7979</v>
      </c>
      <c r="B2241" t="s">
        <v>219</v>
      </c>
      <c r="D2241" t="s">
        <v>327</v>
      </c>
      <c r="E2241">
        <v>99999999</v>
      </c>
      <c r="F2241">
        <v>11111111</v>
      </c>
      <c r="G2241">
        <v>1111111111</v>
      </c>
      <c r="H2241" t="s">
        <v>5810</v>
      </c>
      <c r="I2241">
        <v>99999999</v>
      </c>
      <c r="J2241" s="188">
        <v>45238</v>
      </c>
      <c r="K2241" t="s">
        <v>5810</v>
      </c>
      <c r="L2241" t="s">
        <v>5810</v>
      </c>
      <c r="M2241" t="s">
        <v>2948</v>
      </c>
      <c r="N2241" t="s">
        <v>97</v>
      </c>
      <c r="O2241" t="s">
        <v>2949</v>
      </c>
      <c r="P2241" t="s">
        <v>221</v>
      </c>
      <c r="Q2241" t="s">
        <v>82</v>
      </c>
      <c r="R2241">
        <v>1</v>
      </c>
      <c r="S2241">
        <v>2.2999999999999998</v>
      </c>
      <c r="T2241">
        <v>0</v>
      </c>
      <c r="U2241">
        <v>1</v>
      </c>
      <c r="V2241">
        <v>1</v>
      </c>
      <c r="W2241">
        <v>27.94</v>
      </c>
      <c r="X2241">
        <v>0</v>
      </c>
      <c r="Y2241">
        <v>0</v>
      </c>
      <c r="Z2241">
        <v>0</v>
      </c>
      <c r="AA2241">
        <v>0</v>
      </c>
      <c r="AB2241">
        <v>0</v>
      </c>
      <c r="AC2241">
        <v>0</v>
      </c>
      <c r="AD2241">
        <v>1</v>
      </c>
      <c r="AE2241">
        <v>0</v>
      </c>
      <c r="AF2241">
        <v>0</v>
      </c>
      <c r="AG2241">
        <v>0</v>
      </c>
      <c r="AH2241">
        <v>0</v>
      </c>
      <c r="AI2241">
        <v>0</v>
      </c>
      <c r="AJ2241">
        <v>0</v>
      </c>
      <c r="AK2241">
        <v>0</v>
      </c>
    </row>
    <row r="2242" spans="1:37" x14ac:dyDescent="0.3">
      <c r="A2242">
        <v>7979</v>
      </c>
      <c r="B2242" t="s">
        <v>219</v>
      </c>
      <c r="D2242" t="s">
        <v>327</v>
      </c>
      <c r="E2242">
        <v>99999999</v>
      </c>
      <c r="F2242">
        <v>11111111</v>
      </c>
      <c r="G2242">
        <v>1111111111</v>
      </c>
      <c r="H2242" t="s">
        <v>5811</v>
      </c>
      <c r="I2242">
        <v>99999999</v>
      </c>
      <c r="J2242" s="188">
        <v>45238</v>
      </c>
      <c r="K2242" t="s">
        <v>5811</v>
      </c>
      <c r="L2242" t="s">
        <v>5811</v>
      </c>
      <c r="M2242" t="s">
        <v>2950</v>
      </c>
      <c r="N2242" t="s">
        <v>135</v>
      </c>
      <c r="O2242" t="s">
        <v>2951</v>
      </c>
      <c r="P2242" t="s">
        <v>221</v>
      </c>
      <c r="Q2242" t="s">
        <v>82</v>
      </c>
      <c r="R2242">
        <v>1</v>
      </c>
      <c r="S2242">
        <v>7.5</v>
      </c>
      <c r="T2242">
        <v>0</v>
      </c>
      <c r="U2242">
        <v>1</v>
      </c>
      <c r="V2242">
        <v>1</v>
      </c>
      <c r="W2242">
        <v>24.1</v>
      </c>
      <c r="X2242">
        <v>0</v>
      </c>
      <c r="Y2242">
        <v>0</v>
      </c>
      <c r="Z2242">
        <v>0</v>
      </c>
      <c r="AA2242">
        <v>0</v>
      </c>
      <c r="AB2242">
        <v>0</v>
      </c>
      <c r="AC2242">
        <v>0</v>
      </c>
      <c r="AD2242">
        <v>1</v>
      </c>
      <c r="AE2242">
        <v>0</v>
      </c>
      <c r="AF2242">
        <v>0</v>
      </c>
      <c r="AG2242">
        <v>0</v>
      </c>
      <c r="AH2242">
        <v>0</v>
      </c>
      <c r="AI2242">
        <v>0</v>
      </c>
      <c r="AJ2242">
        <v>0</v>
      </c>
      <c r="AK2242">
        <v>0</v>
      </c>
    </row>
    <row r="2243" spans="1:37" x14ac:dyDescent="0.3">
      <c r="A2243">
        <v>7979</v>
      </c>
      <c r="B2243" t="s">
        <v>219</v>
      </c>
      <c r="D2243" t="s">
        <v>327</v>
      </c>
      <c r="E2243">
        <v>99999999</v>
      </c>
      <c r="F2243">
        <v>11111111</v>
      </c>
      <c r="G2243">
        <v>1111111111</v>
      </c>
      <c r="H2243" t="s">
        <v>5812</v>
      </c>
      <c r="I2243">
        <v>99999999</v>
      </c>
      <c r="J2243" s="188">
        <v>45238</v>
      </c>
      <c r="K2243" t="s">
        <v>5812</v>
      </c>
      <c r="L2243" t="s">
        <v>5812</v>
      </c>
      <c r="M2243" t="s">
        <v>2952</v>
      </c>
      <c r="N2243" t="s">
        <v>99</v>
      </c>
      <c r="O2243" t="s">
        <v>2953</v>
      </c>
      <c r="P2243" t="s">
        <v>221</v>
      </c>
      <c r="Q2243" t="s">
        <v>82</v>
      </c>
      <c r="R2243">
        <v>1</v>
      </c>
      <c r="S2243">
        <v>1.2</v>
      </c>
      <c r="T2243">
        <v>0</v>
      </c>
      <c r="U2243">
        <v>1</v>
      </c>
      <c r="V2243">
        <v>1</v>
      </c>
      <c r="W2243">
        <v>27.27</v>
      </c>
      <c r="X2243">
        <v>0</v>
      </c>
      <c r="Y2243">
        <v>0</v>
      </c>
      <c r="Z2243">
        <v>0</v>
      </c>
      <c r="AA2243">
        <v>0</v>
      </c>
      <c r="AB2243">
        <v>0</v>
      </c>
      <c r="AC2243">
        <v>0</v>
      </c>
      <c r="AD2243">
        <v>1</v>
      </c>
      <c r="AE2243">
        <v>0</v>
      </c>
      <c r="AF2243">
        <v>0</v>
      </c>
      <c r="AG2243">
        <v>0</v>
      </c>
      <c r="AH2243">
        <v>0</v>
      </c>
      <c r="AI2243">
        <v>0</v>
      </c>
      <c r="AJ2243">
        <v>0</v>
      </c>
      <c r="AK2243">
        <v>0</v>
      </c>
    </row>
    <row r="2244" spans="1:37" x14ac:dyDescent="0.3">
      <c r="A2244">
        <v>7979</v>
      </c>
      <c r="B2244" t="s">
        <v>219</v>
      </c>
      <c r="D2244" t="s">
        <v>327</v>
      </c>
      <c r="E2244">
        <v>99999999</v>
      </c>
      <c r="F2244">
        <v>11111111</v>
      </c>
      <c r="G2244">
        <v>1111111111</v>
      </c>
      <c r="H2244" t="s">
        <v>5813</v>
      </c>
      <c r="I2244">
        <v>99999999</v>
      </c>
      <c r="J2244" s="188">
        <v>45238</v>
      </c>
      <c r="K2244" t="s">
        <v>5813</v>
      </c>
      <c r="L2244" t="s">
        <v>5813</v>
      </c>
      <c r="M2244" t="s">
        <v>2049</v>
      </c>
      <c r="N2244" t="s">
        <v>99</v>
      </c>
      <c r="O2244" t="s">
        <v>2954</v>
      </c>
      <c r="P2244" t="s">
        <v>221</v>
      </c>
      <c r="Q2244" t="s">
        <v>82</v>
      </c>
      <c r="R2244">
        <v>1</v>
      </c>
      <c r="S2244">
        <v>2.46</v>
      </c>
      <c r="T2244">
        <v>0</v>
      </c>
      <c r="U2244">
        <v>1</v>
      </c>
      <c r="V2244">
        <v>1</v>
      </c>
      <c r="W2244">
        <v>27.94</v>
      </c>
      <c r="X2244">
        <v>0</v>
      </c>
      <c r="Y2244">
        <v>0</v>
      </c>
      <c r="Z2244">
        <v>0</v>
      </c>
      <c r="AA2244">
        <v>0</v>
      </c>
      <c r="AB2244">
        <v>0</v>
      </c>
      <c r="AC2244">
        <v>0</v>
      </c>
      <c r="AD2244">
        <v>1</v>
      </c>
      <c r="AE2244">
        <v>0</v>
      </c>
      <c r="AF2244">
        <v>0</v>
      </c>
      <c r="AG2244">
        <v>0</v>
      </c>
      <c r="AH2244">
        <v>0</v>
      </c>
      <c r="AI2244">
        <v>0</v>
      </c>
      <c r="AJ2244">
        <v>0</v>
      </c>
      <c r="AK2244">
        <v>0</v>
      </c>
    </row>
    <row r="2245" spans="1:37" x14ac:dyDescent="0.3">
      <c r="A2245">
        <v>7979</v>
      </c>
      <c r="B2245" t="s">
        <v>219</v>
      </c>
      <c r="D2245" t="s">
        <v>327</v>
      </c>
      <c r="E2245">
        <v>99999999</v>
      </c>
      <c r="F2245">
        <v>11111111</v>
      </c>
      <c r="G2245">
        <v>1111111111</v>
      </c>
      <c r="H2245" t="s">
        <v>5814</v>
      </c>
      <c r="I2245">
        <v>99999999</v>
      </c>
      <c r="J2245" s="188">
        <v>45238</v>
      </c>
      <c r="K2245" t="s">
        <v>5814</v>
      </c>
      <c r="L2245" t="s">
        <v>5814</v>
      </c>
      <c r="M2245" t="s">
        <v>2955</v>
      </c>
      <c r="N2245" t="s">
        <v>99</v>
      </c>
      <c r="O2245" t="s">
        <v>2956</v>
      </c>
      <c r="P2245" t="s">
        <v>221</v>
      </c>
      <c r="Q2245" t="s">
        <v>82</v>
      </c>
      <c r="R2245">
        <v>1</v>
      </c>
      <c r="S2245">
        <v>1.8</v>
      </c>
      <c r="T2245">
        <v>0</v>
      </c>
      <c r="U2245">
        <v>1</v>
      </c>
      <c r="V2245">
        <v>1</v>
      </c>
      <c r="W2245">
        <v>27.36</v>
      </c>
      <c r="X2245">
        <v>0</v>
      </c>
      <c r="Y2245">
        <v>0</v>
      </c>
      <c r="Z2245">
        <v>0</v>
      </c>
      <c r="AA2245">
        <v>0</v>
      </c>
      <c r="AB2245">
        <v>0</v>
      </c>
      <c r="AC2245">
        <v>0</v>
      </c>
      <c r="AD2245">
        <v>1</v>
      </c>
      <c r="AE2245">
        <v>0</v>
      </c>
      <c r="AF2245">
        <v>0</v>
      </c>
      <c r="AG2245">
        <v>0</v>
      </c>
      <c r="AH2245">
        <v>0</v>
      </c>
      <c r="AI2245">
        <v>0</v>
      </c>
      <c r="AJ2245">
        <v>0</v>
      </c>
      <c r="AK2245">
        <v>0</v>
      </c>
    </row>
    <row r="2246" spans="1:37" x14ac:dyDescent="0.3">
      <c r="A2246">
        <v>7979</v>
      </c>
      <c r="B2246" t="s">
        <v>219</v>
      </c>
      <c r="D2246" t="s">
        <v>327</v>
      </c>
      <c r="E2246">
        <v>99999999</v>
      </c>
      <c r="F2246">
        <v>11111111</v>
      </c>
      <c r="G2246">
        <v>1111111111</v>
      </c>
      <c r="H2246" t="s">
        <v>5815</v>
      </c>
      <c r="I2246">
        <v>99999999</v>
      </c>
      <c r="J2246" s="188">
        <v>45238</v>
      </c>
      <c r="K2246" t="s">
        <v>5815</v>
      </c>
      <c r="L2246" t="s">
        <v>5815</v>
      </c>
      <c r="M2246" t="s">
        <v>2957</v>
      </c>
      <c r="N2246" t="s">
        <v>551</v>
      </c>
      <c r="O2246" t="s">
        <v>2958</v>
      </c>
      <c r="P2246" t="s">
        <v>221</v>
      </c>
      <c r="Q2246" t="s">
        <v>82</v>
      </c>
      <c r="R2246">
        <v>3</v>
      </c>
      <c r="S2246">
        <v>7.59</v>
      </c>
      <c r="T2246">
        <v>0</v>
      </c>
      <c r="U2246">
        <v>1</v>
      </c>
      <c r="V2246">
        <v>1</v>
      </c>
      <c r="W2246">
        <v>31.8</v>
      </c>
      <c r="X2246">
        <v>0</v>
      </c>
      <c r="Y2246">
        <v>0</v>
      </c>
      <c r="Z2246">
        <v>0</v>
      </c>
      <c r="AA2246">
        <v>0</v>
      </c>
      <c r="AB2246">
        <v>0</v>
      </c>
      <c r="AC2246">
        <v>0</v>
      </c>
      <c r="AD2246">
        <v>3</v>
      </c>
      <c r="AE2246">
        <v>0</v>
      </c>
      <c r="AF2246">
        <v>0</v>
      </c>
      <c r="AG2246">
        <v>0</v>
      </c>
      <c r="AH2246">
        <v>0</v>
      </c>
      <c r="AI2246">
        <v>0</v>
      </c>
      <c r="AJ2246">
        <v>0</v>
      </c>
      <c r="AK2246">
        <v>0</v>
      </c>
    </row>
    <row r="2247" spans="1:37" x14ac:dyDescent="0.3">
      <c r="A2247">
        <v>7979</v>
      </c>
      <c r="B2247" t="s">
        <v>219</v>
      </c>
      <c r="D2247" t="s">
        <v>327</v>
      </c>
      <c r="E2247">
        <v>99999999</v>
      </c>
      <c r="F2247">
        <v>11111111</v>
      </c>
      <c r="G2247">
        <v>1111111111</v>
      </c>
      <c r="H2247" t="s">
        <v>5816</v>
      </c>
      <c r="I2247">
        <v>99999999</v>
      </c>
      <c r="J2247" s="188">
        <v>45238</v>
      </c>
      <c r="K2247" t="s">
        <v>5816</v>
      </c>
      <c r="L2247" t="s">
        <v>5816</v>
      </c>
      <c r="M2247" t="s">
        <v>1269</v>
      </c>
      <c r="N2247" t="s">
        <v>91</v>
      </c>
      <c r="O2247" t="s">
        <v>2959</v>
      </c>
      <c r="P2247" t="s">
        <v>221</v>
      </c>
      <c r="Q2247" t="s">
        <v>82</v>
      </c>
      <c r="R2247">
        <v>1</v>
      </c>
      <c r="S2247">
        <v>3.2</v>
      </c>
      <c r="T2247">
        <v>0</v>
      </c>
      <c r="U2247">
        <v>1</v>
      </c>
      <c r="V2247">
        <v>1</v>
      </c>
      <c r="W2247">
        <v>29.64</v>
      </c>
      <c r="X2247">
        <v>0</v>
      </c>
      <c r="Y2247">
        <v>0</v>
      </c>
      <c r="Z2247">
        <v>0</v>
      </c>
      <c r="AA2247">
        <v>0</v>
      </c>
      <c r="AB2247">
        <v>0</v>
      </c>
      <c r="AC2247">
        <v>0</v>
      </c>
      <c r="AD2247">
        <v>1</v>
      </c>
      <c r="AE2247">
        <v>0</v>
      </c>
      <c r="AF2247">
        <v>0</v>
      </c>
      <c r="AG2247">
        <v>0</v>
      </c>
      <c r="AH2247">
        <v>0</v>
      </c>
      <c r="AI2247">
        <v>0</v>
      </c>
      <c r="AJ2247">
        <v>0</v>
      </c>
      <c r="AK2247">
        <v>0</v>
      </c>
    </row>
    <row r="2248" spans="1:37" x14ac:dyDescent="0.3">
      <c r="A2248">
        <v>7979</v>
      </c>
      <c r="B2248" t="s">
        <v>219</v>
      </c>
      <c r="D2248" t="s">
        <v>327</v>
      </c>
      <c r="E2248">
        <v>99999999</v>
      </c>
      <c r="F2248">
        <v>11111111</v>
      </c>
      <c r="G2248">
        <v>1111111111</v>
      </c>
      <c r="H2248" t="s">
        <v>5817</v>
      </c>
      <c r="I2248">
        <v>99999999</v>
      </c>
      <c r="J2248" s="188">
        <v>45238</v>
      </c>
      <c r="K2248" t="s">
        <v>5817</v>
      </c>
      <c r="L2248" t="s">
        <v>5817</v>
      </c>
      <c r="M2248" t="s">
        <v>1907</v>
      </c>
      <c r="N2248" t="s">
        <v>522</v>
      </c>
      <c r="O2248" t="s">
        <v>2960</v>
      </c>
      <c r="P2248" t="s">
        <v>221</v>
      </c>
      <c r="Q2248" t="s">
        <v>82</v>
      </c>
      <c r="R2248">
        <v>1</v>
      </c>
      <c r="S2248">
        <v>1.1499999999999999</v>
      </c>
      <c r="T2248">
        <v>0</v>
      </c>
      <c r="U2248">
        <v>1</v>
      </c>
      <c r="V2248">
        <v>1</v>
      </c>
      <c r="W2248">
        <v>31.29</v>
      </c>
      <c r="X2248">
        <v>0</v>
      </c>
      <c r="Y2248">
        <v>0</v>
      </c>
      <c r="Z2248">
        <v>0</v>
      </c>
      <c r="AA2248">
        <v>0</v>
      </c>
      <c r="AB2248">
        <v>0</v>
      </c>
      <c r="AC2248">
        <v>0</v>
      </c>
      <c r="AD2248">
        <v>1</v>
      </c>
      <c r="AE2248">
        <v>0</v>
      </c>
      <c r="AF2248">
        <v>0</v>
      </c>
      <c r="AG2248">
        <v>0</v>
      </c>
      <c r="AH2248">
        <v>0</v>
      </c>
      <c r="AI2248">
        <v>0</v>
      </c>
      <c r="AJ2248">
        <v>0</v>
      </c>
      <c r="AK2248">
        <v>0</v>
      </c>
    </row>
    <row r="2249" spans="1:37" x14ac:dyDescent="0.3">
      <c r="A2249">
        <v>7979</v>
      </c>
      <c r="B2249" t="s">
        <v>219</v>
      </c>
      <c r="D2249" t="s">
        <v>327</v>
      </c>
      <c r="E2249">
        <v>99999999</v>
      </c>
      <c r="F2249">
        <v>11111111</v>
      </c>
      <c r="G2249">
        <v>1111111111</v>
      </c>
      <c r="H2249" t="s">
        <v>5818</v>
      </c>
      <c r="I2249">
        <v>99999999</v>
      </c>
      <c r="J2249" s="188">
        <v>45238</v>
      </c>
      <c r="K2249" t="s">
        <v>5818</v>
      </c>
      <c r="L2249" t="s">
        <v>5818</v>
      </c>
      <c r="M2249" t="s">
        <v>2961</v>
      </c>
      <c r="N2249" t="s">
        <v>99</v>
      </c>
      <c r="O2249" t="s">
        <v>2962</v>
      </c>
      <c r="P2249" t="s">
        <v>221</v>
      </c>
      <c r="Q2249" t="s">
        <v>82</v>
      </c>
      <c r="R2249">
        <v>1</v>
      </c>
      <c r="S2249">
        <v>11.666</v>
      </c>
      <c r="T2249">
        <v>0</v>
      </c>
      <c r="U2249">
        <v>1</v>
      </c>
      <c r="V2249">
        <v>1</v>
      </c>
      <c r="W2249">
        <v>22.65</v>
      </c>
      <c r="X2249">
        <v>0</v>
      </c>
      <c r="Y2249">
        <v>0</v>
      </c>
      <c r="Z2249">
        <v>0</v>
      </c>
      <c r="AA2249">
        <v>0</v>
      </c>
      <c r="AB2249">
        <v>0</v>
      </c>
      <c r="AC2249">
        <v>0</v>
      </c>
      <c r="AD2249">
        <v>1</v>
      </c>
      <c r="AE2249">
        <v>0</v>
      </c>
      <c r="AF2249">
        <v>0</v>
      </c>
      <c r="AG2249">
        <v>0</v>
      </c>
      <c r="AH2249">
        <v>0</v>
      </c>
      <c r="AI2249">
        <v>0</v>
      </c>
      <c r="AJ2249">
        <v>0</v>
      </c>
      <c r="AK2249">
        <v>0</v>
      </c>
    </row>
    <row r="2250" spans="1:37" x14ac:dyDescent="0.3">
      <c r="A2250">
        <v>7979</v>
      </c>
      <c r="B2250" t="s">
        <v>219</v>
      </c>
      <c r="D2250" t="s">
        <v>327</v>
      </c>
      <c r="E2250">
        <v>99999999</v>
      </c>
      <c r="F2250">
        <v>11111111</v>
      </c>
      <c r="G2250">
        <v>1111111111</v>
      </c>
      <c r="H2250" t="s">
        <v>5819</v>
      </c>
      <c r="I2250">
        <v>99999999</v>
      </c>
      <c r="J2250" s="188">
        <v>45238</v>
      </c>
      <c r="K2250" t="s">
        <v>5819</v>
      </c>
      <c r="L2250" t="s">
        <v>5819</v>
      </c>
      <c r="M2250" t="s">
        <v>2372</v>
      </c>
      <c r="N2250" t="s">
        <v>164</v>
      </c>
      <c r="O2250" t="s">
        <v>2963</v>
      </c>
      <c r="P2250" t="s">
        <v>221</v>
      </c>
      <c r="Q2250" t="s">
        <v>82</v>
      </c>
      <c r="R2250">
        <v>2</v>
      </c>
      <c r="S2250">
        <v>8.1999999999999993</v>
      </c>
      <c r="T2250">
        <v>0</v>
      </c>
      <c r="U2250">
        <v>1</v>
      </c>
      <c r="V2250">
        <v>2</v>
      </c>
      <c r="W2250">
        <v>24.17</v>
      </c>
      <c r="X2250">
        <v>0</v>
      </c>
      <c r="Y2250">
        <v>0</v>
      </c>
      <c r="Z2250">
        <v>0</v>
      </c>
      <c r="AA2250">
        <v>0</v>
      </c>
      <c r="AB2250">
        <v>0</v>
      </c>
      <c r="AC2250">
        <v>0</v>
      </c>
      <c r="AD2250">
        <v>2</v>
      </c>
      <c r="AE2250">
        <v>0</v>
      </c>
      <c r="AF2250">
        <v>0</v>
      </c>
      <c r="AG2250">
        <v>0</v>
      </c>
      <c r="AH2250">
        <v>0</v>
      </c>
      <c r="AI2250">
        <v>0</v>
      </c>
      <c r="AJ2250">
        <v>0</v>
      </c>
      <c r="AK2250">
        <v>0</v>
      </c>
    </row>
    <row r="2251" spans="1:37" x14ac:dyDescent="0.3">
      <c r="A2251">
        <v>7979</v>
      </c>
      <c r="B2251" t="s">
        <v>219</v>
      </c>
      <c r="D2251" t="s">
        <v>327</v>
      </c>
      <c r="E2251">
        <v>99999999</v>
      </c>
      <c r="F2251">
        <v>11111111</v>
      </c>
      <c r="G2251">
        <v>1111111111</v>
      </c>
      <c r="H2251" t="s">
        <v>5820</v>
      </c>
      <c r="I2251">
        <v>99999999</v>
      </c>
      <c r="J2251" s="188">
        <v>45238</v>
      </c>
      <c r="K2251" t="s">
        <v>5820</v>
      </c>
      <c r="L2251" t="s">
        <v>5820</v>
      </c>
      <c r="M2251" t="s">
        <v>2964</v>
      </c>
      <c r="N2251" t="s">
        <v>99</v>
      </c>
      <c r="O2251" t="s">
        <v>2965</v>
      </c>
      <c r="P2251" t="s">
        <v>221</v>
      </c>
      <c r="Q2251" t="s">
        <v>82</v>
      </c>
      <c r="R2251">
        <v>1</v>
      </c>
      <c r="S2251">
        <v>1.58</v>
      </c>
      <c r="T2251">
        <v>0</v>
      </c>
      <c r="U2251">
        <v>1</v>
      </c>
      <c r="V2251">
        <v>1</v>
      </c>
      <c r="W2251">
        <v>22.62</v>
      </c>
      <c r="X2251">
        <v>0</v>
      </c>
      <c r="Y2251">
        <v>0</v>
      </c>
      <c r="Z2251">
        <v>0</v>
      </c>
      <c r="AA2251">
        <v>0</v>
      </c>
      <c r="AB2251">
        <v>0</v>
      </c>
      <c r="AC2251">
        <v>0</v>
      </c>
      <c r="AD2251">
        <v>1</v>
      </c>
      <c r="AE2251">
        <v>0</v>
      </c>
      <c r="AF2251">
        <v>0</v>
      </c>
      <c r="AG2251">
        <v>0</v>
      </c>
      <c r="AH2251">
        <v>0</v>
      </c>
      <c r="AI2251">
        <v>0</v>
      </c>
      <c r="AJ2251">
        <v>0</v>
      </c>
      <c r="AK2251">
        <v>0</v>
      </c>
    </row>
    <row r="2252" spans="1:37" x14ac:dyDescent="0.3">
      <c r="A2252">
        <v>7979</v>
      </c>
      <c r="B2252" t="s">
        <v>219</v>
      </c>
      <c r="D2252" t="s">
        <v>327</v>
      </c>
      <c r="E2252">
        <v>99999999</v>
      </c>
      <c r="F2252">
        <v>11111111</v>
      </c>
      <c r="G2252">
        <v>1111111111</v>
      </c>
      <c r="H2252" t="s">
        <v>5821</v>
      </c>
      <c r="I2252">
        <v>99999999</v>
      </c>
      <c r="J2252" s="188">
        <v>45238</v>
      </c>
      <c r="K2252" t="s">
        <v>5821</v>
      </c>
      <c r="L2252" t="s">
        <v>5821</v>
      </c>
      <c r="M2252" t="s">
        <v>1269</v>
      </c>
      <c r="N2252" t="s">
        <v>91</v>
      </c>
      <c r="O2252" t="s">
        <v>2966</v>
      </c>
      <c r="P2252" t="s">
        <v>221</v>
      </c>
      <c r="Q2252" t="s">
        <v>82</v>
      </c>
      <c r="R2252">
        <v>1</v>
      </c>
      <c r="S2252">
        <v>5.14</v>
      </c>
      <c r="T2252">
        <v>0</v>
      </c>
      <c r="U2252">
        <v>1</v>
      </c>
      <c r="V2252">
        <v>1</v>
      </c>
      <c r="W2252">
        <v>30.5</v>
      </c>
      <c r="X2252">
        <v>0</v>
      </c>
      <c r="Y2252">
        <v>0</v>
      </c>
      <c r="Z2252">
        <v>0</v>
      </c>
      <c r="AA2252">
        <v>0</v>
      </c>
      <c r="AB2252">
        <v>0</v>
      </c>
      <c r="AC2252">
        <v>0</v>
      </c>
      <c r="AD2252">
        <v>1</v>
      </c>
      <c r="AE2252">
        <v>0</v>
      </c>
      <c r="AF2252">
        <v>0</v>
      </c>
      <c r="AG2252">
        <v>0</v>
      </c>
      <c r="AH2252">
        <v>0</v>
      </c>
      <c r="AI2252">
        <v>0</v>
      </c>
      <c r="AJ2252">
        <v>0</v>
      </c>
      <c r="AK2252">
        <v>0</v>
      </c>
    </row>
    <row r="2253" spans="1:37" x14ac:dyDescent="0.3">
      <c r="A2253">
        <v>7979</v>
      </c>
      <c r="B2253" t="s">
        <v>219</v>
      </c>
      <c r="D2253" t="s">
        <v>327</v>
      </c>
      <c r="E2253">
        <v>99999999</v>
      </c>
      <c r="F2253">
        <v>11111111</v>
      </c>
      <c r="G2253">
        <v>1111111111</v>
      </c>
      <c r="H2253" t="s">
        <v>5822</v>
      </c>
      <c r="I2253">
        <v>99999999</v>
      </c>
      <c r="J2253" s="188">
        <v>45238</v>
      </c>
      <c r="K2253" t="s">
        <v>5822</v>
      </c>
      <c r="L2253" t="s">
        <v>5822</v>
      </c>
      <c r="M2253" t="s">
        <v>653</v>
      </c>
      <c r="N2253" t="s">
        <v>164</v>
      </c>
      <c r="O2253" t="s">
        <v>2657</v>
      </c>
      <c r="P2253" t="s">
        <v>221</v>
      </c>
      <c r="Q2253" t="s">
        <v>82</v>
      </c>
      <c r="R2253">
        <v>1</v>
      </c>
      <c r="S2253">
        <v>2.25</v>
      </c>
      <c r="T2253">
        <v>0</v>
      </c>
      <c r="U2253">
        <v>1</v>
      </c>
      <c r="V2253">
        <v>1</v>
      </c>
      <c r="W2253">
        <v>21.83</v>
      </c>
      <c r="X2253">
        <v>0</v>
      </c>
      <c r="Y2253">
        <v>0</v>
      </c>
      <c r="Z2253">
        <v>0</v>
      </c>
      <c r="AA2253">
        <v>0</v>
      </c>
      <c r="AB2253">
        <v>0</v>
      </c>
      <c r="AC2253">
        <v>0</v>
      </c>
      <c r="AD2253">
        <v>1</v>
      </c>
      <c r="AE2253">
        <v>0</v>
      </c>
      <c r="AF2253">
        <v>0</v>
      </c>
      <c r="AG2253">
        <v>0</v>
      </c>
      <c r="AH2253">
        <v>0</v>
      </c>
      <c r="AI2253">
        <v>0</v>
      </c>
      <c r="AJ2253">
        <v>0</v>
      </c>
      <c r="AK2253">
        <v>0</v>
      </c>
    </row>
    <row r="2254" spans="1:37" x14ac:dyDescent="0.3">
      <c r="A2254">
        <v>7979</v>
      </c>
      <c r="B2254" t="s">
        <v>219</v>
      </c>
      <c r="D2254" t="s">
        <v>327</v>
      </c>
      <c r="E2254">
        <v>99999999</v>
      </c>
      <c r="F2254">
        <v>11111111</v>
      </c>
      <c r="G2254">
        <v>1111111111</v>
      </c>
      <c r="H2254" t="s">
        <v>5823</v>
      </c>
      <c r="I2254">
        <v>99999999</v>
      </c>
      <c r="J2254" s="188">
        <v>45238</v>
      </c>
      <c r="K2254" t="s">
        <v>5823</v>
      </c>
      <c r="L2254" t="s">
        <v>5823</v>
      </c>
      <c r="M2254" t="s">
        <v>2967</v>
      </c>
      <c r="N2254" t="s">
        <v>99</v>
      </c>
      <c r="O2254" t="s">
        <v>2968</v>
      </c>
      <c r="P2254" t="s">
        <v>221</v>
      </c>
      <c r="Q2254" t="s">
        <v>82</v>
      </c>
      <c r="R2254">
        <v>1</v>
      </c>
      <c r="S2254">
        <v>2.2000000000000002</v>
      </c>
      <c r="T2254">
        <v>0</v>
      </c>
      <c r="U2254">
        <v>1</v>
      </c>
      <c r="V2254">
        <v>1</v>
      </c>
      <c r="W2254">
        <v>21.83</v>
      </c>
      <c r="X2254">
        <v>0</v>
      </c>
      <c r="Y2254">
        <v>0</v>
      </c>
      <c r="Z2254">
        <v>0</v>
      </c>
      <c r="AA2254">
        <v>0</v>
      </c>
      <c r="AB2254">
        <v>0</v>
      </c>
      <c r="AC2254">
        <v>0</v>
      </c>
      <c r="AD2254">
        <v>1</v>
      </c>
      <c r="AE2254">
        <v>0</v>
      </c>
      <c r="AF2254">
        <v>0</v>
      </c>
      <c r="AG2254">
        <v>0</v>
      </c>
      <c r="AH2254">
        <v>0</v>
      </c>
      <c r="AI2254">
        <v>0</v>
      </c>
      <c r="AJ2254">
        <v>0</v>
      </c>
      <c r="AK2254">
        <v>0</v>
      </c>
    </row>
    <row r="2255" spans="1:37" x14ac:dyDescent="0.3">
      <c r="A2255">
        <v>7979</v>
      </c>
      <c r="B2255" t="s">
        <v>219</v>
      </c>
      <c r="D2255" t="s">
        <v>327</v>
      </c>
      <c r="E2255">
        <v>99999999</v>
      </c>
      <c r="F2255">
        <v>11111111</v>
      </c>
      <c r="G2255">
        <v>1111111111</v>
      </c>
      <c r="H2255" t="s">
        <v>5824</v>
      </c>
      <c r="I2255">
        <v>99999999</v>
      </c>
      <c r="J2255" s="188">
        <v>45238</v>
      </c>
      <c r="K2255" t="s">
        <v>5824</v>
      </c>
      <c r="L2255" t="s">
        <v>5824</v>
      </c>
      <c r="M2255" t="s">
        <v>1067</v>
      </c>
      <c r="N2255" t="s">
        <v>97</v>
      </c>
      <c r="O2255">
        <v>99021</v>
      </c>
      <c r="P2255" t="s">
        <v>221</v>
      </c>
      <c r="Q2255" t="s">
        <v>82</v>
      </c>
      <c r="R2255">
        <v>1</v>
      </c>
      <c r="S2255">
        <v>2.25</v>
      </c>
      <c r="T2255">
        <v>0</v>
      </c>
      <c r="U2255">
        <v>1</v>
      </c>
      <c r="V2255">
        <v>1</v>
      </c>
      <c r="W2255">
        <v>27.94</v>
      </c>
      <c r="X2255">
        <v>0</v>
      </c>
      <c r="Y2255">
        <v>0</v>
      </c>
      <c r="Z2255">
        <v>0</v>
      </c>
      <c r="AA2255">
        <v>0</v>
      </c>
      <c r="AB2255">
        <v>0</v>
      </c>
      <c r="AC2255">
        <v>0</v>
      </c>
      <c r="AD2255">
        <v>1</v>
      </c>
      <c r="AE2255">
        <v>0</v>
      </c>
      <c r="AF2255">
        <v>0</v>
      </c>
      <c r="AG2255">
        <v>0</v>
      </c>
      <c r="AH2255">
        <v>0</v>
      </c>
      <c r="AI2255">
        <v>0</v>
      </c>
      <c r="AJ2255">
        <v>0</v>
      </c>
      <c r="AK2255">
        <v>0</v>
      </c>
    </row>
    <row r="2256" spans="1:37" x14ac:dyDescent="0.3">
      <c r="A2256">
        <v>7979</v>
      </c>
      <c r="B2256" t="s">
        <v>219</v>
      </c>
      <c r="D2256" t="s">
        <v>327</v>
      </c>
      <c r="E2256">
        <v>99999999</v>
      </c>
      <c r="F2256">
        <v>11111111</v>
      </c>
      <c r="G2256">
        <v>1111111111</v>
      </c>
      <c r="H2256" t="s">
        <v>5825</v>
      </c>
      <c r="I2256">
        <v>99999999</v>
      </c>
      <c r="J2256" s="188">
        <v>45238</v>
      </c>
      <c r="K2256" t="s">
        <v>5825</v>
      </c>
      <c r="L2256" t="s">
        <v>5825</v>
      </c>
      <c r="M2256" t="s">
        <v>1480</v>
      </c>
      <c r="N2256" t="s">
        <v>197</v>
      </c>
      <c r="O2256" t="s">
        <v>2969</v>
      </c>
      <c r="P2256" t="s">
        <v>221</v>
      </c>
      <c r="Q2256" t="s">
        <v>82</v>
      </c>
      <c r="R2256">
        <v>2</v>
      </c>
      <c r="S2256">
        <v>22</v>
      </c>
      <c r="T2256">
        <v>0</v>
      </c>
      <c r="U2256">
        <v>1</v>
      </c>
      <c r="V2256">
        <v>1</v>
      </c>
      <c r="W2256">
        <v>40.31</v>
      </c>
      <c r="X2256">
        <v>0</v>
      </c>
      <c r="Y2256">
        <v>0</v>
      </c>
      <c r="Z2256">
        <v>0</v>
      </c>
      <c r="AA2256">
        <v>0</v>
      </c>
      <c r="AB2256">
        <v>0</v>
      </c>
      <c r="AC2256">
        <v>0</v>
      </c>
      <c r="AD2256">
        <v>2</v>
      </c>
      <c r="AE2256">
        <v>0</v>
      </c>
      <c r="AF2256">
        <v>0</v>
      </c>
      <c r="AG2256">
        <v>0</v>
      </c>
      <c r="AH2256">
        <v>0</v>
      </c>
      <c r="AI2256">
        <v>0</v>
      </c>
      <c r="AJ2256">
        <v>0</v>
      </c>
      <c r="AK2256">
        <v>0</v>
      </c>
    </row>
    <row r="2257" spans="1:37" x14ac:dyDescent="0.3">
      <c r="A2257">
        <v>7979</v>
      </c>
      <c r="B2257" t="s">
        <v>219</v>
      </c>
      <c r="D2257" t="s">
        <v>327</v>
      </c>
      <c r="E2257">
        <v>99999999</v>
      </c>
      <c r="F2257">
        <v>11111111</v>
      </c>
      <c r="G2257">
        <v>1111111111</v>
      </c>
      <c r="H2257" t="s">
        <v>5826</v>
      </c>
      <c r="I2257">
        <v>99999999</v>
      </c>
      <c r="J2257" s="188">
        <v>45238</v>
      </c>
      <c r="K2257" t="s">
        <v>5826</v>
      </c>
      <c r="L2257" t="s">
        <v>5826</v>
      </c>
      <c r="M2257" t="s">
        <v>2970</v>
      </c>
      <c r="N2257" t="s">
        <v>130</v>
      </c>
      <c r="O2257" t="s">
        <v>2971</v>
      </c>
      <c r="P2257" t="s">
        <v>221</v>
      </c>
      <c r="Q2257" t="s">
        <v>82</v>
      </c>
      <c r="R2257">
        <v>1</v>
      </c>
      <c r="S2257">
        <v>5.8</v>
      </c>
      <c r="T2257">
        <v>0</v>
      </c>
      <c r="U2257">
        <v>1</v>
      </c>
      <c r="V2257">
        <v>1</v>
      </c>
      <c r="W2257">
        <v>24.97</v>
      </c>
      <c r="X2257">
        <v>0</v>
      </c>
      <c r="Y2257">
        <v>0</v>
      </c>
      <c r="Z2257">
        <v>0</v>
      </c>
      <c r="AA2257">
        <v>0</v>
      </c>
      <c r="AB2257">
        <v>0</v>
      </c>
      <c r="AC2257">
        <v>0</v>
      </c>
      <c r="AD2257">
        <v>1</v>
      </c>
      <c r="AE2257">
        <v>0</v>
      </c>
      <c r="AF2257">
        <v>0</v>
      </c>
      <c r="AG2257">
        <v>0</v>
      </c>
      <c r="AH2257">
        <v>0</v>
      </c>
      <c r="AI2257">
        <v>0</v>
      </c>
      <c r="AJ2257">
        <v>0</v>
      </c>
      <c r="AK2257">
        <v>0</v>
      </c>
    </row>
    <row r="2258" spans="1:37" x14ac:dyDescent="0.3">
      <c r="A2258">
        <v>7979</v>
      </c>
      <c r="B2258" t="s">
        <v>219</v>
      </c>
      <c r="D2258" t="s">
        <v>327</v>
      </c>
      <c r="E2258">
        <v>99999999</v>
      </c>
      <c r="F2258">
        <v>11111111</v>
      </c>
      <c r="G2258">
        <v>1111111111</v>
      </c>
      <c r="H2258" t="s">
        <v>5827</v>
      </c>
      <c r="I2258">
        <v>99999999</v>
      </c>
      <c r="J2258" s="188">
        <v>45238</v>
      </c>
      <c r="K2258" t="s">
        <v>5827</v>
      </c>
      <c r="L2258" t="s">
        <v>5827</v>
      </c>
      <c r="M2258" t="s">
        <v>258</v>
      </c>
      <c r="N2258" t="s">
        <v>91</v>
      </c>
      <c r="O2258" t="s">
        <v>2972</v>
      </c>
      <c r="P2258" t="s">
        <v>221</v>
      </c>
      <c r="Q2258" t="s">
        <v>82</v>
      </c>
      <c r="R2258">
        <v>1</v>
      </c>
      <c r="S2258">
        <v>0.59</v>
      </c>
      <c r="T2258">
        <v>0</v>
      </c>
      <c r="U2258">
        <v>1</v>
      </c>
      <c r="V2258">
        <v>1</v>
      </c>
      <c r="W2258">
        <v>21.49</v>
      </c>
      <c r="X2258">
        <v>0</v>
      </c>
      <c r="Y2258">
        <v>0</v>
      </c>
      <c r="Z2258">
        <v>0</v>
      </c>
      <c r="AA2258">
        <v>0</v>
      </c>
      <c r="AB2258">
        <v>0</v>
      </c>
      <c r="AC2258">
        <v>0</v>
      </c>
      <c r="AD2258">
        <v>1</v>
      </c>
      <c r="AE2258">
        <v>0</v>
      </c>
      <c r="AF2258">
        <v>0</v>
      </c>
      <c r="AG2258">
        <v>0</v>
      </c>
      <c r="AH2258">
        <v>0</v>
      </c>
      <c r="AI2258">
        <v>0</v>
      </c>
      <c r="AJ2258">
        <v>0</v>
      </c>
      <c r="AK2258">
        <v>0</v>
      </c>
    </row>
    <row r="2259" spans="1:37" x14ac:dyDescent="0.3">
      <c r="A2259">
        <v>7979</v>
      </c>
      <c r="B2259" t="s">
        <v>219</v>
      </c>
      <c r="D2259" t="s">
        <v>327</v>
      </c>
      <c r="E2259">
        <v>99999999</v>
      </c>
      <c r="F2259">
        <v>11111111</v>
      </c>
      <c r="G2259">
        <v>1111111111</v>
      </c>
      <c r="H2259" t="s">
        <v>5828</v>
      </c>
      <c r="I2259">
        <v>99999999</v>
      </c>
      <c r="J2259" s="188">
        <v>45238</v>
      </c>
      <c r="K2259" t="s">
        <v>5828</v>
      </c>
      <c r="L2259" t="s">
        <v>5828</v>
      </c>
      <c r="M2259" t="s">
        <v>2973</v>
      </c>
      <c r="N2259" t="s">
        <v>307</v>
      </c>
      <c r="O2259" t="s">
        <v>2974</v>
      </c>
      <c r="P2259" t="s">
        <v>221</v>
      </c>
      <c r="Q2259" t="s">
        <v>82</v>
      </c>
      <c r="R2259">
        <v>1</v>
      </c>
      <c r="S2259">
        <v>2.125</v>
      </c>
      <c r="T2259">
        <v>0</v>
      </c>
      <c r="U2259">
        <v>1</v>
      </c>
      <c r="V2259">
        <v>1</v>
      </c>
      <c r="W2259">
        <v>29.41</v>
      </c>
      <c r="X2259">
        <v>0</v>
      </c>
      <c r="Y2259">
        <v>0</v>
      </c>
      <c r="Z2259">
        <v>0</v>
      </c>
      <c r="AA2259">
        <v>0</v>
      </c>
      <c r="AB2259">
        <v>0</v>
      </c>
      <c r="AC2259">
        <v>0</v>
      </c>
      <c r="AD2259">
        <v>1</v>
      </c>
      <c r="AE2259">
        <v>0</v>
      </c>
      <c r="AF2259">
        <v>0</v>
      </c>
      <c r="AG2259">
        <v>0</v>
      </c>
      <c r="AH2259">
        <v>0</v>
      </c>
      <c r="AI2259">
        <v>0</v>
      </c>
      <c r="AJ2259">
        <v>0</v>
      </c>
      <c r="AK2259">
        <v>0</v>
      </c>
    </row>
    <row r="2260" spans="1:37" x14ac:dyDescent="0.3">
      <c r="A2260">
        <v>7979</v>
      </c>
      <c r="B2260" t="s">
        <v>219</v>
      </c>
      <c r="D2260" t="s">
        <v>327</v>
      </c>
      <c r="E2260">
        <v>99999999</v>
      </c>
      <c r="F2260">
        <v>11111111</v>
      </c>
      <c r="G2260">
        <v>1111111111</v>
      </c>
      <c r="H2260" t="s">
        <v>5829</v>
      </c>
      <c r="I2260">
        <v>99999999</v>
      </c>
      <c r="J2260" s="188">
        <v>45238</v>
      </c>
      <c r="K2260" t="s">
        <v>5829</v>
      </c>
      <c r="L2260" t="s">
        <v>5829</v>
      </c>
      <c r="M2260" t="s">
        <v>2975</v>
      </c>
      <c r="N2260" t="s">
        <v>197</v>
      </c>
      <c r="O2260" t="s">
        <v>2976</v>
      </c>
      <c r="P2260" t="s">
        <v>221</v>
      </c>
      <c r="Q2260" t="s">
        <v>82</v>
      </c>
      <c r="R2260">
        <v>1</v>
      </c>
      <c r="S2260">
        <v>5.8</v>
      </c>
      <c r="T2260">
        <v>0</v>
      </c>
      <c r="U2260">
        <v>1</v>
      </c>
      <c r="V2260">
        <v>1</v>
      </c>
      <c r="W2260">
        <v>32.74</v>
      </c>
      <c r="X2260">
        <v>0</v>
      </c>
      <c r="Y2260">
        <v>0</v>
      </c>
      <c r="Z2260">
        <v>0</v>
      </c>
      <c r="AA2260">
        <v>0</v>
      </c>
      <c r="AB2260">
        <v>0</v>
      </c>
      <c r="AC2260">
        <v>0</v>
      </c>
      <c r="AD2260">
        <v>1</v>
      </c>
      <c r="AE2260">
        <v>0</v>
      </c>
      <c r="AF2260">
        <v>0</v>
      </c>
      <c r="AG2260">
        <v>0</v>
      </c>
      <c r="AH2260">
        <v>0</v>
      </c>
      <c r="AI2260">
        <v>0</v>
      </c>
      <c r="AJ2260">
        <v>0</v>
      </c>
      <c r="AK2260">
        <v>0</v>
      </c>
    </row>
    <row r="2261" spans="1:37" x14ac:dyDescent="0.3">
      <c r="A2261">
        <v>7979</v>
      </c>
      <c r="B2261" t="s">
        <v>219</v>
      </c>
      <c r="D2261" t="s">
        <v>327</v>
      </c>
      <c r="E2261">
        <v>99999999</v>
      </c>
      <c r="F2261">
        <v>11111111</v>
      </c>
      <c r="G2261">
        <v>1111111111</v>
      </c>
      <c r="H2261" t="s">
        <v>5830</v>
      </c>
      <c r="I2261">
        <v>99999999</v>
      </c>
      <c r="J2261" s="188">
        <v>45238</v>
      </c>
      <c r="K2261" t="s">
        <v>5830</v>
      </c>
      <c r="L2261" t="s">
        <v>5830</v>
      </c>
      <c r="M2261" t="s">
        <v>2977</v>
      </c>
      <c r="N2261" t="s">
        <v>91</v>
      </c>
      <c r="O2261" t="s">
        <v>2978</v>
      </c>
      <c r="P2261" t="s">
        <v>221</v>
      </c>
      <c r="Q2261" t="s">
        <v>82</v>
      </c>
      <c r="R2261">
        <v>1</v>
      </c>
      <c r="S2261">
        <v>2.08</v>
      </c>
      <c r="T2261">
        <v>0</v>
      </c>
      <c r="U2261">
        <v>1</v>
      </c>
      <c r="V2261">
        <v>1</v>
      </c>
      <c r="W2261">
        <v>28.73</v>
      </c>
      <c r="X2261">
        <v>0</v>
      </c>
      <c r="Y2261">
        <v>0</v>
      </c>
      <c r="Z2261">
        <v>0</v>
      </c>
      <c r="AA2261">
        <v>0</v>
      </c>
      <c r="AB2261">
        <v>0</v>
      </c>
      <c r="AC2261">
        <v>0</v>
      </c>
      <c r="AD2261">
        <v>1</v>
      </c>
      <c r="AE2261">
        <v>0</v>
      </c>
      <c r="AF2261">
        <v>0</v>
      </c>
      <c r="AG2261">
        <v>0</v>
      </c>
      <c r="AH2261">
        <v>0</v>
      </c>
      <c r="AI2261">
        <v>0</v>
      </c>
      <c r="AJ2261">
        <v>0</v>
      </c>
      <c r="AK2261">
        <v>0</v>
      </c>
    </row>
    <row r="2262" spans="1:37" x14ac:dyDescent="0.3">
      <c r="A2262">
        <v>7979</v>
      </c>
      <c r="B2262" t="s">
        <v>219</v>
      </c>
      <c r="D2262" t="s">
        <v>327</v>
      </c>
      <c r="E2262">
        <v>99999999</v>
      </c>
      <c r="F2262">
        <v>11111111</v>
      </c>
      <c r="G2262">
        <v>1111111111</v>
      </c>
      <c r="H2262" t="s">
        <v>5831</v>
      </c>
      <c r="I2262">
        <v>99999999</v>
      </c>
      <c r="J2262" s="188">
        <v>45238</v>
      </c>
      <c r="K2262" t="s">
        <v>5831</v>
      </c>
      <c r="L2262" t="s">
        <v>5831</v>
      </c>
      <c r="M2262" t="s">
        <v>2979</v>
      </c>
      <c r="N2262" t="s">
        <v>99</v>
      </c>
      <c r="O2262" t="s">
        <v>2980</v>
      </c>
      <c r="P2262" t="s">
        <v>221</v>
      </c>
      <c r="Q2262" t="s">
        <v>82</v>
      </c>
      <c r="R2262">
        <v>1</v>
      </c>
      <c r="S2262">
        <v>12.2</v>
      </c>
      <c r="T2262">
        <v>0</v>
      </c>
      <c r="U2262">
        <v>1</v>
      </c>
      <c r="V2262">
        <v>1</v>
      </c>
      <c r="W2262">
        <v>25</v>
      </c>
      <c r="X2262">
        <v>0</v>
      </c>
      <c r="Y2262">
        <v>0</v>
      </c>
      <c r="Z2262">
        <v>0</v>
      </c>
      <c r="AA2262">
        <v>0</v>
      </c>
      <c r="AB2262">
        <v>0</v>
      </c>
      <c r="AC2262">
        <v>0</v>
      </c>
      <c r="AD2262">
        <v>1</v>
      </c>
      <c r="AE2262">
        <v>0</v>
      </c>
      <c r="AF2262">
        <v>0</v>
      </c>
      <c r="AG2262">
        <v>0</v>
      </c>
      <c r="AH2262">
        <v>0</v>
      </c>
      <c r="AI2262">
        <v>0</v>
      </c>
      <c r="AJ2262">
        <v>0</v>
      </c>
      <c r="AK2262">
        <v>0</v>
      </c>
    </row>
    <row r="2263" spans="1:37" x14ac:dyDescent="0.3">
      <c r="A2263">
        <v>7979</v>
      </c>
      <c r="B2263" t="s">
        <v>219</v>
      </c>
      <c r="D2263" t="s">
        <v>327</v>
      </c>
      <c r="E2263">
        <v>99999999</v>
      </c>
      <c r="F2263">
        <v>11111111</v>
      </c>
      <c r="G2263">
        <v>1111111111</v>
      </c>
      <c r="H2263" t="s">
        <v>5832</v>
      </c>
      <c r="I2263">
        <v>99999999</v>
      </c>
      <c r="J2263" s="188">
        <v>45238</v>
      </c>
      <c r="K2263" t="s">
        <v>5832</v>
      </c>
      <c r="L2263" t="s">
        <v>5832</v>
      </c>
      <c r="M2263" t="s">
        <v>1607</v>
      </c>
      <c r="N2263" t="s">
        <v>99</v>
      </c>
      <c r="O2263" t="s">
        <v>2981</v>
      </c>
      <c r="P2263" t="s">
        <v>221</v>
      </c>
      <c r="Q2263" t="s">
        <v>82</v>
      </c>
      <c r="R2263">
        <v>1</v>
      </c>
      <c r="S2263">
        <v>6</v>
      </c>
      <c r="T2263">
        <v>0</v>
      </c>
      <c r="U2263">
        <v>1</v>
      </c>
      <c r="V2263">
        <v>1</v>
      </c>
      <c r="W2263">
        <v>23.49</v>
      </c>
      <c r="X2263">
        <v>0</v>
      </c>
      <c r="Y2263">
        <v>0</v>
      </c>
      <c r="Z2263">
        <v>0</v>
      </c>
      <c r="AA2263">
        <v>0</v>
      </c>
      <c r="AB2263">
        <v>0</v>
      </c>
      <c r="AC2263">
        <v>0</v>
      </c>
      <c r="AD2263">
        <v>1</v>
      </c>
      <c r="AE2263">
        <v>0</v>
      </c>
      <c r="AF2263">
        <v>0</v>
      </c>
      <c r="AG2263">
        <v>0</v>
      </c>
      <c r="AH2263">
        <v>0</v>
      </c>
      <c r="AI2263">
        <v>0</v>
      </c>
      <c r="AJ2263">
        <v>0</v>
      </c>
      <c r="AK2263">
        <v>0</v>
      </c>
    </row>
    <row r="2264" spans="1:37" x14ac:dyDescent="0.3">
      <c r="A2264">
        <v>7979</v>
      </c>
      <c r="B2264" t="s">
        <v>219</v>
      </c>
      <c r="D2264" t="s">
        <v>327</v>
      </c>
      <c r="E2264">
        <v>99999999</v>
      </c>
      <c r="F2264">
        <v>11111111</v>
      </c>
      <c r="G2264">
        <v>1111111111</v>
      </c>
      <c r="H2264" t="s">
        <v>5833</v>
      </c>
      <c r="I2264">
        <v>99999999</v>
      </c>
      <c r="J2264" s="188">
        <v>45238</v>
      </c>
      <c r="K2264" t="s">
        <v>5833</v>
      </c>
      <c r="L2264" t="s">
        <v>5833</v>
      </c>
      <c r="M2264" t="s">
        <v>612</v>
      </c>
      <c r="N2264" t="s">
        <v>164</v>
      </c>
      <c r="O2264" t="s">
        <v>2982</v>
      </c>
      <c r="P2264" t="s">
        <v>221</v>
      </c>
      <c r="Q2264" t="s">
        <v>82</v>
      </c>
      <c r="R2264">
        <v>1</v>
      </c>
      <c r="S2264">
        <v>3.75</v>
      </c>
      <c r="T2264">
        <v>0</v>
      </c>
      <c r="U2264">
        <v>1</v>
      </c>
      <c r="V2264">
        <v>1</v>
      </c>
      <c r="W2264">
        <v>22.88</v>
      </c>
      <c r="X2264">
        <v>0</v>
      </c>
      <c r="Y2264">
        <v>0</v>
      </c>
      <c r="Z2264">
        <v>0</v>
      </c>
      <c r="AA2264">
        <v>0</v>
      </c>
      <c r="AB2264">
        <v>0</v>
      </c>
      <c r="AC2264">
        <v>0</v>
      </c>
      <c r="AD2264">
        <v>1</v>
      </c>
      <c r="AE2264">
        <v>0</v>
      </c>
      <c r="AF2264">
        <v>0</v>
      </c>
      <c r="AG2264">
        <v>0</v>
      </c>
      <c r="AH2264">
        <v>0</v>
      </c>
      <c r="AI2264">
        <v>0</v>
      </c>
      <c r="AJ2264">
        <v>0</v>
      </c>
      <c r="AK2264">
        <v>0</v>
      </c>
    </row>
    <row r="2265" spans="1:37" x14ac:dyDescent="0.3">
      <c r="A2265">
        <v>7979</v>
      </c>
      <c r="B2265" t="s">
        <v>219</v>
      </c>
      <c r="D2265" t="s">
        <v>327</v>
      </c>
      <c r="E2265">
        <v>99999999</v>
      </c>
      <c r="F2265">
        <v>11111111</v>
      </c>
      <c r="G2265">
        <v>1111111111</v>
      </c>
      <c r="H2265" t="s">
        <v>5834</v>
      </c>
      <c r="I2265">
        <v>99999999</v>
      </c>
      <c r="J2265" s="188">
        <v>45238</v>
      </c>
      <c r="K2265" t="s">
        <v>5834</v>
      </c>
      <c r="L2265" t="s">
        <v>5834</v>
      </c>
      <c r="M2265" t="s">
        <v>1110</v>
      </c>
      <c r="N2265" t="s">
        <v>97</v>
      </c>
      <c r="O2265" t="s">
        <v>2983</v>
      </c>
      <c r="P2265" t="s">
        <v>221</v>
      </c>
      <c r="Q2265" t="s">
        <v>82</v>
      </c>
      <c r="R2265">
        <v>1</v>
      </c>
      <c r="S2265">
        <v>12</v>
      </c>
      <c r="T2265">
        <v>0</v>
      </c>
      <c r="U2265">
        <v>1</v>
      </c>
      <c r="V2265">
        <v>1</v>
      </c>
      <c r="W2265">
        <v>25</v>
      </c>
      <c r="X2265">
        <v>0</v>
      </c>
      <c r="Y2265">
        <v>0</v>
      </c>
      <c r="Z2265">
        <v>0</v>
      </c>
      <c r="AA2265">
        <v>0</v>
      </c>
      <c r="AB2265">
        <v>0</v>
      </c>
      <c r="AC2265">
        <v>0</v>
      </c>
      <c r="AD2265">
        <v>1</v>
      </c>
      <c r="AE2265">
        <v>0</v>
      </c>
      <c r="AF2265">
        <v>0</v>
      </c>
      <c r="AG2265">
        <v>0</v>
      </c>
      <c r="AH2265">
        <v>0</v>
      </c>
      <c r="AI2265">
        <v>0</v>
      </c>
      <c r="AJ2265">
        <v>0</v>
      </c>
      <c r="AK2265">
        <v>0</v>
      </c>
    </row>
    <row r="2266" spans="1:37" x14ac:dyDescent="0.3">
      <c r="A2266">
        <v>7979</v>
      </c>
      <c r="B2266" t="s">
        <v>219</v>
      </c>
      <c r="D2266" t="s">
        <v>327</v>
      </c>
      <c r="E2266">
        <v>99999999</v>
      </c>
      <c r="F2266">
        <v>11111111</v>
      </c>
      <c r="G2266">
        <v>1111111111</v>
      </c>
      <c r="H2266" t="s">
        <v>5835</v>
      </c>
      <c r="I2266">
        <v>99999999</v>
      </c>
      <c r="J2266" s="188">
        <v>45238</v>
      </c>
      <c r="K2266" t="s">
        <v>5835</v>
      </c>
      <c r="L2266" t="s">
        <v>5835</v>
      </c>
      <c r="M2266" t="s">
        <v>1110</v>
      </c>
      <c r="N2266" t="s">
        <v>97</v>
      </c>
      <c r="O2266">
        <v>98072</v>
      </c>
      <c r="P2266" t="s">
        <v>221</v>
      </c>
      <c r="Q2266" t="s">
        <v>82</v>
      </c>
      <c r="R2266">
        <v>1</v>
      </c>
      <c r="S2266">
        <v>6</v>
      </c>
      <c r="T2266">
        <v>0</v>
      </c>
      <c r="U2266">
        <v>1</v>
      </c>
      <c r="V2266">
        <v>1</v>
      </c>
      <c r="W2266">
        <v>23.49</v>
      </c>
      <c r="X2266">
        <v>0</v>
      </c>
      <c r="Y2266">
        <v>0</v>
      </c>
      <c r="Z2266">
        <v>0</v>
      </c>
      <c r="AA2266">
        <v>0</v>
      </c>
      <c r="AB2266">
        <v>0</v>
      </c>
      <c r="AC2266">
        <v>0</v>
      </c>
      <c r="AD2266">
        <v>1</v>
      </c>
      <c r="AE2266">
        <v>0</v>
      </c>
      <c r="AF2266">
        <v>0</v>
      </c>
      <c r="AG2266">
        <v>0</v>
      </c>
      <c r="AH2266">
        <v>0</v>
      </c>
      <c r="AI2266">
        <v>0</v>
      </c>
      <c r="AJ2266">
        <v>0</v>
      </c>
      <c r="AK2266">
        <v>0</v>
      </c>
    </row>
    <row r="2267" spans="1:37" x14ac:dyDescent="0.3">
      <c r="A2267">
        <v>7979</v>
      </c>
      <c r="B2267" t="s">
        <v>219</v>
      </c>
      <c r="D2267" t="s">
        <v>327</v>
      </c>
      <c r="E2267">
        <v>99999999</v>
      </c>
      <c r="F2267">
        <v>11111111</v>
      </c>
      <c r="G2267">
        <v>1111111111</v>
      </c>
      <c r="H2267" t="s">
        <v>5836</v>
      </c>
      <c r="I2267">
        <v>99999999</v>
      </c>
      <c r="J2267" s="188">
        <v>45238</v>
      </c>
      <c r="K2267" t="s">
        <v>5836</v>
      </c>
      <c r="L2267" t="s">
        <v>5836</v>
      </c>
      <c r="M2267" t="s">
        <v>899</v>
      </c>
      <c r="N2267" t="s">
        <v>85</v>
      </c>
      <c r="O2267" t="s">
        <v>900</v>
      </c>
      <c r="P2267" t="s">
        <v>221</v>
      </c>
      <c r="Q2267" t="s">
        <v>82</v>
      </c>
      <c r="R2267">
        <v>1</v>
      </c>
      <c r="S2267">
        <v>5</v>
      </c>
      <c r="T2267">
        <v>0</v>
      </c>
      <c r="U2267">
        <v>1</v>
      </c>
      <c r="V2267">
        <v>1</v>
      </c>
      <c r="W2267">
        <v>26.08</v>
      </c>
      <c r="X2267">
        <v>0</v>
      </c>
      <c r="Y2267">
        <v>0</v>
      </c>
      <c r="Z2267">
        <v>0</v>
      </c>
      <c r="AA2267">
        <v>0</v>
      </c>
      <c r="AB2267">
        <v>0</v>
      </c>
      <c r="AC2267">
        <v>0</v>
      </c>
      <c r="AD2267">
        <v>1</v>
      </c>
      <c r="AE2267">
        <v>0</v>
      </c>
      <c r="AF2267">
        <v>0</v>
      </c>
      <c r="AG2267">
        <v>0</v>
      </c>
      <c r="AH2267">
        <v>0</v>
      </c>
      <c r="AI2267">
        <v>0</v>
      </c>
      <c r="AJ2267">
        <v>0</v>
      </c>
      <c r="AK2267">
        <v>0</v>
      </c>
    </row>
    <row r="2268" spans="1:37" x14ac:dyDescent="0.3">
      <c r="A2268">
        <v>7979</v>
      </c>
      <c r="B2268" t="s">
        <v>219</v>
      </c>
      <c r="D2268" t="s">
        <v>327</v>
      </c>
      <c r="E2268">
        <v>99999999</v>
      </c>
      <c r="F2268">
        <v>11111111</v>
      </c>
      <c r="G2268">
        <v>1111111111</v>
      </c>
      <c r="H2268" t="s">
        <v>5837</v>
      </c>
      <c r="I2268">
        <v>99999999</v>
      </c>
      <c r="J2268" s="188">
        <v>45238</v>
      </c>
      <c r="K2268" t="s">
        <v>5837</v>
      </c>
      <c r="L2268" t="s">
        <v>5837</v>
      </c>
      <c r="M2268" t="s">
        <v>659</v>
      </c>
      <c r="N2268" t="s">
        <v>99</v>
      </c>
      <c r="O2268" t="s">
        <v>2147</v>
      </c>
      <c r="P2268" t="s">
        <v>221</v>
      </c>
      <c r="Q2268" t="s">
        <v>82</v>
      </c>
      <c r="R2268">
        <v>2</v>
      </c>
      <c r="S2268">
        <v>4.4000000000000004</v>
      </c>
      <c r="T2268">
        <v>0</v>
      </c>
      <c r="U2268">
        <v>1</v>
      </c>
      <c r="V2268">
        <v>1</v>
      </c>
      <c r="W2268">
        <v>27.5</v>
      </c>
      <c r="X2268">
        <v>0</v>
      </c>
      <c r="Y2268">
        <v>0</v>
      </c>
      <c r="Z2268">
        <v>0</v>
      </c>
      <c r="AA2268">
        <v>0</v>
      </c>
      <c r="AB2268">
        <v>0</v>
      </c>
      <c r="AC2268">
        <v>0</v>
      </c>
      <c r="AD2268">
        <v>2</v>
      </c>
      <c r="AE2268">
        <v>0</v>
      </c>
      <c r="AF2268">
        <v>0</v>
      </c>
      <c r="AG2268">
        <v>0</v>
      </c>
      <c r="AH2268">
        <v>0</v>
      </c>
      <c r="AI2268">
        <v>0</v>
      </c>
      <c r="AJ2268">
        <v>0</v>
      </c>
      <c r="AK2268">
        <v>0</v>
      </c>
    </row>
    <row r="2269" spans="1:37" x14ac:dyDescent="0.3">
      <c r="A2269">
        <v>7979</v>
      </c>
      <c r="B2269" t="s">
        <v>219</v>
      </c>
      <c r="D2269" t="s">
        <v>327</v>
      </c>
      <c r="E2269">
        <v>99999999</v>
      </c>
      <c r="F2269">
        <v>11111111</v>
      </c>
      <c r="G2269">
        <v>1111111111</v>
      </c>
      <c r="H2269" t="s">
        <v>5838</v>
      </c>
      <c r="I2269">
        <v>99999999</v>
      </c>
      <c r="J2269" s="188">
        <v>45238</v>
      </c>
      <c r="K2269" t="s">
        <v>5838</v>
      </c>
      <c r="L2269" t="s">
        <v>5838</v>
      </c>
      <c r="M2269" t="s">
        <v>2984</v>
      </c>
      <c r="N2269" t="s">
        <v>197</v>
      </c>
      <c r="O2269">
        <v>76273</v>
      </c>
      <c r="P2269" t="s">
        <v>221</v>
      </c>
      <c r="Q2269" t="s">
        <v>82</v>
      </c>
      <c r="R2269">
        <v>1</v>
      </c>
      <c r="S2269">
        <v>4.17</v>
      </c>
      <c r="T2269">
        <v>0</v>
      </c>
      <c r="U2269">
        <v>1</v>
      </c>
      <c r="V2269">
        <v>1</v>
      </c>
      <c r="W2269">
        <v>31.16</v>
      </c>
      <c r="X2269">
        <v>0</v>
      </c>
      <c r="Y2269">
        <v>0</v>
      </c>
      <c r="Z2269">
        <v>0</v>
      </c>
      <c r="AA2269">
        <v>0</v>
      </c>
      <c r="AB2269">
        <v>0</v>
      </c>
      <c r="AC2269">
        <v>0</v>
      </c>
      <c r="AD2269">
        <v>1</v>
      </c>
      <c r="AE2269">
        <v>0</v>
      </c>
      <c r="AF2269">
        <v>0</v>
      </c>
      <c r="AG2269">
        <v>0</v>
      </c>
      <c r="AH2269">
        <v>0</v>
      </c>
      <c r="AI2269">
        <v>0</v>
      </c>
      <c r="AJ2269">
        <v>0</v>
      </c>
      <c r="AK2269">
        <v>0</v>
      </c>
    </row>
    <row r="2270" spans="1:37" x14ac:dyDescent="0.3">
      <c r="A2270">
        <v>7979</v>
      </c>
      <c r="B2270" t="s">
        <v>219</v>
      </c>
      <c r="D2270" t="s">
        <v>327</v>
      </c>
      <c r="E2270">
        <v>99999999</v>
      </c>
      <c r="F2270">
        <v>11111111</v>
      </c>
      <c r="G2270">
        <v>1111111111</v>
      </c>
      <c r="H2270" t="s">
        <v>5839</v>
      </c>
      <c r="I2270">
        <v>99999999</v>
      </c>
      <c r="J2270" s="188">
        <v>45238</v>
      </c>
      <c r="K2270" t="s">
        <v>5839</v>
      </c>
      <c r="L2270" t="s">
        <v>5839</v>
      </c>
      <c r="M2270" t="s">
        <v>1392</v>
      </c>
      <c r="N2270" t="s">
        <v>99</v>
      </c>
      <c r="O2270" t="s">
        <v>2985</v>
      </c>
      <c r="P2270" t="s">
        <v>221</v>
      </c>
      <c r="Q2270" t="s">
        <v>82</v>
      </c>
      <c r="R2270">
        <v>2</v>
      </c>
      <c r="S2270">
        <v>4.8</v>
      </c>
      <c r="T2270">
        <v>0</v>
      </c>
      <c r="U2270">
        <v>1</v>
      </c>
      <c r="V2270">
        <v>2</v>
      </c>
      <c r="W2270">
        <v>23.04</v>
      </c>
      <c r="X2270">
        <v>0</v>
      </c>
      <c r="Y2270">
        <v>0</v>
      </c>
      <c r="Z2270">
        <v>0</v>
      </c>
      <c r="AA2270">
        <v>0</v>
      </c>
      <c r="AB2270">
        <v>0</v>
      </c>
      <c r="AC2270">
        <v>0</v>
      </c>
      <c r="AD2270">
        <v>2</v>
      </c>
      <c r="AE2270">
        <v>0</v>
      </c>
      <c r="AF2270">
        <v>0</v>
      </c>
      <c r="AG2270">
        <v>0</v>
      </c>
      <c r="AH2270">
        <v>0</v>
      </c>
      <c r="AI2270">
        <v>0</v>
      </c>
      <c r="AJ2270">
        <v>0</v>
      </c>
      <c r="AK2270">
        <v>0</v>
      </c>
    </row>
    <row r="2271" spans="1:37" x14ac:dyDescent="0.3">
      <c r="A2271">
        <v>7979</v>
      </c>
      <c r="B2271" t="s">
        <v>219</v>
      </c>
      <c r="D2271" t="s">
        <v>327</v>
      </c>
      <c r="E2271">
        <v>99999999</v>
      </c>
      <c r="F2271">
        <v>11111111</v>
      </c>
      <c r="G2271">
        <v>1111111111</v>
      </c>
      <c r="H2271" t="s">
        <v>5840</v>
      </c>
      <c r="I2271">
        <v>99999999</v>
      </c>
      <c r="J2271" s="188">
        <v>45238</v>
      </c>
      <c r="K2271" t="s">
        <v>5840</v>
      </c>
      <c r="L2271" t="s">
        <v>5840</v>
      </c>
      <c r="M2271" t="s">
        <v>2611</v>
      </c>
      <c r="N2271" t="s">
        <v>99</v>
      </c>
      <c r="O2271">
        <v>91962</v>
      </c>
      <c r="P2271" t="s">
        <v>221</v>
      </c>
      <c r="Q2271" t="s">
        <v>82</v>
      </c>
      <c r="R2271">
        <v>4</v>
      </c>
      <c r="S2271">
        <v>17.2</v>
      </c>
      <c r="T2271">
        <v>0</v>
      </c>
      <c r="U2271">
        <v>1</v>
      </c>
      <c r="V2271">
        <v>2</v>
      </c>
      <c r="W2271">
        <v>41.27</v>
      </c>
      <c r="X2271">
        <v>0</v>
      </c>
      <c r="Y2271">
        <v>0</v>
      </c>
      <c r="Z2271">
        <v>0</v>
      </c>
      <c r="AA2271">
        <v>0</v>
      </c>
      <c r="AB2271">
        <v>0</v>
      </c>
      <c r="AC2271">
        <v>0</v>
      </c>
      <c r="AD2271">
        <v>4</v>
      </c>
      <c r="AE2271">
        <v>0</v>
      </c>
      <c r="AF2271">
        <v>0</v>
      </c>
      <c r="AG2271">
        <v>0</v>
      </c>
      <c r="AH2271">
        <v>0</v>
      </c>
      <c r="AI2271">
        <v>0</v>
      </c>
      <c r="AJ2271">
        <v>0</v>
      </c>
      <c r="AK2271">
        <v>0</v>
      </c>
    </row>
    <row r="2272" spans="1:37" x14ac:dyDescent="0.3">
      <c r="A2272">
        <v>7979</v>
      </c>
      <c r="B2272" t="s">
        <v>219</v>
      </c>
      <c r="D2272" t="s">
        <v>327</v>
      </c>
      <c r="E2272">
        <v>99999999</v>
      </c>
      <c r="F2272">
        <v>11111111</v>
      </c>
      <c r="G2272">
        <v>1111111111</v>
      </c>
      <c r="H2272" t="s">
        <v>5841</v>
      </c>
      <c r="I2272">
        <v>99999999</v>
      </c>
      <c r="J2272" s="188">
        <v>45238</v>
      </c>
      <c r="K2272" t="s">
        <v>5841</v>
      </c>
      <c r="L2272" t="s">
        <v>5841</v>
      </c>
      <c r="M2272" t="s">
        <v>1284</v>
      </c>
      <c r="N2272" t="s">
        <v>97</v>
      </c>
      <c r="O2272">
        <v>98502</v>
      </c>
      <c r="P2272" t="s">
        <v>221</v>
      </c>
      <c r="Q2272" t="s">
        <v>82</v>
      </c>
      <c r="R2272">
        <v>1</v>
      </c>
      <c r="S2272">
        <v>15</v>
      </c>
      <c r="T2272">
        <v>0</v>
      </c>
      <c r="U2272">
        <v>1</v>
      </c>
      <c r="V2272">
        <v>1</v>
      </c>
      <c r="W2272">
        <v>25.8</v>
      </c>
      <c r="X2272">
        <v>0</v>
      </c>
      <c r="Y2272">
        <v>0</v>
      </c>
      <c r="Z2272">
        <v>0</v>
      </c>
      <c r="AA2272">
        <v>0</v>
      </c>
      <c r="AB2272">
        <v>0</v>
      </c>
      <c r="AC2272">
        <v>0</v>
      </c>
      <c r="AD2272">
        <v>1</v>
      </c>
      <c r="AE2272">
        <v>0</v>
      </c>
      <c r="AF2272">
        <v>0</v>
      </c>
      <c r="AG2272">
        <v>0</v>
      </c>
      <c r="AH2272">
        <v>0</v>
      </c>
      <c r="AI2272">
        <v>0</v>
      </c>
      <c r="AJ2272">
        <v>0</v>
      </c>
      <c r="AK2272">
        <v>0</v>
      </c>
    </row>
    <row r="2273" spans="1:37" x14ac:dyDescent="0.3">
      <c r="A2273">
        <v>7979</v>
      </c>
      <c r="B2273" t="s">
        <v>219</v>
      </c>
      <c r="D2273" t="s">
        <v>327</v>
      </c>
      <c r="E2273">
        <v>99999999</v>
      </c>
      <c r="F2273">
        <v>11111111</v>
      </c>
      <c r="G2273">
        <v>1111111111</v>
      </c>
      <c r="H2273" t="s">
        <v>5842</v>
      </c>
      <c r="I2273">
        <v>99999999</v>
      </c>
      <c r="J2273" s="188">
        <v>45238</v>
      </c>
      <c r="K2273" t="s">
        <v>5842</v>
      </c>
      <c r="L2273" t="s">
        <v>5842</v>
      </c>
      <c r="M2273" t="s">
        <v>1346</v>
      </c>
      <c r="N2273" t="s">
        <v>97</v>
      </c>
      <c r="O2273" t="s">
        <v>2986</v>
      </c>
      <c r="P2273" t="s">
        <v>221</v>
      </c>
      <c r="Q2273" t="s">
        <v>82</v>
      </c>
      <c r="R2273">
        <v>1</v>
      </c>
      <c r="S2273">
        <v>2.4</v>
      </c>
      <c r="T2273">
        <v>0</v>
      </c>
      <c r="U2273">
        <v>1</v>
      </c>
      <c r="V2273">
        <v>1</v>
      </c>
      <c r="W2273">
        <v>21.83</v>
      </c>
      <c r="X2273">
        <v>0</v>
      </c>
      <c r="Y2273">
        <v>0</v>
      </c>
      <c r="Z2273">
        <v>0</v>
      </c>
      <c r="AA2273">
        <v>0</v>
      </c>
      <c r="AB2273">
        <v>0</v>
      </c>
      <c r="AC2273">
        <v>0</v>
      </c>
      <c r="AD2273">
        <v>1</v>
      </c>
      <c r="AE2273">
        <v>0</v>
      </c>
      <c r="AF2273">
        <v>0</v>
      </c>
      <c r="AG2273">
        <v>0</v>
      </c>
      <c r="AH2273">
        <v>0</v>
      </c>
      <c r="AI2273">
        <v>0</v>
      </c>
      <c r="AJ2273">
        <v>0</v>
      </c>
      <c r="AK2273">
        <v>0</v>
      </c>
    </row>
    <row r="2274" spans="1:37" x14ac:dyDescent="0.3">
      <c r="A2274">
        <v>7979</v>
      </c>
      <c r="B2274" t="s">
        <v>219</v>
      </c>
      <c r="D2274" t="s">
        <v>327</v>
      </c>
      <c r="E2274">
        <v>99999999</v>
      </c>
      <c r="F2274">
        <v>11111111</v>
      </c>
      <c r="G2274">
        <v>1111111111</v>
      </c>
      <c r="H2274" t="s">
        <v>5843</v>
      </c>
      <c r="I2274">
        <v>99999999</v>
      </c>
      <c r="J2274" s="188">
        <v>45238</v>
      </c>
      <c r="K2274" t="s">
        <v>5843</v>
      </c>
      <c r="L2274" t="s">
        <v>5843</v>
      </c>
      <c r="M2274" t="s">
        <v>624</v>
      </c>
      <c r="N2274" t="s">
        <v>164</v>
      </c>
      <c r="O2274" t="s">
        <v>784</v>
      </c>
      <c r="P2274" t="s">
        <v>221</v>
      </c>
      <c r="Q2274" t="s">
        <v>82</v>
      </c>
      <c r="R2274">
        <v>1</v>
      </c>
      <c r="S2274">
        <v>5.2</v>
      </c>
      <c r="T2274">
        <v>0</v>
      </c>
      <c r="U2274">
        <v>1</v>
      </c>
      <c r="V2274">
        <v>1</v>
      </c>
      <c r="W2274">
        <v>23.04</v>
      </c>
      <c r="X2274">
        <v>0</v>
      </c>
      <c r="Y2274">
        <v>0</v>
      </c>
      <c r="Z2274">
        <v>0</v>
      </c>
      <c r="AA2274">
        <v>0</v>
      </c>
      <c r="AB2274">
        <v>0</v>
      </c>
      <c r="AC2274">
        <v>0</v>
      </c>
      <c r="AD2274">
        <v>1</v>
      </c>
      <c r="AE2274">
        <v>0</v>
      </c>
      <c r="AF2274">
        <v>0</v>
      </c>
      <c r="AG2274">
        <v>0</v>
      </c>
      <c r="AH2274">
        <v>0</v>
      </c>
      <c r="AI2274">
        <v>0</v>
      </c>
      <c r="AJ2274">
        <v>0</v>
      </c>
      <c r="AK2274">
        <v>0</v>
      </c>
    </row>
    <row r="2275" spans="1:37" x14ac:dyDescent="0.3">
      <c r="A2275">
        <v>7979</v>
      </c>
      <c r="B2275" t="s">
        <v>219</v>
      </c>
      <c r="D2275" t="s">
        <v>327</v>
      </c>
      <c r="E2275">
        <v>99999999</v>
      </c>
      <c r="F2275">
        <v>11111111</v>
      </c>
      <c r="G2275">
        <v>1111111111</v>
      </c>
      <c r="H2275" t="s">
        <v>5844</v>
      </c>
      <c r="I2275">
        <v>99999999</v>
      </c>
      <c r="J2275" s="188">
        <v>45238</v>
      </c>
      <c r="K2275" t="s">
        <v>5844</v>
      </c>
      <c r="L2275" t="s">
        <v>5844</v>
      </c>
      <c r="M2275" t="s">
        <v>2987</v>
      </c>
      <c r="N2275" t="s">
        <v>197</v>
      </c>
      <c r="O2275" t="s">
        <v>2988</v>
      </c>
      <c r="P2275" t="s">
        <v>221</v>
      </c>
      <c r="Q2275" t="s">
        <v>82</v>
      </c>
      <c r="R2275">
        <v>1</v>
      </c>
      <c r="S2275">
        <v>2.4</v>
      </c>
      <c r="T2275">
        <v>0</v>
      </c>
      <c r="U2275">
        <v>1</v>
      </c>
      <c r="V2275">
        <v>1</v>
      </c>
      <c r="W2275">
        <v>29.41</v>
      </c>
      <c r="X2275">
        <v>0</v>
      </c>
      <c r="Y2275">
        <v>0</v>
      </c>
      <c r="Z2275">
        <v>0</v>
      </c>
      <c r="AA2275">
        <v>0</v>
      </c>
      <c r="AB2275">
        <v>0</v>
      </c>
      <c r="AC2275">
        <v>0</v>
      </c>
      <c r="AD2275">
        <v>1</v>
      </c>
      <c r="AE2275">
        <v>0</v>
      </c>
      <c r="AF2275">
        <v>0</v>
      </c>
      <c r="AG2275">
        <v>0</v>
      </c>
      <c r="AH2275">
        <v>0</v>
      </c>
      <c r="AI2275">
        <v>0</v>
      </c>
      <c r="AJ2275">
        <v>0</v>
      </c>
      <c r="AK2275">
        <v>0</v>
      </c>
    </row>
    <row r="2276" spans="1:37" x14ac:dyDescent="0.3">
      <c r="A2276">
        <v>7979</v>
      </c>
      <c r="B2276" t="s">
        <v>219</v>
      </c>
      <c r="D2276" t="s">
        <v>327</v>
      </c>
      <c r="E2276">
        <v>99999999</v>
      </c>
      <c r="F2276">
        <v>11111111</v>
      </c>
      <c r="G2276">
        <v>1111111111</v>
      </c>
      <c r="H2276" t="s">
        <v>5845</v>
      </c>
      <c r="I2276">
        <v>99999999</v>
      </c>
      <c r="J2276" s="188">
        <v>45238</v>
      </c>
      <c r="K2276" t="s">
        <v>5845</v>
      </c>
      <c r="L2276" t="s">
        <v>5845</v>
      </c>
      <c r="M2276" t="s">
        <v>235</v>
      </c>
      <c r="N2276" t="s">
        <v>164</v>
      </c>
      <c r="O2276" t="s">
        <v>2989</v>
      </c>
      <c r="P2276" t="s">
        <v>221</v>
      </c>
      <c r="Q2276" t="s">
        <v>82</v>
      </c>
      <c r="R2276">
        <v>1</v>
      </c>
      <c r="S2276">
        <v>2.5</v>
      </c>
      <c r="T2276">
        <v>0</v>
      </c>
      <c r="U2276">
        <v>1</v>
      </c>
      <c r="V2276">
        <v>1</v>
      </c>
      <c r="W2276">
        <v>26.74</v>
      </c>
      <c r="X2276">
        <v>0</v>
      </c>
      <c r="Y2276">
        <v>0</v>
      </c>
      <c r="Z2276">
        <v>0</v>
      </c>
      <c r="AA2276">
        <v>0</v>
      </c>
      <c r="AB2276">
        <v>0</v>
      </c>
      <c r="AC2276">
        <v>0</v>
      </c>
      <c r="AD2276">
        <v>1</v>
      </c>
      <c r="AE2276">
        <v>0</v>
      </c>
      <c r="AF2276">
        <v>0</v>
      </c>
      <c r="AG2276">
        <v>0</v>
      </c>
      <c r="AH2276">
        <v>0</v>
      </c>
      <c r="AI2276">
        <v>0</v>
      </c>
      <c r="AJ2276">
        <v>0</v>
      </c>
      <c r="AK2276">
        <v>0</v>
      </c>
    </row>
    <row r="2277" spans="1:37" x14ac:dyDescent="0.3">
      <c r="A2277">
        <v>7979</v>
      </c>
      <c r="B2277" t="s">
        <v>219</v>
      </c>
      <c r="D2277" t="s">
        <v>327</v>
      </c>
      <c r="E2277">
        <v>99999999</v>
      </c>
      <c r="F2277">
        <v>11111111</v>
      </c>
      <c r="G2277">
        <v>1111111111</v>
      </c>
      <c r="H2277" t="s">
        <v>5846</v>
      </c>
      <c r="I2277">
        <v>99999999</v>
      </c>
      <c r="J2277" s="188">
        <v>45238</v>
      </c>
      <c r="K2277" t="s">
        <v>5846</v>
      </c>
      <c r="L2277" t="s">
        <v>5846</v>
      </c>
      <c r="M2277" t="s">
        <v>756</v>
      </c>
      <c r="N2277" t="s">
        <v>99</v>
      </c>
      <c r="O2277" t="s">
        <v>2990</v>
      </c>
      <c r="P2277" t="s">
        <v>221</v>
      </c>
      <c r="Q2277" t="s">
        <v>82</v>
      </c>
      <c r="R2277">
        <v>1</v>
      </c>
      <c r="S2277">
        <v>7.5</v>
      </c>
      <c r="T2277">
        <v>0</v>
      </c>
      <c r="U2277">
        <v>1</v>
      </c>
      <c r="V2277">
        <v>1</v>
      </c>
      <c r="W2277">
        <v>29.42</v>
      </c>
      <c r="X2277">
        <v>0</v>
      </c>
      <c r="Y2277">
        <v>0</v>
      </c>
      <c r="Z2277">
        <v>0</v>
      </c>
      <c r="AA2277">
        <v>0</v>
      </c>
      <c r="AB2277">
        <v>0</v>
      </c>
      <c r="AC2277">
        <v>0</v>
      </c>
      <c r="AD2277">
        <v>1</v>
      </c>
      <c r="AE2277">
        <v>0</v>
      </c>
      <c r="AF2277">
        <v>0</v>
      </c>
      <c r="AG2277">
        <v>0</v>
      </c>
      <c r="AH2277">
        <v>0</v>
      </c>
      <c r="AI2277">
        <v>0</v>
      </c>
      <c r="AJ2277">
        <v>0</v>
      </c>
      <c r="AK2277">
        <v>0</v>
      </c>
    </row>
    <row r="2278" spans="1:37" x14ac:dyDescent="0.3">
      <c r="A2278">
        <v>7979</v>
      </c>
      <c r="B2278" t="s">
        <v>219</v>
      </c>
      <c r="D2278" t="s">
        <v>327</v>
      </c>
      <c r="E2278">
        <v>99999999</v>
      </c>
      <c r="F2278">
        <v>11111111</v>
      </c>
      <c r="G2278">
        <v>1111111111</v>
      </c>
      <c r="H2278" t="s">
        <v>5847</v>
      </c>
      <c r="I2278">
        <v>99999999</v>
      </c>
      <c r="J2278" s="188">
        <v>45238</v>
      </c>
      <c r="K2278" t="s">
        <v>5847</v>
      </c>
      <c r="L2278" t="s">
        <v>5847</v>
      </c>
      <c r="M2278" t="s">
        <v>418</v>
      </c>
      <c r="N2278" t="s">
        <v>91</v>
      </c>
      <c r="O2278" t="s">
        <v>2991</v>
      </c>
      <c r="P2278" t="s">
        <v>221</v>
      </c>
      <c r="Q2278" t="s">
        <v>82</v>
      </c>
      <c r="R2278">
        <v>1</v>
      </c>
      <c r="S2278">
        <v>5</v>
      </c>
      <c r="T2278">
        <v>0</v>
      </c>
      <c r="U2278">
        <v>1</v>
      </c>
      <c r="V2278">
        <v>1</v>
      </c>
      <c r="W2278">
        <v>24.39</v>
      </c>
      <c r="X2278">
        <v>0</v>
      </c>
      <c r="Y2278">
        <v>0</v>
      </c>
      <c r="Z2278">
        <v>0</v>
      </c>
      <c r="AA2278">
        <v>0</v>
      </c>
      <c r="AB2278">
        <v>0</v>
      </c>
      <c r="AC2278">
        <v>0</v>
      </c>
      <c r="AD2278">
        <v>1</v>
      </c>
      <c r="AE2278">
        <v>0</v>
      </c>
      <c r="AF2278">
        <v>0</v>
      </c>
      <c r="AG2278">
        <v>0</v>
      </c>
      <c r="AH2278">
        <v>0</v>
      </c>
      <c r="AI2278">
        <v>0</v>
      </c>
      <c r="AJ2278">
        <v>0</v>
      </c>
      <c r="AK2278">
        <v>0</v>
      </c>
    </row>
    <row r="2279" spans="1:37" x14ac:dyDescent="0.3">
      <c r="A2279">
        <v>7979</v>
      </c>
      <c r="B2279" t="s">
        <v>219</v>
      </c>
      <c r="D2279" t="s">
        <v>327</v>
      </c>
      <c r="E2279">
        <v>99999999</v>
      </c>
      <c r="F2279">
        <v>11111111</v>
      </c>
      <c r="G2279">
        <v>1111111111</v>
      </c>
      <c r="H2279" t="s">
        <v>5848</v>
      </c>
      <c r="I2279">
        <v>99999999</v>
      </c>
      <c r="J2279" s="188">
        <v>45238</v>
      </c>
      <c r="K2279" t="s">
        <v>5848</v>
      </c>
      <c r="L2279" t="s">
        <v>5848</v>
      </c>
      <c r="M2279" t="s">
        <v>2017</v>
      </c>
      <c r="N2279" t="s">
        <v>130</v>
      </c>
      <c r="O2279" t="s">
        <v>2992</v>
      </c>
      <c r="P2279" t="s">
        <v>221</v>
      </c>
      <c r="Q2279" t="s">
        <v>82</v>
      </c>
      <c r="R2279">
        <v>4</v>
      </c>
      <c r="S2279">
        <v>60</v>
      </c>
      <c r="T2279">
        <v>0</v>
      </c>
      <c r="U2279">
        <v>1</v>
      </c>
      <c r="V2279">
        <v>1</v>
      </c>
      <c r="W2279">
        <v>108.13</v>
      </c>
      <c r="X2279">
        <v>0</v>
      </c>
      <c r="Y2279">
        <v>0</v>
      </c>
      <c r="Z2279">
        <v>0</v>
      </c>
      <c r="AA2279">
        <v>0</v>
      </c>
      <c r="AB2279">
        <v>0</v>
      </c>
      <c r="AC2279">
        <v>0</v>
      </c>
      <c r="AD2279">
        <v>4</v>
      </c>
      <c r="AE2279">
        <v>0</v>
      </c>
      <c r="AF2279">
        <v>0</v>
      </c>
      <c r="AG2279">
        <v>0</v>
      </c>
      <c r="AH2279">
        <v>0</v>
      </c>
      <c r="AI2279">
        <v>0</v>
      </c>
      <c r="AJ2279">
        <v>0</v>
      </c>
      <c r="AK2279">
        <v>0</v>
      </c>
    </row>
    <row r="2280" spans="1:37" x14ac:dyDescent="0.3">
      <c r="A2280">
        <v>7979</v>
      </c>
      <c r="B2280" t="s">
        <v>219</v>
      </c>
      <c r="D2280" t="s">
        <v>327</v>
      </c>
      <c r="E2280">
        <v>99999999</v>
      </c>
      <c r="F2280">
        <v>11111111</v>
      </c>
      <c r="G2280">
        <v>1111111111</v>
      </c>
      <c r="H2280" t="s">
        <v>5849</v>
      </c>
      <c r="I2280">
        <v>99999999</v>
      </c>
      <c r="J2280" s="188">
        <v>45238</v>
      </c>
      <c r="K2280" t="s">
        <v>5849</v>
      </c>
      <c r="L2280" t="s">
        <v>5849</v>
      </c>
      <c r="M2280" t="s">
        <v>550</v>
      </c>
      <c r="N2280" t="s">
        <v>551</v>
      </c>
      <c r="O2280" t="s">
        <v>2993</v>
      </c>
      <c r="P2280" t="s">
        <v>221</v>
      </c>
      <c r="Q2280" t="s">
        <v>82</v>
      </c>
      <c r="R2280">
        <v>1</v>
      </c>
      <c r="S2280">
        <v>11.666</v>
      </c>
      <c r="T2280">
        <v>0</v>
      </c>
      <c r="U2280">
        <v>1</v>
      </c>
      <c r="V2280">
        <v>1</v>
      </c>
      <c r="W2280">
        <v>32.950000000000003</v>
      </c>
      <c r="X2280">
        <v>0</v>
      </c>
      <c r="Y2280">
        <v>0</v>
      </c>
      <c r="Z2280">
        <v>0</v>
      </c>
      <c r="AA2280">
        <v>0</v>
      </c>
      <c r="AB2280">
        <v>0</v>
      </c>
      <c r="AC2280">
        <v>0</v>
      </c>
      <c r="AD2280">
        <v>1</v>
      </c>
      <c r="AE2280">
        <v>0</v>
      </c>
      <c r="AF2280">
        <v>0</v>
      </c>
      <c r="AG2280">
        <v>0</v>
      </c>
      <c r="AH2280">
        <v>0</v>
      </c>
      <c r="AI2280">
        <v>0</v>
      </c>
      <c r="AJ2280">
        <v>0</v>
      </c>
      <c r="AK2280">
        <v>0</v>
      </c>
    </row>
    <row r="2281" spans="1:37" x14ac:dyDescent="0.3">
      <c r="A2281">
        <v>7979</v>
      </c>
      <c r="B2281" t="s">
        <v>219</v>
      </c>
      <c r="D2281" t="s">
        <v>327</v>
      </c>
      <c r="E2281">
        <v>99999999</v>
      </c>
      <c r="F2281">
        <v>11111111</v>
      </c>
      <c r="G2281">
        <v>1111111111</v>
      </c>
      <c r="H2281" t="s">
        <v>5850</v>
      </c>
      <c r="I2281">
        <v>99999999</v>
      </c>
      <c r="J2281" s="188">
        <v>45238</v>
      </c>
      <c r="K2281" t="s">
        <v>5850</v>
      </c>
      <c r="L2281" t="s">
        <v>5850</v>
      </c>
      <c r="M2281" t="s">
        <v>1732</v>
      </c>
      <c r="N2281" t="s">
        <v>99</v>
      </c>
      <c r="O2281" t="s">
        <v>2994</v>
      </c>
      <c r="P2281" t="s">
        <v>221</v>
      </c>
      <c r="Q2281" t="s">
        <v>82</v>
      </c>
      <c r="R2281">
        <v>1</v>
      </c>
      <c r="S2281">
        <v>10</v>
      </c>
      <c r="T2281">
        <v>0</v>
      </c>
      <c r="U2281">
        <v>1</v>
      </c>
      <c r="V2281">
        <v>1</v>
      </c>
      <c r="W2281">
        <v>30.7</v>
      </c>
      <c r="X2281">
        <v>0</v>
      </c>
      <c r="Y2281">
        <v>0</v>
      </c>
      <c r="Z2281">
        <v>0</v>
      </c>
      <c r="AA2281">
        <v>0</v>
      </c>
      <c r="AB2281">
        <v>0</v>
      </c>
      <c r="AC2281">
        <v>0</v>
      </c>
      <c r="AD2281">
        <v>1</v>
      </c>
      <c r="AE2281">
        <v>0</v>
      </c>
      <c r="AF2281">
        <v>0</v>
      </c>
      <c r="AG2281">
        <v>0</v>
      </c>
      <c r="AH2281">
        <v>0</v>
      </c>
      <c r="AI2281">
        <v>0</v>
      </c>
      <c r="AJ2281">
        <v>0</v>
      </c>
      <c r="AK2281">
        <v>0</v>
      </c>
    </row>
    <row r="2282" spans="1:37" x14ac:dyDescent="0.3">
      <c r="A2282">
        <v>7979</v>
      </c>
      <c r="B2282" t="s">
        <v>219</v>
      </c>
      <c r="D2282" t="s">
        <v>327</v>
      </c>
      <c r="E2282">
        <v>99999999</v>
      </c>
      <c r="F2282">
        <v>11111111</v>
      </c>
      <c r="G2282">
        <v>1111111111</v>
      </c>
      <c r="H2282" t="s">
        <v>5851</v>
      </c>
      <c r="I2282">
        <v>99999999</v>
      </c>
      <c r="J2282" s="188">
        <v>45238</v>
      </c>
      <c r="K2282" t="s">
        <v>5851</v>
      </c>
      <c r="L2282" t="s">
        <v>5851</v>
      </c>
      <c r="M2282" t="s">
        <v>2086</v>
      </c>
      <c r="N2282" t="s">
        <v>97</v>
      </c>
      <c r="O2282" t="s">
        <v>2087</v>
      </c>
      <c r="P2282" t="s">
        <v>221</v>
      </c>
      <c r="Q2282" t="s">
        <v>82</v>
      </c>
      <c r="R2282">
        <v>1</v>
      </c>
      <c r="S2282">
        <v>8</v>
      </c>
      <c r="T2282">
        <v>0</v>
      </c>
      <c r="U2282">
        <v>1</v>
      </c>
      <c r="V2282">
        <v>1</v>
      </c>
      <c r="W2282">
        <v>32.409999999999997</v>
      </c>
      <c r="X2282">
        <v>0</v>
      </c>
      <c r="Y2282">
        <v>0</v>
      </c>
      <c r="Z2282">
        <v>0</v>
      </c>
      <c r="AA2282">
        <v>0</v>
      </c>
      <c r="AB2282">
        <v>0</v>
      </c>
      <c r="AC2282">
        <v>0</v>
      </c>
      <c r="AD2282">
        <v>1</v>
      </c>
      <c r="AE2282">
        <v>0</v>
      </c>
      <c r="AF2282">
        <v>0</v>
      </c>
      <c r="AG2282">
        <v>0</v>
      </c>
      <c r="AH2282">
        <v>0</v>
      </c>
      <c r="AI2282">
        <v>0</v>
      </c>
      <c r="AJ2282">
        <v>0</v>
      </c>
      <c r="AK2282">
        <v>0</v>
      </c>
    </row>
    <row r="2283" spans="1:37" x14ac:dyDescent="0.3">
      <c r="A2283">
        <v>7979</v>
      </c>
      <c r="B2283" t="s">
        <v>219</v>
      </c>
      <c r="D2283" t="s">
        <v>327</v>
      </c>
      <c r="E2283">
        <v>99999999</v>
      </c>
      <c r="F2283">
        <v>11111111</v>
      </c>
      <c r="G2283">
        <v>1111111111</v>
      </c>
      <c r="H2283" t="s">
        <v>5852</v>
      </c>
      <c r="I2283">
        <v>99999999</v>
      </c>
      <c r="J2283" s="188">
        <v>45238</v>
      </c>
      <c r="K2283" t="s">
        <v>5852</v>
      </c>
      <c r="L2283" t="s">
        <v>5852</v>
      </c>
      <c r="M2283" t="s">
        <v>380</v>
      </c>
      <c r="N2283" t="s">
        <v>381</v>
      </c>
      <c r="O2283" t="s">
        <v>2995</v>
      </c>
      <c r="P2283" t="s">
        <v>221</v>
      </c>
      <c r="Q2283" t="s">
        <v>82</v>
      </c>
      <c r="R2283">
        <v>1</v>
      </c>
      <c r="S2283">
        <v>3.8</v>
      </c>
      <c r="T2283">
        <v>0</v>
      </c>
      <c r="U2283">
        <v>1</v>
      </c>
      <c r="V2283">
        <v>1</v>
      </c>
      <c r="W2283">
        <v>24.32</v>
      </c>
      <c r="X2283">
        <v>0</v>
      </c>
      <c r="Y2283">
        <v>0</v>
      </c>
      <c r="Z2283">
        <v>0</v>
      </c>
      <c r="AA2283">
        <v>0</v>
      </c>
      <c r="AB2283">
        <v>0</v>
      </c>
      <c r="AC2283">
        <v>0</v>
      </c>
      <c r="AD2283">
        <v>1</v>
      </c>
      <c r="AE2283">
        <v>0</v>
      </c>
      <c r="AF2283">
        <v>0</v>
      </c>
      <c r="AG2283">
        <v>0</v>
      </c>
      <c r="AH2283">
        <v>0</v>
      </c>
      <c r="AI2283">
        <v>0</v>
      </c>
      <c r="AJ2283">
        <v>0</v>
      </c>
      <c r="AK2283">
        <v>0</v>
      </c>
    </row>
    <row r="2284" spans="1:37" x14ac:dyDescent="0.3">
      <c r="A2284">
        <v>7979</v>
      </c>
      <c r="B2284" t="s">
        <v>219</v>
      </c>
      <c r="D2284" t="s">
        <v>327</v>
      </c>
      <c r="E2284">
        <v>99999999</v>
      </c>
      <c r="F2284">
        <v>11111111</v>
      </c>
      <c r="G2284">
        <v>1111111111</v>
      </c>
      <c r="H2284" t="s">
        <v>5853</v>
      </c>
      <c r="I2284">
        <v>99999999</v>
      </c>
      <c r="J2284" s="188">
        <v>45238</v>
      </c>
      <c r="K2284" t="s">
        <v>5853</v>
      </c>
      <c r="L2284" t="s">
        <v>5853</v>
      </c>
      <c r="M2284" t="s">
        <v>1657</v>
      </c>
      <c r="N2284" t="s">
        <v>99</v>
      </c>
      <c r="O2284" t="s">
        <v>2996</v>
      </c>
      <c r="P2284" t="s">
        <v>221</v>
      </c>
      <c r="Q2284" t="s">
        <v>82</v>
      </c>
      <c r="R2284">
        <v>1</v>
      </c>
      <c r="S2284">
        <v>12.4</v>
      </c>
      <c r="T2284">
        <v>0</v>
      </c>
      <c r="U2284">
        <v>1</v>
      </c>
      <c r="V2284">
        <v>1</v>
      </c>
      <c r="W2284">
        <v>23.76</v>
      </c>
      <c r="X2284">
        <v>0</v>
      </c>
      <c r="Y2284">
        <v>0</v>
      </c>
      <c r="Z2284">
        <v>0</v>
      </c>
      <c r="AA2284">
        <v>0</v>
      </c>
      <c r="AB2284">
        <v>0</v>
      </c>
      <c r="AC2284">
        <v>0</v>
      </c>
      <c r="AD2284">
        <v>1</v>
      </c>
      <c r="AE2284">
        <v>0</v>
      </c>
      <c r="AF2284">
        <v>0</v>
      </c>
      <c r="AG2284">
        <v>0</v>
      </c>
      <c r="AH2284">
        <v>0</v>
      </c>
      <c r="AI2284">
        <v>0</v>
      </c>
      <c r="AJ2284">
        <v>0</v>
      </c>
      <c r="AK2284">
        <v>0</v>
      </c>
    </row>
    <row r="2285" spans="1:37" x14ac:dyDescent="0.3">
      <c r="A2285">
        <v>7979</v>
      </c>
      <c r="B2285" t="s">
        <v>219</v>
      </c>
      <c r="D2285" t="s">
        <v>327</v>
      </c>
      <c r="E2285">
        <v>99999999</v>
      </c>
      <c r="F2285">
        <v>11111111</v>
      </c>
      <c r="G2285">
        <v>1111111111</v>
      </c>
      <c r="H2285" t="s">
        <v>5854</v>
      </c>
      <c r="I2285">
        <v>99999999</v>
      </c>
      <c r="J2285" s="188">
        <v>45238</v>
      </c>
      <c r="K2285" t="s">
        <v>5854</v>
      </c>
      <c r="L2285" t="s">
        <v>5854</v>
      </c>
      <c r="M2285" t="s">
        <v>2561</v>
      </c>
      <c r="N2285" t="s">
        <v>97</v>
      </c>
      <c r="O2285" t="s">
        <v>2997</v>
      </c>
      <c r="P2285" t="s">
        <v>221</v>
      </c>
      <c r="Q2285" t="s">
        <v>82</v>
      </c>
      <c r="R2285">
        <v>1</v>
      </c>
      <c r="S2285">
        <v>9.5</v>
      </c>
      <c r="T2285">
        <v>0</v>
      </c>
      <c r="U2285">
        <v>1</v>
      </c>
      <c r="V2285">
        <v>1</v>
      </c>
      <c r="W2285">
        <v>30.46</v>
      </c>
      <c r="X2285">
        <v>0</v>
      </c>
      <c r="Y2285">
        <v>0</v>
      </c>
      <c r="Z2285">
        <v>0</v>
      </c>
      <c r="AA2285">
        <v>0</v>
      </c>
      <c r="AB2285">
        <v>0</v>
      </c>
      <c r="AC2285">
        <v>0</v>
      </c>
      <c r="AD2285">
        <v>1</v>
      </c>
      <c r="AE2285">
        <v>0</v>
      </c>
      <c r="AF2285">
        <v>0</v>
      </c>
      <c r="AG2285">
        <v>0</v>
      </c>
      <c r="AH2285">
        <v>0</v>
      </c>
      <c r="AI2285">
        <v>0</v>
      </c>
      <c r="AJ2285">
        <v>0</v>
      </c>
      <c r="AK2285">
        <v>0</v>
      </c>
    </row>
    <row r="2286" spans="1:37" x14ac:dyDescent="0.3">
      <c r="A2286">
        <v>7979</v>
      </c>
      <c r="B2286" t="s">
        <v>219</v>
      </c>
      <c r="D2286" t="s">
        <v>327</v>
      </c>
      <c r="E2286">
        <v>99999999</v>
      </c>
      <c r="F2286">
        <v>11111111</v>
      </c>
      <c r="G2286">
        <v>1111111111</v>
      </c>
      <c r="H2286" t="s">
        <v>5855</v>
      </c>
      <c r="I2286">
        <v>99999999</v>
      </c>
      <c r="J2286" s="188">
        <v>45238</v>
      </c>
      <c r="K2286" t="s">
        <v>5855</v>
      </c>
      <c r="L2286" t="s">
        <v>5855</v>
      </c>
      <c r="M2286" t="s">
        <v>2998</v>
      </c>
      <c r="N2286" t="s">
        <v>99</v>
      </c>
      <c r="O2286">
        <v>95370</v>
      </c>
      <c r="P2286" t="s">
        <v>221</v>
      </c>
      <c r="Q2286" t="s">
        <v>82</v>
      </c>
      <c r="R2286">
        <v>1</v>
      </c>
      <c r="S2286">
        <v>4</v>
      </c>
      <c r="T2286">
        <v>0</v>
      </c>
      <c r="U2286">
        <v>1</v>
      </c>
      <c r="V2286">
        <v>1</v>
      </c>
      <c r="W2286">
        <v>25.97</v>
      </c>
      <c r="X2286">
        <v>0</v>
      </c>
      <c r="Y2286">
        <v>0</v>
      </c>
      <c r="Z2286">
        <v>0</v>
      </c>
      <c r="AA2286">
        <v>0</v>
      </c>
      <c r="AB2286">
        <v>0</v>
      </c>
      <c r="AC2286">
        <v>0</v>
      </c>
      <c r="AD2286">
        <v>1</v>
      </c>
      <c r="AE2286">
        <v>0</v>
      </c>
      <c r="AF2286">
        <v>0</v>
      </c>
      <c r="AG2286">
        <v>0</v>
      </c>
      <c r="AH2286">
        <v>0</v>
      </c>
      <c r="AI2286">
        <v>0</v>
      </c>
      <c r="AJ2286">
        <v>0</v>
      </c>
      <c r="AK2286">
        <v>0</v>
      </c>
    </row>
    <row r="2287" spans="1:37" x14ac:dyDescent="0.3">
      <c r="A2287">
        <v>7979</v>
      </c>
      <c r="B2287" t="s">
        <v>219</v>
      </c>
      <c r="D2287" t="s">
        <v>327</v>
      </c>
      <c r="E2287">
        <v>99999999</v>
      </c>
      <c r="F2287">
        <v>11111111</v>
      </c>
      <c r="G2287">
        <v>1111111111</v>
      </c>
      <c r="H2287" t="s">
        <v>5856</v>
      </c>
      <c r="I2287">
        <v>99999999</v>
      </c>
      <c r="J2287" s="188">
        <v>45238</v>
      </c>
      <c r="K2287" t="s">
        <v>5856</v>
      </c>
      <c r="L2287" t="s">
        <v>5856</v>
      </c>
      <c r="M2287" t="s">
        <v>2999</v>
      </c>
      <c r="N2287" t="s">
        <v>99</v>
      </c>
      <c r="O2287" t="s">
        <v>3000</v>
      </c>
      <c r="P2287" t="s">
        <v>221</v>
      </c>
      <c r="Q2287" t="s">
        <v>82</v>
      </c>
      <c r="R2287">
        <v>1</v>
      </c>
      <c r="S2287">
        <v>0.33</v>
      </c>
      <c r="T2287">
        <v>0</v>
      </c>
      <c r="U2287">
        <v>1</v>
      </c>
      <c r="V2287">
        <v>1</v>
      </c>
      <c r="W2287">
        <v>18.16</v>
      </c>
      <c r="X2287">
        <v>0</v>
      </c>
      <c r="Y2287">
        <v>0</v>
      </c>
      <c r="Z2287">
        <v>0</v>
      </c>
      <c r="AA2287">
        <v>0</v>
      </c>
      <c r="AB2287">
        <v>0</v>
      </c>
      <c r="AC2287">
        <v>0</v>
      </c>
      <c r="AD2287">
        <v>1</v>
      </c>
      <c r="AE2287">
        <v>0</v>
      </c>
      <c r="AF2287">
        <v>0</v>
      </c>
      <c r="AG2287">
        <v>0</v>
      </c>
      <c r="AH2287">
        <v>0</v>
      </c>
      <c r="AI2287">
        <v>0</v>
      </c>
      <c r="AJ2287">
        <v>0</v>
      </c>
      <c r="AK2287">
        <v>0</v>
      </c>
    </row>
    <row r="2288" spans="1:37" x14ac:dyDescent="0.3">
      <c r="A2288">
        <v>7979</v>
      </c>
      <c r="B2288" t="s">
        <v>219</v>
      </c>
      <c r="D2288" t="s">
        <v>327</v>
      </c>
      <c r="E2288">
        <v>99999999</v>
      </c>
      <c r="F2288">
        <v>11111111</v>
      </c>
      <c r="G2288">
        <v>1111111111</v>
      </c>
      <c r="H2288" t="s">
        <v>5857</v>
      </c>
      <c r="I2288">
        <v>99999999</v>
      </c>
      <c r="J2288" s="188">
        <v>45238</v>
      </c>
      <c r="K2288" t="s">
        <v>5857</v>
      </c>
      <c r="L2288" t="s">
        <v>5857</v>
      </c>
      <c r="M2288" t="s">
        <v>3001</v>
      </c>
      <c r="N2288" t="s">
        <v>97</v>
      </c>
      <c r="O2288" t="s">
        <v>3002</v>
      </c>
      <c r="P2288" t="s">
        <v>221</v>
      </c>
      <c r="Q2288" t="s">
        <v>82</v>
      </c>
      <c r="R2288">
        <v>1</v>
      </c>
      <c r="S2288">
        <v>2</v>
      </c>
      <c r="T2288">
        <v>0</v>
      </c>
      <c r="U2288">
        <v>1</v>
      </c>
      <c r="V2288">
        <v>1</v>
      </c>
      <c r="W2288">
        <v>27.94</v>
      </c>
      <c r="X2288">
        <v>0</v>
      </c>
      <c r="Y2288">
        <v>0</v>
      </c>
      <c r="Z2288">
        <v>0</v>
      </c>
      <c r="AA2288">
        <v>0</v>
      </c>
      <c r="AB2288">
        <v>0</v>
      </c>
      <c r="AC2288">
        <v>0</v>
      </c>
      <c r="AD2288">
        <v>1</v>
      </c>
      <c r="AE2288">
        <v>0</v>
      </c>
      <c r="AF2288">
        <v>0</v>
      </c>
      <c r="AG2288">
        <v>0</v>
      </c>
      <c r="AH2288">
        <v>0</v>
      </c>
      <c r="AI2288">
        <v>0</v>
      </c>
      <c r="AJ2288">
        <v>0</v>
      </c>
      <c r="AK2288">
        <v>0</v>
      </c>
    </row>
    <row r="2289" spans="1:37" x14ac:dyDescent="0.3">
      <c r="A2289">
        <v>7979</v>
      </c>
      <c r="B2289" t="s">
        <v>219</v>
      </c>
      <c r="D2289" t="s">
        <v>327</v>
      </c>
      <c r="E2289">
        <v>99999999</v>
      </c>
      <c r="F2289">
        <v>11111111</v>
      </c>
      <c r="G2289">
        <v>1111111111</v>
      </c>
      <c r="H2289" t="s">
        <v>5858</v>
      </c>
      <c r="I2289">
        <v>99999999</v>
      </c>
      <c r="J2289" s="188">
        <v>45238</v>
      </c>
      <c r="K2289" t="s">
        <v>5858</v>
      </c>
      <c r="L2289" t="s">
        <v>5858</v>
      </c>
      <c r="M2289" t="s">
        <v>1269</v>
      </c>
      <c r="N2289" t="s">
        <v>91</v>
      </c>
      <c r="O2289" t="s">
        <v>3003</v>
      </c>
      <c r="P2289" t="s">
        <v>221</v>
      </c>
      <c r="Q2289" t="s">
        <v>82</v>
      </c>
      <c r="R2289">
        <v>1</v>
      </c>
      <c r="S2289">
        <v>2.2000000000000002</v>
      </c>
      <c r="T2289">
        <v>0</v>
      </c>
      <c r="U2289">
        <v>1</v>
      </c>
      <c r="V2289">
        <v>1</v>
      </c>
      <c r="W2289">
        <v>28.73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1</v>
      </c>
      <c r="AE2289">
        <v>0</v>
      </c>
      <c r="AF2289">
        <v>0</v>
      </c>
      <c r="AG2289">
        <v>0</v>
      </c>
      <c r="AH2289">
        <v>0</v>
      </c>
      <c r="AI2289">
        <v>0</v>
      </c>
      <c r="AJ2289">
        <v>0</v>
      </c>
      <c r="AK2289">
        <v>0</v>
      </c>
    </row>
    <row r="2290" spans="1:37" x14ac:dyDescent="0.3">
      <c r="A2290">
        <v>7979</v>
      </c>
      <c r="B2290" t="s">
        <v>219</v>
      </c>
      <c r="D2290" t="s">
        <v>327</v>
      </c>
      <c r="E2290">
        <v>99999999</v>
      </c>
      <c r="F2290">
        <v>11111111</v>
      </c>
      <c r="G2290">
        <v>1111111111</v>
      </c>
      <c r="H2290" t="s">
        <v>5859</v>
      </c>
      <c r="I2290">
        <v>99999999</v>
      </c>
      <c r="J2290" s="188">
        <v>45238</v>
      </c>
      <c r="K2290" t="s">
        <v>5859</v>
      </c>
      <c r="L2290" t="s">
        <v>5859</v>
      </c>
      <c r="M2290" t="s">
        <v>684</v>
      </c>
      <c r="N2290" t="s">
        <v>99</v>
      </c>
      <c r="O2290" t="s">
        <v>3004</v>
      </c>
      <c r="P2290" t="s">
        <v>221</v>
      </c>
      <c r="Q2290" t="s">
        <v>82</v>
      </c>
      <c r="R2290">
        <v>1</v>
      </c>
      <c r="S2290">
        <v>15</v>
      </c>
      <c r="T2290">
        <v>0</v>
      </c>
      <c r="U2290">
        <v>1</v>
      </c>
      <c r="V2290">
        <v>1</v>
      </c>
      <c r="W2290">
        <v>25.8</v>
      </c>
      <c r="X2290">
        <v>0</v>
      </c>
      <c r="Y2290">
        <v>0</v>
      </c>
      <c r="Z2290">
        <v>0</v>
      </c>
      <c r="AA2290">
        <v>0</v>
      </c>
      <c r="AB2290">
        <v>0</v>
      </c>
      <c r="AC2290">
        <v>0</v>
      </c>
      <c r="AD2290">
        <v>1</v>
      </c>
      <c r="AE2290">
        <v>0</v>
      </c>
      <c r="AF2290">
        <v>0</v>
      </c>
      <c r="AG2290">
        <v>0</v>
      </c>
      <c r="AH2290">
        <v>0</v>
      </c>
      <c r="AI2290">
        <v>0</v>
      </c>
      <c r="AJ2290">
        <v>0</v>
      </c>
      <c r="AK2290">
        <v>0</v>
      </c>
    </row>
    <row r="2291" spans="1:37" x14ac:dyDescent="0.3">
      <c r="A2291">
        <v>7979</v>
      </c>
      <c r="B2291" t="s">
        <v>219</v>
      </c>
      <c r="D2291" t="s">
        <v>327</v>
      </c>
      <c r="E2291">
        <v>99999999</v>
      </c>
      <c r="F2291">
        <v>11111111</v>
      </c>
      <c r="G2291">
        <v>1111111111</v>
      </c>
      <c r="H2291" t="s">
        <v>5860</v>
      </c>
      <c r="I2291">
        <v>99999999</v>
      </c>
      <c r="J2291" s="188">
        <v>45238</v>
      </c>
      <c r="K2291" t="s">
        <v>5860</v>
      </c>
      <c r="L2291" t="s">
        <v>5860</v>
      </c>
      <c r="M2291" t="s">
        <v>799</v>
      </c>
      <c r="N2291" t="s">
        <v>97</v>
      </c>
      <c r="O2291" t="s">
        <v>3005</v>
      </c>
      <c r="P2291" t="s">
        <v>221</v>
      </c>
      <c r="Q2291" t="s">
        <v>82</v>
      </c>
      <c r="R2291">
        <v>1</v>
      </c>
      <c r="S2291">
        <v>15</v>
      </c>
      <c r="T2291">
        <v>0</v>
      </c>
      <c r="U2291">
        <v>1</v>
      </c>
      <c r="V2291">
        <v>1</v>
      </c>
      <c r="W2291">
        <v>31.91</v>
      </c>
      <c r="X2291">
        <v>0</v>
      </c>
      <c r="Y2291">
        <v>0</v>
      </c>
      <c r="Z2291">
        <v>0</v>
      </c>
      <c r="AA2291">
        <v>0</v>
      </c>
      <c r="AB2291">
        <v>0</v>
      </c>
      <c r="AC2291">
        <v>0</v>
      </c>
      <c r="AD2291">
        <v>1</v>
      </c>
      <c r="AE2291">
        <v>0</v>
      </c>
      <c r="AF2291">
        <v>0</v>
      </c>
      <c r="AG2291">
        <v>0</v>
      </c>
      <c r="AH2291">
        <v>0</v>
      </c>
      <c r="AI2291">
        <v>0</v>
      </c>
      <c r="AJ2291">
        <v>0</v>
      </c>
      <c r="AK2291">
        <v>0</v>
      </c>
    </row>
    <row r="2292" spans="1:37" x14ac:dyDescent="0.3">
      <c r="A2292">
        <v>7979</v>
      </c>
      <c r="B2292" t="s">
        <v>219</v>
      </c>
      <c r="D2292" t="s">
        <v>327</v>
      </c>
      <c r="E2292">
        <v>99999999</v>
      </c>
      <c r="F2292">
        <v>11111111</v>
      </c>
      <c r="G2292">
        <v>1111111111</v>
      </c>
      <c r="H2292" t="s">
        <v>5861</v>
      </c>
      <c r="I2292">
        <v>99999999</v>
      </c>
      <c r="J2292" s="188">
        <v>45238</v>
      </c>
      <c r="K2292" t="s">
        <v>5861</v>
      </c>
      <c r="L2292" t="s">
        <v>5861</v>
      </c>
      <c r="M2292" t="s">
        <v>1032</v>
      </c>
      <c r="N2292" t="s">
        <v>97</v>
      </c>
      <c r="O2292" t="s">
        <v>3006</v>
      </c>
      <c r="P2292" t="s">
        <v>221</v>
      </c>
      <c r="Q2292" t="s">
        <v>82</v>
      </c>
      <c r="R2292">
        <v>1</v>
      </c>
      <c r="S2292">
        <v>10</v>
      </c>
      <c r="T2292">
        <v>0</v>
      </c>
      <c r="U2292">
        <v>1</v>
      </c>
      <c r="V2292">
        <v>1</v>
      </c>
      <c r="W2292">
        <v>32.83</v>
      </c>
      <c r="X2292">
        <v>0</v>
      </c>
      <c r="Y2292">
        <v>0</v>
      </c>
      <c r="Z2292">
        <v>0</v>
      </c>
      <c r="AA2292">
        <v>0</v>
      </c>
      <c r="AB2292">
        <v>0</v>
      </c>
      <c r="AC2292">
        <v>0</v>
      </c>
      <c r="AD2292">
        <v>1</v>
      </c>
      <c r="AE2292">
        <v>0</v>
      </c>
      <c r="AF2292">
        <v>0</v>
      </c>
      <c r="AG2292">
        <v>0</v>
      </c>
      <c r="AH2292">
        <v>0</v>
      </c>
      <c r="AI2292">
        <v>0</v>
      </c>
      <c r="AJ2292">
        <v>0</v>
      </c>
      <c r="AK2292">
        <v>0</v>
      </c>
    </row>
    <row r="2293" spans="1:37" x14ac:dyDescent="0.3">
      <c r="A2293">
        <v>7979</v>
      </c>
      <c r="B2293" t="s">
        <v>219</v>
      </c>
      <c r="D2293" t="s">
        <v>327</v>
      </c>
      <c r="E2293">
        <v>99999999</v>
      </c>
      <c r="F2293">
        <v>11111111</v>
      </c>
      <c r="G2293">
        <v>1111111111</v>
      </c>
      <c r="H2293" t="s">
        <v>5862</v>
      </c>
      <c r="I2293">
        <v>99999999</v>
      </c>
      <c r="J2293" s="188">
        <v>45238</v>
      </c>
      <c r="K2293" t="s">
        <v>5862</v>
      </c>
      <c r="L2293" t="s">
        <v>5862</v>
      </c>
      <c r="M2293" t="s">
        <v>2955</v>
      </c>
      <c r="N2293" t="s">
        <v>99</v>
      </c>
      <c r="O2293" t="s">
        <v>3007</v>
      </c>
      <c r="P2293" t="s">
        <v>221</v>
      </c>
      <c r="Q2293" t="s">
        <v>82</v>
      </c>
      <c r="R2293">
        <v>1</v>
      </c>
      <c r="S2293">
        <v>11.07</v>
      </c>
      <c r="T2293">
        <v>0</v>
      </c>
      <c r="U2293">
        <v>1</v>
      </c>
      <c r="V2293">
        <v>1</v>
      </c>
      <c r="W2293">
        <v>30.82</v>
      </c>
      <c r="X2293">
        <v>0</v>
      </c>
      <c r="Y2293">
        <v>0</v>
      </c>
      <c r="Z2293">
        <v>0</v>
      </c>
      <c r="AA2293">
        <v>0</v>
      </c>
      <c r="AB2293">
        <v>0</v>
      </c>
      <c r="AC2293">
        <v>0</v>
      </c>
      <c r="AD2293">
        <v>1</v>
      </c>
      <c r="AE2293">
        <v>0</v>
      </c>
      <c r="AF2293">
        <v>0</v>
      </c>
      <c r="AG2293">
        <v>0</v>
      </c>
      <c r="AH2293">
        <v>0</v>
      </c>
      <c r="AI2293">
        <v>0</v>
      </c>
      <c r="AJ2293">
        <v>0</v>
      </c>
      <c r="AK2293">
        <v>0</v>
      </c>
    </row>
    <row r="2294" spans="1:37" x14ac:dyDescent="0.3">
      <c r="A2294">
        <v>7979</v>
      </c>
      <c r="B2294" t="s">
        <v>219</v>
      </c>
      <c r="D2294" t="s">
        <v>327</v>
      </c>
      <c r="E2294">
        <v>99999999</v>
      </c>
      <c r="F2294">
        <v>11111111</v>
      </c>
      <c r="G2294">
        <v>1111111111</v>
      </c>
      <c r="H2294" t="s">
        <v>5863</v>
      </c>
      <c r="I2294">
        <v>99999999</v>
      </c>
      <c r="J2294" s="188">
        <v>45238</v>
      </c>
      <c r="K2294" t="s">
        <v>5863</v>
      </c>
      <c r="L2294" t="s">
        <v>5863</v>
      </c>
      <c r="M2294" t="s">
        <v>3008</v>
      </c>
      <c r="N2294" t="s">
        <v>135</v>
      </c>
      <c r="O2294" t="s">
        <v>3009</v>
      </c>
      <c r="P2294" t="s">
        <v>221</v>
      </c>
      <c r="Q2294" t="s">
        <v>82</v>
      </c>
      <c r="R2294">
        <v>1</v>
      </c>
      <c r="S2294">
        <v>10</v>
      </c>
      <c r="T2294">
        <v>0</v>
      </c>
      <c r="U2294">
        <v>1</v>
      </c>
      <c r="V2294">
        <v>1</v>
      </c>
      <c r="W2294">
        <v>24.59</v>
      </c>
      <c r="X2294">
        <v>0</v>
      </c>
      <c r="Y2294">
        <v>0</v>
      </c>
      <c r="Z2294">
        <v>0</v>
      </c>
      <c r="AA2294">
        <v>0</v>
      </c>
      <c r="AB2294">
        <v>0</v>
      </c>
      <c r="AC2294">
        <v>0</v>
      </c>
      <c r="AD2294">
        <v>1</v>
      </c>
      <c r="AE2294">
        <v>0</v>
      </c>
      <c r="AF2294">
        <v>0</v>
      </c>
      <c r="AG2294">
        <v>0</v>
      </c>
      <c r="AH2294">
        <v>0</v>
      </c>
      <c r="AI2294">
        <v>0</v>
      </c>
      <c r="AJ2294">
        <v>0</v>
      </c>
      <c r="AK2294">
        <v>0</v>
      </c>
    </row>
    <row r="2295" spans="1:37" x14ac:dyDescent="0.3">
      <c r="A2295">
        <v>7979</v>
      </c>
      <c r="B2295" t="s">
        <v>219</v>
      </c>
      <c r="D2295" t="s">
        <v>327</v>
      </c>
      <c r="E2295">
        <v>99999999</v>
      </c>
      <c r="F2295">
        <v>11111111</v>
      </c>
      <c r="G2295">
        <v>1111111111</v>
      </c>
      <c r="H2295" t="s">
        <v>5864</v>
      </c>
      <c r="I2295">
        <v>99999999</v>
      </c>
      <c r="J2295" s="188">
        <v>45238</v>
      </c>
      <c r="K2295" t="s">
        <v>5864</v>
      </c>
      <c r="L2295" t="s">
        <v>5864</v>
      </c>
      <c r="M2295" t="s">
        <v>3010</v>
      </c>
      <c r="N2295" t="s">
        <v>97</v>
      </c>
      <c r="O2295" t="s">
        <v>3011</v>
      </c>
      <c r="P2295" t="s">
        <v>221</v>
      </c>
      <c r="Q2295" t="s">
        <v>82</v>
      </c>
      <c r="R2295">
        <v>1</v>
      </c>
      <c r="S2295">
        <v>8</v>
      </c>
      <c r="T2295">
        <v>0</v>
      </c>
      <c r="U2295">
        <v>1</v>
      </c>
      <c r="V2295">
        <v>1</v>
      </c>
      <c r="W2295">
        <v>32.409999999999997</v>
      </c>
      <c r="X2295">
        <v>0</v>
      </c>
      <c r="Y2295">
        <v>0</v>
      </c>
      <c r="Z2295">
        <v>0</v>
      </c>
      <c r="AA2295">
        <v>0</v>
      </c>
      <c r="AB2295">
        <v>0</v>
      </c>
      <c r="AC2295">
        <v>0</v>
      </c>
      <c r="AD2295">
        <v>1</v>
      </c>
      <c r="AE2295">
        <v>0</v>
      </c>
      <c r="AF2295">
        <v>0</v>
      </c>
      <c r="AG2295">
        <v>0</v>
      </c>
      <c r="AH2295">
        <v>0</v>
      </c>
      <c r="AI2295">
        <v>0</v>
      </c>
      <c r="AJ2295">
        <v>0</v>
      </c>
      <c r="AK2295">
        <v>0</v>
      </c>
    </row>
    <row r="2296" spans="1:37" x14ac:dyDescent="0.3">
      <c r="A2296">
        <v>7979</v>
      </c>
      <c r="B2296" t="s">
        <v>219</v>
      </c>
      <c r="D2296" t="s">
        <v>327</v>
      </c>
      <c r="E2296">
        <v>99999999</v>
      </c>
      <c r="F2296">
        <v>11111111</v>
      </c>
      <c r="G2296">
        <v>1111111111</v>
      </c>
      <c r="H2296" t="s">
        <v>5865</v>
      </c>
      <c r="I2296">
        <v>99999999</v>
      </c>
      <c r="J2296" s="188">
        <v>45238</v>
      </c>
      <c r="K2296" t="s">
        <v>5865</v>
      </c>
      <c r="L2296" t="s">
        <v>5865</v>
      </c>
      <c r="M2296" t="s">
        <v>3012</v>
      </c>
      <c r="N2296" t="s">
        <v>197</v>
      </c>
      <c r="O2296" t="s">
        <v>3013</v>
      </c>
      <c r="P2296" t="s">
        <v>221</v>
      </c>
      <c r="Q2296" t="s">
        <v>82</v>
      </c>
      <c r="R2296">
        <v>1</v>
      </c>
      <c r="S2296">
        <v>10</v>
      </c>
      <c r="T2296">
        <v>0</v>
      </c>
      <c r="U2296">
        <v>1</v>
      </c>
      <c r="V2296">
        <v>1</v>
      </c>
      <c r="W2296">
        <v>27.38</v>
      </c>
      <c r="X2296">
        <v>0</v>
      </c>
      <c r="Y2296">
        <v>0</v>
      </c>
      <c r="Z2296">
        <v>0</v>
      </c>
      <c r="AA2296">
        <v>0</v>
      </c>
      <c r="AB2296">
        <v>0</v>
      </c>
      <c r="AC2296">
        <v>0</v>
      </c>
      <c r="AD2296">
        <v>1</v>
      </c>
      <c r="AE2296">
        <v>0</v>
      </c>
      <c r="AF2296">
        <v>0</v>
      </c>
      <c r="AG2296">
        <v>0</v>
      </c>
      <c r="AH2296">
        <v>0</v>
      </c>
      <c r="AI2296">
        <v>0</v>
      </c>
      <c r="AJ2296">
        <v>0</v>
      </c>
      <c r="AK2296">
        <v>0</v>
      </c>
    </row>
    <row r="2297" spans="1:37" x14ac:dyDescent="0.3">
      <c r="A2297">
        <v>7979</v>
      </c>
      <c r="B2297" t="s">
        <v>219</v>
      </c>
      <c r="D2297" t="s">
        <v>327</v>
      </c>
      <c r="E2297">
        <v>99999999</v>
      </c>
      <c r="F2297">
        <v>11111111</v>
      </c>
      <c r="G2297">
        <v>1111111111</v>
      </c>
      <c r="H2297" t="s">
        <v>5866</v>
      </c>
      <c r="I2297">
        <v>99999999</v>
      </c>
      <c r="J2297" s="188">
        <v>45238</v>
      </c>
      <c r="K2297" t="s">
        <v>5866</v>
      </c>
      <c r="L2297" t="s">
        <v>5866</v>
      </c>
      <c r="M2297" t="s">
        <v>915</v>
      </c>
      <c r="N2297" t="s">
        <v>164</v>
      </c>
      <c r="O2297">
        <v>97702</v>
      </c>
      <c r="P2297" t="s">
        <v>221</v>
      </c>
      <c r="Q2297" t="s">
        <v>82</v>
      </c>
      <c r="R2297">
        <v>1</v>
      </c>
      <c r="S2297">
        <v>10</v>
      </c>
      <c r="T2297">
        <v>0</v>
      </c>
      <c r="U2297">
        <v>1</v>
      </c>
      <c r="V2297">
        <v>1</v>
      </c>
      <c r="W2297">
        <v>24.59</v>
      </c>
      <c r="X2297">
        <v>0</v>
      </c>
      <c r="Y2297">
        <v>0</v>
      </c>
      <c r="Z2297">
        <v>0</v>
      </c>
      <c r="AA2297">
        <v>0</v>
      </c>
      <c r="AB2297">
        <v>0</v>
      </c>
      <c r="AC2297">
        <v>0</v>
      </c>
      <c r="AD2297">
        <v>1</v>
      </c>
      <c r="AE2297">
        <v>0</v>
      </c>
      <c r="AF2297">
        <v>0</v>
      </c>
      <c r="AG2297">
        <v>0</v>
      </c>
      <c r="AH2297">
        <v>0</v>
      </c>
      <c r="AI2297">
        <v>0</v>
      </c>
      <c r="AJ2297">
        <v>0</v>
      </c>
      <c r="AK2297">
        <v>0</v>
      </c>
    </row>
    <row r="2298" spans="1:37" x14ac:dyDescent="0.3">
      <c r="A2298">
        <v>7979</v>
      </c>
      <c r="B2298" t="s">
        <v>219</v>
      </c>
      <c r="D2298" t="s">
        <v>327</v>
      </c>
      <c r="E2298">
        <v>99999999</v>
      </c>
      <c r="F2298">
        <v>11111111</v>
      </c>
      <c r="G2298">
        <v>1111111111</v>
      </c>
      <c r="H2298" t="s">
        <v>5867</v>
      </c>
      <c r="I2298">
        <v>99999999</v>
      </c>
      <c r="J2298" s="188">
        <v>45238</v>
      </c>
      <c r="K2298" t="s">
        <v>5867</v>
      </c>
      <c r="L2298" t="s">
        <v>5867</v>
      </c>
      <c r="M2298" t="s">
        <v>1574</v>
      </c>
      <c r="N2298" t="s">
        <v>99</v>
      </c>
      <c r="O2298">
        <v>94506</v>
      </c>
      <c r="P2298" t="s">
        <v>221</v>
      </c>
      <c r="Q2298" t="s">
        <v>82</v>
      </c>
      <c r="R2298">
        <v>1</v>
      </c>
      <c r="S2298">
        <v>7.5</v>
      </c>
      <c r="T2298">
        <v>0</v>
      </c>
      <c r="U2298">
        <v>1</v>
      </c>
      <c r="V2298">
        <v>1</v>
      </c>
      <c r="W2298">
        <v>22.37</v>
      </c>
      <c r="X2298">
        <v>0</v>
      </c>
      <c r="Y2298">
        <v>0</v>
      </c>
      <c r="Z2298">
        <v>0</v>
      </c>
      <c r="AA2298">
        <v>0</v>
      </c>
      <c r="AB2298">
        <v>0</v>
      </c>
      <c r="AC2298">
        <v>0</v>
      </c>
      <c r="AD2298">
        <v>1</v>
      </c>
      <c r="AE2298">
        <v>0</v>
      </c>
      <c r="AF2298">
        <v>0</v>
      </c>
      <c r="AG2298">
        <v>0</v>
      </c>
      <c r="AH2298">
        <v>0</v>
      </c>
      <c r="AI2298">
        <v>0</v>
      </c>
      <c r="AJ2298">
        <v>0</v>
      </c>
      <c r="AK2298">
        <v>0</v>
      </c>
    </row>
    <row r="2299" spans="1:37" x14ac:dyDescent="0.3">
      <c r="A2299">
        <v>7979</v>
      </c>
      <c r="B2299" t="s">
        <v>219</v>
      </c>
      <c r="D2299" t="s">
        <v>327</v>
      </c>
      <c r="E2299">
        <v>99999999</v>
      </c>
      <c r="F2299">
        <v>11111111</v>
      </c>
      <c r="G2299">
        <v>1111111111</v>
      </c>
      <c r="H2299" t="s">
        <v>5868</v>
      </c>
      <c r="I2299">
        <v>99999999</v>
      </c>
      <c r="J2299" s="188">
        <v>45238</v>
      </c>
      <c r="K2299" t="s">
        <v>5868</v>
      </c>
      <c r="L2299" t="s">
        <v>5868</v>
      </c>
      <c r="M2299" t="s">
        <v>1079</v>
      </c>
      <c r="N2299" t="s">
        <v>197</v>
      </c>
      <c r="O2299" t="s">
        <v>3014</v>
      </c>
      <c r="P2299" t="s">
        <v>221</v>
      </c>
      <c r="Q2299" t="s">
        <v>82</v>
      </c>
      <c r="R2299">
        <v>1</v>
      </c>
      <c r="S2299">
        <v>4</v>
      </c>
      <c r="T2299">
        <v>0</v>
      </c>
      <c r="U2299">
        <v>1</v>
      </c>
      <c r="V2299">
        <v>1</v>
      </c>
      <c r="W2299">
        <v>25.06</v>
      </c>
      <c r="X2299">
        <v>0</v>
      </c>
      <c r="Y2299">
        <v>0</v>
      </c>
      <c r="Z2299">
        <v>0</v>
      </c>
      <c r="AA2299">
        <v>0</v>
      </c>
      <c r="AB2299">
        <v>0</v>
      </c>
      <c r="AC2299">
        <v>0</v>
      </c>
      <c r="AD2299">
        <v>1</v>
      </c>
      <c r="AE2299">
        <v>0</v>
      </c>
      <c r="AF2299">
        <v>0</v>
      </c>
      <c r="AG2299">
        <v>0</v>
      </c>
      <c r="AH2299">
        <v>0</v>
      </c>
      <c r="AI2299">
        <v>0</v>
      </c>
      <c r="AJ2299">
        <v>0</v>
      </c>
      <c r="AK2299">
        <v>0</v>
      </c>
    </row>
    <row r="2300" spans="1:37" x14ac:dyDescent="0.3">
      <c r="A2300">
        <v>7979</v>
      </c>
      <c r="B2300" t="s">
        <v>219</v>
      </c>
      <c r="D2300" t="s">
        <v>327</v>
      </c>
      <c r="E2300">
        <v>99999999</v>
      </c>
      <c r="F2300">
        <v>11111111</v>
      </c>
      <c r="G2300">
        <v>1111111111</v>
      </c>
      <c r="H2300" t="s">
        <v>5869</v>
      </c>
      <c r="I2300">
        <v>99999999</v>
      </c>
      <c r="J2300" s="188">
        <v>45238</v>
      </c>
      <c r="K2300" t="s">
        <v>5869</v>
      </c>
      <c r="L2300" t="s">
        <v>5869</v>
      </c>
      <c r="M2300" t="s">
        <v>2665</v>
      </c>
      <c r="N2300" t="s">
        <v>381</v>
      </c>
      <c r="O2300" t="s">
        <v>2666</v>
      </c>
      <c r="P2300" t="s">
        <v>221</v>
      </c>
      <c r="Q2300" t="s">
        <v>82</v>
      </c>
      <c r="R2300">
        <v>2</v>
      </c>
      <c r="S2300">
        <v>30</v>
      </c>
      <c r="T2300">
        <v>0</v>
      </c>
      <c r="U2300">
        <v>1</v>
      </c>
      <c r="V2300">
        <v>1</v>
      </c>
      <c r="W2300">
        <v>49.51</v>
      </c>
      <c r="X2300">
        <v>0</v>
      </c>
      <c r="Y2300">
        <v>0</v>
      </c>
      <c r="Z2300">
        <v>0</v>
      </c>
      <c r="AA2300">
        <v>0</v>
      </c>
      <c r="AB2300">
        <v>0</v>
      </c>
      <c r="AC2300">
        <v>0</v>
      </c>
      <c r="AD2300">
        <v>2</v>
      </c>
      <c r="AE2300">
        <v>0</v>
      </c>
      <c r="AF2300">
        <v>0</v>
      </c>
      <c r="AG2300">
        <v>0</v>
      </c>
      <c r="AH2300">
        <v>0</v>
      </c>
      <c r="AI2300">
        <v>0</v>
      </c>
      <c r="AJ2300">
        <v>0</v>
      </c>
      <c r="AK2300">
        <v>0</v>
      </c>
    </row>
    <row r="2301" spans="1:37" x14ac:dyDescent="0.3">
      <c r="A2301">
        <v>7979</v>
      </c>
      <c r="B2301" t="s">
        <v>219</v>
      </c>
      <c r="D2301" t="s">
        <v>327</v>
      </c>
      <c r="E2301">
        <v>99999999</v>
      </c>
      <c r="F2301">
        <v>11111111</v>
      </c>
      <c r="G2301">
        <v>1111111111</v>
      </c>
      <c r="H2301" t="s">
        <v>5870</v>
      </c>
      <c r="I2301">
        <v>99999999</v>
      </c>
      <c r="J2301" s="188">
        <v>45238</v>
      </c>
      <c r="K2301" t="s">
        <v>5870</v>
      </c>
      <c r="L2301" t="s">
        <v>5870</v>
      </c>
      <c r="M2301" t="s">
        <v>799</v>
      </c>
      <c r="N2301" t="s">
        <v>197</v>
      </c>
      <c r="O2301">
        <v>76001</v>
      </c>
      <c r="P2301" t="s">
        <v>221</v>
      </c>
      <c r="Q2301" t="s">
        <v>82</v>
      </c>
      <c r="R2301">
        <v>2</v>
      </c>
      <c r="S2301">
        <v>30</v>
      </c>
      <c r="T2301">
        <v>0</v>
      </c>
      <c r="U2301">
        <v>1</v>
      </c>
      <c r="V2301">
        <v>1</v>
      </c>
      <c r="W2301">
        <v>50.74</v>
      </c>
      <c r="X2301">
        <v>0</v>
      </c>
      <c r="Y2301">
        <v>0</v>
      </c>
      <c r="Z2301">
        <v>0</v>
      </c>
      <c r="AA2301">
        <v>0</v>
      </c>
      <c r="AB2301">
        <v>0</v>
      </c>
      <c r="AC2301">
        <v>0</v>
      </c>
      <c r="AD2301">
        <v>2</v>
      </c>
      <c r="AE2301">
        <v>0</v>
      </c>
      <c r="AF2301">
        <v>0</v>
      </c>
      <c r="AG2301">
        <v>0</v>
      </c>
      <c r="AH2301">
        <v>0</v>
      </c>
      <c r="AI2301">
        <v>0</v>
      </c>
      <c r="AJ2301">
        <v>0</v>
      </c>
      <c r="AK2301">
        <v>0</v>
      </c>
    </row>
    <row r="2302" spans="1:37" x14ac:dyDescent="0.3">
      <c r="A2302">
        <v>7979</v>
      </c>
      <c r="B2302" t="s">
        <v>219</v>
      </c>
      <c r="D2302" t="s">
        <v>327</v>
      </c>
      <c r="E2302">
        <v>99999999</v>
      </c>
      <c r="F2302">
        <v>11111111</v>
      </c>
      <c r="G2302">
        <v>1111111111</v>
      </c>
      <c r="H2302" t="s">
        <v>5871</v>
      </c>
      <c r="I2302">
        <v>99999999</v>
      </c>
      <c r="J2302" s="188">
        <v>45238</v>
      </c>
      <c r="K2302" t="s">
        <v>5871</v>
      </c>
      <c r="L2302" t="s">
        <v>5871</v>
      </c>
      <c r="M2302" t="s">
        <v>2469</v>
      </c>
      <c r="N2302" t="s">
        <v>381</v>
      </c>
      <c r="O2302" t="s">
        <v>3015</v>
      </c>
      <c r="P2302" t="s">
        <v>221</v>
      </c>
      <c r="Q2302" t="s">
        <v>82</v>
      </c>
      <c r="R2302">
        <v>1</v>
      </c>
      <c r="S2302">
        <v>7.5</v>
      </c>
      <c r="T2302">
        <v>0</v>
      </c>
      <c r="U2302">
        <v>1</v>
      </c>
      <c r="V2302">
        <v>1</v>
      </c>
      <c r="W2302">
        <v>33.76</v>
      </c>
      <c r="X2302">
        <v>0</v>
      </c>
      <c r="Y2302">
        <v>0</v>
      </c>
      <c r="Z2302">
        <v>0</v>
      </c>
      <c r="AA2302">
        <v>0</v>
      </c>
      <c r="AB2302">
        <v>0</v>
      </c>
      <c r="AC2302">
        <v>0</v>
      </c>
      <c r="AD2302">
        <v>1</v>
      </c>
      <c r="AE2302">
        <v>0</v>
      </c>
      <c r="AF2302">
        <v>0</v>
      </c>
      <c r="AG2302">
        <v>0</v>
      </c>
      <c r="AH2302">
        <v>0</v>
      </c>
      <c r="AI2302">
        <v>0</v>
      </c>
      <c r="AJ2302">
        <v>0</v>
      </c>
      <c r="AK2302">
        <v>0</v>
      </c>
    </row>
    <row r="2303" spans="1:37" x14ac:dyDescent="0.3">
      <c r="A2303">
        <v>7979</v>
      </c>
      <c r="B2303" t="s">
        <v>219</v>
      </c>
      <c r="D2303" t="s">
        <v>327</v>
      </c>
      <c r="E2303">
        <v>99999999</v>
      </c>
      <c r="F2303">
        <v>11111111</v>
      </c>
      <c r="G2303">
        <v>1111111111</v>
      </c>
      <c r="H2303" t="s">
        <v>5872</v>
      </c>
      <c r="I2303">
        <v>99999999</v>
      </c>
      <c r="J2303" s="188">
        <v>45238</v>
      </c>
      <c r="K2303" t="s">
        <v>5872</v>
      </c>
      <c r="L2303" t="s">
        <v>5872</v>
      </c>
      <c r="M2303" t="s">
        <v>364</v>
      </c>
      <c r="N2303" t="s">
        <v>91</v>
      </c>
      <c r="O2303">
        <v>85623</v>
      </c>
      <c r="P2303" t="s">
        <v>221</v>
      </c>
      <c r="Q2303" t="s">
        <v>82</v>
      </c>
      <c r="R2303">
        <v>1</v>
      </c>
      <c r="S2303">
        <v>15.75</v>
      </c>
      <c r="T2303">
        <v>0</v>
      </c>
      <c r="U2303">
        <v>1</v>
      </c>
      <c r="V2303">
        <v>1</v>
      </c>
      <c r="W2303">
        <v>37.35</v>
      </c>
      <c r="X2303">
        <v>0</v>
      </c>
      <c r="Y2303">
        <v>0</v>
      </c>
      <c r="Z2303">
        <v>0</v>
      </c>
      <c r="AA2303">
        <v>0</v>
      </c>
      <c r="AB2303">
        <v>0</v>
      </c>
      <c r="AC2303">
        <v>0</v>
      </c>
      <c r="AD2303">
        <v>1</v>
      </c>
      <c r="AE2303">
        <v>0</v>
      </c>
      <c r="AF2303">
        <v>0</v>
      </c>
      <c r="AG2303">
        <v>0</v>
      </c>
      <c r="AH2303">
        <v>0</v>
      </c>
      <c r="AI2303">
        <v>0</v>
      </c>
      <c r="AJ2303">
        <v>0</v>
      </c>
      <c r="AK2303">
        <v>0</v>
      </c>
    </row>
    <row r="2304" spans="1:37" x14ac:dyDescent="0.3">
      <c r="A2304">
        <v>7979</v>
      </c>
      <c r="B2304" t="s">
        <v>219</v>
      </c>
      <c r="D2304" t="s">
        <v>327</v>
      </c>
      <c r="E2304">
        <v>99999999</v>
      </c>
      <c r="F2304">
        <v>11111111</v>
      </c>
      <c r="G2304">
        <v>1111111111</v>
      </c>
      <c r="H2304" t="s">
        <v>5873</v>
      </c>
      <c r="I2304">
        <v>99999999</v>
      </c>
      <c r="J2304" s="188">
        <v>45238</v>
      </c>
      <c r="K2304" t="s">
        <v>5873</v>
      </c>
      <c r="L2304" t="s">
        <v>5873</v>
      </c>
      <c r="M2304" t="s">
        <v>1634</v>
      </c>
      <c r="N2304" t="s">
        <v>130</v>
      </c>
      <c r="O2304" t="s">
        <v>3016</v>
      </c>
      <c r="P2304" t="s">
        <v>221</v>
      </c>
      <c r="Q2304" t="s">
        <v>82</v>
      </c>
      <c r="R2304">
        <v>1</v>
      </c>
      <c r="S2304">
        <v>4.5</v>
      </c>
      <c r="T2304">
        <v>0</v>
      </c>
      <c r="U2304">
        <v>1</v>
      </c>
      <c r="V2304">
        <v>1</v>
      </c>
      <c r="W2304">
        <v>30.43</v>
      </c>
      <c r="X2304">
        <v>0</v>
      </c>
      <c r="Y2304">
        <v>0</v>
      </c>
      <c r="Z2304">
        <v>0</v>
      </c>
      <c r="AA2304">
        <v>0</v>
      </c>
      <c r="AB2304">
        <v>0</v>
      </c>
      <c r="AC2304">
        <v>0</v>
      </c>
      <c r="AD2304">
        <v>1</v>
      </c>
      <c r="AE2304">
        <v>0</v>
      </c>
      <c r="AF2304">
        <v>0</v>
      </c>
      <c r="AG2304">
        <v>0</v>
      </c>
      <c r="AH2304">
        <v>0</v>
      </c>
      <c r="AI2304">
        <v>0</v>
      </c>
      <c r="AJ2304">
        <v>0</v>
      </c>
      <c r="AK2304">
        <v>0</v>
      </c>
    </row>
    <row r="2305" spans="1:37" x14ac:dyDescent="0.3">
      <c r="A2305">
        <v>7979</v>
      </c>
      <c r="B2305" t="s">
        <v>219</v>
      </c>
      <c r="D2305" t="s">
        <v>327</v>
      </c>
      <c r="E2305">
        <v>99999999</v>
      </c>
      <c r="F2305">
        <v>11111111</v>
      </c>
      <c r="G2305">
        <v>1111111111</v>
      </c>
      <c r="H2305" t="s">
        <v>5874</v>
      </c>
      <c r="I2305">
        <v>99999999</v>
      </c>
      <c r="J2305" s="188">
        <v>45238</v>
      </c>
      <c r="K2305" t="s">
        <v>5874</v>
      </c>
      <c r="L2305" t="s">
        <v>5874</v>
      </c>
      <c r="M2305" t="s">
        <v>2477</v>
      </c>
      <c r="N2305" t="s">
        <v>99</v>
      </c>
      <c r="O2305" t="s">
        <v>3017</v>
      </c>
      <c r="P2305" t="s">
        <v>221</v>
      </c>
      <c r="Q2305" t="s">
        <v>82</v>
      </c>
      <c r="R2305">
        <v>1</v>
      </c>
      <c r="S2305">
        <v>15</v>
      </c>
      <c r="T2305">
        <v>0</v>
      </c>
      <c r="U2305">
        <v>1</v>
      </c>
      <c r="V2305">
        <v>1</v>
      </c>
      <c r="W2305">
        <v>23.71</v>
      </c>
      <c r="X2305">
        <v>0</v>
      </c>
      <c r="Y2305">
        <v>0</v>
      </c>
      <c r="Z2305">
        <v>0</v>
      </c>
      <c r="AA2305">
        <v>0</v>
      </c>
      <c r="AB2305">
        <v>0</v>
      </c>
      <c r="AC2305">
        <v>0</v>
      </c>
      <c r="AD2305">
        <v>1</v>
      </c>
      <c r="AE2305">
        <v>0</v>
      </c>
      <c r="AF2305">
        <v>0</v>
      </c>
      <c r="AG2305">
        <v>0</v>
      </c>
      <c r="AH2305">
        <v>0</v>
      </c>
      <c r="AI2305">
        <v>0</v>
      </c>
      <c r="AJ2305">
        <v>0</v>
      </c>
      <c r="AK2305">
        <v>0</v>
      </c>
    </row>
    <row r="2306" spans="1:37" x14ac:dyDescent="0.3">
      <c r="A2306">
        <v>7979</v>
      </c>
      <c r="B2306" t="s">
        <v>219</v>
      </c>
      <c r="D2306" t="s">
        <v>327</v>
      </c>
      <c r="E2306">
        <v>99999999</v>
      </c>
      <c r="F2306">
        <v>11111111</v>
      </c>
      <c r="G2306">
        <v>1111111111</v>
      </c>
      <c r="H2306" t="s">
        <v>5875</v>
      </c>
      <c r="I2306">
        <v>99999999</v>
      </c>
      <c r="J2306" s="188">
        <v>45238</v>
      </c>
      <c r="K2306" t="s">
        <v>5875</v>
      </c>
      <c r="L2306" t="s">
        <v>5875</v>
      </c>
      <c r="M2306" t="s">
        <v>463</v>
      </c>
      <c r="N2306" t="s">
        <v>104</v>
      </c>
      <c r="O2306" t="s">
        <v>3018</v>
      </c>
      <c r="P2306" t="s">
        <v>221</v>
      </c>
      <c r="Q2306" t="s">
        <v>82</v>
      </c>
      <c r="R2306">
        <v>1</v>
      </c>
      <c r="S2306">
        <v>6</v>
      </c>
      <c r="T2306">
        <v>0</v>
      </c>
      <c r="U2306">
        <v>1</v>
      </c>
      <c r="V2306">
        <v>1</v>
      </c>
      <c r="W2306">
        <v>23.49</v>
      </c>
      <c r="X2306">
        <v>0</v>
      </c>
      <c r="Y2306">
        <v>0</v>
      </c>
      <c r="Z2306">
        <v>0</v>
      </c>
      <c r="AA2306">
        <v>0</v>
      </c>
      <c r="AB2306">
        <v>0</v>
      </c>
      <c r="AC2306">
        <v>0</v>
      </c>
      <c r="AD2306">
        <v>1</v>
      </c>
      <c r="AE2306">
        <v>0</v>
      </c>
      <c r="AF2306">
        <v>0</v>
      </c>
      <c r="AG2306">
        <v>0</v>
      </c>
      <c r="AH2306">
        <v>0</v>
      </c>
      <c r="AI2306">
        <v>0</v>
      </c>
      <c r="AJ2306">
        <v>0</v>
      </c>
      <c r="AK2306">
        <v>0</v>
      </c>
    </row>
    <row r="2307" spans="1:37" x14ac:dyDescent="0.3">
      <c r="A2307">
        <v>7979</v>
      </c>
      <c r="B2307" t="s">
        <v>219</v>
      </c>
      <c r="D2307" t="s">
        <v>327</v>
      </c>
      <c r="E2307">
        <v>99999999</v>
      </c>
      <c r="F2307">
        <v>11111111</v>
      </c>
      <c r="G2307">
        <v>1111111111</v>
      </c>
      <c r="H2307" t="s">
        <v>5876</v>
      </c>
      <c r="I2307">
        <v>99999999</v>
      </c>
      <c r="J2307" s="188">
        <v>45238</v>
      </c>
      <c r="K2307" t="s">
        <v>5876</v>
      </c>
      <c r="L2307" t="s">
        <v>5876</v>
      </c>
      <c r="M2307" t="s">
        <v>2103</v>
      </c>
      <c r="N2307" t="s">
        <v>130</v>
      </c>
      <c r="O2307" t="s">
        <v>3019</v>
      </c>
      <c r="P2307" t="s">
        <v>221</v>
      </c>
      <c r="Q2307" t="s">
        <v>82</v>
      </c>
      <c r="R2307">
        <v>1</v>
      </c>
      <c r="S2307">
        <v>10.6</v>
      </c>
      <c r="T2307">
        <v>0</v>
      </c>
      <c r="U2307">
        <v>1</v>
      </c>
      <c r="V2307">
        <v>1</v>
      </c>
      <c r="W2307">
        <v>26.45</v>
      </c>
      <c r="X2307">
        <v>0</v>
      </c>
      <c r="Y2307">
        <v>0</v>
      </c>
      <c r="Z2307">
        <v>0</v>
      </c>
      <c r="AA2307">
        <v>0</v>
      </c>
      <c r="AB2307">
        <v>0</v>
      </c>
      <c r="AC2307">
        <v>0</v>
      </c>
      <c r="AD2307">
        <v>1</v>
      </c>
      <c r="AE2307">
        <v>0</v>
      </c>
      <c r="AF2307">
        <v>0</v>
      </c>
      <c r="AG2307">
        <v>0</v>
      </c>
      <c r="AH2307">
        <v>0</v>
      </c>
      <c r="AI2307">
        <v>0</v>
      </c>
      <c r="AJ2307">
        <v>0</v>
      </c>
      <c r="AK2307">
        <v>0</v>
      </c>
    </row>
    <row r="2308" spans="1:37" x14ac:dyDescent="0.3">
      <c r="A2308">
        <v>7979</v>
      </c>
      <c r="B2308" t="s">
        <v>219</v>
      </c>
      <c r="D2308" t="s">
        <v>327</v>
      </c>
      <c r="E2308">
        <v>99999999</v>
      </c>
      <c r="F2308">
        <v>11111111</v>
      </c>
      <c r="G2308">
        <v>1111111111</v>
      </c>
      <c r="H2308" t="s">
        <v>5877</v>
      </c>
      <c r="I2308">
        <v>99999999</v>
      </c>
      <c r="J2308" s="188">
        <v>45238</v>
      </c>
      <c r="K2308" t="s">
        <v>5877</v>
      </c>
      <c r="L2308" t="s">
        <v>5877</v>
      </c>
      <c r="M2308" t="s">
        <v>1172</v>
      </c>
      <c r="N2308" t="s">
        <v>99</v>
      </c>
      <c r="O2308" t="s">
        <v>3020</v>
      </c>
      <c r="P2308" t="s">
        <v>221</v>
      </c>
      <c r="Q2308" t="s">
        <v>82</v>
      </c>
      <c r="R2308">
        <v>1</v>
      </c>
      <c r="S2308">
        <v>10.5</v>
      </c>
      <c r="T2308">
        <v>0</v>
      </c>
      <c r="U2308">
        <v>1</v>
      </c>
      <c r="V2308">
        <v>1</v>
      </c>
      <c r="W2308">
        <v>22.97</v>
      </c>
      <c r="X2308">
        <v>0</v>
      </c>
      <c r="Y2308">
        <v>0</v>
      </c>
      <c r="Z2308">
        <v>0</v>
      </c>
      <c r="AA2308">
        <v>0</v>
      </c>
      <c r="AB2308">
        <v>0</v>
      </c>
      <c r="AC2308">
        <v>0</v>
      </c>
      <c r="AD2308">
        <v>1</v>
      </c>
      <c r="AE2308">
        <v>0</v>
      </c>
      <c r="AF2308">
        <v>0</v>
      </c>
      <c r="AG2308">
        <v>0</v>
      </c>
      <c r="AH2308">
        <v>0</v>
      </c>
      <c r="AI2308">
        <v>0</v>
      </c>
      <c r="AJ2308">
        <v>0</v>
      </c>
      <c r="AK2308">
        <v>0</v>
      </c>
    </row>
    <row r="2309" spans="1:37" x14ac:dyDescent="0.3">
      <c r="A2309">
        <v>7979</v>
      </c>
      <c r="B2309" t="s">
        <v>219</v>
      </c>
      <c r="D2309" t="s">
        <v>327</v>
      </c>
      <c r="E2309">
        <v>99999999</v>
      </c>
      <c r="F2309">
        <v>11111111</v>
      </c>
      <c r="G2309">
        <v>1111111111</v>
      </c>
      <c r="H2309" t="s">
        <v>5878</v>
      </c>
      <c r="I2309">
        <v>99999999</v>
      </c>
      <c r="J2309" s="188">
        <v>45238</v>
      </c>
      <c r="K2309" t="s">
        <v>5878</v>
      </c>
      <c r="L2309" t="s">
        <v>5878</v>
      </c>
      <c r="M2309" t="s">
        <v>754</v>
      </c>
      <c r="N2309" t="s">
        <v>130</v>
      </c>
      <c r="O2309" t="s">
        <v>3021</v>
      </c>
      <c r="P2309" t="s">
        <v>221</v>
      </c>
      <c r="Q2309" t="s">
        <v>82</v>
      </c>
      <c r="R2309">
        <v>1</v>
      </c>
      <c r="S2309">
        <v>15</v>
      </c>
      <c r="T2309">
        <v>0</v>
      </c>
      <c r="U2309">
        <v>1</v>
      </c>
      <c r="V2309">
        <v>1</v>
      </c>
      <c r="W2309">
        <v>28.49</v>
      </c>
      <c r="X2309">
        <v>0</v>
      </c>
      <c r="Y2309">
        <v>0</v>
      </c>
      <c r="Z2309">
        <v>0</v>
      </c>
      <c r="AA2309">
        <v>0</v>
      </c>
      <c r="AB2309">
        <v>0</v>
      </c>
      <c r="AC2309">
        <v>0</v>
      </c>
      <c r="AD2309">
        <v>1</v>
      </c>
      <c r="AE2309">
        <v>0</v>
      </c>
      <c r="AF2309">
        <v>0</v>
      </c>
      <c r="AG2309">
        <v>0</v>
      </c>
      <c r="AH2309">
        <v>0</v>
      </c>
      <c r="AI2309">
        <v>0</v>
      </c>
      <c r="AJ2309">
        <v>0</v>
      </c>
      <c r="AK2309">
        <v>0</v>
      </c>
    </row>
    <row r="2310" spans="1:37" x14ac:dyDescent="0.3">
      <c r="A2310">
        <v>7979</v>
      </c>
      <c r="B2310" t="s">
        <v>219</v>
      </c>
      <c r="D2310" t="s">
        <v>327</v>
      </c>
      <c r="E2310">
        <v>99999999</v>
      </c>
      <c r="F2310">
        <v>11111111</v>
      </c>
      <c r="G2310">
        <v>1111111111</v>
      </c>
      <c r="H2310" t="s">
        <v>5879</v>
      </c>
      <c r="I2310">
        <v>99999999</v>
      </c>
      <c r="J2310" s="188">
        <v>45238</v>
      </c>
      <c r="K2310" t="s">
        <v>5879</v>
      </c>
      <c r="L2310" t="s">
        <v>5879</v>
      </c>
      <c r="M2310" t="s">
        <v>246</v>
      </c>
      <c r="N2310" t="s">
        <v>99</v>
      </c>
      <c r="O2310" t="s">
        <v>3022</v>
      </c>
      <c r="P2310" t="s">
        <v>221</v>
      </c>
      <c r="Q2310" t="s">
        <v>82</v>
      </c>
      <c r="R2310">
        <v>2</v>
      </c>
      <c r="S2310">
        <v>7.5</v>
      </c>
      <c r="T2310">
        <v>0</v>
      </c>
      <c r="U2310">
        <v>1</v>
      </c>
      <c r="V2310">
        <v>2</v>
      </c>
      <c r="W2310">
        <v>22.37</v>
      </c>
      <c r="X2310">
        <v>0</v>
      </c>
      <c r="Y2310">
        <v>0</v>
      </c>
      <c r="Z2310">
        <v>0</v>
      </c>
      <c r="AA2310">
        <v>0</v>
      </c>
      <c r="AB2310">
        <v>0</v>
      </c>
      <c r="AC2310">
        <v>0</v>
      </c>
      <c r="AD2310">
        <v>2</v>
      </c>
      <c r="AE2310">
        <v>0</v>
      </c>
      <c r="AF2310">
        <v>0</v>
      </c>
      <c r="AG2310">
        <v>0</v>
      </c>
      <c r="AH2310">
        <v>0</v>
      </c>
      <c r="AI2310">
        <v>0</v>
      </c>
      <c r="AJ2310">
        <v>0</v>
      </c>
      <c r="AK2310">
        <v>0</v>
      </c>
    </row>
    <row r="2311" spans="1:37" x14ac:dyDescent="0.3">
      <c r="A2311">
        <v>7979</v>
      </c>
      <c r="B2311" t="s">
        <v>219</v>
      </c>
      <c r="D2311" t="s">
        <v>327</v>
      </c>
      <c r="E2311">
        <v>99999999</v>
      </c>
      <c r="F2311">
        <v>11111111</v>
      </c>
      <c r="G2311">
        <v>1111111111</v>
      </c>
      <c r="H2311" t="s">
        <v>5880</v>
      </c>
      <c r="I2311">
        <v>99999999</v>
      </c>
      <c r="J2311" s="188">
        <v>45238</v>
      </c>
      <c r="K2311" t="s">
        <v>5880</v>
      </c>
      <c r="L2311" t="s">
        <v>5880</v>
      </c>
      <c r="M2311" t="s">
        <v>1128</v>
      </c>
      <c r="N2311" t="s">
        <v>197</v>
      </c>
      <c r="O2311">
        <v>76513</v>
      </c>
      <c r="P2311" t="s">
        <v>221</v>
      </c>
      <c r="Q2311" t="s">
        <v>82</v>
      </c>
      <c r="R2311">
        <v>1</v>
      </c>
      <c r="S2311">
        <v>6.4</v>
      </c>
      <c r="T2311">
        <v>0</v>
      </c>
      <c r="U2311">
        <v>1</v>
      </c>
      <c r="V2311">
        <v>1</v>
      </c>
      <c r="W2311">
        <v>31.52</v>
      </c>
      <c r="X2311">
        <v>0</v>
      </c>
      <c r="Y2311">
        <v>0</v>
      </c>
      <c r="Z2311">
        <v>0</v>
      </c>
      <c r="AA2311">
        <v>0</v>
      </c>
      <c r="AB2311">
        <v>0</v>
      </c>
      <c r="AC2311">
        <v>0</v>
      </c>
      <c r="AD2311">
        <v>1</v>
      </c>
      <c r="AE2311">
        <v>0</v>
      </c>
      <c r="AF2311">
        <v>0</v>
      </c>
      <c r="AG2311">
        <v>0</v>
      </c>
      <c r="AH2311">
        <v>0</v>
      </c>
      <c r="AI2311">
        <v>0</v>
      </c>
      <c r="AJ2311">
        <v>0</v>
      </c>
      <c r="AK2311">
        <v>0</v>
      </c>
    </row>
    <row r="2312" spans="1:37" x14ac:dyDescent="0.3">
      <c r="A2312">
        <v>7979</v>
      </c>
      <c r="B2312" t="s">
        <v>219</v>
      </c>
      <c r="D2312" t="s">
        <v>327</v>
      </c>
      <c r="E2312">
        <v>99999999</v>
      </c>
      <c r="F2312">
        <v>11111111</v>
      </c>
      <c r="G2312">
        <v>1111111111</v>
      </c>
      <c r="H2312" t="s">
        <v>5881</v>
      </c>
      <c r="I2312">
        <v>99999999</v>
      </c>
      <c r="J2312" s="188">
        <v>45238</v>
      </c>
      <c r="K2312" t="s">
        <v>5881</v>
      </c>
      <c r="L2312" t="s">
        <v>5881</v>
      </c>
      <c r="M2312" t="s">
        <v>3023</v>
      </c>
      <c r="N2312" t="s">
        <v>164</v>
      </c>
      <c r="O2312" t="s">
        <v>3024</v>
      </c>
      <c r="P2312" t="s">
        <v>221</v>
      </c>
      <c r="Q2312" t="s">
        <v>82</v>
      </c>
      <c r="R2312">
        <v>1</v>
      </c>
      <c r="S2312">
        <v>8.8000000000000007</v>
      </c>
      <c r="T2312">
        <v>0</v>
      </c>
      <c r="U2312">
        <v>1</v>
      </c>
      <c r="V2312">
        <v>1</v>
      </c>
      <c r="W2312">
        <v>32.590000000000003</v>
      </c>
      <c r="X2312">
        <v>0</v>
      </c>
      <c r="Y2312">
        <v>0</v>
      </c>
      <c r="Z2312">
        <v>0</v>
      </c>
      <c r="AA2312">
        <v>0</v>
      </c>
      <c r="AB2312">
        <v>0</v>
      </c>
      <c r="AC2312">
        <v>0</v>
      </c>
      <c r="AD2312">
        <v>1</v>
      </c>
      <c r="AE2312">
        <v>0</v>
      </c>
      <c r="AF2312">
        <v>0</v>
      </c>
      <c r="AG2312">
        <v>0</v>
      </c>
      <c r="AH2312">
        <v>0</v>
      </c>
      <c r="AI2312">
        <v>0</v>
      </c>
      <c r="AJ2312">
        <v>0</v>
      </c>
      <c r="AK2312">
        <v>0</v>
      </c>
    </row>
    <row r="2313" spans="1:37" x14ac:dyDescent="0.3">
      <c r="A2313">
        <v>7979</v>
      </c>
      <c r="B2313" t="s">
        <v>219</v>
      </c>
      <c r="D2313" t="s">
        <v>327</v>
      </c>
      <c r="E2313">
        <v>99999999</v>
      </c>
      <c r="F2313">
        <v>11111111</v>
      </c>
      <c r="G2313">
        <v>1111111111</v>
      </c>
      <c r="H2313" t="s">
        <v>5882</v>
      </c>
      <c r="I2313">
        <v>99999999</v>
      </c>
      <c r="J2313" s="188">
        <v>45238</v>
      </c>
      <c r="K2313" t="s">
        <v>5882</v>
      </c>
      <c r="L2313" t="s">
        <v>5882</v>
      </c>
      <c r="M2313" t="s">
        <v>3025</v>
      </c>
      <c r="N2313" t="s">
        <v>197</v>
      </c>
      <c r="O2313">
        <v>76073</v>
      </c>
      <c r="P2313" t="s">
        <v>221</v>
      </c>
      <c r="Q2313" t="s">
        <v>82</v>
      </c>
      <c r="R2313">
        <v>1</v>
      </c>
      <c r="S2313">
        <v>15.12</v>
      </c>
      <c r="T2313">
        <v>0</v>
      </c>
      <c r="U2313">
        <v>1</v>
      </c>
      <c r="V2313">
        <v>1</v>
      </c>
      <c r="W2313">
        <v>40.54</v>
      </c>
      <c r="X2313">
        <v>0</v>
      </c>
      <c r="Y2313">
        <v>0</v>
      </c>
      <c r="Z2313">
        <v>0</v>
      </c>
      <c r="AA2313">
        <v>0</v>
      </c>
      <c r="AB2313">
        <v>0</v>
      </c>
      <c r="AC2313">
        <v>0</v>
      </c>
      <c r="AD2313">
        <v>1</v>
      </c>
      <c r="AE2313">
        <v>0</v>
      </c>
      <c r="AF2313">
        <v>0</v>
      </c>
      <c r="AG2313">
        <v>0</v>
      </c>
      <c r="AH2313">
        <v>0</v>
      </c>
      <c r="AI2313">
        <v>0</v>
      </c>
      <c r="AJ2313">
        <v>0</v>
      </c>
      <c r="AK2313">
        <v>0</v>
      </c>
    </row>
    <row r="2314" spans="1:37" x14ac:dyDescent="0.3">
      <c r="A2314">
        <v>7979</v>
      </c>
      <c r="B2314" t="s">
        <v>219</v>
      </c>
      <c r="D2314" t="s">
        <v>327</v>
      </c>
      <c r="E2314">
        <v>99999999</v>
      </c>
      <c r="F2314">
        <v>11111111</v>
      </c>
      <c r="G2314">
        <v>1111111111</v>
      </c>
      <c r="H2314" t="s">
        <v>5883</v>
      </c>
      <c r="I2314">
        <v>99999999</v>
      </c>
      <c r="J2314" s="188">
        <v>45238</v>
      </c>
      <c r="K2314" t="s">
        <v>5883</v>
      </c>
      <c r="L2314" t="s">
        <v>5883</v>
      </c>
      <c r="M2314" t="s">
        <v>1137</v>
      </c>
      <c r="N2314" t="s">
        <v>99</v>
      </c>
      <c r="O2314" t="s">
        <v>3026</v>
      </c>
      <c r="P2314" t="s">
        <v>221</v>
      </c>
      <c r="Q2314" t="s">
        <v>82</v>
      </c>
      <c r="R2314">
        <v>1</v>
      </c>
      <c r="S2314">
        <v>1.6659999999999999</v>
      </c>
      <c r="T2314">
        <v>0</v>
      </c>
      <c r="U2314">
        <v>1</v>
      </c>
      <c r="V2314">
        <v>1</v>
      </c>
      <c r="W2314">
        <v>21.83</v>
      </c>
      <c r="X2314">
        <v>0</v>
      </c>
      <c r="Y2314">
        <v>0</v>
      </c>
      <c r="Z2314">
        <v>0</v>
      </c>
      <c r="AA2314">
        <v>0</v>
      </c>
      <c r="AB2314">
        <v>0</v>
      </c>
      <c r="AC2314">
        <v>0</v>
      </c>
      <c r="AD2314">
        <v>1</v>
      </c>
      <c r="AE2314">
        <v>0</v>
      </c>
      <c r="AF2314">
        <v>0</v>
      </c>
      <c r="AG2314">
        <v>0</v>
      </c>
      <c r="AH2314">
        <v>0</v>
      </c>
      <c r="AI2314">
        <v>0</v>
      </c>
      <c r="AJ2314">
        <v>0</v>
      </c>
      <c r="AK2314">
        <v>0</v>
      </c>
    </row>
    <row r="2315" spans="1:37" x14ac:dyDescent="0.3">
      <c r="A2315">
        <v>7979</v>
      </c>
      <c r="B2315" t="s">
        <v>219</v>
      </c>
      <c r="D2315" t="s">
        <v>327</v>
      </c>
      <c r="E2315">
        <v>99999999</v>
      </c>
      <c r="F2315">
        <v>11111111</v>
      </c>
      <c r="G2315">
        <v>1111111111</v>
      </c>
      <c r="H2315" t="s">
        <v>5884</v>
      </c>
      <c r="I2315">
        <v>99999999</v>
      </c>
      <c r="J2315" s="188">
        <v>45238</v>
      </c>
      <c r="K2315" t="s">
        <v>5884</v>
      </c>
      <c r="L2315" t="s">
        <v>5884</v>
      </c>
      <c r="M2315" t="s">
        <v>1550</v>
      </c>
      <c r="N2315" t="s">
        <v>99</v>
      </c>
      <c r="O2315" t="s">
        <v>3027</v>
      </c>
      <c r="P2315" t="s">
        <v>221</v>
      </c>
      <c r="Q2315" t="s">
        <v>82</v>
      </c>
      <c r="R2315">
        <v>1</v>
      </c>
      <c r="S2315">
        <v>7.3</v>
      </c>
      <c r="T2315">
        <v>0</v>
      </c>
      <c r="U2315">
        <v>1</v>
      </c>
      <c r="V2315">
        <v>1</v>
      </c>
      <c r="W2315">
        <v>24.1</v>
      </c>
      <c r="X2315">
        <v>0</v>
      </c>
      <c r="Y2315">
        <v>0</v>
      </c>
      <c r="Z2315">
        <v>0</v>
      </c>
      <c r="AA2315">
        <v>0</v>
      </c>
      <c r="AB2315">
        <v>0</v>
      </c>
      <c r="AC2315">
        <v>0</v>
      </c>
      <c r="AD2315">
        <v>1</v>
      </c>
      <c r="AE2315">
        <v>0</v>
      </c>
      <c r="AF2315">
        <v>0</v>
      </c>
      <c r="AG2315">
        <v>0</v>
      </c>
      <c r="AH2315">
        <v>0</v>
      </c>
      <c r="AI2315">
        <v>0</v>
      </c>
      <c r="AJ2315">
        <v>0</v>
      </c>
      <c r="AK2315">
        <v>0</v>
      </c>
    </row>
    <row r="2316" spans="1:37" x14ac:dyDescent="0.3">
      <c r="A2316">
        <v>7979</v>
      </c>
      <c r="B2316" t="s">
        <v>219</v>
      </c>
      <c r="D2316" t="s">
        <v>327</v>
      </c>
      <c r="E2316">
        <v>99999999</v>
      </c>
      <c r="F2316">
        <v>11111111</v>
      </c>
      <c r="G2316">
        <v>1111111111</v>
      </c>
      <c r="H2316" t="s">
        <v>5885</v>
      </c>
      <c r="I2316">
        <v>99999999</v>
      </c>
      <c r="J2316" s="188">
        <v>45238</v>
      </c>
      <c r="K2316" t="s">
        <v>5885</v>
      </c>
      <c r="L2316" t="s">
        <v>5885</v>
      </c>
      <c r="M2316" t="s">
        <v>2516</v>
      </c>
      <c r="N2316" t="s">
        <v>130</v>
      </c>
      <c r="O2316" t="s">
        <v>3028</v>
      </c>
      <c r="P2316" t="s">
        <v>221</v>
      </c>
      <c r="Q2316" t="s">
        <v>82</v>
      </c>
      <c r="R2316">
        <v>1</v>
      </c>
      <c r="S2316">
        <v>15</v>
      </c>
      <c r="T2316">
        <v>0</v>
      </c>
      <c r="U2316">
        <v>1</v>
      </c>
      <c r="V2316">
        <v>1</v>
      </c>
      <c r="W2316">
        <v>28.49</v>
      </c>
      <c r="X2316">
        <v>0</v>
      </c>
      <c r="Y2316">
        <v>0</v>
      </c>
      <c r="Z2316">
        <v>0</v>
      </c>
      <c r="AA2316">
        <v>0</v>
      </c>
      <c r="AB2316">
        <v>0</v>
      </c>
      <c r="AC2316">
        <v>0</v>
      </c>
      <c r="AD2316">
        <v>1</v>
      </c>
      <c r="AE2316">
        <v>0</v>
      </c>
      <c r="AF2316">
        <v>0</v>
      </c>
      <c r="AG2316">
        <v>0</v>
      </c>
      <c r="AH2316">
        <v>0</v>
      </c>
      <c r="AI2316">
        <v>0</v>
      </c>
      <c r="AJ2316">
        <v>0</v>
      </c>
      <c r="AK2316">
        <v>0</v>
      </c>
    </row>
    <row r="2317" spans="1:37" x14ac:dyDescent="0.3">
      <c r="A2317">
        <v>7979</v>
      </c>
      <c r="B2317" t="s">
        <v>219</v>
      </c>
      <c r="D2317" t="s">
        <v>327</v>
      </c>
      <c r="E2317">
        <v>99999999</v>
      </c>
      <c r="F2317">
        <v>11111111</v>
      </c>
      <c r="G2317">
        <v>1111111111</v>
      </c>
      <c r="H2317" t="s">
        <v>5886</v>
      </c>
      <c r="I2317">
        <v>99999999</v>
      </c>
      <c r="J2317" s="188">
        <v>45238</v>
      </c>
      <c r="K2317" t="s">
        <v>5886</v>
      </c>
      <c r="L2317" t="s">
        <v>5886</v>
      </c>
      <c r="M2317" t="s">
        <v>3029</v>
      </c>
      <c r="N2317" t="s">
        <v>197</v>
      </c>
      <c r="O2317" t="s">
        <v>3030</v>
      </c>
      <c r="P2317" t="s">
        <v>221</v>
      </c>
      <c r="Q2317" t="s">
        <v>82</v>
      </c>
      <c r="R2317">
        <v>1</v>
      </c>
      <c r="S2317">
        <v>2.4</v>
      </c>
      <c r="T2317">
        <v>0</v>
      </c>
      <c r="U2317">
        <v>1</v>
      </c>
      <c r="V2317">
        <v>1</v>
      </c>
      <c r="W2317">
        <v>31.54</v>
      </c>
      <c r="X2317">
        <v>0</v>
      </c>
      <c r="Y2317">
        <v>0</v>
      </c>
      <c r="Z2317">
        <v>0</v>
      </c>
      <c r="AA2317">
        <v>0</v>
      </c>
      <c r="AB2317">
        <v>0</v>
      </c>
      <c r="AC2317">
        <v>0</v>
      </c>
      <c r="AD2317">
        <v>1</v>
      </c>
      <c r="AE2317">
        <v>0</v>
      </c>
      <c r="AF2317">
        <v>0</v>
      </c>
      <c r="AG2317">
        <v>0</v>
      </c>
      <c r="AH2317">
        <v>0</v>
      </c>
      <c r="AI2317">
        <v>0</v>
      </c>
      <c r="AJ2317">
        <v>0</v>
      </c>
      <c r="AK2317">
        <v>0</v>
      </c>
    </row>
    <row r="2318" spans="1:37" x14ac:dyDescent="0.3">
      <c r="A2318">
        <v>7979</v>
      </c>
      <c r="B2318" t="s">
        <v>219</v>
      </c>
      <c r="D2318" t="s">
        <v>327</v>
      </c>
      <c r="E2318">
        <v>99999999</v>
      </c>
      <c r="F2318">
        <v>11111111</v>
      </c>
      <c r="G2318">
        <v>1111111111</v>
      </c>
      <c r="H2318" t="s">
        <v>5887</v>
      </c>
      <c r="I2318">
        <v>99999999</v>
      </c>
      <c r="J2318" s="188">
        <v>45238</v>
      </c>
      <c r="K2318" t="s">
        <v>5887</v>
      </c>
      <c r="L2318" t="s">
        <v>5887</v>
      </c>
      <c r="M2318" t="s">
        <v>677</v>
      </c>
      <c r="N2318" t="s">
        <v>85</v>
      </c>
      <c r="O2318" t="s">
        <v>3031</v>
      </c>
      <c r="P2318" t="s">
        <v>221</v>
      </c>
      <c r="Q2318" t="s">
        <v>82</v>
      </c>
      <c r="R2318">
        <v>1</v>
      </c>
      <c r="S2318">
        <v>11.07</v>
      </c>
      <c r="T2318">
        <v>0</v>
      </c>
      <c r="U2318">
        <v>1</v>
      </c>
      <c r="V2318">
        <v>1</v>
      </c>
      <c r="W2318">
        <v>24.78</v>
      </c>
      <c r="X2318">
        <v>0</v>
      </c>
      <c r="Y2318">
        <v>0</v>
      </c>
      <c r="Z2318">
        <v>0</v>
      </c>
      <c r="AA2318">
        <v>0</v>
      </c>
      <c r="AB2318">
        <v>0</v>
      </c>
      <c r="AC2318">
        <v>0</v>
      </c>
      <c r="AD2318">
        <v>1</v>
      </c>
      <c r="AE2318">
        <v>0</v>
      </c>
      <c r="AF2318">
        <v>0</v>
      </c>
      <c r="AG2318">
        <v>0</v>
      </c>
      <c r="AH2318">
        <v>0</v>
      </c>
      <c r="AI2318">
        <v>0</v>
      </c>
      <c r="AJ2318">
        <v>0</v>
      </c>
      <c r="AK2318">
        <v>0</v>
      </c>
    </row>
    <row r="2319" spans="1:37" x14ac:dyDescent="0.3">
      <c r="A2319">
        <v>7979</v>
      </c>
      <c r="B2319" t="s">
        <v>219</v>
      </c>
      <c r="D2319" t="s">
        <v>327</v>
      </c>
      <c r="E2319">
        <v>99999999</v>
      </c>
      <c r="F2319">
        <v>11111111</v>
      </c>
      <c r="G2319">
        <v>1111111111</v>
      </c>
      <c r="H2319" t="s">
        <v>5888</v>
      </c>
      <c r="I2319">
        <v>99999999</v>
      </c>
      <c r="J2319" s="188">
        <v>45238</v>
      </c>
      <c r="K2319" t="s">
        <v>5888</v>
      </c>
      <c r="L2319" t="s">
        <v>5888</v>
      </c>
      <c r="M2319" t="s">
        <v>749</v>
      </c>
      <c r="N2319" t="s">
        <v>130</v>
      </c>
      <c r="O2319" t="s">
        <v>3032</v>
      </c>
      <c r="P2319" t="s">
        <v>221</v>
      </c>
      <c r="Q2319" t="s">
        <v>82</v>
      </c>
      <c r="R2319">
        <v>1</v>
      </c>
      <c r="S2319">
        <v>7.41</v>
      </c>
      <c r="T2319">
        <v>0</v>
      </c>
      <c r="U2319">
        <v>1</v>
      </c>
      <c r="V2319">
        <v>1</v>
      </c>
      <c r="W2319">
        <v>25.52</v>
      </c>
      <c r="X2319">
        <v>0</v>
      </c>
      <c r="Y2319">
        <v>0</v>
      </c>
      <c r="Z2319">
        <v>0</v>
      </c>
      <c r="AA2319">
        <v>0</v>
      </c>
      <c r="AB2319">
        <v>0</v>
      </c>
      <c r="AC2319">
        <v>0</v>
      </c>
      <c r="AD2319">
        <v>1</v>
      </c>
      <c r="AE2319">
        <v>0</v>
      </c>
      <c r="AF2319">
        <v>0</v>
      </c>
      <c r="AG2319">
        <v>0</v>
      </c>
      <c r="AH2319">
        <v>0</v>
      </c>
      <c r="AI2319">
        <v>0</v>
      </c>
      <c r="AJ2319">
        <v>0</v>
      </c>
      <c r="AK2319">
        <v>0</v>
      </c>
    </row>
    <row r="2320" spans="1:37" x14ac:dyDescent="0.3">
      <c r="A2320">
        <v>7979</v>
      </c>
      <c r="B2320" t="s">
        <v>219</v>
      </c>
      <c r="D2320" t="s">
        <v>327</v>
      </c>
      <c r="E2320">
        <v>99999999</v>
      </c>
      <c r="F2320">
        <v>11111111</v>
      </c>
      <c r="G2320">
        <v>1111111111</v>
      </c>
      <c r="H2320" t="s">
        <v>5889</v>
      </c>
      <c r="I2320">
        <v>99999999</v>
      </c>
      <c r="J2320" s="188">
        <v>45238</v>
      </c>
      <c r="K2320" t="s">
        <v>5889</v>
      </c>
      <c r="L2320" t="s">
        <v>5889</v>
      </c>
      <c r="M2320" t="s">
        <v>3033</v>
      </c>
      <c r="N2320" t="s">
        <v>99</v>
      </c>
      <c r="O2320" t="s">
        <v>3034</v>
      </c>
      <c r="P2320" t="s">
        <v>221</v>
      </c>
      <c r="Q2320" t="s">
        <v>82</v>
      </c>
      <c r="R2320">
        <v>1</v>
      </c>
      <c r="S2320">
        <v>7.41</v>
      </c>
      <c r="T2320">
        <v>0</v>
      </c>
      <c r="U2320">
        <v>1</v>
      </c>
      <c r="V2320">
        <v>1</v>
      </c>
      <c r="W2320">
        <v>27.29</v>
      </c>
      <c r="X2320">
        <v>0</v>
      </c>
      <c r="Y2320">
        <v>0</v>
      </c>
      <c r="Z2320">
        <v>0</v>
      </c>
      <c r="AA2320">
        <v>0</v>
      </c>
      <c r="AB2320">
        <v>0</v>
      </c>
      <c r="AC2320">
        <v>0</v>
      </c>
      <c r="AD2320">
        <v>1</v>
      </c>
      <c r="AE2320">
        <v>0</v>
      </c>
      <c r="AF2320">
        <v>0</v>
      </c>
      <c r="AG2320">
        <v>0</v>
      </c>
      <c r="AH2320">
        <v>0</v>
      </c>
      <c r="AI2320">
        <v>0</v>
      </c>
      <c r="AJ2320">
        <v>0</v>
      </c>
      <c r="AK2320">
        <v>0</v>
      </c>
    </row>
    <row r="2321" spans="1:37" x14ac:dyDescent="0.3">
      <c r="A2321">
        <v>7979</v>
      </c>
      <c r="B2321" t="s">
        <v>219</v>
      </c>
      <c r="D2321" t="s">
        <v>327</v>
      </c>
      <c r="E2321">
        <v>99999999</v>
      </c>
      <c r="F2321">
        <v>11111111</v>
      </c>
      <c r="G2321">
        <v>1111111111</v>
      </c>
      <c r="H2321" t="s">
        <v>5890</v>
      </c>
      <c r="I2321">
        <v>99999999</v>
      </c>
      <c r="J2321" s="188">
        <v>45238</v>
      </c>
      <c r="K2321" t="s">
        <v>5890</v>
      </c>
      <c r="L2321" t="s">
        <v>5890</v>
      </c>
      <c r="M2321" t="s">
        <v>173</v>
      </c>
      <c r="N2321" t="s">
        <v>164</v>
      </c>
      <c r="O2321" t="s">
        <v>3035</v>
      </c>
      <c r="P2321" t="s">
        <v>221</v>
      </c>
      <c r="Q2321" t="s">
        <v>82</v>
      </c>
      <c r="R2321">
        <v>1</v>
      </c>
      <c r="S2321">
        <v>5</v>
      </c>
      <c r="T2321">
        <v>0</v>
      </c>
      <c r="U2321">
        <v>1</v>
      </c>
      <c r="V2321">
        <v>1</v>
      </c>
      <c r="W2321">
        <v>31.28</v>
      </c>
      <c r="X2321">
        <v>0</v>
      </c>
      <c r="Y2321">
        <v>0</v>
      </c>
      <c r="Z2321">
        <v>0</v>
      </c>
      <c r="AA2321">
        <v>0</v>
      </c>
      <c r="AB2321">
        <v>0</v>
      </c>
      <c r="AC2321">
        <v>0</v>
      </c>
      <c r="AD2321">
        <v>1</v>
      </c>
      <c r="AE2321">
        <v>0</v>
      </c>
      <c r="AF2321">
        <v>0</v>
      </c>
      <c r="AG2321">
        <v>0</v>
      </c>
      <c r="AH2321">
        <v>0</v>
      </c>
      <c r="AI2321">
        <v>0</v>
      </c>
      <c r="AJ2321">
        <v>0</v>
      </c>
      <c r="AK2321">
        <v>0</v>
      </c>
    </row>
    <row r="2322" spans="1:37" x14ac:dyDescent="0.3">
      <c r="A2322">
        <v>7979</v>
      </c>
      <c r="B2322" t="s">
        <v>219</v>
      </c>
      <c r="D2322" t="s">
        <v>327</v>
      </c>
      <c r="E2322">
        <v>99999999</v>
      </c>
      <c r="F2322">
        <v>11111111</v>
      </c>
      <c r="G2322">
        <v>1111111111</v>
      </c>
      <c r="H2322" t="s">
        <v>5891</v>
      </c>
      <c r="I2322">
        <v>99999999</v>
      </c>
      <c r="J2322" s="188">
        <v>45238</v>
      </c>
      <c r="K2322" t="s">
        <v>5891</v>
      </c>
      <c r="L2322" t="s">
        <v>5891</v>
      </c>
      <c r="M2322" t="s">
        <v>1172</v>
      </c>
      <c r="N2322" t="s">
        <v>99</v>
      </c>
      <c r="O2322" t="s">
        <v>3036</v>
      </c>
      <c r="P2322" t="s">
        <v>221</v>
      </c>
      <c r="Q2322" t="s">
        <v>82</v>
      </c>
      <c r="R2322">
        <v>1</v>
      </c>
      <c r="S2322">
        <v>10</v>
      </c>
      <c r="T2322">
        <v>0</v>
      </c>
      <c r="U2322">
        <v>1</v>
      </c>
      <c r="V2322">
        <v>1</v>
      </c>
      <c r="W2322">
        <v>22.97</v>
      </c>
      <c r="X2322">
        <v>0</v>
      </c>
      <c r="Y2322">
        <v>0</v>
      </c>
      <c r="Z2322">
        <v>0</v>
      </c>
      <c r="AA2322">
        <v>0</v>
      </c>
      <c r="AB2322">
        <v>0</v>
      </c>
      <c r="AC2322">
        <v>0</v>
      </c>
      <c r="AD2322">
        <v>1</v>
      </c>
      <c r="AE2322">
        <v>0</v>
      </c>
      <c r="AF2322">
        <v>0</v>
      </c>
      <c r="AG2322">
        <v>0</v>
      </c>
      <c r="AH2322">
        <v>0</v>
      </c>
      <c r="AI2322">
        <v>0</v>
      </c>
      <c r="AJ2322">
        <v>0</v>
      </c>
      <c r="AK2322">
        <v>0</v>
      </c>
    </row>
    <row r="2323" spans="1:37" x14ac:dyDescent="0.3">
      <c r="A2323">
        <v>7979</v>
      </c>
      <c r="B2323" t="s">
        <v>219</v>
      </c>
      <c r="D2323" t="s">
        <v>327</v>
      </c>
      <c r="E2323">
        <v>99999999</v>
      </c>
      <c r="F2323">
        <v>11111111</v>
      </c>
      <c r="G2323">
        <v>1111111111</v>
      </c>
      <c r="H2323" t="s">
        <v>5892</v>
      </c>
      <c r="I2323">
        <v>99999999</v>
      </c>
      <c r="J2323" s="188">
        <v>45238</v>
      </c>
      <c r="K2323" t="s">
        <v>5892</v>
      </c>
      <c r="L2323" t="s">
        <v>5892</v>
      </c>
      <c r="M2323" t="s">
        <v>3037</v>
      </c>
      <c r="N2323" t="s">
        <v>104</v>
      </c>
      <c r="O2323" t="s">
        <v>3038</v>
      </c>
      <c r="P2323" t="s">
        <v>221</v>
      </c>
      <c r="Q2323" t="s">
        <v>82</v>
      </c>
      <c r="R2323">
        <v>1</v>
      </c>
      <c r="S2323">
        <v>11.01</v>
      </c>
      <c r="T2323">
        <v>0</v>
      </c>
      <c r="U2323">
        <v>1</v>
      </c>
      <c r="V2323">
        <v>1</v>
      </c>
      <c r="W2323">
        <v>33.020000000000003</v>
      </c>
      <c r="X2323">
        <v>0</v>
      </c>
      <c r="Y2323">
        <v>0</v>
      </c>
      <c r="Z2323">
        <v>0</v>
      </c>
      <c r="AA2323">
        <v>0</v>
      </c>
      <c r="AB2323">
        <v>0</v>
      </c>
      <c r="AC2323">
        <v>0</v>
      </c>
      <c r="AD2323">
        <v>1</v>
      </c>
      <c r="AE2323">
        <v>0</v>
      </c>
      <c r="AF2323">
        <v>0</v>
      </c>
      <c r="AG2323">
        <v>0</v>
      </c>
      <c r="AH2323">
        <v>0</v>
      </c>
      <c r="AI2323">
        <v>0</v>
      </c>
      <c r="AJ2323">
        <v>0</v>
      </c>
      <c r="AK2323">
        <v>0</v>
      </c>
    </row>
    <row r="2324" spans="1:37" x14ac:dyDescent="0.3">
      <c r="A2324">
        <v>7979</v>
      </c>
      <c r="B2324" t="s">
        <v>219</v>
      </c>
      <c r="D2324" t="s">
        <v>327</v>
      </c>
      <c r="E2324">
        <v>99999999</v>
      </c>
      <c r="F2324">
        <v>11111111</v>
      </c>
      <c r="G2324">
        <v>1111111111</v>
      </c>
      <c r="H2324" t="s">
        <v>5893</v>
      </c>
      <c r="I2324">
        <v>99999999</v>
      </c>
      <c r="J2324" s="188">
        <v>45238</v>
      </c>
      <c r="K2324" t="s">
        <v>5893</v>
      </c>
      <c r="L2324" t="s">
        <v>5893</v>
      </c>
      <c r="M2324" t="s">
        <v>497</v>
      </c>
      <c r="N2324" t="s">
        <v>97</v>
      </c>
      <c r="O2324" t="s">
        <v>3039</v>
      </c>
      <c r="P2324" t="s">
        <v>221</v>
      </c>
      <c r="Q2324" t="s">
        <v>82</v>
      </c>
      <c r="R2324">
        <v>1</v>
      </c>
      <c r="S2324">
        <v>5.3</v>
      </c>
      <c r="T2324">
        <v>0</v>
      </c>
      <c r="U2324">
        <v>1</v>
      </c>
      <c r="V2324">
        <v>1</v>
      </c>
      <c r="W2324">
        <v>29.15</v>
      </c>
      <c r="X2324">
        <v>0</v>
      </c>
      <c r="Y2324">
        <v>0</v>
      </c>
      <c r="Z2324">
        <v>0</v>
      </c>
      <c r="AA2324">
        <v>0</v>
      </c>
      <c r="AB2324">
        <v>0</v>
      </c>
      <c r="AC2324">
        <v>0</v>
      </c>
      <c r="AD2324">
        <v>1</v>
      </c>
      <c r="AE2324">
        <v>0</v>
      </c>
      <c r="AF2324">
        <v>0</v>
      </c>
      <c r="AG2324">
        <v>0</v>
      </c>
      <c r="AH2324">
        <v>0</v>
      </c>
      <c r="AI2324">
        <v>0</v>
      </c>
      <c r="AJ2324">
        <v>0</v>
      </c>
      <c r="AK2324">
        <v>0</v>
      </c>
    </row>
    <row r="2325" spans="1:37" x14ac:dyDescent="0.3">
      <c r="A2325">
        <v>7979</v>
      </c>
      <c r="B2325" t="s">
        <v>219</v>
      </c>
      <c r="D2325" t="s">
        <v>327</v>
      </c>
      <c r="E2325">
        <v>99999999</v>
      </c>
      <c r="F2325">
        <v>11111111</v>
      </c>
      <c r="G2325">
        <v>1111111111</v>
      </c>
      <c r="H2325" t="s">
        <v>5894</v>
      </c>
      <c r="I2325">
        <v>99999999</v>
      </c>
      <c r="J2325" s="188">
        <v>45238</v>
      </c>
      <c r="K2325" t="s">
        <v>5894</v>
      </c>
      <c r="L2325" t="s">
        <v>5894</v>
      </c>
      <c r="M2325" t="s">
        <v>173</v>
      </c>
      <c r="N2325" t="s">
        <v>164</v>
      </c>
      <c r="O2325" t="s">
        <v>3040</v>
      </c>
      <c r="P2325" t="s">
        <v>221</v>
      </c>
      <c r="Q2325" t="s">
        <v>82</v>
      </c>
      <c r="R2325">
        <v>1</v>
      </c>
      <c r="S2325">
        <v>10</v>
      </c>
      <c r="T2325">
        <v>0</v>
      </c>
      <c r="U2325">
        <v>1</v>
      </c>
      <c r="V2325">
        <v>1</v>
      </c>
      <c r="W2325">
        <v>24.59</v>
      </c>
      <c r="X2325">
        <v>0</v>
      </c>
      <c r="Y2325">
        <v>0</v>
      </c>
      <c r="Z2325">
        <v>0</v>
      </c>
      <c r="AA2325">
        <v>0</v>
      </c>
      <c r="AB2325">
        <v>0</v>
      </c>
      <c r="AC2325">
        <v>0</v>
      </c>
      <c r="AD2325">
        <v>1</v>
      </c>
      <c r="AE2325">
        <v>0</v>
      </c>
      <c r="AF2325">
        <v>0</v>
      </c>
      <c r="AG2325">
        <v>0</v>
      </c>
      <c r="AH2325">
        <v>0</v>
      </c>
      <c r="AI2325">
        <v>0</v>
      </c>
      <c r="AJ2325">
        <v>0</v>
      </c>
      <c r="AK2325">
        <v>0</v>
      </c>
    </row>
    <row r="2326" spans="1:37" x14ac:dyDescent="0.3">
      <c r="A2326">
        <v>7979</v>
      </c>
      <c r="B2326" t="s">
        <v>219</v>
      </c>
      <c r="D2326" t="s">
        <v>327</v>
      </c>
      <c r="E2326">
        <v>99999999</v>
      </c>
      <c r="F2326">
        <v>11111111</v>
      </c>
      <c r="G2326">
        <v>1111111111</v>
      </c>
      <c r="H2326" t="s">
        <v>5895</v>
      </c>
      <c r="I2326">
        <v>99999999</v>
      </c>
      <c r="J2326" s="188">
        <v>45238</v>
      </c>
      <c r="K2326" t="s">
        <v>5895</v>
      </c>
      <c r="L2326" t="s">
        <v>5895</v>
      </c>
      <c r="M2326" t="s">
        <v>3041</v>
      </c>
      <c r="N2326" t="s">
        <v>381</v>
      </c>
      <c r="O2326" t="s">
        <v>3042</v>
      </c>
      <c r="P2326" t="s">
        <v>221</v>
      </c>
      <c r="Q2326" t="s">
        <v>82</v>
      </c>
      <c r="R2326">
        <v>5</v>
      </c>
      <c r="S2326">
        <v>19.52</v>
      </c>
      <c r="T2326">
        <v>0</v>
      </c>
      <c r="U2326">
        <v>1</v>
      </c>
      <c r="V2326">
        <v>4</v>
      </c>
      <c r="W2326">
        <v>47.62</v>
      </c>
      <c r="X2326">
        <v>0</v>
      </c>
      <c r="Y2326">
        <v>0</v>
      </c>
      <c r="Z2326">
        <v>0</v>
      </c>
      <c r="AA2326">
        <v>0</v>
      </c>
      <c r="AB2326">
        <v>0</v>
      </c>
      <c r="AC2326">
        <v>0</v>
      </c>
      <c r="AD2326">
        <v>5</v>
      </c>
      <c r="AE2326">
        <v>0</v>
      </c>
      <c r="AF2326">
        <v>0</v>
      </c>
      <c r="AG2326">
        <v>0</v>
      </c>
      <c r="AH2326">
        <v>0</v>
      </c>
      <c r="AI2326">
        <v>0</v>
      </c>
      <c r="AJ2326">
        <v>0</v>
      </c>
      <c r="AK2326">
        <v>0</v>
      </c>
    </row>
    <row r="2327" spans="1:37" x14ac:dyDescent="0.3">
      <c r="A2327">
        <v>7979</v>
      </c>
      <c r="B2327" t="s">
        <v>219</v>
      </c>
      <c r="D2327" t="s">
        <v>327</v>
      </c>
      <c r="E2327">
        <v>99999999</v>
      </c>
      <c r="F2327">
        <v>11111111</v>
      </c>
      <c r="G2327">
        <v>1111111111</v>
      </c>
      <c r="H2327" t="s">
        <v>5896</v>
      </c>
      <c r="I2327">
        <v>99999999</v>
      </c>
      <c r="J2327" s="188">
        <v>45238</v>
      </c>
      <c r="K2327" t="s">
        <v>5896</v>
      </c>
      <c r="L2327" t="s">
        <v>5896</v>
      </c>
      <c r="M2327" t="s">
        <v>718</v>
      </c>
      <c r="N2327" t="s">
        <v>122</v>
      </c>
      <c r="O2327" t="s">
        <v>3043</v>
      </c>
      <c r="P2327" t="s">
        <v>221</v>
      </c>
      <c r="Q2327" t="s">
        <v>82</v>
      </c>
      <c r="R2327">
        <v>4</v>
      </c>
      <c r="S2327">
        <v>19.321999999999999</v>
      </c>
      <c r="T2327">
        <v>0</v>
      </c>
      <c r="U2327">
        <v>1</v>
      </c>
      <c r="V2327">
        <v>3</v>
      </c>
      <c r="W2327">
        <v>32.270000000000003</v>
      </c>
      <c r="X2327">
        <v>0</v>
      </c>
      <c r="Y2327">
        <v>0</v>
      </c>
      <c r="Z2327">
        <v>0</v>
      </c>
      <c r="AA2327">
        <v>0</v>
      </c>
      <c r="AB2327">
        <v>0</v>
      </c>
      <c r="AC2327">
        <v>0</v>
      </c>
      <c r="AD2327">
        <v>4</v>
      </c>
      <c r="AE2327">
        <v>0</v>
      </c>
      <c r="AF2327">
        <v>0</v>
      </c>
      <c r="AG2327">
        <v>0</v>
      </c>
      <c r="AH2327">
        <v>0</v>
      </c>
      <c r="AI2327">
        <v>0</v>
      </c>
      <c r="AJ2327">
        <v>0</v>
      </c>
      <c r="AK2327">
        <v>0</v>
      </c>
    </row>
    <row r="2328" spans="1:37" x14ac:dyDescent="0.3">
      <c r="A2328">
        <v>7979</v>
      </c>
      <c r="B2328" t="s">
        <v>219</v>
      </c>
      <c r="D2328" t="s">
        <v>327</v>
      </c>
      <c r="E2328">
        <v>99999999</v>
      </c>
      <c r="F2328">
        <v>11111111</v>
      </c>
      <c r="G2328">
        <v>1111111111</v>
      </c>
      <c r="H2328" t="s">
        <v>5897</v>
      </c>
      <c r="I2328">
        <v>99999999</v>
      </c>
      <c r="J2328" s="188">
        <v>45238</v>
      </c>
      <c r="K2328" t="s">
        <v>5897</v>
      </c>
      <c r="L2328" t="s">
        <v>5897</v>
      </c>
      <c r="M2328" t="s">
        <v>1030</v>
      </c>
      <c r="N2328" t="s">
        <v>164</v>
      </c>
      <c r="O2328" t="s">
        <v>3044</v>
      </c>
      <c r="P2328" t="s">
        <v>221</v>
      </c>
      <c r="Q2328" t="s">
        <v>82</v>
      </c>
      <c r="R2328">
        <v>2</v>
      </c>
      <c r="S2328">
        <v>9.17</v>
      </c>
      <c r="T2328">
        <v>0</v>
      </c>
      <c r="U2328">
        <v>1</v>
      </c>
      <c r="V2328">
        <v>2</v>
      </c>
      <c r="W2328">
        <v>30.46</v>
      </c>
      <c r="X2328">
        <v>0</v>
      </c>
      <c r="Y2328">
        <v>0</v>
      </c>
      <c r="Z2328">
        <v>0</v>
      </c>
      <c r="AA2328">
        <v>0</v>
      </c>
      <c r="AB2328">
        <v>0</v>
      </c>
      <c r="AC2328">
        <v>0</v>
      </c>
      <c r="AD2328">
        <v>2</v>
      </c>
      <c r="AE2328">
        <v>0</v>
      </c>
      <c r="AF2328">
        <v>0</v>
      </c>
      <c r="AG2328">
        <v>0</v>
      </c>
      <c r="AH2328">
        <v>0</v>
      </c>
      <c r="AI2328">
        <v>0</v>
      </c>
      <c r="AJ2328">
        <v>0</v>
      </c>
      <c r="AK2328">
        <v>0</v>
      </c>
    </row>
    <row r="2329" spans="1:37" x14ac:dyDescent="0.3">
      <c r="A2329">
        <v>7979</v>
      </c>
      <c r="B2329" t="s">
        <v>219</v>
      </c>
      <c r="D2329" t="s">
        <v>327</v>
      </c>
      <c r="E2329">
        <v>99999999</v>
      </c>
      <c r="F2329">
        <v>11111111</v>
      </c>
      <c r="G2329">
        <v>1111111111</v>
      </c>
      <c r="H2329" t="s">
        <v>5898</v>
      </c>
      <c r="I2329">
        <v>99999999</v>
      </c>
      <c r="J2329" s="188">
        <v>45238</v>
      </c>
      <c r="K2329" t="s">
        <v>5898</v>
      </c>
      <c r="L2329" t="s">
        <v>5898</v>
      </c>
      <c r="M2329" t="s">
        <v>3045</v>
      </c>
      <c r="N2329" t="s">
        <v>130</v>
      </c>
      <c r="O2329" t="s">
        <v>3046</v>
      </c>
      <c r="P2329" t="s">
        <v>221</v>
      </c>
      <c r="Q2329" t="s">
        <v>82</v>
      </c>
      <c r="R2329">
        <v>2</v>
      </c>
      <c r="S2329">
        <v>5.8</v>
      </c>
      <c r="T2329">
        <v>0</v>
      </c>
      <c r="U2329">
        <v>1</v>
      </c>
      <c r="V2329">
        <v>2</v>
      </c>
      <c r="W2329">
        <v>31.08</v>
      </c>
      <c r="X2329">
        <v>0</v>
      </c>
      <c r="Y2329">
        <v>0</v>
      </c>
      <c r="Z2329">
        <v>0</v>
      </c>
      <c r="AA2329">
        <v>0</v>
      </c>
      <c r="AB2329">
        <v>0</v>
      </c>
      <c r="AC2329">
        <v>0</v>
      </c>
      <c r="AD2329">
        <v>2</v>
      </c>
      <c r="AE2329">
        <v>0</v>
      </c>
      <c r="AF2329">
        <v>0</v>
      </c>
      <c r="AG2329">
        <v>0</v>
      </c>
      <c r="AH2329">
        <v>0</v>
      </c>
      <c r="AI2329">
        <v>0</v>
      </c>
      <c r="AJ2329">
        <v>0</v>
      </c>
      <c r="AK2329">
        <v>0</v>
      </c>
    </row>
    <row r="2330" spans="1:37" x14ac:dyDescent="0.3">
      <c r="A2330">
        <v>7979</v>
      </c>
      <c r="B2330" t="s">
        <v>219</v>
      </c>
      <c r="D2330" t="s">
        <v>327</v>
      </c>
      <c r="E2330">
        <v>99999999</v>
      </c>
      <c r="F2330">
        <v>11111111</v>
      </c>
      <c r="G2330">
        <v>1111111111</v>
      </c>
      <c r="H2330" t="s">
        <v>5899</v>
      </c>
      <c r="I2330">
        <v>99999999</v>
      </c>
      <c r="J2330" s="188">
        <v>45238</v>
      </c>
      <c r="K2330" t="s">
        <v>5899</v>
      </c>
      <c r="L2330" t="s">
        <v>5899</v>
      </c>
      <c r="M2330" t="s">
        <v>3047</v>
      </c>
      <c r="N2330" t="s">
        <v>307</v>
      </c>
      <c r="O2330" t="s">
        <v>3048</v>
      </c>
      <c r="P2330" t="s">
        <v>221</v>
      </c>
      <c r="Q2330" t="s">
        <v>82</v>
      </c>
      <c r="R2330">
        <v>3</v>
      </c>
      <c r="S2330">
        <v>2.5</v>
      </c>
      <c r="T2330">
        <v>0</v>
      </c>
      <c r="U2330">
        <v>1</v>
      </c>
      <c r="V2330">
        <v>3</v>
      </c>
      <c r="W2330">
        <v>29.41</v>
      </c>
      <c r="X2330">
        <v>0</v>
      </c>
      <c r="Y2330">
        <v>0</v>
      </c>
      <c r="Z2330">
        <v>0</v>
      </c>
      <c r="AA2330">
        <v>0</v>
      </c>
      <c r="AB2330">
        <v>0</v>
      </c>
      <c r="AC2330">
        <v>0</v>
      </c>
      <c r="AD2330">
        <v>3</v>
      </c>
      <c r="AE2330">
        <v>0</v>
      </c>
      <c r="AF2330">
        <v>0</v>
      </c>
      <c r="AG2330">
        <v>0</v>
      </c>
      <c r="AH2330">
        <v>0</v>
      </c>
      <c r="AI2330">
        <v>0</v>
      </c>
      <c r="AJ2330">
        <v>0</v>
      </c>
      <c r="AK2330">
        <v>0</v>
      </c>
    </row>
    <row r="2331" spans="1:37" x14ac:dyDescent="0.3">
      <c r="A2331">
        <v>7979</v>
      </c>
      <c r="B2331" t="s">
        <v>219</v>
      </c>
      <c r="D2331" t="s">
        <v>327</v>
      </c>
      <c r="E2331">
        <v>99999999</v>
      </c>
      <c r="F2331">
        <v>11111111</v>
      </c>
      <c r="G2331">
        <v>1111111111</v>
      </c>
      <c r="H2331" t="s">
        <v>5900</v>
      </c>
      <c r="I2331">
        <v>99999999</v>
      </c>
      <c r="J2331" s="188">
        <v>45238</v>
      </c>
      <c r="K2331" t="s">
        <v>5900</v>
      </c>
      <c r="L2331" t="s">
        <v>5900</v>
      </c>
      <c r="M2331" t="s">
        <v>3049</v>
      </c>
      <c r="N2331" t="s">
        <v>99</v>
      </c>
      <c r="O2331" t="s">
        <v>3050</v>
      </c>
      <c r="P2331" t="s">
        <v>221</v>
      </c>
      <c r="Q2331" t="s">
        <v>82</v>
      </c>
      <c r="R2331">
        <v>2</v>
      </c>
      <c r="S2331">
        <v>7.7</v>
      </c>
      <c r="T2331">
        <v>0</v>
      </c>
      <c r="U2331">
        <v>1</v>
      </c>
      <c r="V2331">
        <v>2</v>
      </c>
      <c r="W2331">
        <v>32.409999999999997</v>
      </c>
      <c r="X2331">
        <v>0</v>
      </c>
      <c r="Y2331">
        <v>0</v>
      </c>
      <c r="Z2331">
        <v>0</v>
      </c>
      <c r="AA2331">
        <v>0</v>
      </c>
      <c r="AB2331">
        <v>0</v>
      </c>
      <c r="AC2331">
        <v>0</v>
      </c>
      <c r="AD2331">
        <v>2</v>
      </c>
      <c r="AE2331">
        <v>0</v>
      </c>
      <c r="AF2331">
        <v>0</v>
      </c>
      <c r="AG2331">
        <v>0</v>
      </c>
      <c r="AH2331">
        <v>0</v>
      </c>
      <c r="AI2331">
        <v>0</v>
      </c>
      <c r="AJ2331">
        <v>0</v>
      </c>
      <c r="AK2331">
        <v>0</v>
      </c>
    </row>
    <row r="2332" spans="1:37" x14ac:dyDescent="0.3">
      <c r="A2332">
        <v>7979</v>
      </c>
      <c r="B2332" t="s">
        <v>219</v>
      </c>
      <c r="D2332" t="s">
        <v>327</v>
      </c>
      <c r="E2332">
        <v>99999999</v>
      </c>
      <c r="F2332">
        <v>11111111</v>
      </c>
      <c r="G2332">
        <v>1111111111</v>
      </c>
      <c r="H2332" t="s">
        <v>5901</v>
      </c>
      <c r="I2332">
        <v>99999999</v>
      </c>
      <c r="J2332" s="188">
        <v>45238</v>
      </c>
      <c r="K2332" t="s">
        <v>5901</v>
      </c>
      <c r="L2332" t="s">
        <v>5901</v>
      </c>
      <c r="M2332" t="s">
        <v>1030</v>
      </c>
      <c r="N2332" t="s">
        <v>164</v>
      </c>
      <c r="O2332" t="s">
        <v>3051</v>
      </c>
      <c r="P2332" t="s">
        <v>221</v>
      </c>
      <c r="Q2332" t="s">
        <v>82</v>
      </c>
      <c r="R2332">
        <v>3</v>
      </c>
      <c r="S2332">
        <v>23.8</v>
      </c>
      <c r="T2332">
        <v>0</v>
      </c>
      <c r="U2332">
        <v>1</v>
      </c>
      <c r="V2332">
        <v>3</v>
      </c>
      <c r="W2332">
        <v>37.06</v>
      </c>
      <c r="X2332">
        <v>0</v>
      </c>
      <c r="Y2332">
        <v>0</v>
      </c>
      <c r="Z2332">
        <v>0</v>
      </c>
      <c r="AA2332">
        <v>0</v>
      </c>
      <c r="AB2332">
        <v>0</v>
      </c>
      <c r="AC2332">
        <v>0</v>
      </c>
      <c r="AD2332">
        <v>3</v>
      </c>
      <c r="AE2332">
        <v>0</v>
      </c>
      <c r="AF2332">
        <v>0</v>
      </c>
      <c r="AG2332">
        <v>0</v>
      </c>
      <c r="AH2332">
        <v>0</v>
      </c>
      <c r="AI2332">
        <v>0</v>
      </c>
      <c r="AJ2332">
        <v>0</v>
      </c>
      <c r="AK2332">
        <v>0</v>
      </c>
    </row>
    <row r="2333" spans="1:37" x14ac:dyDescent="0.3">
      <c r="A2333">
        <v>7979</v>
      </c>
      <c r="B2333" t="s">
        <v>219</v>
      </c>
      <c r="D2333" t="s">
        <v>327</v>
      </c>
      <c r="E2333">
        <v>99999999</v>
      </c>
      <c r="F2333">
        <v>11111111</v>
      </c>
      <c r="G2333">
        <v>1111111111</v>
      </c>
      <c r="H2333" t="s">
        <v>5902</v>
      </c>
      <c r="I2333">
        <v>99999999</v>
      </c>
      <c r="J2333" s="188">
        <v>45238</v>
      </c>
      <c r="K2333" t="s">
        <v>5902</v>
      </c>
      <c r="L2333" t="s">
        <v>5902</v>
      </c>
      <c r="M2333" t="s">
        <v>829</v>
      </c>
      <c r="N2333" t="s">
        <v>99</v>
      </c>
      <c r="O2333" t="s">
        <v>3052</v>
      </c>
      <c r="P2333" t="s">
        <v>221</v>
      </c>
      <c r="Q2333" t="s">
        <v>82</v>
      </c>
      <c r="R2333">
        <v>2</v>
      </c>
      <c r="S2333">
        <v>15.465999999999999</v>
      </c>
      <c r="T2333">
        <v>0</v>
      </c>
      <c r="U2333">
        <v>1</v>
      </c>
      <c r="V2333">
        <v>2</v>
      </c>
      <c r="W2333">
        <v>31.95</v>
      </c>
      <c r="X2333">
        <v>0</v>
      </c>
      <c r="Y2333">
        <v>0</v>
      </c>
      <c r="Z2333">
        <v>0</v>
      </c>
      <c r="AA2333">
        <v>0</v>
      </c>
      <c r="AB2333">
        <v>0</v>
      </c>
      <c r="AC2333">
        <v>0</v>
      </c>
      <c r="AD2333">
        <v>2</v>
      </c>
      <c r="AE2333">
        <v>0</v>
      </c>
      <c r="AF2333">
        <v>0</v>
      </c>
      <c r="AG2333">
        <v>0</v>
      </c>
      <c r="AH2333">
        <v>0</v>
      </c>
      <c r="AI2333">
        <v>0</v>
      </c>
      <c r="AJ2333">
        <v>0</v>
      </c>
      <c r="AK2333">
        <v>0</v>
      </c>
    </row>
    <row r="2334" spans="1:37" x14ac:dyDescent="0.3">
      <c r="A2334">
        <v>7979</v>
      </c>
      <c r="B2334" t="s">
        <v>219</v>
      </c>
      <c r="D2334" t="s">
        <v>327</v>
      </c>
      <c r="E2334">
        <v>99999999</v>
      </c>
      <c r="F2334">
        <v>11111111</v>
      </c>
      <c r="G2334">
        <v>1111111111</v>
      </c>
      <c r="H2334" t="s">
        <v>5903</v>
      </c>
      <c r="I2334">
        <v>99999999</v>
      </c>
      <c r="J2334" s="188">
        <v>45238</v>
      </c>
      <c r="K2334" t="s">
        <v>5903</v>
      </c>
      <c r="L2334" t="s">
        <v>5903</v>
      </c>
      <c r="M2334" t="s">
        <v>3053</v>
      </c>
      <c r="N2334" t="s">
        <v>104</v>
      </c>
      <c r="O2334" t="s">
        <v>3054</v>
      </c>
      <c r="P2334" t="s">
        <v>221</v>
      </c>
      <c r="Q2334" t="s">
        <v>82</v>
      </c>
      <c r="R2334">
        <v>1</v>
      </c>
      <c r="S2334">
        <v>9.24</v>
      </c>
      <c r="T2334">
        <v>0</v>
      </c>
      <c r="U2334">
        <v>1</v>
      </c>
      <c r="V2334">
        <v>1</v>
      </c>
      <c r="W2334">
        <v>34.4</v>
      </c>
      <c r="X2334">
        <v>0</v>
      </c>
      <c r="Y2334">
        <v>0</v>
      </c>
      <c r="Z2334">
        <v>0</v>
      </c>
      <c r="AA2334">
        <v>0</v>
      </c>
      <c r="AB2334">
        <v>0</v>
      </c>
      <c r="AC2334">
        <v>0</v>
      </c>
      <c r="AD2334">
        <v>1</v>
      </c>
      <c r="AE2334">
        <v>0</v>
      </c>
      <c r="AF2334">
        <v>0</v>
      </c>
      <c r="AG2334">
        <v>0</v>
      </c>
      <c r="AH2334">
        <v>0</v>
      </c>
      <c r="AI2334">
        <v>0</v>
      </c>
      <c r="AJ2334">
        <v>0</v>
      </c>
      <c r="AK2334">
        <v>0</v>
      </c>
    </row>
    <row r="2335" spans="1:37" x14ac:dyDescent="0.3">
      <c r="A2335">
        <v>7979</v>
      </c>
      <c r="B2335" t="s">
        <v>219</v>
      </c>
      <c r="D2335" t="s">
        <v>327</v>
      </c>
      <c r="E2335">
        <v>99999999</v>
      </c>
      <c r="F2335">
        <v>11111111</v>
      </c>
      <c r="G2335">
        <v>1111111111</v>
      </c>
      <c r="H2335" t="s">
        <v>5904</v>
      </c>
      <c r="I2335">
        <v>99999999</v>
      </c>
      <c r="J2335" s="188">
        <v>45238</v>
      </c>
      <c r="K2335" t="s">
        <v>5904</v>
      </c>
      <c r="L2335" t="s">
        <v>5904</v>
      </c>
      <c r="M2335" t="s">
        <v>278</v>
      </c>
      <c r="N2335" t="s">
        <v>99</v>
      </c>
      <c r="O2335" t="s">
        <v>336</v>
      </c>
      <c r="P2335" t="s">
        <v>221</v>
      </c>
      <c r="Q2335" t="s">
        <v>82</v>
      </c>
      <c r="R2335">
        <v>1</v>
      </c>
      <c r="S2335">
        <v>2.4</v>
      </c>
      <c r="T2335">
        <v>0</v>
      </c>
      <c r="U2335">
        <v>1</v>
      </c>
      <c r="V2335">
        <v>1</v>
      </c>
      <c r="W2335">
        <v>21.83</v>
      </c>
      <c r="X2335">
        <v>0</v>
      </c>
      <c r="Y2335">
        <v>0</v>
      </c>
      <c r="Z2335">
        <v>0</v>
      </c>
      <c r="AA2335">
        <v>0</v>
      </c>
      <c r="AB2335">
        <v>0</v>
      </c>
      <c r="AC2335">
        <v>0</v>
      </c>
      <c r="AD2335">
        <v>1</v>
      </c>
      <c r="AE2335">
        <v>0</v>
      </c>
      <c r="AF2335">
        <v>0</v>
      </c>
      <c r="AG2335">
        <v>0</v>
      </c>
      <c r="AH2335">
        <v>0</v>
      </c>
      <c r="AI2335">
        <v>0</v>
      </c>
      <c r="AJ2335">
        <v>0</v>
      </c>
      <c r="AK2335">
        <v>0</v>
      </c>
    </row>
    <row r="2336" spans="1:37" x14ac:dyDescent="0.3">
      <c r="A2336">
        <v>7979</v>
      </c>
      <c r="B2336" t="s">
        <v>219</v>
      </c>
      <c r="D2336" t="s">
        <v>327</v>
      </c>
      <c r="E2336">
        <v>99999999</v>
      </c>
      <c r="F2336">
        <v>11111111</v>
      </c>
      <c r="G2336">
        <v>1111111111</v>
      </c>
      <c r="H2336" t="s">
        <v>5905</v>
      </c>
      <c r="I2336">
        <v>99999999</v>
      </c>
      <c r="J2336" s="188">
        <v>45238</v>
      </c>
      <c r="K2336" t="s">
        <v>5905</v>
      </c>
      <c r="L2336" t="s">
        <v>5905</v>
      </c>
      <c r="M2336" t="s">
        <v>1828</v>
      </c>
      <c r="N2336" t="s">
        <v>99</v>
      </c>
      <c r="O2336" t="s">
        <v>1829</v>
      </c>
      <c r="P2336" t="s">
        <v>221</v>
      </c>
      <c r="Q2336" t="s">
        <v>82</v>
      </c>
      <c r="R2336">
        <v>2</v>
      </c>
      <c r="S2336">
        <v>1.6</v>
      </c>
      <c r="T2336">
        <v>0</v>
      </c>
      <c r="U2336">
        <v>1</v>
      </c>
      <c r="V2336">
        <v>2</v>
      </c>
      <c r="W2336">
        <v>20.63</v>
      </c>
      <c r="X2336">
        <v>0</v>
      </c>
      <c r="Y2336">
        <v>0</v>
      </c>
      <c r="Z2336">
        <v>0</v>
      </c>
      <c r="AA2336">
        <v>0</v>
      </c>
      <c r="AB2336">
        <v>0</v>
      </c>
      <c r="AC2336">
        <v>0</v>
      </c>
      <c r="AD2336">
        <v>2</v>
      </c>
      <c r="AE2336">
        <v>0</v>
      </c>
      <c r="AF2336">
        <v>0</v>
      </c>
      <c r="AG2336">
        <v>0</v>
      </c>
      <c r="AH2336">
        <v>0</v>
      </c>
      <c r="AI2336">
        <v>0</v>
      </c>
      <c r="AJ2336">
        <v>0</v>
      </c>
      <c r="AK2336">
        <v>0</v>
      </c>
    </row>
    <row r="2337" spans="1:37" x14ac:dyDescent="0.3">
      <c r="A2337">
        <v>7979</v>
      </c>
      <c r="B2337" t="s">
        <v>219</v>
      </c>
      <c r="D2337" t="s">
        <v>327</v>
      </c>
      <c r="E2337">
        <v>99999999</v>
      </c>
      <c r="F2337">
        <v>11111111</v>
      </c>
      <c r="G2337">
        <v>1111111111</v>
      </c>
      <c r="H2337" t="s">
        <v>5906</v>
      </c>
      <c r="I2337">
        <v>99999999</v>
      </c>
      <c r="J2337" s="188">
        <v>45238</v>
      </c>
      <c r="K2337" t="s">
        <v>5906</v>
      </c>
      <c r="L2337" t="s">
        <v>5906</v>
      </c>
      <c r="M2337" t="s">
        <v>3055</v>
      </c>
      <c r="N2337" t="s">
        <v>97</v>
      </c>
      <c r="O2337" t="s">
        <v>3056</v>
      </c>
      <c r="P2337" t="s">
        <v>221</v>
      </c>
      <c r="Q2337" t="s">
        <v>82</v>
      </c>
      <c r="R2337">
        <v>1</v>
      </c>
      <c r="S2337">
        <v>1.07</v>
      </c>
      <c r="T2337">
        <v>0</v>
      </c>
      <c r="U2337">
        <v>1</v>
      </c>
      <c r="V2337">
        <v>1</v>
      </c>
      <c r="W2337">
        <v>21.16</v>
      </c>
      <c r="X2337">
        <v>0</v>
      </c>
      <c r="Y2337">
        <v>0</v>
      </c>
      <c r="Z2337">
        <v>0</v>
      </c>
      <c r="AA2337">
        <v>0</v>
      </c>
      <c r="AB2337">
        <v>0</v>
      </c>
      <c r="AC2337">
        <v>0</v>
      </c>
      <c r="AD2337">
        <v>1</v>
      </c>
      <c r="AE2337">
        <v>0</v>
      </c>
      <c r="AF2337">
        <v>0</v>
      </c>
      <c r="AG2337">
        <v>0</v>
      </c>
      <c r="AH2337">
        <v>0</v>
      </c>
      <c r="AI2337">
        <v>0</v>
      </c>
      <c r="AJ2337">
        <v>0</v>
      </c>
      <c r="AK2337">
        <v>0</v>
      </c>
    </row>
    <row r="2338" spans="1:37" x14ac:dyDescent="0.3">
      <c r="A2338">
        <v>7979</v>
      </c>
      <c r="B2338" t="s">
        <v>219</v>
      </c>
      <c r="D2338" t="s">
        <v>327</v>
      </c>
      <c r="E2338">
        <v>99999999</v>
      </c>
      <c r="F2338">
        <v>11111111</v>
      </c>
      <c r="G2338">
        <v>1111111111</v>
      </c>
      <c r="H2338" t="s">
        <v>5907</v>
      </c>
      <c r="I2338">
        <v>99999999</v>
      </c>
      <c r="J2338" s="188">
        <v>45238</v>
      </c>
      <c r="K2338" t="s">
        <v>5907</v>
      </c>
      <c r="L2338" t="s">
        <v>5907</v>
      </c>
      <c r="M2338" t="s">
        <v>2859</v>
      </c>
      <c r="N2338" t="s">
        <v>99</v>
      </c>
      <c r="O2338" t="s">
        <v>3057</v>
      </c>
      <c r="P2338" t="s">
        <v>221</v>
      </c>
      <c r="Q2338" t="s">
        <v>82</v>
      </c>
      <c r="R2338">
        <v>1</v>
      </c>
      <c r="S2338">
        <v>0.57399999999999995</v>
      </c>
      <c r="T2338">
        <v>0</v>
      </c>
      <c r="U2338">
        <v>1</v>
      </c>
      <c r="V2338">
        <v>1</v>
      </c>
      <c r="W2338">
        <v>21.16</v>
      </c>
      <c r="X2338">
        <v>0</v>
      </c>
      <c r="Y2338">
        <v>0</v>
      </c>
      <c r="Z2338">
        <v>0</v>
      </c>
      <c r="AA2338">
        <v>0</v>
      </c>
      <c r="AB2338">
        <v>0</v>
      </c>
      <c r="AC2338">
        <v>0</v>
      </c>
      <c r="AD2338">
        <v>1</v>
      </c>
      <c r="AE2338">
        <v>0</v>
      </c>
      <c r="AF2338">
        <v>0</v>
      </c>
      <c r="AG2338">
        <v>0</v>
      </c>
      <c r="AH2338">
        <v>0</v>
      </c>
      <c r="AI2338">
        <v>0</v>
      </c>
      <c r="AJ2338">
        <v>0</v>
      </c>
      <c r="AK2338">
        <v>0</v>
      </c>
    </row>
    <row r="2339" spans="1:37" x14ac:dyDescent="0.3">
      <c r="A2339">
        <v>7979</v>
      </c>
      <c r="B2339" t="s">
        <v>219</v>
      </c>
      <c r="D2339" t="s">
        <v>327</v>
      </c>
      <c r="E2339">
        <v>99999999</v>
      </c>
      <c r="F2339">
        <v>11111111</v>
      </c>
      <c r="G2339">
        <v>1111111111</v>
      </c>
      <c r="H2339" t="s">
        <v>5908</v>
      </c>
      <c r="I2339">
        <v>99999999</v>
      </c>
      <c r="J2339" s="188">
        <v>45238</v>
      </c>
      <c r="K2339" t="s">
        <v>5908</v>
      </c>
      <c r="L2339" t="s">
        <v>5908</v>
      </c>
      <c r="M2339" t="s">
        <v>1979</v>
      </c>
      <c r="N2339" t="s">
        <v>99</v>
      </c>
      <c r="O2339" t="s">
        <v>3058</v>
      </c>
      <c r="P2339" t="s">
        <v>221</v>
      </c>
      <c r="Q2339" t="s">
        <v>82</v>
      </c>
      <c r="R2339">
        <v>2</v>
      </c>
      <c r="S2339">
        <v>1.93</v>
      </c>
      <c r="T2339">
        <v>0</v>
      </c>
      <c r="U2339">
        <v>1</v>
      </c>
      <c r="V2339">
        <v>2</v>
      </c>
      <c r="W2339">
        <v>27.36</v>
      </c>
      <c r="X2339">
        <v>0</v>
      </c>
      <c r="Y2339">
        <v>0</v>
      </c>
      <c r="Z2339">
        <v>0</v>
      </c>
      <c r="AA2339">
        <v>0</v>
      </c>
      <c r="AB2339">
        <v>0</v>
      </c>
      <c r="AC2339">
        <v>0</v>
      </c>
      <c r="AD2339">
        <v>2</v>
      </c>
      <c r="AE2339">
        <v>0</v>
      </c>
      <c r="AF2339">
        <v>0</v>
      </c>
      <c r="AG2339">
        <v>0</v>
      </c>
      <c r="AH2339">
        <v>0</v>
      </c>
      <c r="AI2339">
        <v>0</v>
      </c>
      <c r="AJ2339">
        <v>0</v>
      </c>
      <c r="AK2339">
        <v>0</v>
      </c>
    </row>
    <row r="2340" spans="1:37" x14ac:dyDescent="0.3">
      <c r="A2340">
        <v>7979</v>
      </c>
      <c r="B2340" t="s">
        <v>219</v>
      </c>
      <c r="D2340" t="s">
        <v>327</v>
      </c>
      <c r="E2340">
        <v>99999999</v>
      </c>
      <c r="F2340">
        <v>11111111</v>
      </c>
      <c r="G2340">
        <v>1111111111</v>
      </c>
      <c r="H2340" t="s">
        <v>5909</v>
      </c>
      <c r="I2340">
        <v>99999999</v>
      </c>
      <c r="J2340" s="188">
        <v>45238</v>
      </c>
      <c r="K2340" t="s">
        <v>5909</v>
      </c>
      <c r="L2340" t="s">
        <v>5909</v>
      </c>
      <c r="M2340" t="s">
        <v>3059</v>
      </c>
      <c r="N2340" t="s">
        <v>197</v>
      </c>
      <c r="O2340" t="s">
        <v>3060</v>
      </c>
      <c r="P2340" t="s">
        <v>221</v>
      </c>
      <c r="Q2340" t="s">
        <v>82</v>
      </c>
      <c r="R2340">
        <v>1</v>
      </c>
      <c r="S2340">
        <v>5</v>
      </c>
      <c r="T2340">
        <v>0</v>
      </c>
      <c r="U2340">
        <v>1</v>
      </c>
      <c r="V2340">
        <v>1</v>
      </c>
      <c r="W2340">
        <v>31.18</v>
      </c>
      <c r="X2340">
        <v>0</v>
      </c>
      <c r="Y2340">
        <v>0</v>
      </c>
      <c r="Z2340">
        <v>0</v>
      </c>
      <c r="AA2340">
        <v>0</v>
      </c>
      <c r="AB2340">
        <v>0</v>
      </c>
      <c r="AC2340">
        <v>0</v>
      </c>
      <c r="AD2340">
        <v>1</v>
      </c>
      <c r="AE2340">
        <v>0</v>
      </c>
      <c r="AF2340">
        <v>0</v>
      </c>
      <c r="AG2340">
        <v>0</v>
      </c>
      <c r="AH2340">
        <v>0</v>
      </c>
      <c r="AI2340">
        <v>0</v>
      </c>
      <c r="AJ2340">
        <v>0</v>
      </c>
      <c r="AK2340">
        <v>0</v>
      </c>
    </row>
    <row r="2341" spans="1:37" x14ac:dyDescent="0.3">
      <c r="A2341">
        <v>7979</v>
      </c>
      <c r="B2341" t="s">
        <v>219</v>
      </c>
      <c r="D2341" t="s">
        <v>327</v>
      </c>
      <c r="E2341">
        <v>99999999</v>
      </c>
      <c r="F2341">
        <v>11111111</v>
      </c>
      <c r="G2341">
        <v>1111111111</v>
      </c>
      <c r="H2341" t="s">
        <v>5910</v>
      </c>
      <c r="I2341">
        <v>99999999</v>
      </c>
      <c r="J2341" s="188">
        <v>45238</v>
      </c>
      <c r="K2341" t="s">
        <v>5910</v>
      </c>
      <c r="L2341" t="s">
        <v>5910</v>
      </c>
      <c r="M2341" t="s">
        <v>345</v>
      </c>
      <c r="N2341" t="s">
        <v>197</v>
      </c>
      <c r="O2341" t="s">
        <v>346</v>
      </c>
      <c r="P2341" t="s">
        <v>221</v>
      </c>
      <c r="Q2341" t="s">
        <v>82</v>
      </c>
      <c r="R2341">
        <v>1</v>
      </c>
      <c r="S2341">
        <v>1.1000000000000001</v>
      </c>
      <c r="T2341">
        <v>0</v>
      </c>
      <c r="U2341">
        <v>1</v>
      </c>
      <c r="V2341">
        <v>1</v>
      </c>
      <c r="W2341">
        <v>28.87</v>
      </c>
      <c r="X2341">
        <v>0</v>
      </c>
      <c r="Y2341">
        <v>0</v>
      </c>
      <c r="Z2341">
        <v>0</v>
      </c>
      <c r="AA2341">
        <v>0</v>
      </c>
      <c r="AB2341">
        <v>0</v>
      </c>
      <c r="AC2341">
        <v>0</v>
      </c>
      <c r="AD2341">
        <v>1</v>
      </c>
      <c r="AE2341">
        <v>0</v>
      </c>
      <c r="AF2341">
        <v>0</v>
      </c>
      <c r="AG2341">
        <v>0</v>
      </c>
      <c r="AH2341">
        <v>0</v>
      </c>
      <c r="AI2341">
        <v>0</v>
      </c>
      <c r="AJ2341">
        <v>0</v>
      </c>
      <c r="AK2341">
        <v>0</v>
      </c>
    </row>
    <row r="2342" spans="1:37" x14ac:dyDescent="0.3">
      <c r="A2342">
        <v>7979</v>
      </c>
      <c r="B2342" t="s">
        <v>219</v>
      </c>
      <c r="D2342" t="s">
        <v>327</v>
      </c>
      <c r="E2342">
        <v>99999999</v>
      </c>
      <c r="F2342">
        <v>11111111</v>
      </c>
      <c r="G2342">
        <v>1111111111</v>
      </c>
      <c r="H2342" t="s">
        <v>5911</v>
      </c>
      <c r="I2342">
        <v>99999999</v>
      </c>
      <c r="J2342" s="188">
        <v>45238</v>
      </c>
      <c r="K2342" t="s">
        <v>5911</v>
      </c>
      <c r="L2342" t="s">
        <v>5911</v>
      </c>
      <c r="M2342" t="s">
        <v>1768</v>
      </c>
      <c r="N2342" t="s">
        <v>164</v>
      </c>
      <c r="O2342" t="s">
        <v>3061</v>
      </c>
      <c r="P2342" t="s">
        <v>221</v>
      </c>
      <c r="Q2342" t="s">
        <v>82</v>
      </c>
      <c r="R2342">
        <v>1</v>
      </c>
      <c r="S2342">
        <v>1.99</v>
      </c>
      <c r="T2342">
        <v>0</v>
      </c>
      <c r="U2342">
        <v>1</v>
      </c>
      <c r="V2342">
        <v>1</v>
      </c>
      <c r="W2342">
        <v>27.94</v>
      </c>
      <c r="X2342">
        <v>0</v>
      </c>
      <c r="Y2342">
        <v>0</v>
      </c>
      <c r="Z2342">
        <v>0</v>
      </c>
      <c r="AA2342">
        <v>0</v>
      </c>
      <c r="AB2342">
        <v>0</v>
      </c>
      <c r="AC2342">
        <v>0</v>
      </c>
      <c r="AD2342">
        <v>1</v>
      </c>
      <c r="AE2342">
        <v>0</v>
      </c>
      <c r="AF2342">
        <v>0</v>
      </c>
      <c r="AG2342">
        <v>0</v>
      </c>
      <c r="AH2342">
        <v>0</v>
      </c>
      <c r="AI2342">
        <v>0</v>
      </c>
      <c r="AJ2342">
        <v>0</v>
      </c>
      <c r="AK2342">
        <v>0</v>
      </c>
    </row>
    <row r="2343" spans="1:37" x14ac:dyDescent="0.3">
      <c r="A2343">
        <v>7979</v>
      </c>
      <c r="B2343" t="s">
        <v>219</v>
      </c>
      <c r="D2343" t="s">
        <v>327</v>
      </c>
      <c r="E2343">
        <v>99999999</v>
      </c>
      <c r="F2343">
        <v>11111111</v>
      </c>
      <c r="G2343">
        <v>1111111111</v>
      </c>
      <c r="H2343" t="s">
        <v>5912</v>
      </c>
      <c r="I2343">
        <v>99999999</v>
      </c>
      <c r="J2343" s="188">
        <v>45238</v>
      </c>
      <c r="K2343" t="s">
        <v>5912</v>
      </c>
      <c r="L2343" t="s">
        <v>5912</v>
      </c>
      <c r="M2343" t="s">
        <v>129</v>
      </c>
      <c r="N2343" t="s">
        <v>130</v>
      </c>
      <c r="O2343" t="s">
        <v>322</v>
      </c>
      <c r="P2343" t="s">
        <v>221</v>
      </c>
      <c r="Q2343" t="s">
        <v>82</v>
      </c>
      <c r="R2343">
        <v>1</v>
      </c>
      <c r="S2343">
        <v>0.14000000000000001</v>
      </c>
      <c r="T2343">
        <v>0</v>
      </c>
      <c r="U2343">
        <v>1</v>
      </c>
      <c r="V2343">
        <v>1</v>
      </c>
      <c r="W2343">
        <v>19.86</v>
      </c>
      <c r="X2343">
        <v>0</v>
      </c>
      <c r="Y2343">
        <v>0</v>
      </c>
      <c r="Z2343">
        <v>0</v>
      </c>
      <c r="AA2343">
        <v>0</v>
      </c>
      <c r="AB2343">
        <v>0</v>
      </c>
      <c r="AC2343">
        <v>0</v>
      </c>
      <c r="AD2343">
        <v>1</v>
      </c>
      <c r="AE2343">
        <v>0</v>
      </c>
      <c r="AF2343">
        <v>0</v>
      </c>
      <c r="AG2343">
        <v>0</v>
      </c>
      <c r="AH2343">
        <v>0</v>
      </c>
      <c r="AI2343">
        <v>0</v>
      </c>
      <c r="AJ2343">
        <v>0</v>
      </c>
      <c r="AK2343">
        <v>0</v>
      </c>
    </row>
    <row r="2344" spans="1:37" x14ac:dyDescent="0.3">
      <c r="A2344">
        <v>7979</v>
      </c>
      <c r="B2344" t="s">
        <v>219</v>
      </c>
      <c r="D2344" t="s">
        <v>327</v>
      </c>
      <c r="E2344">
        <v>99999999</v>
      </c>
      <c r="F2344">
        <v>11111111</v>
      </c>
      <c r="G2344">
        <v>1111111111</v>
      </c>
      <c r="H2344" t="s">
        <v>5913</v>
      </c>
      <c r="I2344">
        <v>99999999</v>
      </c>
      <c r="J2344" s="188">
        <v>45238</v>
      </c>
      <c r="K2344" t="s">
        <v>5913</v>
      </c>
      <c r="L2344" t="s">
        <v>5913</v>
      </c>
      <c r="M2344" t="s">
        <v>3062</v>
      </c>
      <c r="N2344" t="s">
        <v>118</v>
      </c>
      <c r="O2344">
        <v>19504</v>
      </c>
      <c r="P2344" t="s">
        <v>221</v>
      </c>
      <c r="Q2344" t="s">
        <v>82</v>
      </c>
      <c r="R2344">
        <v>1</v>
      </c>
      <c r="S2344">
        <v>0.3</v>
      </c>
      <c r="T2344">
        <v>0</v>
      </c>
      <c r="U2344">
        <v>1</v>
      </c>
      <c r="V2344">
        <v>1</v>
      </c>
      <c r="W2344">
        <v>26.84</v>
      </c>
      <c r="X2344">
        <v>0</v>
      </c>
      <c r="Y2344">
        <v>0</v>
      </c>
      <c r="Z2344">
        <v>0</v>
      </c>
      <c r="AA2344">
        <v>0</v>
      </c>
      <c r="AB2344">
        <v>0</v>
      </c>
      <c r="AC2344">
        <v>0</v>
      </c>
      <c r="AD2344">
        <v>1</v>
      </c>
      <c r="AE2344">
        <v>0</v>
      </c>
      <c r="AF2344">
        <v>0</v>
      </c>
      <c r="AG2344">
        <v>0</v>
      </c>
      <c r="AH2344">
        <v>0</v>
      </c>
      <c r="AI2344">
        <v>0</v>
      </c>
      <c r="AJ2344">
        <v>0</v>
      </c>
      <c r="AK2344">
        <v>0</v>
      </c>
    </row>
    <row r="2345" spans="1:37" x14ac:dyDescent="0.3">
      <c r="A2345">
        <v>7979</v>
      </c>
      <c r="B2345" t="s">
        <v>219</v>
      </c>
      <c r="D2345" t="s">
        <v>327</v>
      </c>
      <c r="E2345">
        <v>99999999</v>
      </c>
      <c r="F2345">
        <v>11111111</v>
      </c>
      <c r="G2345">
        <v>1111111111</v>
      </c>
      <c r="H2345" t="s">
        <v>5914</v>
      </c>
      <c r="I2345">
        <v>99999999</v>
      </c>
      <c r="J2345" s="188">
        <v>45238</v>
      </c>
      <c r="K2345" t="s">
        <v>5914</v>
      </c>
      <c r="L2345" t="s">
        <v>5914</v>
      </c>
      <c r="M2345" t="s">
        <v>113</v>
      </c>
      <c r="N2345" t="s">
        <v>206</v>
      </c>
      <c r="O2345" t="s">
        <v>3063</v>
      </c>
      <c r="P2345" t="s">
        <v>221</v>
      </c>
      <c r="Q2345" t="s">
        <v>82</v>
      </c>
      <c r="R2345">
        <v>1</v>
      </c>
      <c r="S2345">
        <v>0.89300000000000002</v>
      </c>
      <c r="T2345">
        <v>0</v>
      </c>
      <c r="U2345">
        <v>1</v>
      </c>
      <c r="V2345">
        <v>1</v>
      </c>
      <c r="W2345">
        <v>31.29</v>
      </c>
      <c r="X2345">
        <v>0</v>
      </c>
      <c r="Y2345">
        <v>0</v>
      </c>
      <c r="Z2345">
        <v>0</v>
      </c>
      <c r="AA2345">
        <v>0</v>
      </c>
      <c r="AB2345">
        <v>0</v>
      </c>
      <c r="AC2345">
        <v>0</v>
      </c>
      <c r="AD2345">
        <v>1</v>
      </c>
      <c r="AE2345">
        <v>0</v>
      </c>
      <c r="AF2345">
        <v>0</v>
      </c>
      <c r="AG2345">
        <v>0</v>
      </c>
      <c r="AH2345">
        <v>0</v>
      </c>
      <c r="AI2345">
        <v>0</v>
      </c>
      <c r="AJ2345">
        <v>0</v>
      </c>
      <c r="AK2345">
        <v>0</v>
      </c>
    </row>
    <row r="2346" spans="1:37" x14ac:dyDescent="0.3">
      <c r="A2346">
        <v>7979</v>
      </c>
      <c r="B2346" t="s">
        <v>219</v>
      </c>
      <c r="D2346" t="s">
        <v>327</v>
      </c>
      <c r="E2346">
        <v>99999999</v>
      </c>
      <c r="F2346">
        <v>11111111</v>
      </c>
      <c r="G2346">
        <v>1111111111</v>
      </c>
      <c r="H2346" t="s">
        <v>5915</v>
      </c>
      <c r="I2346">
        <v>99999999</v>
      </c>
      <c r="J2346" s="188">
        <v>45238</v>
      </c>
      <c r="K2346" t="s">
        <v>5915</v>
      </c>
      <c r="L2346" t="s">
        <v>5915</v>
      </c>
      <c r="M2346" t="s">
        <v>2278</v>
      </c>
      <c r="N2346" t="s">
        <v>99</v>
      </c>
      <c r="O2346" t="s">
        <v>3064</v>
      </c>
      <c r="P2346" t="s">
        <v>221</v>
      </c>
      <c r="Q2346" t="s">
        <v>82</v>
      </c>
      <c r="R2346">
        <v>1</v>
      </c>
      <c r="S2346">
        <v>1.2</v>
      </c>
      <c r="T2346">
        <v>0</v>
      </c>
      <c r="U2346">
        <v>1</v>
      </c>
      <c r="V2346">
        <v>1</v>
      </c>
      <c r="W2346">
        <v>21.49</v>
      </c>
      <c r="X2346">
        <v>0</v>
      </c>
      <c r="Y2346">
        <v>0</v>
      </c>
      <c r="Z2346">
        <v>0</v>
      </c>
      <c r="AA2346">
        <v>0</v>
      </c>
      <c r="AB2346">
        <v>0</v>
      </c>
      <c r="AC2346">
        <v>0</v>
      </c>
      <c r="AD2346">
        <v>1</v>
      </c>
      <c r="AE2346">
        <v>0</v>
      </c>
      <c r="AF2346">
        <v>0</v>
      </c>
      <c r="AG2346">
        <v>0</v>
      </c>
      <c r="AH2346">
        <v>0</v>
      </c>
      <c r="AI2346">
        <v>0</v>
      </c>
      <c r="AJ2346">
        <v>0</v>
      </c>
      <c r="AK2346">
        <v>0</v>
      </c>
    </row>
    <row r="2347" spans="1:37" x14ac:dyDescent="0.3">
      <c r="A2347">
        <v>7979</v>
      </c>
      <c r="B2347" t="s">
        <v>219</v>
      </c>
      <c r="D2347" t="s">
        <v>327</v>
      </c>
      <c r="E2347">
        <v>99999999</v>
      </c>
      <c r="F2347">
        <v>11111111</v>
      </c>
      <c r="G2347">
        <v>1111111111</v>
      </c>
      <c r="H2347" t="s">
        <v>5916</v>
      </c>
      <c r="I2347">
        <v>99999999</v>
      </c>
      <c r="J2347" s="188">
        <v>45238</v>
      </c>
      <c r="K2347" t="s">
        <v>5916</v>
      </c>
      <c r="L2347" t="s">
        <v>5916</v>
      </c>
      <c r="M2347" t="s">
        <v>3065</v>
      </c>
      <c r="N2347" t="s">
        <v>197</v>
      </c>
      <c r="O2347" t="s">
        <v>3066</v>
      </c>
      <c r="P2347" t="s">
        <v>221</v>
      </c>
      <c r="Q2347" t="s">
        <v>82</v>
      </c>
      <c r="R2347">
        <v>1</v>
      </c>
      <c r="S2347">
        <v>0.4</v>
      </c>
      <c r="T2347">
        <v>0</v>
      </c>
      <c r="U2347">
        <v>1</v>
      </c>
      <c r="V2347">
        <v>1</v>
      </c>
      <c r="W2347">
        <v>26.43</v>
      </c>
      <c r="X2347">
        <v>0</v>
      </c>
      <c r="Y2347">
        <v>0</v>
      </c>
      <c r="Z2347">
        <v>0</v>
      </c>
      <c r="AA2347">
        <v>0</v>
      </c>
      <c r="AB2347">
        <v>0</v>
      </c>
      <c r="AC2347">
        <v>0</v>
      </c>
      <c r="AD2347">
        <v>1</v>
      </c>
      <c r="AE2347">
        <v>0</v>
      </c>
      <c r="AF2347">
        <v>0</v>
      </c>
      <c r="AG2347">
        <v>0</v>
      </c>
      <c r="AH2347">
        <v>0</v>
      </c>
      <c r="AI2347">
        <v>0</v>
      </c>
      <c r="AJ2347">
        <v>0</v>
      </c>
      <c r="AK2347">
        <v>0</v>
      </c>
    </row>
    <row r="2348" spans="1:37" x14ac:dyDescent="0.3">
      <c r="A2348">
        <v>7979</v>
      </c>
      <c r="B2348" t="s">
        <v>219</v>
      </c>
      <c r="D2348" t="s">
        <v>327</v>
      </c>
      <c r="E2348">
        <v>99999999</v>
      </c>
      <c r="F2348">
        <v>11111111</v>
      </c>
      <c r="G2348">
        <v>1111111111</v>
      </c>
      <c r="H2348" t="s">
        <v>5917</v>
      </c>
      <c r="I2348">
        <v>99999999</v>
      </c>
      <c r="J2348" s="188">
        <v>45238</v>
      </c>
      <c r="K2348" t="s">
        <v>5917</v>
      </c>
      <c r="L2348" t="s">
        <v>5917</v>
      </c>
      <c r="M2348" t="s">
        <v>2559</v>
      </c>
      <c r="N2348" t="s">
        <v>233</v>
      </c>
      <c r="O2348" t="s">
        <v>3067</v>
      </c>
      <c r="P2348" t="s">
        <v>221</v>
      </c>
      <c r="Q2348" t="s">
        <v>82</v>
      </c>
      <c r="R2348">
        <v>1</v>
      </c>
      <c r="S2348">
        <v>0.44</v>
      </c>
      <c r="T2348">
        <v>0</v>
      </c>
      <c r="U2348">
        <v>1</v>
      </c>
      <c r="V2348">
        <v>1</v>
      </c>
      <c r="W2348">
        <v>26.84</v>
      </c>
      <c r="X2348">
        <v>0</v>
      </c>
      <c r="Y2348">
        <v>0</v>
      </c>
      <c r="Z2348">
        <v>0</v>
      </c>
      <c r="AA2348">
        <v>0</v>
      </c>
      <c r="AB2348">
        <v>0</v>
      </c>
      <c r="AC2348">
        <v>0</v>
      </c>
      <c r="AD2348">
        <v>1</v>
      </c>
      <c r="AE2348">
        <v>0</v>
      </c>
      <c r="AF2348">
        <v>0</v>
      </c>
      <c r="AG2348">
        <v>0</v>
      </c>
      <c r="AH2348">
        <v>0</v>
      </c>
      <c r="AI2348">
        <v>0</v>
      </c>
      <c r="AJ2348">
        <v>0</v>
      </c>
      <c r="AK2348">
        <v>0</v>
      </c>
    </row>
    <row r="2349" spans="1:37" x14ac:dyDescent="0.3">
      <c r="A2349">
        <v>7979</v>
      </c>
      <c r="B2349" t="s">
        <v>219</v>
      </c>
      <c r="D2349" t="s">
        <v>327</v>
      </c>
      <c r="E2349">
        <v>99999999</v>
      </c>
      <c r="F2349">
        <v>11111111</v>
      </c>
      <c r="G2349">
        <v>1111111111</v>
      </c>
      <c r="H2349" t="s">
        <v>5918</v>
      </c>
      <c r="I2349">
        <v>99999999</v>
      </c>
      <c r="J2349" s="188">
        <v>45238</v>
      </c>
      <c r="K2349" t="s">
        <v>5918</v>
      </c>
      <c r="L2349" t="s">
        <v>5918</v>
      </c>
      <c r="M2349" t="s">
        <v>491</v>
      </c>
      <c r="N2349" t="s">
        <v>130</v>
      </c>
      <c r="O2349" t="s">
        <v>1146</v>
      </c>
      <c r="P2349" t="s">
        <v>221</v>
      </c>
      <c r="Q2349" t="s">
        <v>82</v>
      </c>
      <c r="R2349">
        <v>2</v>
      </c>
      <c r="S2349">
        <v>2.25</v>
      </c>
      <c r="T2349">
        <v>0</v>
      </c>
      <c r="U2349">
        <v>1</v>
      </c>
      <c r="V2349">
        <v>2</v>
      </c>
      <c r="W2349">
        <v>30.86</v>
      </c>
      <c r="X2349">
        <v>0</v>
      </c>
      <c r="Y2349">
        <v>0</v>
      </c>
      <c r="Z2349">
        <v>0</v>
      </c>
      <c r="AA2349">
        <v>0</v>
      </c>
      <c r="AB2349">
        <v>0</v>
      </c>
      <c r="AC2349">
        <v>0</v>
      </c>
      <c r="AD2349">
        <v>2</v>
      </c>
      <c r="AE2349">
        <v>0</v>
      </c>
      <c r="AF2349">
        <v>0</v>
      </c>
      <c r="AG2349">
        <v>0</v>
      </c>
      <c r="AH2349">
        <v>0</v>
      </c>
      <c r="AI2349">
        <v>0</v>
      </c>
      <c r="AJ2349">
        <v>0</v>
      </c>
      <c r="AK2349">
        <v>0</v>
      </c>
    </row>
    <row r="2350" spans="1:37" x14ac:dyDescent="0.3">
      <c r="A2350">
        <v>7979</v>
      </c>
      <c r="B2350" t="s">
        <v>219</v>
      </c>
      <c r="D2350" t="s">
        <v>327</v>
      </c>
      <c r="E2350">
        <v>99999999</v>
      </c>
      <c r="F2350">
        <v>11111111</v>
      </c>
      <c r="G2350">
        <v>1111111111</v>
      </c>
      <c r="H2350" t="s">
        <v>5919</v>
      </c>
      <c r="I2350">
        <v>99999999</v>
      </c>
      <c r="J2350" s="188">
        <v>45238</v>
      </c>
      <c r="K2350" t="s">
        <v>5919</v>
      </c>
      <c r="L2350" t="s">
        <v>5919</v>
      </c>
      <c r="M2350" t="s">
        <v>792</v>
      </c>
      <c r="N2350" t="s">
        <v>104</v>
      </c>
      <c r="O2350" t="s">
        <v>3068</v>
      </c>
      <c r="P2350" t="s">
        <v>221</v>
      </c>
      <c r="Q2350" t="s">
        <v>82</v>
      </c>
      <c r="R2350">
        <v>1</v>
      </c>
      <c r="S2350">
        <v>2.5299999999999998</v>
      </c>
      <c r="T2350">
        <v>0</v>
      </c>
      <c r="U2350">
        <v>1</v>
      </c>
      <c r="V2350">
        <v>1</v>
      </c>
      <c r="W2350">
        <v>22.47</v>
      </c>
      <c r="X2350">
        <v>0</v>
      </c>
      <c r="Y2350">
        <v>0</v>
      </c>
      <c r="Z2350">
        <v>0</v>
      </c>
      <c r="AA2350">
        <v>0</v>
      </c>
      <c r="AB2350">
        <v>0</v>
      </c>
      <c r="AC2350">
        <v>0</v>
      </c>
      <c r="AD2350">
        <v>1</v>
      </c>
      <c r="AE2350">
        <v>0</v>
      </c>
      <c r="AF2350">
        <v>0</v>
      </c>
      <c r="AG2350">
        <v>0</v>
      </c>
      <c r="AH2350">
        <v>0</v>
      </c>
      <c r="AI2350">
        <v>0</v>
      </c>
      <c r="AJ2350">
        <v>0</v>
      </c>
      <c r="AK2350">
        <v>0</v>
      </c>
    </row>
    <row r="2351" spans="1:37" x14ac:dyDescent="0.3">
      <c r="A2351">
        <v>7979</v>
      </c>
      <c r="B2351" t="s">
        <v>219</v>
      </c>
      <c r="D2351" t="s">
        <v>327</v>
      </c>
      <c r="E2351">
        <v>99999999</v>
      </c>
      <c r="F2351">
        <v>11111111</v>
      </c>
      <c r="G2351">
        <v>1111111111</v>
      </c>
      <c r="H2351" t="s">
        <v>5920</v>
      </c>
      <c r="I2351">
        <v>99999999</v>
      </c>
      <c r="J2351" s="188">
        <v>45238</v>
      </c>
      <c r="K2351" t="s">
        <v>5920</v>
      </c>
      <c r="L2351" t="s">
        <v>5920</v>
      </c>
      <c r="M2351" t="s">
        <v>1649</v>
      </c>
      <c r="N2351" t="s">
        <v>197</v>
      </c>
      <c r="O2351">
        <v>76087</v>
      </c>
      <c r="P2351" t="s">
        <v>221</v>
      </c>
      <c r="Q2351" t="s">
        <v>82</v>
      </c>
      <c r="R2351">
        <v>1</v>
      </c>
      <c r="S2351">
        <v>2.2999999999999998</v>
      </c>
      <c r="T2351">
        <v>0</v>
      </c>
      <c r="U2351">
        <v>1</v>
      </c>
      <c r="V2351">
        <v>1</v>
      </c>
      <c r="W2351">
        <v>29.41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1</v>
      </c>
      <c r="AE2351">
        <v>0</v>
      </c>
      <c r="AF2351">
        <v>0</v>
      </c>
      <c r="AG2351">
        <v>0</v>
      </c>
      <c r="AH2351">
        <v>0</v>
      </c>
      <c r="AI2351">
        <v>0</v>
      </c>
      <c r="AJ2351">
        <v>0</v>
      </c>
      <c r="AK2351">
        <v>0</v>
      </c>
    </row>
    <row r="2352" spans="1:37" x14ac:dyDescent="0.3">
      <c r="A2352">
        <v>7979</v>
      </c>
      <c r="B2352" t="s">
        <v>219</v>
      </c>
      <c r="D2352" t="s">
        <v>327</v>
      </c>
      <c r="E2352">
        <v>99999999</v>
      </c>
      <c r="F2352">
        <v>11111111</v>
      </c>
      <c r="G2352">
        <v>1111111111</v>
      </c>
      <c r="H2352" t="s">
        <v>5921</v>
      </c>
      <c r="I2352">
        <v>99999999</v>
      </c>
      <c r="J2352" s="188">
        <v>45238</v>
      </c>
      <c r="K2352" t="s">
        <v>5921</v>
      </c>
      <c r="L2352" t="s">
        <v>5921</v>
      </c>
      <c r="M2352" t="s">
        <v>103</v>
      </c>
      <c r="N2352" t="s">
        <v>104</v>
      </c>
      <c r="O2352" t="s">
        <v>3069</v>
      </c>
      <c r="P2352" t="s">
        <v>221</v>
      </c>
      <c r="Q2352" t="s">
        <v>82</v>
      </c>
      <c r="R2352">
        <v>2</v>
      </c>
      <c r="S2352">
        <v>10.8</v>
      </c>
      <c r="T2352">
        <v>0</v>
      </c>
      <c r="U2352">
        <v>1</v>
      </c>
      <c r="V2352">
        <v>1</v>
      </c>
      <c r="W2352">
        <v>30.89</v>
      </c>
      <c r="X2352">
        <v>0</v>
      </c>
      <c r="Y2352">
        <v>0</v>
      </c>
      <c r="Z2352">
        <v>0</v>
      </c>
      <c r="AA2352">
        <v>0</v>
      </c>
      <c r="AB2352">
        <v>0</v>
      </c>
      <c r="AC2352">
        <v>0</v>
      </c>
      <c r="AD2352">
        <v>2</v>
      </c>
      <c r="AE2352">
        <v>0</v>
      </c>
      <c r="AF2352">
        <v>0</v>
      </c>
      <c r="AG2352">
        <v>0</v>
      </c>
      <c r="AH2352">
        <v>0</v>
      </c>
      <c r="AI2352">
        <v>0</v>
      </c>
      <c r="AJ2352">
        <v>0</v>
      </c>
      <c r="AK2352">
        <v>0</v>
      </c>
    </row>
    <row r="2353" spans="1:37" x14ac:dyDescent="0.3">
      <c r="A2353">
        <v>7979</v>
      </c>
      <c r="B2353" t="s">
        <v>219</v>
      </c>
      <c r="D2353" t="s">
        <v>327</v>
      </c>
      <c r="E2353">
        <v>99999999</v>
      </c>
      <c r="F2353">
        <v>11111111</v>
      </c>
      <c r="G2353">
        <v>1111111111</v>
      </c>
      <c r="H2353" t="s">
        <v>5922</v>
      </c>
      <c r="I2353">
        <v>99999999</v>
      </c>
      <c r="J2353" s="188">
        <v>45238</v>
      </c>
      <c r="K2353" t="s">
        <v>5922</v>
      </c>
      <c r="L2353" t="s">
        <v>5922</v>
      </c>
      <c r="M2353" t="s">
        <v>3070</v>
      </c>
      <c r="N2353" t="s">
        <v>135</v>
      </c>
      <c r="O2353">
        <v>84742</v>
      </c>
      <c r="P2353" t="s">
        <v>221</v>
      </c>
      <c r="Q2353" t="s">
        <v>82</v>
      </c>
      <c r="R2353">
        <v>1</v>
      </c>
      <c r="S2353">
        <v>1.76</v>
      </c>
      <c r="T2353">
        <v>0</v>
      </c>
      <c r="U2353">
        <v>1</v>
      </c>
      <c r="V2353">
        <v>1</v>
      </c>
      <c r="W2353">
        <v>27.94</v>
      </c>
      <c r="X2353">
        <v>0</v>
      </c>
      <c r="Y2353">
        <v>0</v>
      </c>
      <c r="Z2353">
        <v>0</v>
      </c>
      <c r="AA2353">
        <v>0</v>
      </c>
      <c r="AB2353">
        <v>0</v>
      </c>
      <c r="AC2353">
        <v>0</v>
      </c>
      <c r="AD2353">
        <v>1</v>
      </c>
      <c r="AE2353">
        <v>0</v>
      </c>
      <c r="AF2353">
        <v>0</v>
      </c>
      <c r="AG2353">
        <v>0</v>
      </c>
      <c r="AH2353">
        <v>0</v>
      </c>
      <c r="AI2353">
        <v>0</v>
      </c>
      <c r="AJ2353">
        <v>0</v>
      </c>
      <c r="AK2353">
        <v>0</v>
      </c>
    </row>
    <row r="2354" spans="1:37" x14ac:dyDescent="0.3">
      <c r="A2354">
        <v>7979</v>
      </c>
      <c r="B2354" t="s">
        <v>219</v>
      </c>
      <c r="D2354" t="s">
        <v>327</v>
      </c>
      <c r="E2354">
        <v>99999999</v>
      </c>
      <c r="F2354">
        <v>11111111</v>
      </c>
      <c r="G2354">
        <v>1111111111</v>
      </c>
      <c r="H2354" t="s">
        <v>5923</v>
      </c>
      <c r="I2354">
        <v>99999999</v>
      </c>
      <c r="J2354" s="188">
        <v>45238</v>
      </c>
      <c r="K2354" t="s">
        <v>5923</v>
      </c>
      <c r="L2354" t="s">
        <v>5923</v>
      </c>
      <c r="M2354" t="s">
        <v>209</v>
      </c>
      <c r="N2354" t="s">
        <v>197</v>
      </c>
      <c r="O2354" t="s">
        <v>3071</v>
      </c>
      <c r="P2354" t="s">
        <v>221</v>
      </c>
      <c r="Q2354" t="s">
        <v>82</v>
      </c>
      <c r="R2354">
        <v>1</v>
      </c>
      <c r="S2354">
        <v>0.55000000000000004</v>
      </c>
      <c r="T2354">
        <v>0</v>
      </c>
      <c r="U2354">
        <v>1</v>
      </c>
      <c r="V2354">
        <v>1</v>
      </c>
      <c r="W2354">
        <v>22.76</v>
      </c>
      <c r="X2354">
        <v>0</v>
      </c>
      <c r="Y2354">
        <v>0</v>
      </c>
      <c r="Z2354">
        <v>0</v>
      </c>
      <c r="AA2354">
        <v>0</v>
      </c>
      <c r="AB2354">
        <v>0</v>
      </c>
      <c r="AC2354">
        <v>0</v>
      </c>
      <c r="AD2354">
        <v>1</v>
      </c>
      <c r="AE2354">
        <v>0</v>
      </c>
      <c r="AF2354">
        <v>0</v>
      </c>
      <c r="AG2354">
        <v>0</v>
      </c>
      <c r="AH2354">
        <v>0</v>
      </c>
      <c r="AI2354">
        <v>0</v>
      </c>
      <c r="AJ2354">
        <v>0</v>
      </c>
      <c r="AK2354">
        <v>0</v>
      </c>
    </row>
    <row r="2355" spans="1:37" x14ac:dyDescent="0.3">
      <c r="A2355">
        <v>7979</v>
      </c>
      <c r="B2355" t="s">
        <v>219</v>
      </c>
      <c r="D2355" t="s">
        <v>327</v>
      </c>
      <c r="E2355">
        <v>99999999</v>
      </c>
      <c r="F2355">
        <v>11111111</v>
      </c>
      <c r="G2355">
        <v>1111111111</v>
      </c>
      <c r="H2355" t="s">
        <v>5924</v>
      </c>
      <c r="I2355">
        <v>99999999</v>
      </c>
      <c r="J2355" s="188">
        <v>45238</v>
      </c>
      <c r="K2355" t="s">
        <v>5924</v>
      </c>
      <c r="L2355" t="s">
        <v>5924</v>
      </c>
      <c r="M2355" t="s">
        <v>3072</v>
      </c>
      <c r="N2355" t="s">
        <v>151</v>
      </c>
      <c r="O2355" t="s">
        <v>3073</v>
      </c>
      <c r="P2355" t="s">
        <v>221</v>
      </c>
      <c r="Q2355" t="s">
        <v>82</v>
      </c>
      <c r="R2355">
        <v>1</v>
      </c>
      <c r="S2355">
        <v>0.44</v>
      </c>
      <c r="T2355">
        <v>0</v>
      </c>
      <c r="U2355">
        <v>1</v>
      </c>
      <c r="V2355">
        <v>1</v>
      </c>
      <c r="W2355">
        <v>28.97</v>
      </c>
      <c r="X2355">
        <v>0</v>
      </c>
      <c r="Y2355">
        <v>0</v>
      </c>
      <c r="Z2355">
        <v>0</v>
      </c>
      <c r="AA2355">
        <v>0</v>
      </c>
      <c r="AB2355">
        <v>0</v>
      </c>
      <c r="AC2355">
        <v>0</v>
      </c>
      <c r="AD2355">
        <v>1</v>
      </c>
      <c r="AE2355">
        <v>0</v>
      </c>
      <c r="AF2355">
        <v>0</v>
      </c>
      <c r="AG2355">
        <v>0</v>
      </c>
      <c r="AH2355">
        <v>0</v>
      </c>
      <c r="AI2355">
        <v>0</v>
      </c>
      <c r="AJ2355">
        <v>0</v>
      </c>
      <c r="AK2355">
        <v>0</v>
      </c>
    </row>
    <row r="2356" spans="1:37" x14ac:dyDescent="0.3">
      <c r="A2356">
        <v>7979</v>
      </c>
      <c r="B2356" t="s">
        <v>219</v>
      </c>
      <c r="D2356" t="s">
        <v>327</v>
      </c>
      <c r="E2356">
        <v>99999999</v>
      </c>
      <c r="F2356">
        <v>11111111</v>
      </c>
      <c r="G2356">
        <v>1111111111</v>
      </c>
      <c r="H2356" t="s">
        <v>5925</v>
      </c>
      <c r="I2356">
        <v>99999999</v>
      </c>
      <c r="J2356" s="188">
        <v>45238</v>
      </c>
      <c r="K2356" t="s">
        <v>5925</v>
      </c>
      <c r="L2356" t="s">
        <v>5925</v>
      </c>
      <c r="M2356" t="s">
        <v>418</v>
      </c>
      <c r="N2356" t="s">
        <v>91</v>
      </c>
      <c r="O2356" t="s">
        <v>3074</v>
      </c>
      <c r="P2356" t="s">
        <v>221</v>
      </c>
      <c r="Q2356" t="s">
        <v>82</v>
      </c>
      <c r="R2356">
        <v>1</v>
      </c>
      <c r="S2356">
        <v>5.4</v>
      </c>
      <c r="T2356">
        <v>0</v>
      </c>
      <c r="U2356">
        <v>1</v>
      </c>
      <c r="V2356">
        <v>1</v>
      </c>
      <c r="W2356">
        <v>24.39</v>
      </c>
      <c r="X2356">
        <v>0</v>
      </c>
      <c r="Y2356">
        <v>0</v>
      </c>
      <c r="Z2356">
        <v>0</v>
      </c>
      <c r="AA2356">
        <v>0</v>
      </c>
      <c r="AB2356">
        <v>0</v>
      </c>
      <c r="AC2356">
        <v>0</v>
      </c>
      <c r="AD2356">
        <v>1</v>
      </c>
      <c r="AE2356">
        <v>0</v>
      </c>
      <c r="AF2356">
        <v>0</v>
      </c>
      <c r="AG2356">
        <v>0</v>
      </c>
      <c r="AH2356">
        <v>0</v>
      </c>
      <c r="AI2356">
        <v>0</v>
      </c>
      <c r="AJ2356">
        <v>0</v>
      </c>
      <c r="AK2356">
        <v>0</v>
      </c>
    </row>
    <row r="2357" spans="1:37" x14ac:dyDescent="0.3">
      <c r="A2357">
        <v>7979</v>
      </c>
      <c r="B2357" t="s">
        <v>219</v>
      </c>
      <c r="D2357" t="s">
        <v>327</v>
      </c>
      <c r="E2357">
        <v>99999999</v>
      </c>
      <c r="F2357">
        <v>11111111</v>
      </c>
      <c r="G2357">
        <v>1111111111</v>
      </c>
      <c r="H2357" t="s">
        <v>5926</v>
      </c>
      <c r="I2357">
        <v>99999999</v>
      </c>
      <c r="J2357" s="188">
        <v>45238</v>
      </c>
      <c r="K2357" t="s">
        <v>5926</v>
      </c>
      <c r="L2357" t="s">
        <v>5926</v>
      </c>
      <c r="M2357" t="s">
        <v>2049</v>
      </c>
      <c r="N2357" t="s">
        <v>99</v>
      </c>
      <c r="O2357" t="s">
        <v>2954</v>
      </c>
      <c r="P2357" t="s">
        <v>221</v>
      </c>
      <c r="Q2357" t="s">
        <v>82</v>
      </c>
      <c r="R2357">
        <v>1</v>
      </c>
      <c r="S2357">
        <v>6.3E-2</v>
      </c>
      <c r="T2357">
        <v>0</v>
      </c>
      <c r="U2357">
        <v>1</v>
      </c>
      <c r="V2357">
        <v>1</v>
      </c>
      <c r="W2357">
        <v>25.37</v>
      </c>
      <c r="X2357">
        <v>0</v>
      </c>
      <c r="Y2357">
        <v>0</v>
      </c>
      <c r="Z2357">
        <v>0</v>
      </c>
      <c r="AA2357">
        <v>0</v>
      </c>
      <c r="AB2357">
        <v>0</v>
      </c>
      <c r="AC2357">
        <v>0</v>
      </c>
      <c r="AD2357">
        <v>1</v>
      </c>
      <c r="AE2357">
        <v>0</v>
      </c>
      <c r="AF2357">
        <v>0</v>
      </c>
      <c r="AG2357">
        <v>0</v>
      </c>
      <c r="AH2357">
        <v>0</v>
      </c>
      <c r="AI2357">
        <v>0</v>
      </c>
      <c r="AJ2357">
        <v>0</v>
      </c>
      <c r="AK2357">
        <v>0</v>
      </c>
    </row>
    <row r="2358" spans="1:37" x14ac:dyDescent="0.3">
      <c r="A2358">
        <v>7979</v>
      </c>
      <c r="B2358" t="s">
        <v>219</v>
      </c>
      <c r="D2358" t="s">
        <v>327</v>
      </c>
      <c r="E2358">
        <v>99999999</v>
      </c>
      <c r="F2358">
        <v>11111111</v>
      </c>
      <c r="G2358">
        <v>1111111111</v>
      </c>
      <c r="H2358" t="s">
        <v>5927</v>
      </c>
      <c r="I2358">
        <v>99999999</v>
      </c>
      <c r="J2358" s="188">
        <v>45238</v>
      </c>
      <c r="K2358" t="s">
        <v>5927</v>
      </c>
      <c r="L2358" t="s">
        <v>5927</v>
      </c>
      <c r="M2358" t="s">
        <v>749</v>
      </c>
      <c r="N2358" t="s">
        <v>130</v>
      </c>
      <c r="O2358" t="s">
        <v>3075</v>
      </c>
      <c r="P2358" t="s">
        <v>221</v>
      </c>
      <c r="Q2358" t="s">
        <v>82</v>
      </c>
      <c r="R2358">
        <v>1</v>
      </c>
      <c r="S2358">
        <v>1.54</v>
      </c>
      <c r="T2358">
        <v>0</v>
      </c>
      <c r="U2358">
        <v>1</v>
      </c>
      <c r="V2358">
        <v>1</v>
      </c>
      <c r="W2358">
        <v>22.62</v>
      </c>
      <c r="X2358">
        <v>0</v>
      </c>
      <c r="Y2358">
        <v>0</v>
      </c>
      <c r="Z2358">
        <v>0</v>
      </c>
      <c r="AA2358">
        <v>0</v>
      </c>
      <c r="AB2358">
        <v>0</v>
      </c>
      <c r="AC2358">
        <v>0</v>
      </c>
      <c r="AD2358">
        <v>1</v>
      </c>
      <c r="AE2358">
        <v>0</v>
      </c>
      <c r="AF2358">
        <v>0</v>
      </c>
      <c r="AG2358">
        <v>0</v>
      </c>
      <c r="AH2358">
        <v>0</v>
      </c>
      <c r="AI2358">
        <v>0</v>
      </c>
      <c r="AJ2358">
        <v>0</v>
      </c>
      <c r="AK2358">
        <v>0</v>
      </c>
    </row>
    <row r="2359" spans="1:37" x14ac:dyDescent="0.3">
      <c r="A2359">
        <v>7979</v>
      </c>
      <c r="B2359" t="s">
        <v>219</v>
      </c>
      <c r="D2359" t="s">
        <v>327</v>
      </c>
      <c r="E2359">
        <v>99999999</v>
      </c>
      <c r="F2359">
        <v>11111111</v>
      </c>
      <c r="G2359">
        <v>1111111111</v>
      </c>
      <c r="H2359" t="s">
        <v>5928</v>
      </c>
      <c r="I2359">
        <v>99999999</v>
      </c>
      <c r="J2359" s="188">
        <v>45238</v>
      </c>
      <c r="K2359" t="s">
        <v>5928</v>
      </c>
      <c r="L2359" t="s">
        <v>5928</v>
      </c>
      <c r="M2359" t="s">
        <v>101</v>
      </c>
      <c r="N2359" t="s">
        <v>97</v>
      </c>
      <c r="O2359" t="s">
        <v>3076</v>
      </c>
      <c r="P2359" t="s">
        <v>221</v>
      </c>
      <c r="Q2359" t="s">
        <v>82</v>
      </c>
      <c r="R2359">
        <v>1</v>
      </c>
      <c r="S2359">
        <v>2</v>
      </c>
      <c r="T2359">
        <v>0</v>
      </c>
      <c r="U2359">
        <v>1</v>
      </c>
      <c r="V2359">
        <v>1</v>
      </c>
      <c r="W2359">
        <v>21.83</v>
      </c>
      <c r="X2359">
        <v>0</v>
      </c>
      <c r="Y2359">
        <v>0</v>
      </c>
      <c r="Z2359">
        <v>0</v>
      </c>
      <c r="AA2359">
        <v>0</v>
      </c>
      <c r="AB2359">
        <v>0</v>
      </c>
      <c r="AC2359">
        <v>0</v>
      </c>
      <c r="AD2359">
        <v>1</v>
      </c>
      <c r="AE2359">
        <v>0</v>
      </c>
      <c r="AF2359">
        <v>0</v>
      </c>
      <c r="AG2359">
        <v>0</v>
      </c>
      <c r="AH2359">
        <v>0</v>
      </c>
      <c r="AI2359">
        <v>0</v>
      </c>
      <c r="AJ2359">
        <v>0</v>
      </c>
      <c r="AK2359">
        <v>0</v>
      </c>
    </row>
    <row r="2360" spans="1:37" x14ac:dyDescent="0.3">
      <c r="A2360">
        <v>7979</v>
      </c>
      <c r="B2360" t="s">
        <v>219</v>
      </c>
      <c r="D2360" t="s">
        <v>327</v>
      </c>
      <c r="E2360">
        <v>99999999</v>
      </c>
      <c r="F2360">
        <v>11111111</v>
      </c>
      <c r="G2360">
        <v>1111111111</v>
      </c>
      <c r="H2360" t="s">
        <v>5929</v>
      </c>
      <c r="I2360">
        <v>99999999</v>
      </c>
      <c r="J2360" s="188">
        <v>45238</v>
      </c>
      <c r="K2360" t="s">
        <v>5929</v>
      </c>
      <c r="L2360" t="s">
        <v>5929</v>
      </c>
      <c r="M2360" t="s">
        <v>3077</v>
      </c>
      <c r="N2360" t="s">
        <v>104</v>
      </c>
      <c r="O2360" t="s">
        <v>3078</v>
      </c>
      <c r="P2360" t="s">
        <v>221</v>
      </c>
      <c r="Q2360" t="s">
        <v>82</v>
      </c>
      <c r="R2360">
        <v>2</v>
      </c>
      <c r="S2360">
        <v>2.6</v>
      </c>
      <c r="T2360">
        <v>0</v>
      </c>
      <c r="U2360">
        <v>1</v>
      </c>
      <c r="V2360">
        <v>1</v>
      </c>
      <c r="W2360">
        <v>22.47</v>
      </c>
      <c r="X2360">
        <v>0</v>
      </c>
      <c r="Y2360">
        <v>0</v>
      </c>
      <c r="Z2360">
        <v>0</v>
      </c>
      <c r="AA2360">
        <v>0</v>
      </c>
      <c r="AB2360">
        <v>0</v>
      </c>
      <c r="AC2360">
        <v>0</v>
      </c>
      <c r="AD2360">
        <v>2</v>
      </c>
      <c r="AE2360">
        <v>0</v>
      </c>
      <c r="AF2360">
        <v>0</v>
      </c>
      <c r="AG2360">
        <v>0</v>
      </c>
      <c r="AH2360">
        <v>0</v>
      </c>
      <c r="AI2360">
        <v>0</v>
      </c>
      <c r="AJ2360">
        <v>0</v>
      </c>
      <c r="AK2360">
        <v>0</v>
      </c>
    </row>
    <row r="2361" spans="1:37" x14ac:dyDescent="0.3">
      <c r="A2361">
        <v>7979</v>
      </c>
      <c r="B2361" t="s">
        <v>219</v>
      </c>
      <c r="D2361" t="s">
        <v>327</v>
      </c>
      <c r="E2361">
        <v>99999999</v>
      </c>
      <c r="F2361">
        <v>11111111</v>
      </c>
      <c r="G2361">
        <v>1111111111</v>
      </c>
      <c r="H2361" t="s">
        <v>5930</v>
      </c>
      <c r="I2361">
        <v>99999999</v>
      </c>
      <c r="J2361" s="188">
        <v>45238</v>
      </c>
      <c r="K2361" t="s">
        <v>5930</v>
      </c>
      <c r="L2361" t="s">
        <v>5930</v>
      </c>
      <c r="M2361" t="s">
        <v>657</v>
      </c>
      <c r="N2361" t="s">
        <v>99</v>
      </c>
      <c r="O2361" t="s">
        <v>3079</v>
      </c>
      <c r="P2361" t="s">
        <v>221</v>
      </c>
      <c r="Q2361" t="s">
        <v>82</v>
      </c>
      <c r="R2361">
        <v>1</v>
      </c>
      <c r="S2361">
        <v>1.5</v>
      </c>
      <c r="T2361">
        <v>0</v>
      </c>
      <c r="U2361">
        <v>1</v>
      </c>
      <c r="V2361">
        <v>1</v>
      </c>
      <c r="W2361">
        <v>24.72</v>
      </c>
      <c r="X2361">
        <v>0</v>
      </c>
      <c r="Y2361">
        <v>0</v>
      </c>
      <c r="Z2361">
        <v>0</v>
      </c>
      <c r="AA2361">
        <v>0</v>
      </c>
      <c r="AB2361">
        <v>0</v>
      </c>
      <c r="AC2361">
        <v>0</v>
      </c>
      <c r="AD2361">
        <v>1</v>
      </c>
      <c r="AE2361">
        <v>0</v>
      </c>
      <c r="AF2361">
        <v>0</v>
      </c>
      <c r="AG2361">
        <v>0</v>
      </c>
      <c r="AH2361">
        <v>0</v>
      </c>
      <c r="AI2361">
        <v>0</v>
      </c>
      <c r="AJ2361">
        <v>0</v>
      </c>
      <c r="AK2361">
        <v>0</v>
      </c>
    </row>
    <row r="2362" spans="1:37" x14ac:dyDescent="0.3">
      <c r="A2362">
        <v>7979</v>
      </c>
      <c r="B2362" t="s">
        <v>219</v>
      </c>
      <c r="D2362" t="s">
        <v>327</v>
      </c>
      <c r="E2362">
        <v>99999999</v>
      </c>
      <c r="F2362">
        <v>11111111</v>
      </c>
      <c r="G2362">
        <v>1111111111</v>
      </c>
      <c r="H2362" t="s">
        <v>5931</v>
      </c>
      <c r="I2362">
        <v>99999999</v>
      </c>
      <c r="J2362" s="188">
        <v>45238</v>
      </c>
      <c r="K2362" t="s">
        <v>5931</v>
      </c>
      <c r="L2362" t="s">
        <v>5931</v>
      </c>
      <c r="M2362" t="s">
        <v>129</v>
      </c>
      <c r="N2362" t="s">
        <v>130</v>
      </c>
      <c r="O2362">
        <v>80528</v>
      </c>
      <c r="P2362" t="s">
        <v>221</v>
      </c>
      <c r="Q2362" t="s">
        <v>82</v>
      </c>
      <c r="R2362">
        <v>1</v>
      </c>
      <c r="S2362">
        <v>0.31</v>
      </c>
      <c r="T2362">
        <v>0</v>
      </c>
      <c r="U2362">
        <v>1</v>
      </c>
      <c r="V2362">
        <v>1</v>
      </c>
      <c r="W2362">
        <v>19.86</v>
      </c>
      <c r="X2362">
        <v>0</v>
      </c>
      <c r="Y2362">
        <v>0</v>
      </c>
      <c r="Z2362">
        <v>0</v>
      </c>
      <c r="AA2362">
        <v>0</v>
      </c>
      <c r="AB2362">
        <v>0</v>
      </c>
      <c r="AC2362">
        <v>0</v>
      </c>
      <c r="AD2362">
        <v>1</v>
      </c>
      <c r="AE2362">
        <v>0</v>
      </c>
      <c r="AF2362">
        <v>0</v>
      </c>
      <c r="AG2362">
        <v>0</v>
      </c>
      <c r="AH2362">
        <v>0</v>
      </c>
      <c r="AI2362">
        <v>0</v>
      </c>
      <c r="AJ2362">
        <v>0</v>
      </c>
      <c r="AK2362">
        <v>0</v>
      </c>
    </row>
    <row r="2363" spans="1:37" x14ac:dyDescent="0.3">
      <c r="A2363">
        <v>7979</v>
      </c>
      <c r="B2363" t="s">
        <v>219</v>
      </c>
      <c r="D2363" t="s">
        <v>327</v>
      </c>
      <c r="E2363">
        <v>99999999</v>
      </c>
      <c r="F2363">
        <v>11111111</v>
      </c>
      <c r="G2363">
        <v>1111111111</v>
      </c>
      <c r="H2363" t="s">
        <v>5932</v>
      </c>
      <c r="I2363">
        <v>99999999</v>
      </c>
      <c r="J2363" s="188">
        <v>45238</v>
      </c>
      <c r="K2363" t="s">
        <v>5932</v>
      </c>
      <c r="L2363" t="s">
        <v>5932</v>
      </c>
      <c r="M2363" t="s">
        <v>275</v>
      </c>
      <c r="N2363" t="s">
        <v>135</v>
      </c>
      <c r="O2363" t="s">
        <v>3080</v>
      </c>
      <c r="P2363" t="s">
        <v>221</v>
      </c>
      <c r="Q2363" t="s">
        <v>82</v>
      </c>
      <c r="R2363">
        <v>1</v>
      </c>
      <c r="S2363">
        <v>6.53</v>
      </c>
      <c r="T2363">
        <v>0</v>
      </c>
      <c r="U2363">
        <v>1</v>
      </c>
      <c r="V2363">
        <v>1</v>
      </c>
      <c r="W2363">
        <v>24.1</v>
      </c>
      <c r="X2363">
        <v>0</v>
      </c>
      <c r="Y2363">
        <v>0</v>
      </c>
      <c r="Z2363">
        <v>0</v>
      </c>
      <c r="AA2363">
        <v>0</v>
      </c>
      <c r="AB2363">
        <v>0</v>
      </c>
      <c r="AC2363">
        <v>0</v>
      </c>
      <c r="AD2363">
        <v>1</v>
      </c>
      <c r="AE2363">
        <v>0</v>
      </c>
      <c r="AF2363">
        <v>0</v>
      </c>
      <c r="AG2363">
        <v>0</v>
      </c>
      <c r="AH2363">
        <v>0</v>
      </c>
      <c r="AI2363">
        <v>0</v>
      </c>
      <c r="AJ2363">
        <v>0</v>
      </c>
      <c r="AK2363">
        <v>0</v>
      </c>
    </row>
    <row r="2364" spans="1:37" x14ac:dyDescent="0.3">
      <c r="A2364">
        <v>7979</v>
      </c>
      <c r="B2364" t="s">
        <v>219</v>
      </c>
      <c r="D2364" t="s">
        <v>327</v>
      </c>
      <c r="E2364">
        <v>99999999</v>
      </c>
      <c r="F2364">
        <v>11111111</v>
      </c>
      <c r="G2364">
        <v>1111111111</v>
      </c>
      <c r="H2364" t="s">
        <v>5933</v>
      </c>
      <c r="I2364">
        <v>99999999</v>
      </c>
      <c r="J2364" s="188">
        <v>45238</v>
      </c>
      <c r="K2364" t="s">
        <v>5933</v>
      </c>
      <c r="L2364" t="s">
        <v>5933</v>
      </c>
      <c r="M2364" t="s">
        <v>684</v>
      </c>
      <c r="N2364" t="s">
        <v>99</v>
      </c>
      <c r="O2364" t="s">
        <v>3081</v>
      </c>
      <c r="P2364" t="s">
        <v>221</v>
      </c>
      <c r="Q2364" t="s">
        <v>82</v>
      </c>
      <c r="R2364">
        <v>1</v>
      </c>
      <c r="S2364">
        <v>1</v>
      </c>
      <c r="T2364">
        <v>0</v>
      </c>
      <c r="U2364">
        <v>1</v>
      </c>
      <c r="V2364">
        <v>1</v>
      </c>
      <c r="W2364">
        <v>21.16</v>
      </c>
      <c r="X2364">
        <v>0</v>
      </c>
      <c r="Y2364">
        <v>0</v>
      </c>
      <c r="Z2364">
        <v>0</v>
      </c>
      <c r="AA2364">
        <v>0</v>
      </c>
      <c r="AB2364">
        <v>0</v>
      </c>
      <c r="AC2364">
        <v>0</v>
      </c>
      <c r="AD2364">
        <v>1</v>
      </c>
      <c r="AE2364">
        <v>0</v>
      </c>
      <c r="AF2364">
        <v>0</v>
      </c>
      <c r="AG2364">
        <v>0</v>
      </c>
      <c r="AH2364">
        <v>0</v>
      </c>
      <c r="AI2364">
        <v>0</v>
      </c>
      <c r="AJ2364">
        <v>0</v>
      </c>
      <c r="AK2364">
        <v>0</v>
      </c>
    </row>
    <row r="2365" spans="1:37" x14ac:dyDescent="0.3">
      <c r="A2365">
        <v>7979</v>
      </c>
      <c r="B2365" t="s">
        <v>219</v>
      </c>
      <c r="D2365" t="s">
        <v>327</v>
      </c>
      <c r="E2365">
        <v>99999999</v>
      </c>
      <c r="F2365">
        <v>11111111</v>
      </c>
      <c r="G2365">
        <v>1111111111</v>
      </c>
      <c r="H2365" t="s">
        <v>5934</v>
      </c>
      <c r="I2365">
        <v>99999999</v>
      </c>
      <c r="J2365" s="188">
        <v>45238</v>
      </c>
      <c r="K2365" t="s">
        <v>5934</v>
      </c>
      <c r="L2365" t="s">
        <v>5934</v>
      </c>
      <c r="M2365" t="s">
        <v>1371</v>
      </c>
      <c r="N2365" t="s">
        <v>99</v>
      </c>
      <c r="O2365" t="s">
        <v>3082</v>
      </c>
      <c r="P2365" t="s">
        <v>221</v>
      </c>
      <c r="Q2365" t="s">
        <v>82</v>
      </c>
      <c r="R2365">
        <v>2</v>
      </c>
      <c r="S2365">
        <v>0.37</v>
      </c>
      <c r="T2365">
        <v>0</v>
      </c>
      <c r="U2365">
        <v>1</v>
      </c>
      <c r="V2365">
        <v>2</v>
      </c>
      <c r="W2365">
        <v>18.16</v>
      </c>
      <c r="X2365">
        <v>0</v>
      </c>
      <c r="Y2365">
        <v>0</v>
      </c>
      <c r="Z2365">
        <v>0</v>
      </c>
      <c r="AA2365">
        <v>0</v>
      </c>
      <c r="AB2365">
        <v>0</v>
      </c>
      <c r="AC2365">
        <v>0</v>
      </c>
      <c r="AD2365">
        <v>2</v>
      </c>
      <c r="AE2365">
        <v>0</v>
      </c>
      <c r="AF2365">
        <v>0</v>
      </c>
      <c r="AG2365">
        <v>0</v>
      </c>
      <c r="AH2365">
        <v>0</v>
      </c>
      <c r="AI2365">
        <v>0</v>
      </c>
      <c r="AJ2365">
        <v>0</v>
      </c>
      <c r="AK2365">
        <v>0</v>
      </c>
    </row>
    <row r="2366" spans="1:37" x14ac:dyDescent="0.3">
      <c r="A2366">
        <v>7979</v>
      </c>
      <c r="B2366" t="s">
        <v>219</v>
      </c>
      <c r="D2366" t="s">
        <v>327</v>
      </c>
      <c r="E2366">
        <v>99999999</v>
      </c>
      <c r="F2366">
        <v>11111111</v>
      </c>
      <c r="G2366">
        <v>1111111111</v>
      </c>
      <c r="H2366" t="s">
        <v>5935</v>
      </c>
      <c r="I2366">
        <v>99999999</v>
      </c>
      <c r="J2366" s="188">
        <v>45238</v>
      </c>
      <c r="K2366" t="s">
        <v>5935</v>
      </c>
      <c r="L2366" t="s">
        <v>5935</v>
      </c>
      <c r="M2366" t="s">
        <v>792</v>
      </c>
      <c r="N2366" t="s">
        <v>104</v>
      </c>
      <c r="O2366" t="s">
        <v>3083</v>
      </c>
      <c r="P2366" t="s">
        <v>221</v>
      </c>
      <c r="Q2366" t="s">
        <v>82</v>
      </c>
      <c r="R2366">
        <v>2</v>
      </c>
      <c r="S2366">
        <v>3.53</v>
      </c>
      <c r="T2366">
        <v>0</v>
      </c>
      <c r="U2366">
        <v>1</v>
      </c>
      <c r="V2366">
        <v>2</v>
      </c>
      <c r="W2366">
        <v>22.88</v>
      </c>
      <c r="X2366">
        <v>0</v>
      </c>
      <c r="Y2366">
        <v>0</v>
      </c>
      <c r="Z2366">
        <v>0</v>
      </c>
      <c r="AA2366">
        <v>0</v>
      </c>
      <c r="AB2366">
        <v>0</v>
      </c>
      <c r="AC2366">
        <v>0</v>
      </c>
      <c r="AD2366">
        <v>2</v>
      </c>
      <c r="AE2366">
        <v>0</v>
      </c>
      <c r="AF2366">
        <v>0</v>
      </c>
      <c r="AG2366">
        <v>0</v>
      </c>
      <c r="AH2366">
        <v>0</v>
      </c>
      <c r="AI2366">
        <v>0</v>
      </c>
      <c r="AJ2366">
        <v>0</v>
      </c>
      <c r="AK2366">
        <v>0</v>
      </c>
    </row>
    <row r="2367" spans="1:37" x14ac:dyDescent="0.3">
      <c r="A2367">
        <v>7979</v>
      </c>
      <c r="B2367" t="s">
        <v>219</v>
      </c>
      <c r="D2367" t="s">
        <v>327</v>
      </c>
      <c r="E2367">
        <v>99999999</v>
      </c>
      <c r="F2367">
        <v>11111111</v>
      </c>
      <c r="G2367">
        <v>1111111111</v>
      </c>
      <c r="H2367" t="s">
        <v>5936</v>
      </c>
      <c r="I2367">
        <v>99999999</v>
      </c>
      <c r="J2367" s="188">
        <v>45238</v>
      </c>
      <c r="K2367" t="s">
        <v>5936</v>
      </c>
      <c r="L2367" t="s">
        <v>5936</v>
      </c>
      <c r="M2367" t="s">
        <v>2025</v>
      </c>
      <c r="N2367" t="s">
        <v>522</v>
      </c>
      <c r="O2367" t="s">
        <v>3084</v>
      </c>
      <c r="P2367" t="s">
        <v>221</v>
      </c>
      <c r="Q2367" t="s">
        <v>82</v>
      </c>
      <c r="R2367">
        <v>1</v>
      </c>
      <c r="S2367">
        <v>1.1000000000000001</v>
      </c>
      <c r="T2367">
        <v>0</v>
      </c>
      <c r="U2367">
        <v>1</v>
      </c>
      <c r="V2367">
        <v>1</v>
      </c>
      <c r="W2367">
        <v>23.05</v>
      </c>
      <c r="X2367">
        <v>0</v>
      </c>
      <c r="Y2367">
        <v>0</v>
      </c>
      <c r="Z2367">
        <v>0</v>
      </c>
      <c r="AA2367">
        <v>0</v>
      </c>
      <c r="AB2367">
        <v>0</v>
      </c>
      <c r="AC2367">
        <v>0</v>
      </c>
      <c r="AD2367">
        <v>1</v>
      </c>
      <c r="AE2367">
        <v>0</v>
      </c>
      <c r="AF2367">
        <v>0</v>
      </c>
      <c r="AG2367">
        <v>0</v>
      </c>
      <c r="AH2367">
        <v>0</v>
      </c>
      <c r="AI2367">
        <v>0</v>
      </c>
      <c r="AJ2367">
        <v>0</v>
      </c>
      <c r="AK2367">
        <v>0</v>
      </c>
    </row>
    <row r="2368" spans="1:37" x14ac:dyDescent="0.3">
      <c r="A2368">
        <v>7979</v>
      </c>
      <c r="B2368" t="s">
        <v>219</v>
      </c>
      <c r="D2368" t="s">
        <v>327</v>
      </c>
      <c r="E2368">
        <v>99999999</v>
      </c>
      <c r="F2368">
        <v>11111111</v>
      </c>
      <c r="G2368">
        <v>1111111111</v>
      </c>
      <c r="H2368" t="s">
        <v>5937</v>
      </c>
      <c r="I2368">
        <v>99999999</v>
      </c>
      <c r="J2368" s="188">
        <v>45238</v>
      </c>
      <c r="K2368" t="s">
        <v>5937</v>
      </c>
      <c r="L2368" t="s">
        <v>5937</v>
      </c>
      <c r="M2368" t="s">
        <v>3085</v>
      </c>
      <c r="N2368" t="s">
        <v>99</v>
      </c>
      <c r="O2368" t="s">
        <v>3086</v>
      </c>
      <c r="P2368" t="s">
        <v>221</v>
      </c>
      <c r="Q2368" t="s">
        <v>82</v>
      </c>
      <c r="R2368">
        <v>2</v>
      </c>
      <c r="S2368">
        <v>1.44</v>
      </c>
      <c r="T2368">
        <v>0</v>
      </c>
      <c r="U2368">
        <v>1</v>
      </c>
      <c r="V2368">
        <v>2</v>
      </c>
      <c r="W2368">
        <v>21.16</v>
      </c>
      <c r="X2368">
        <v>0</v>
      </c>
      <c r="Y2368">
        <v>0</v>
      </c>
      <c r="Z2368">
        <v>0</v>
      </c>
      <c r="AA2368">
        <v>0</v>
      </c>
      <c r="AB2368">
        <v>0</v>
      </c>
      <c r="AC2368">
        <v>0</v>
      </c>
      <c r="AD2368">
        <v>2</v>
      </c>
      <c r="AE2368">
        <v>0</v>
      </c>
      <c r="AF2368">
        <v>0</v>
      </c>
      <c r="AG2368">
        <v>0</v>
      </c>
      <c r="AH2368">
        <v>0</v>
      </c>
      <c r="AI2368">
        <v>0</v>
      </c>
      <c r="AJ2368">
        <v>0</v>
      </c>
      <c r="AK2368">
        <v>0</v>
      </c>
    </row>
    <row r="2369" spans="1:37" x14ac:dyDescent="0.3">
      <c r="A2369">
        <v>7979</v>
      </c>
      <c r="B2369" t="s">
        <v>219</v>
      </c>
      <c r="D2369" t="s">
        <v>327</v>
      </c>
      <c r="E2369">
        <v>99999999</v>
      </c>
      <c r="F2369">
        <v>11111111</v>
      </c>
      <c r="G2369">
        <v>1111111111</v>
      </c>
      <c r="H2369" t="s">
        <v>5938</v>
      </c>
      <c r="I2369">
        <v>99999999</v>
      </c>
      <c r="J2369" s="188">
        <v>45238</v>
      </c>
      <c r="K2369" t="s">
        <v>5938</v>
      </c>
      <c r="L2369" t="s">
        <v>5938</v>
      </c>
      <c r="M2369" t="s">
        <v>3087</v>
      </c>
      <c r="N2369" t="s">
        <v>950</v>
      </c>
      <c r="O2369" t="s">
        <v>3088</v>
      </c>
      <c r="P2369" t="s">
        <v>221</v>
      </c>
      <c r="Q2369" t="s">
        <v>82</v>
      </c>
      <c r="R2369">
        <v>1</v>
      </c>
      <c r="S2369">
        <v>1.6659999999999999</v>
      </c>
      <c r="T2369">
        <v>0</v>
      </c>
      <c r="U2369">
        <v>1</v>
      </c>
      <c r="V2369">
        <v>1</v>
      </c>
      <c r="W2369">
        <v>31.54</v>
      </c>
      <c r="X2369">
        <v>0</v>
      </c>
      <c r="Y2369">
        <v>0</v>
      </c>
      <c r="Z2369">
        <v>0</v>
      </c>
      <c r="AA2369">
        <v>0</v>
      </c>
      <c r="AB2369">
        <v>0</v>
      </c>
      <c r="AC2369">
        <v>0</v>
      </c>
      <c r="AD2369">
        <v>1</v>
      </c>
      <c r="AE2369">
        <v>0</v>
      </c>
      <c r="AF2369">
        <v>0</v>
      </c>
      <c r="AG2369">
        <v>0</v>
      </c>
      <c r="AH2369">
        <v>0</v>
      </c>
      <c r="AI2369">
        <v>0</v>
      </c>
      <c r="AJ2369">
        <v>0</v>
      </c>
      <c r="AK2369">
        <v>0</v>
      </c>
    </row>
    <row r="2370" spans="1:37" x14ac:dyDescent="0.3">
      <c r="A2370">
        <v>7979</v>
      </c>
      <c r="B2370" t="s">
        <v>219</v>
      </c>
      <c r="D2370" t="s">
        <v>327</v>
      </c>
      <c r="E2370">
        <v>99999999</v>
      </c>
      <c r="F2370">
        <v>11111111</v>
      </c>
      <c r="G2370">
        <v>1111111111</v>
      </c>
      <c r="H2370" t="s">
        <v>5939</v>
      </c>
      <c r="I2370">
        <v>99999999</v>
      </c>
      <c r="J2370" s="188">
        <v>45238</v>
      </c>
      <c r="K2370" t="s">
        <v>5939</v>
      </c>
      <c r="L2370" t="s">
        <v>5939</v>
      </c>
      <c r="M2370" t="s">
        <v>3089</v>
      </c>
      <c r="N2370" t="s">
        <v>104</v>
      </c>
      <c r="O2370" t="s">
        <v>3090</v>
      </c>
      <c r="P2370" t="s">
        <v>221</v>
      </c>
      <c r="Q2370" t="s">
        <v>82</v>
      </c>
      <c r="R2370">
        <v>3</v>
      </c>
      <c r="S2370">
        <v>9</v>
      </c>
      <c r="T2370">
        <v>0</v>
      </c>
      <c r="U2370">
        <v>1</v>
      </c>
      <c r="V2370">
        <v>1</v>
      </c>
      <c r="W2370">
        <v>32.590000000000003</v>
      </c>
      <c r="X2370">
        <v>0</v>
      </c>
      <c r="Y2370">
        <v>0</v>
      </c>
      <c r="Z2370">
        <v>0</v>
      </c>
      <c r="AA2370">
        <v>0</v>
      </c>
      <c r="AB2370">
        <v>0</v>
      </c>
      <c r="AC2370">
        <v>0</v>
      </c>
      <c r="AD2370">
        <v>3</v>
      </c>
      <c r="AE2370">
        <v>0</v>
      </c>
      <c r="AF2370">
        <v>0</v>
      </c>
      <c r="AG2370">
        <v>0</v>
      </c>
      <c r="AH2370">
        <v>0</v>
      </c>
      <c r="AI2370">
        <v>0</v>
      </c>
      <c r="AJ2370">
        <v>0</v>
      </c>
      <c r="AK2370">
        <v>0</v>
      </c>
    </row>
    <row r="2371" spans="1:37" x14ac:dyDescent="0.3">
      <c r="A2371">
        <v>7979</v>
      </c>
      <c r="B2371" t="s">
        <v>219</v>
      </c>
      <c r="D2371" t="s">
        <v>327</v>
      </c>
      <c r="E2371">
        <v>99999999</v>
      </c>
      <c r="F2371">
        <v>11111111</v>
      </c>
      <c r="G2371">
        <v>1111111111</v>
      </c>
      <c r="H2371" t="s">
        <v>5940</v>
      </c>
      <c r="I2371">
        <v>99999999</v>
      </c>
      <c r="J2371" s="188">
        <v>45238</v>
      </c>
      <c r="K2371" t="s">
        <v>5940</v>
      </c>
      <c r="L2371" t="s">
        <v>5940</v>
      </c>
      <c r="M2371" t="s">
        <v>3091</v>
      </c>
      <c r="N2371" t="s">
        <v>197</v>
      </c>
      <c r="O2371" t="s">
        <v>3092</v>
      </c>
      <c r="P2371" t="s">
        <v>221</v>
      </c>
      <c r="Q2371" t="s">
        <v>82</v>
      </c>
      <c r="R2371">
        <v>3</v>
      </c>
      <c r="S2371">
        <v>3.19</v>
      </c>
      <c r="T2371">
        <v>0</v>
      </c>
      <c r="U2371">
        <v>1</v>
      </c>
      <c r="V2371">
        <v>3</v>
      </c>
      <c r="W2371">
        <v>24.02</v>
      </c>
      <c r="X2371">
        <v>0</v>
      </c>
      <c r="Y2371">
        <v>0</v>
      </c>
      <c r="Z2371">
        <v>0</v>
      </c>
      <c r="AA2371">
        <v>0</v>
      </c>
      <c r="AB2371">
        <v>0</v>
      </c>
      <c r="AC2371">
        <v>0</v>
      </c>
      <c r="AD2371">
        <v>3</v>
      </c>
      <c r="AE2371">
        <v>0</v>
      </c>
      <c r="AF2371">
        <v>0</v>
      </c>
      <c r="AG2371">
        <v>0</v>
      </c>
      <c r="AH2371">
        <v>0</v>
      </c>
      <c r="AI2371">
        <v>0</v>
      </c>
      <c r="AJ2371">
        <v>0</v>
      </c>
      <c r="AK2371">
        <v>0</v>
      </c>
    </row>
    <row r="2372" spans="1:37" x14ac:dyDescent="0.3">
      <c r="A2372">
        <v>7979</v>
      </c>
      <c r="B2372" t="s">
        <v>219</v>
      </c>
      <c r="D2372" t="s">
        <v>327</v>
      </c>
      <c r="E2372">
        <v>99999999</v>
      </c>
      <c r="F2372">
        <v>11111111</v>
      </c>
      <c r="G2372">
        <v>1111111111</v>
      </c>
      <c r="H2372" t="s">
        <v>5941</v>
      </c>
      <c r="I2372">
        <v>99999999</v>
      </c>
      <c r="J2372" s="188">
        <v>45238</v>
      </c>
      <c r="K2372" t="s">
        <v>5941</v>
      </c>
      <c r="L2372" t="s">
        <v>5941</v>
      </c>
      <c r="M2372" t="s">
        <v>1473</v>
      </c>
      <c r="N2372" t="s">
        <v>118</v>
      </c>
      <c r="O2372">
        <v>18462</v>
      </c>
      <c r="P2372" t="s">
        <v>221</v>
      </c>
      <c r="Q2372" t="s">
        <v>82</v>
      </c>
      <c r="R2372">
        <v>1</v>
      </c>
      <c r="S2372">
        <v>4.25</v>
      </c>
      <c r="T2372">
        <v>0</v>
      </c>
      <c r="U2372">
        <v>1</v>
      </c>
      <c r="V2372">
        <v>1</v>
      </c>
      <c r="W2372">
        <v>35.520000000000003</v>
      </c>
      <c r="X2372">
        <v>0</v>
      </c>
      <c r="Y2372">
        <v>0</v>
      </c>
      <c r="Z2372">
        <v>0</v>
      </c>
      <c r="AA2372">
        <v>0</v>
      </c>
      <c r="AB2372">
        <v>0</v>
      </c>
      <c r="AC2372">
        <v>0</v>
      </c>
      <c r="AD2372">
        <v>1</v>
      </c>
      <c r="AE2372">
        <v>0</v>
      </c>
      <c r="AF2372">
        <v>0</v>
      </c>
      <c r="AG2372">
        <v>0</v>
      </c>
      <c r="AH2372">
        <v>0</v>
      </c>
      <c r="AI2372">
        <v>0</v>
      </c>
      <c r="AJ2372">
        <v>0</v>
      </c>
      <c r="AK2372">
        <v>0</v>
      </c>
    </row>
    <row r="2373" spans="1:37" x14ac:dyDescent="0.3">
      <c r="A2373">
        <v>7979</v>
      </c>
      <c r="B2373" t="s">
        <v>219</v>
      </c>
      <c r="D2373" t="s">
        <v>327</v>
      </c>
      <c r="E2373">
        <v>99999999</v>
      </c>
      <c r="F2373">
        <v>11111111</v>
      </c>
      <c r="G2373">
        <v>1111111111</v>
      </c>
      <c r="H2373" t="s">
        <v>5942</v>
      </c>
      <c r="I2373">
        <v>99999999</v>
      </c>
      <c r="J2373" s="188">
        <v>45238</v>
      </c>
      <c r="K2373" t="s">
        <v>5942</v>
      </c>
      <c r="L2373" t="s">
        <v>5942</v>
      </c>
      <c r="M2373" t="s">
        <v>463</v>
      </c>
      <c r="N2373" t="s">
        <v>104</v>
      </c>
      <c r="O2373" t="s">
        <v>3093</v>
      </c>
      <c r="P2373" t="s">
        <v>221</v>
      </c>
      <c r="Q2373" t="s">
        <v>82</v>
      </c>
      <c r="R2373">
        <v>3</v>
      </c>
      <c r="S2373">
        <v>5.42</v>
      </c>
      <c r="T2373">
        <v>0</v>
      </c>
      <c r="U2373">
        <v>1</v>
      </c>
      <c r="V2373">
        <v>3</v>
      </c>
      <c r="W2373">
        <v>23.04</v>
      </c>
      <c r="X2373">
        <v>0</v>
      </c>
      <c r="Y2373">
        <v>0</v>
      </c>
      <c r="Z2373">
        <v>0</v>
      </c>
      <c r="AA2373">
        <v>0</v>
      </c>
      <c r="AB2373">
        <v>0</v>
      </c>
      <c r="AC2373">
        <v>0</v>
      </c>
      <c r="AD2373">
        <v>3</v>
      </c>
      <c r="AE2373">
        <v>0</v>
      </c>
      <c r="AF2373">
        <v>0</v>
      </c>
      <c r="AG2373">
        <v>0</v>
      </c>
      <c r="AH2373">
        <v>0</v>
      </c>
      <c r="AI2373">
        <v>0</v>
      </c>
      <c r="AJ2373">
        <v>0</v>
      </c>
      <c r="AK2373">
        <v>0</v>
      </c>
    </row>
    <row r="2374" spans="1:37" x14ac:dyDescent="0.3">
      <c r="A2374">
        <v>7979</v>
      </c>
      <c r="B2374" t="s">
        <v>219</v>
      </c>
      <c r="D2374" t="s">
        <v>327</v>
      </c>
      <c r="E2374">
        <v>99999999</v>
      </c>
      <c r="F2374">
        <v>11111111</v>
      </c>
      <c r="G2374">
        <v>1111111111</v>
      </c>
      <c r="H2374" t="s">
        <v>5943</v>
      </c>
      <c r="I2374">
        <v>99999999</v>
      </c>
      <c r="J2374" s="188">
        <v>45238</v>
      </c>
      <c r="K2374" t="s">
        <v>5943</v>
      </c>
      <c r="L2374" t="s">
        <v>5943</v>
      </c>
      <c r="M2374" t="s">
        <v>562</v>
      </c>
      <c r="N2374" t="s">
        <v>197</v>
      </c>
      <c r="O2374" t="s">
        <v>3094</v>
      </c>
      <c r="P2374" t="s">
        <v>221</v>
      </c>
      <c r="Q2374" t="s">
        <v>82</v>
      </c>
      <c r="R2374">
        <v>2</v>
      </c>
      <c r="S2374">
        <v>1.2</v>
      </c>
      <c r="T2374">
        <v>0</v>
      </c>
      <c r="U2374">
        <v>1</v>
      </c>
      <c r="V2374">
        <v>2</v>
      </c>
      <c r="W2374">
        <v>22.16</v>
      </c>
      <c r="X2374">
        <v>0</v>
      </c>
      <c r="Y2374">
        <v>0</v>
      </c>
      <c r="Z2374">
        <v>0</v>
      </c>
      <c r="AA2374">
        <v>0</v>
      </c>
      <c r="AB2374">
        <v>0</v>
      </c>
      <c r="AC2374">
        <v>0</v>
      </c>
      <c r="AD2374">
        <v>2</v>
      </c>
      <c r="AE2374">
        <v>0</v>
      </c>
      <c r="AF2374">
        <v>0</v>
      </c>
      <c r="AG2374">
        <v>0</v>
      </c>
      <c r="AH2374">
        <v>0</v>
      </c>
      <c r="AI2374">
        <v>0</v>
      </c>
      <c r="AJ2374">
        <v>0</v>
      </c>
      <c r="AK2374">
        <v>0</v>
      </c>
    </row>
    <row r="2375" spans="1:37" x14ac:dyDescent="0.3">
      <c r="A2375">
        <v>7979</v>
      </c>
      <c r="B2375" t="s">
        <v>219</v>
      </c>
      <c r="D2375" t="s">
        <v>327</v>
      </c>
      <c r="E2375">
        <v>99999999</v>
      </c>
      <c r="F2375">
        <v>11111111</v>
      </c>
      <c r="G2375">
        <v>1111111111</v>
      </c>
      <c r="H2375" t="s">
        <v>5944</v>
      </c>
      <c r="I2375">
        <v>99999999</v>
      </c>
      <c r="J2375" s="188">
        <v>45238</v>
      </c>
      <c r="K2375" t="s">
        <v>5944</v>
      </c>
      <c r="L2375" t="s">
        <v>5944</v>
      </c>
      <c r="M2375" t="s">
        <v>1137</v>
      </c>
      <c r="N2375" t="s">
        <v>99</v>
      </c>
      <c r="O2375" t="s">
        <v>3095</v>
      </c>
      <c r="P2375" t="s">
        <v>221</v>
      </c>
      <c r="Q2375" t="s">
        <v>82</v>
      </c>
      <c r="R2375">
        <v>1</v>
      </c>
      <c r="S2375">
        <v>0.98</v>
      </c>
      <c r="T2375">
        <v>0</v>
      </c>
      <c r="U2375">
        <v>1</v>
      </c>
      <c r="V2375">
        <v>1</v>
      </c>
      <c r="W2375">
        <v>21.16</v>
      </c>
      <c r="X2375">
        <v>0</v>
      </c>
      <c r="Y2375">
        <v>0</v>
      </c>
      <c r="Z2375">
        <v>0</v>
      </c>
      <c r="AA2375">
        <v>0</v>
      </c>
      <c r="AB2375">
        <v>0</v>
      </c>
      <c r="AC2375">
        <v>0</v>
      </c>
      <c r="AD2375">
        <v>1</v>
      </c>
      <c r="AE2375">
        <v>0</v>
      </c>
      <c r="AF2375">
        <v>0</v>
      </c>
      <c r="AG2375">
        <v>0</v>
      </c>
      <c r="AH2375">
        <v>0</v>
      </c>
      <c r="AI2375">
        <v>0</v>
      </c>
      <c r="AJ2375">
        <v>0</v>
      </c>
      <c r="AK2375">
        <v>0</v>
      </c>
    </row>
    <row r="2376" spans="1:37" x14ac:dyDescent="0.3">
      <c r="A2376">
        <v>7979</v>
      </c>
      <c r="B2376" t="s">
        <v>219</v>
      </c>
      <c r="D2376" t="s">
        <v>327</v>
      </c>
      <c r="E2376">
        <v>99999999</v>
      </c>
      <c r="F2376">
        <v>11111111</v>
      </c>
      <c r="G2376">
        <v>1111111111</v>
      </c>
      <c r="H2376" t="s">
        <v>5945</v>
      </c>
      <c r="I2376">
        <v>99999999</v>
      </c>
      <c r="J2376" s="188">
        <v>45238</v>
      </c>
      <c r="K2376" t="s">
        <v>5945</v>
      </c>
      <c r="L2376" t="s">
        <v>5945</v>
      </c>
      <c r="M2376" t="s">
        <v>339</v>
      </c>
      <c r="N2376" t="s">
        <v>97</v>
      </c>
      <c r="O2376" t="s">
        <v>3096</v>
      </c>
      <c r="P2376" t="s">
        <v>221</v>
      </c>
      <c r="Q2376" t="s">
        <v>82</v>
      </c>
      <c r="R2376">
        <v>1</v>
      </c>
      <c r="S2376">
        <v>2.4300000000000002</v>
      </c>
      <c r="T2376">
        <v>0</v>
      </c>
      <c r="U2376">
        <v>1</v>
      </c>
      <c r="V2376">
        <v>1</v>
      </c>
      <c r="W2376">
        <v>21.83</v>
      </c>
      <c r="X2376">
        <v>0</v>
      </c>
      <c r="Y2376">
        <v>0</v>
      </c>
      <c r="Z2376">
        <v>0</v>
      </c>
      <c r="AA2376">
        <v>0</v>
      </c>
      <c r="AB2376">
        <v>0</v>
      </c>
      <c r="AC2376">
        <v>0</v>
      </c>
      <c r="AD2376">
        <v>1</v>
      </c>
      <c r="AE2376">
        <v>0</v>
      </c>
      <c r="AF2376">
        <v>0</v>
      </c>
      <c r="AG2376">
        <v>0</v>
      </c>
      <c r="AH2376">
        <v>0</v>
      </c>
      <c r="AI2376">
        <v>0</v>
      </c>
      <c r="AJ2376">
        <v>0</v>
      </c>
      <c r="AK2376">
        <v>0</v>
      </c>
    </row>
    <row r="2377" spans="1:37" x14ac:dyDescent="0.3">
      <c r="A2377">
        <v>7979</v>
      </c>
      <c r="B2377" t="s">
        <v>219</v>
      </c>
      <c r="D2377" t="s">
        <v>327</v>
      </c>
      <c r="E2377">
        <v>99999999</v>
      </c>
      <c r="F2377">
        <v>11111111</v>
      </c>
      <c r="G2377">
        <v>1111111111</v>
      </c>
      <c r="H2377" t="s">
        <v>5946</v>
      </c>
      <c r="I2377">
        <v>99999999</v>
      </c>
      <c r="J2377" s="188">
        <v>45238</v>
      </c>
      <c r="K2377" t="s">
        <v>5946</v>
      </c>
      <c r="L2377" t="s">
        <v>5946</v>
      </c>
      <c r="M2377" t="s">
        <v>1240</v>
      </c>
      <c r="N2377" t="s">
        <v>99</v>
      </c>
      <c r="O2377" t="s">
        <v>3097</v>
      </c>
      <c r="P2377" t="s">
        <v>221</v>
      </c>
      <c r="Q2377" t="s">
        <v>82</v>
      </c>
      <c r="R2377">
        <v>4</v>
      </c>
      <c r="S2377">
        <v>24.8</v>
      </c>
      <c r="T2377">
        <v>0</v>
      </c>
      <c r="U2377">
        <v>1</v>
      </c>
      <c r="V2377">
        <v>1</v>
      </c>
      <c r="W2377">
        <v>38.4</v>
      </c>
      <c r="X2377">
        <v>0</v>
      </c>
      <c r="Y2377">
        <v>0</v>
      </c>
      <c r="Z2377">
        <v>0</v>
      </c>
      <c r="AA2377">
        <v>0</v>
      </c>
      <c r="AB2377">
        <v>0</v>
      </c>
      <c r="AC2377">
        <v>0</v>
      </c>
      <c r="AD2377">
        <v>4</v>
      </c>
      <c r="AE2377">
        <v>0</v>
      </c>
      <c r="AF2377">
        <v>0</v>
      </c>
      <c r="AG2377">
        <v>0</v>
      </c>
      <c r="AH2377">
        <v>0</v>
      </c>
      <c r="AI2377">
        <v>0</v>
      </c>
      <c r="AJ2377">
        <v>0</v>
      </c>
      <c r="AK2377">
        <v>0</v>
      </c>
    </row>
    <row r="2378" spans="1:37" x14ac:dyDescent="0.3">
      <c r="A2378">
        <v>7979</v>
      </c>
      <c r="B2378" t="s">
        <v>219</v>
      </c>
      <c r="D2378" t="s">
        <v>327</v>
      </c>
      <c r="E2378">
        <v>99999999</v>
      </c>
      <c r="F2378">
        <v>11111111</v>
      </c>
      <c r="G2378">
        <v>1111111111</v>
      </c>
      <c r="H2378" t="s">
        <v>5947</v>
      </c>
      <c r="I2378">
        <v>99999999</v>
      </c>
      <c r="J2378" s="188">
        <v>45238</v>
      </c>
      <c r="K2378" t="s">
        <v>5947</v>
      </c>
      <c r="L2378" t="s">
        <v>5947</v>
      </c>
      <c r="M2378" t="s">
        <v>3098</v>
      </c>
      <c r="N2378" t="s">
        <v>104</v>
      </c>
      <c r="O2378" t="s">
        <v>3099</v>
      </c>
      <c r="P2378" t="s">
        <v>221</v>
      </c>
      <c r="Q2378" t="s">
        <v>82</v>
      </c>
      <c r="R2378">
        <v>1</v>
      </c>
      <c r="S2378">
        <v>10</v>
      </c>
      <c r="T2378">
        <v>0</v>
      </c>
      <c r="U2378">
        <v>1</v>
      </c>
      <c r="V2378">
        <v>1</v>
      </c>
      <c r="W2378">
        <v>32.83</v>
      </c>
      <c r="X2378">
        <v>0</v>
      </c>
      <c r="Y2378">
        <v>0</v>
      </c>
      <c r="Z2378">
        <v>0</v>
      </c>
      <c r="AA2378">
        <v>0</v>
      </c>
      <c r="AB2378">
        <v>0</v>
      </c>
      <c r="AC2378">
        <v>0</v>
      </c>
      <c r="AD2378">
        <v>1</v>
      </c>
      <c r="AE2378">
        <v>0</v>
      </c>
      <c r="AF2378">
        <v>0</v>
      </c>
      <c r="AG2378">
        <v>0</v>
      </c>
      <c r="AH2378">
        <v>0</v>
      </c>
      <c r="AI2378">
        <v>0</v>
      </c>
      <c r="AJ2378">
        <v>0</v>
      </c>
      <c r="AK2378">
        <v>0</v>
      </c>
    </row>
    <row r="2379" spans="1:37" x14ac:dyDescent="0.3">
      <c r="A2379">
        <v>7979</v>
      </c>
      <c r="B2379" t="s">
        <v>219</v>
      </c>
      <c r="D2379" t="s">
        <v>327</v>
      </c>
      <c r="E2379">
        <v>99999999</v>
      </c>
      <c r="F2379">
        <v>11111111</v>
      </c>
      <c r="G2379">
        <v>1111111111</v>
      </c>
      <c r="H2379" t="s">
        <v>5948</v>
      </c>
      <c r="I2379">
        <v>99999999</v>
      </c>
      <c r="J2379" s="188">
        <v>45238</v>
      </c>
      <c r="K2379" t="s">
        <v>5948</v>
      </c>
      <c r="L2379" t="s">
        <v>5948</v>
      </c>
      <c r="M2379" t="s">
        <v>3100</v>
      </c>
      <c r="N2379" t="s">
        <v>151</v>
      </c>
      <c r="O2379" t="s">
        <v>3101</v>
      </c>
      <c r="P2379" t="s">
        <v>221</v>
      </c>
      <c r="Q2379" t="s">
        <v>82</v>
      </c>
      <c r="R2379">
        <v>1</v>
      </c>
      <c r="S2379">
        <v>1</v>
      </c>
      <c r="T2379">
        <v>0</v>
      </c>
      <c r="U2379">
        <v>1</v>
      </c>
      <c r="V2379">
        <v>1</v>
      </c>
      <c r="W2379">
        <v>31.29</v>
      </c>
      <c r="X2379">
        <v>0</v>
      </c>
      <c r="Y2379">
        <v>0</v>
      </c>
      <c r="Z2379">
        <v>0</v>
      </c>
      <c r="AA2379">
        <v>0</v>
      </c>
      <c r="AB2379">
        <v>0</v>
      </c>
      <c r="AC2379">
        <v>0</v>
      </c>
      <c r="AD2379">
        <v>1</v>
      </c>
      <c r="AE2379">
        <v>0</v>
      </c>
      <c r="AF2379">
        <v>0</v>
      </c>
      <c r="AG2379">
        <v>0</v>
      </c>
      <c r="AH2379">
        <v>0</v>
      </c>
      <c r="AI2379">
        <v>0</v>
      </c>
      <c r="AJ2379">
        <v>0</v>
      </c>
      <c r="AK2379">
        <v>0</v>
      </c>
    </row>
    <row r="2380" spans="1:37" x14ac:dyDescent="0.3">
      <c r="A2380">
        <v>7979</v>
      </c>
      <c r="B2380" t="s">
        <v>219</v>
      </c>
      <c r="D2380" t="s">
        <v>327</v>
      </c>
      <c r="E2380">
        <v>99999999</v>
      </c>
      <c r="F2380">
        <v>11111111</v>
      </c>
      <c r="G2380">
        <v>1111111111</v>
      </c>
      <c r="H2380" t="s">
        <v>5949</v>
      </c>
      <c r="I2380">
        <v>99999999</v>
      </c>
      <c r="J2380" s="188">
        <v>45238</v>
      </c>
      <c r="K2380" t="s">
        <v>5949</v>
      </c>
      <c r="L2380" t="s">
        <v>5949</v>
      </c>
      <c r="M2380" t="s">
        <v>915</v>
      </c>
      <c r="N2380" t="s">
        <v>164</v>
      </c>
      <c r="O2380" t="s">
        <v>3102</v>
      </c>
      <c r="P2380" t="s">
        <v>221</v>
      </c>
      <c r="Q2380" t="s">
        <v>82</v>
      </c>
      <c r="R2380">
        <v>2</v>
      </c>
      <c r="S2380">
        <v>30.24</v>
      </c>
      <c r="T2380">
        <v>0</v>
      </c>
      <c r="U2380">
        <v>1</v>
      </c>
      <c r="V2380">
        <v>1</v>
      </c>
      <c r="W2380">
        <v>35.68</v>
      </c>
      <c r="X2380">
        <v>0</v>
      </c>
      <c r="Y2380">
        <v>0</v>
      </c>
      <c r="Z2380">
        <v>0</v>
      </c>
      <c r="AA2380">
        <v>0</v>
      </c>
      <c r="AB2380">
        <v>0</v>
      </c>
      <c r="AC2380">
        <v>0</v>
      </c>
      <c r="AD2380">
        <v>2</v>
      </c>
      <c r="AE2380">
        <v>0</v>
      </c>
      <c r="AF2380">
        <v>0</v>
      </c>
      <c r="AG2380">
        <v>0</v>
      </c>
      <c r="AH2380">
        <v>0</v>
      </c>
      <c r="AI2380">
        <v>0</v>
      </c>
      <c r="AJ2380">
        <v>0</v>
      </c>
      <c r="AK2380">
        <v>0</v>
      </c>
    </row>
    <row r="2381" spans="1:37" x14ac:dyDescent="0.3">
      <c r="A2381">
        <v>7979</v>
      </c>
      <c r="B2381" t="s">
        <v>219</v>
      </c>
      <c r="D2381" t="s">
        <v>327</v>
      </c>
      <c r="E2381">
        <v>99999999</v>
      </c>
      <c r="F2381">
        <v>11111111</v>
      </c>
      <c r="G2381">
        <v>1111111111</v>
      </c>
      <c r="H2381" t="s">
        <v>5950</v>
      </c>
      <c r="I2381">
        <v>99999999</v>
      </c>
      <c r="J2381" s="188">
        <v>45238</v>
      </c>
      <c r="K2381" t="s">
        <v>5950</v>
      </c>
      <c r="L2381" t="s">
        <v>5950</v>
      </c>
      <c r="M2381" t="s">
        <v>282</v>
      </c>
      <c r="N2381" t="s">
        <v>197</v>
      </c>
      <c r="O2381" t="s">
        <v>3103</v>
      </c>
      <c r="P2381" t="s">
        <v>221</v>
      </c>
      <c r="Q2381" t="s">
        <v>82</v>
      </c>
      <c r="R2381">
        <v>2</v>
      </c>
      <c r="S2381">
        <v>2.5099999999999998</v>
      </c>
      <c r="T2381">
        <v>0</v>
      </c>
      <c r="U2381">
        <v>1</v>
      </c>
      <c r="V2381">
        <v>2</v>
      </c>
      <c r="W2381">
        <v>24.02</v>
      </c>
      <c r="X2381">
        <v>0</v>
      </c>
      <c r="Y2381">
        <v>0</v>
      </c>
      <c r="Z2381">
        <v>0</v>
      </c>
      <c r="AA2381">
        <v>0</v>
      </c>
      <c r="AB2381">
        <v>0</v>
      </c>
      <c r="AC2381">
        <v>0</v>
      </c>
      <c r="AD2381">
        <v>2</v>
      </c>
      <c r="AE2381">
        <v>0</v>
      </c>
      <c r="AF2381">
        <v>0</v>
      </c>
      <c r="AG2381">
        <v>0</v>
      </c>
      <c r="AH2381">
        <v>0</v>
      </c>
      <c r="AI2381">
        <v>0</v>
      </c>
      <c r="AJ2381">
        <v>0</v>
      </c>
      <c r="AK2381">
        <v>0</v>
      </c>
    </row>
    <row r="2382" spans="1:37" x14ac:dyDescent="0.3">
      <c r="A2382">
        <v>7979</v>
      </c>
      <c r="B2382" t="s">
        <v>219</v>
      </c>
      <c r="D2382" t="s">
        <v>327</v>
      </c>
      <c r="E2382">
        <v>99999999</v>
      </c>
      <c r="F2382">
        <v>11111111</v>
      </c>
      <c r="G2382">
        <v>1111111111</v>
      </c>
      <c r="H2382" t="s">
        <v>5951</v>
      </c>
      <c r="I2382">
        <v>99999999</v>
      </c>
      <c r="J2382" s="188">
        <v>45238</v>
      </c>
      <c r="K2382" t="s">
        <v>5951</v>
      </c>
      <c r="L2382" t="s">
        <v>5951</v>
      </c>
      <c r="M2382" t="s">
        <v>173</v>
      </c>
      <c r="N2382" t="s">
        <v>164</v>
      </c>
      <c r="O2382" t="s">
        <v>3104</v>
      </c>
      <c r="P2382" t="s">
        <v>221</v>
      </c>
      <c r="Q2382" t="s">
        <v>82</v>
      </c>
      <c r="R2382">
        <v>1</v>
      </c>
      <c r="S2382">
        <v>4</v>
      </c>
      <c r="T2382">
        <v>0</v>
      </c>
      <c r="U2382">
        <v>1</v>
      </c>
      <c r="V2382">
        <v>1</v>
      </c>
      <c r="W2382">
        <v>22.88</v>
      </c>
      <c r="X2382">
        <v>0</v>
      </c>
      <c r="Y2382">
        <v>0</v>
      </c>
      <c r="Z2382">
        <v>0</v>
      </c>
      <c r="AA2382">
        <v>0</v>
      </c>
      <c r="AB2382">
        <v>0</v>
      </c>
      <c r="AC2382">
        <v>0</v>
      </c>
      <c r="AD2382">
        <v>1</v>
      </c>
      <c r="AE2382">
        <v>0</v>
      </c>
      <c r="AF2382">
        <v>0</v>
      </c>
      <c r="AG2382">
        <v>0</v>
      </c>
      <c r="AH2382">
        <v>0</v>
      </c>
      <c r="AI2382">
        <v>0</v>
      </c>
      <c r="AJ2382">
        <v>0</v>
      </c>
      <c r="AK2382">
        <v>0</v>
      </c>
    </row>
    <row r="2383" spans="1:37" x14ac:dyDescent="0.3">
      <c r="A2383">
        <v>7979</v>
      </c>
      <c r="B2383" t="s">
        <v>219</v>
      </c>
      <c r="D2383" t="s">
        <v>327</v>
      </c>
      <c r="E2383">
        <v>99999999</v>
      </c>
      <c r="F2383">
        <v>11111111</v>
      </c>
      <c r="G2383">
        <v>1111111111</v>
      </c>
      <c r="H2383" t="s">
        <v>5952</v>
      </c>
      <c r="I2383">
        <v>99999999</v>
      </c>
      <c r="J2383" s="188">
        <v>45238</v>
      </c>
      <c r="K2383" t="s">
        <v>5952</v>
      </c>
      <c r="L2383" t="s">
        <v>5952</v>
      </c>
      <c r="M2383" t="s">
        <v>3105</v>
      </c>
      <c r="N2383" t="s">
        <v>983</v>
      </c>
      <c r="O2383" t="s">
        <v>3106</v>
      </c>
      <c r="P2383" t="s">
        <v>221</v>
      </c>
      <c r="Q2383" t="s">
        <v>82</v>
      </c>
      <c r="R2383">
        <v>1</v>
      </c>
      <c r="S2383">
        <v>3.13</v>
      </c>
      <c r="T2383">
        <v>0</v>
      </c>
      <c r="U2383">
        <v>1</v>
      </c>
      <c r="V2383">
        <v>1</v>
      </c>
      <c r="W2383">
        <v>32.200000000000003</v>
      </c>
      <c r="X2383">
        <v>0</v>
      </c>
      <c r="Y2383">
        <v>0</v>
      </c>
      <c r="Z2383">
        <v>0</v>
      </c>
      <c r="AA2383">
        <v>0</v>
      </c>
      <c r="AB2383">
        <v>0</v>
      </c>
      <c r="AC2383">
        <v>0</v>
      </c>
      <c r="AD2383">
        <v>1</v>
      </c>
      <c r="AE2383">
        <v>0</v>
      </c>
      <c r="AF2383">
        <v>0</v>
      </c>
      <c r="AG2383">
        <v>0</v>
      </c>
      <c r="AH2383">
        <v>0</v>
      </c>
      <c r="AI2383">
        <v>0</v>
      </c>
      <c r="AJ2383">
        <v>0</v>
      </c>
      <c r="AK2383">
        <v>0</v>
      </c>
    </row>
    <row r="2384" spans="1:37" x14ac:dyDescent="0.3">
      <c r="A2384">
        <v>7979</v>
      </c>
      <c r="B2384" t="s">
        <v>219</v>
      </c>
      <c r="D2384" t="s">
        <v>327</v>
      </c>
      <c r="E2384">
        <v>99999999</v>
      </c>
      <c r="F2384">
        <v>11111111</v>
      </c>
      <c r="G2384">
        <v>1111111111</v>
      </c>
      <c r="H2384" t="s">
        <v>5953</v>
      </c>
      <c r="I2384">
        <v>99999999</v>
      </c>
      <c r="J2384" s="188">
        <v>45238</v>
      </c>
      <c r="K2384" t="s">
        <v>5953</v>
      </c>
      <c r="L2384" t="s">
        <v>5953</v>
      </c>
      <c r="M2384" t="s">
        <v>677</v>
      </c>
      <c r="N2384" t="s">
        <v>85</v>
      </c>
      <c r="O2384">
        <v>89179</v>
      </c>
      <c r="P2384" t="s">
        <v>221</v>
      </c>
      <c r="Q2384" t="s">
        <v>82</v>
      </c>
      <c r="R2384">
        <v>3</v>
      </c>
      <c r="S2384">
        <v>2.25</v>
      </c>
      <c r="T2384">
        <v>0</v>
      </c>
      <c r="U2384">
        <v>1</v>
      </c>
      <c r="V2384">
        <v>2</v>
      </c>
      <c r="W2384">
        <v>21.83</v>
      </c>
      <c r="X2384">
        <v>0</v>
      </c>
      <c r="Y2384">
        <v>0</v>
      </c>
      <c r="Z2384">
        <v>0</v>
      </c>
      <c r="AA2384">
        <v>0</v>
      </c>
      <c r="AB2384">
        <v>0</v>
      </c>
      <c r="AC2384">
        <v>0</v>
      </c>
      <c r="AD2384">
        <v>3</v>
      </c>
      <c r="AE2384">
        <v>0</v>
      </c>
      <c r="AF2384">
        <v>0</v>
      </c>
      <c r="AG2384">
        <v>0</v>
      </c>
      <c r="AH2384">
        <v>0</v>
      </c>
      <c r="AI2384">
        <v>0</v>
      </c>
      <c r="AJ2384">
        <v>0</v>
      </c>
      <c r="AK2384">
        <v>0</v>
      </c>
    </row>
    <row r="2385" spans="1:37" x14ac:dyDescent="0.3">
      <c r="A2385">
        <v>7979</v>
      </c>
      <c r="B2385" t="s">
        <v>219</v>
      </c>
      <c r="D2385" t="s">
        <v>327</v>
      </c>
      <c r="E2385">
        <v>99999999</v>
      </c>
      <c r="F2385">
        <v>11111111</v>
      </c>
      <c r="G2385">
        <v>1111111111</v>
      </c>
      <c r="H2385" t="s">
        <v>5954</v>
      </c>
      <c r="I2385">
        <v>99999999</v>
      </c>
      <c r="J2385" s="188">
        <v>45238</v>
      </c>
      <c r="K2385" t="s">
        <v>5954</v>
      </c>
      <c r="L2385" t="s">
        <v>5954</v>
      </c>
      <c r="M2385" t="s">
        <v>659</v>
      </c>
      <c r="N2385" t="s">
        <v>99</v>
      </c>
      <c r="O2385" t="s">
        <v>3107</v>
      </c>
      <c r="P2385" t="s">
        <v>221</v>
      </c>
      <c r="Q2385" t="s">
        <v>82</v>
      </c>
      <c r="R2385">
        <v>2</v>
      </c>
      <c r="S2385">
        <v>2.84</v>
      </c>
      <c r="T2385">
        <v>0</v>
      </c>
      <c r="U2385">
        <v>1</v>
      </c>
      <c r="V2385">
        <v>2</v>
      </c>
      <c r="W2385">
        <v>20.72</v>
      </c>
      <c r="X2385">
        <v>0</v>
      </c>
      <c r="Y2385">
        <v>0</v>
      </c>
      <c r="Z2385">
        <v>0</v>
      </c>
      <c r="AA2385">
        <v>0</v>
      </c>
      <c r="AB2385">
        <v>0</v>
      </c>
      <c r="AC2385">
        <v>0</v>
      </c>
      <c r="AD2385">
        <v>2</v>
      </c>
      <c r="AE2385">
        <v>0</v>
      </c>
      <c r="AF2385">
        <v>0</v>
      </c>
      <c r="AG2385">
        <v>0</v>
      </c>
      <c r="AH2385">
        <v>0</v>
      </c>
      <c r="AI2385">
        <v>0</v>
      </c>
      <c r="AJ2385">
        <v>0</v>
      </c>
      <c r="AK2385">
        <v>0</v>
      </c>
    </row>
    <row r="2386" spans="1:37" x14ac:dyDescent="0.3">
      <c r="A2386">
        <v>7979</v>
      </c>
      <c r="B2386" t="s">
        <v>219</v>
      </c>
      <c r="D2386" t="s">
        <v>327</v>
      </c>
      <c r="E2386">
        <v>99999999</v>
      </c>
      <c r="F2386">
        <v>11111111</v>
      </c>
      <c r="G2386">
        <v>1111111111</v>
      </c>
      <c r="H2386" t="s">
        <v>5955</v>
      </c>
      <c r="I2386">
        <v>99999999</v>
      </c>
      <c r="J2386" s="188">
        <v>45238</v>
      </c>
      <c r="K2386" t="s">
        <v>5955</v>
      </c>
      <c r="L2386" t="s">
        <v>5955</v>
      </c>
      <c r="M2386" t="s">
        <v>3108</v>
      </c>
      <c r="N2386" t="s">
        <v>197</v>
      </c>
      <c r="O2386" t="s">
        <v>3109</v>
      </c>
      <c r="P2386" t="s">
        <v>221</v>
      </c>
      <c r="Q2386" t="s">
        <v>82</v>
      </c>
      <c r="R2386">
        <v>2</v>
      </c>
      <c r="S2386">
        <v>8.7100000000000009</v>
      </c>
      <c r="T2386">
        <v>0</v>
      </c>
      <c r="U2386">
        <v>1</v>
      </c>
      <c r="V2386">
        <v>2</v>
      </c>
      <c r="W2386">
        <v>29.41</v>
      </c>
      <c r="X2386">
        <v>0</v>
      </c>
      <c r="Y2386">
        <v>0</v>
      </c>
      <c r="Z2386">
        <v>0</v>
      </c>
      <c r="AA2386">
        <v>0</v>
      </c>
      <c r="AB2386">
        <v>0</v>
      </c>
      <c r="AC2386">
        <v>0</v>
      </c>
      <c r="AD2386">
        <v>2</v>
      </c>
      <c r="AE2386">
        <v>0</v>
      </c>
      <c r="AF2386">
        <v>0</v>
      </c>
      <c r="AG2386">
        <v>0</v>
      </c>
      <c r="AH2386">
        <v>0</v>
      </c>
      <c r="AI2386">
        <v>0</v>
      </c>
      <c r="AJ2386">
        <v>0</v>
      </c>
      <c r="AK2386">
        <v>0</v>
      </c>
    </row>
    <row r="2387" spans="1:37" x14ac:dyDescent="0.3">
      <c r="A2387">
        <v>7979</v>
      </c>
      <c r="B2387" t="s">
        <v>219</v>
      </c>
      <c r="D2387" t="s">
        <v>327</v>
      </c>
      <c r="E2387">
        <v>99999999</v>
      </c>
      <c r="F2387">
        <v>11111111</v>
      </c>
      <c r="G2387">
        <v>1111111111</v>
      </c>
      <c r="H2387" t="s">
        <v>5956</v>
      </c>
      <c r="I2387">
        <v>99999999</v>
      </c>
      <c r="J2387" s="188">
        <v>45238</v>
      </c>
      <c r="K2387" t="s">
        <v>5956</v>
      </c>
      <c r="L2387" t="s">
        <v>5956</v>
      </c>
      <c r="M2387" t="s">
        <v>2878</v>
      </c>
      <c r="N2387" t="s">
        <v>99</v>
      </c>
      <c r="O2387" t="s">
        <v>3110</v>
      </c>
      <c r="P2387" t="s">
        <v>221</v>
      </c>
      <c r="Q2387" t="s">
        <v>82</v>
      </c>
      <c r="R2387">
        <v>2</v>
      </c>
      <c r="S2387">
        <v>7.56</v>
      </c>
      <c r="T2387">
        <v>0</v>
      </c>
      <c r="U2387">
        <v>1</v>
      </c>
      <c r="V2387">
        <v>2</v>
      </c>
      <c r="W2387">
        <v>29.65</v>
      </c>
      <c r="X2387">
        <v>0</v>
      </c>
      <c r="Y2387">
        <v>0</v>
      </c>
      <c r="Z2387">
        <v>0</v>
      </c>
      <c r="AA2387">
        <v>0</v>
      </c>
      <c r="AB2387">
        <v>0</v>
      </c>
      <c r="AC2387">
        <v>0</v>
      </c>
      <c r="AD2387">
        <v>2</v>
      </c>
      <c r="AE2387">
        <v>0</v>
      </c>
      <c r="AF2387">
        <v>0</v>
      </c>
      <c r="AG2387">
        <v>0</v>
      </c>
      <c r="AH2387">
        <v>0</v>
      </c>
      <c r="AI2387">
        <v>0</v>
      </c>
      <c r="AJ2387">
        <v>0</v>
      </c>
      <c r="AK2387">
        <v>0</v>
      </c>
    </row>
    <row r="2388" spans="1:37" x14ac:dyDescent="0.3">
      <c r="A2388">
        <v>7979</v>
      </c>
      <c r="B2388" t="s">
        <v>219</v>
      </c>
      <c r="D2388" t="s">
        <v>327</v>
      </c>
      <c r="E2388">
        <v>99999999</v>
      </c>
      <c r="F2388">
        <v>11111111</v>
      </c>
      <c r="G2388">
        <v>1111111111</v>
      </c>
      <c r="H2388" t="s">
        <v>5957</v>
      </c>
      <c r="I2388">
        <v>99999999</v>
      </c>
      <c r="J2388" s="188">
        <v>45238</v>
      </c>
      <c r="K2388" t="s">
        <v>5957</v>
      </c>
      <c r="L2388" t="s">
        <v>5957</v>
      </c>
      <c r="M2388" t="s">
        <v>1187</v>
      </c>
      <c r="N2388" t="s">
        <v>99</v>
      </c>
      <c r="O2388" t="s">
        <v>2352</v>
      </c>
      <c r="P2388" t="s">
        <v>221</v>
      </c>
      <c r="Q2388" t="s">
        <v>82</v>
      </c>
      <c r="R2388">
        <v>3</v>
      </c>
      <c r="S2388">
        <v>3.5630000000000002</v>
      </c>
      <c r="T2388">
        <v>0</v>
      </c>
      <c r="U2388">
        <v>1</v>
      </c>
      <c r="V2388">
        <v>3</v>
      </c>
      <c r="W2388">
        <v>25.97</v>
      </c>
      <c r="X2388">
        <v>0</v>
      </c>
      <c r="Y2388">
        <v>0</v>
      </c>
      <c r="Z2388">
        <v>0</v>
      </c>
      <c r="AA2388">
        <v>0</v>
      </c>
      <c r="AB2388">
        <v>0</v>
      </c>
      <c r="AC2388">
        <v>0</v>
      </c>
      <c r="AD2388">
        <v>3</v>
      </c>
      <c r="AE2388">
        <v>0</v>
      </c>
      <c r="AF2388">
        <v>0</v>
      </c>
      <c r="AG2388">
        <v>0</v>
      </c>
      <c r="AH2388">
        <v>0</v>
      </c>
      <c r="AI2388">
        <v>0</v>
      </c>
      <c r="AJ2388">
        <v>0</v>
      </c>
      <c r="AK2388">
        <v>0</v>
      </c>
    </row>
    <row r="2389" spans="1:37" x14ac:dyDescent="0.3">
      <c r="A2389">
        <v>7979</v>
      </c>
      <c r="B2389" t="s">
        <v>219</v>
      </c>
      <c r="D2389" t="s">
        <v>327</v>
      </c>
      <c r="E2389">
        <v>99999999</v>
      </c>
      <c r="F2389">
        <v>11111111</v>
      </c>
      <c r="G2389">
        <v>1111111111</v>
      </c>
      <c r="H2389" t="s">
        <v>5958</v>
      </c>
      <c r="I2389">
        <v>99999999</v>
      </c>
      <c r="J2389" s="188">
        <v>45238</v>
      </c>
      <c r="K2389" t="s">
        <v>5958</v>
      </c>
      <c r="L2389" t="s">
        <v>5958</v>
      </c>
      <c r="M2389" t="s">
        <v>727</v>
      </c>
      <c r="N2389" t="s">
        <v>99</v>
      </c>
      <c r="O2389" t="s">
        <v>3111</v>
      </c>
      <c r="P2389" t="s">
        <v>221</v>
      </c>
      <c r="Q2389" t="s">
        <v>82</v>
      </c>
      <c r="R2389">
        <v>1</v>
      </c>
      <c r="S2389">
        <v>4.5</v>
      </c>
      <c r="T2389">
        <v>0</v>
      </c>
      <c r="U2389">
        <v>1</v>
      </c>
      <c r="V2389">
        <v>1</v>
      </c>
      <c r="W2389">
        <v>25.97</v>
      </c>
      <c r="X2389">
        <v>0</v>
      </c>
      <c r="Y2389">
        <v>0</v>
      </c>
      <c r="Z2389">
        <v>0</v>
      </c>
      <c r="AA2389">
        <v>0</v>
      </c>
      <c r="AB2389">
        <v>0</v>
      </c>
      <c r="AC2389">
        <v>0</v>
      </c>
      <c r="AD2389">
        <v>1</v>
      </c>
      <c r="AE2389">
        <v>0</v>
      </c>
      <c r="AF2389">
        <v>0</v>
      </c>
      <c r="AG2389">
        <v>0</v>
      </c>
      <c r="AH2389">
        <v>0</v>
      </c>
      <c r="AI2389">
        <v>0</v>
      </c>
      <c r="AJ2389">
        <v>0</v>
      </c>
      <c r="AK2389">
        <v>0</v>
      </c>
    </row>
    <row r="2390" spans="1:37" x14ac:dyDescent="0.3">
      <c r="A2390">
        <v>7979</v>
      </c>
      <c r="B2390" t="s">
        <v>219</v>
      </c>
      <c r="D2390" t="s">
        <v>327</v>
      </c>
      <c r="E2390">
        <v>99999999</v>
      </c>
      <c r="F2390">
        <v>11111111</v>
      </c>
      <c r="G2390">
        <v>1111111111</v>
      </c>
      <c r="H2390" t="s">
        <v>5959</v>
      </c>
      <c r="I2390">
        <v>99999999</v>
      </c>
      <c r="J2390" s="188">
        <v>45238</v>
      </c>
      <c r="K2390" t="s">
        <v>5959</v>
      </c>
      <c r="L2390" t="s">
        <v>5959</v>
      </c>
      <c r="M2390" t="s">
        <v>1508</v>
      </c>
      <c r="N2390" t="s">
        <v>99</v>
      </c>
      <c r="O2390" t="s">
        <v>3112</v>
      </c>
      <c r="P2390" t="s">
        <v>221</v>
      </c>
      <c r="Q2390" t="s">
        <v>82</v>
      </c>
      <c r="R2390">
        <v>2</v>
      </c>
      <c r="S2390">
        <v>2.9740000000000002</v>
      </c>
      <c r="T2390">
        <v>0</v>
      </c>
      <c r="U2390">
        <v>1</v>
      </c>
      <c r="V2390">
        <v>2</v>
      </c>
      <c r="W2390">
        <v>20.72</v>
      </c>
      <c r="X2390">
        <v>0</v>
      </c>
      <c r="Y2390">
        <v>0</v>
      </c>
      <c r="Z2390">
        <v>0</v>
      </c>
      <c r="AA2390">
        <v>0</v>
      </c>
      <c r="AB2390">
        <v>0</v>
      </c>
      <c r="AC2390">
        <v>0</v>
      </c>
      <c r="AD2390">
        <v>2</v>
      </c>
      <c r="AE2390">
        <v>0</v>
      </c>
      <c r="AF2390">
        <v>0</v>
      </c>
      <c r="AG2390">
        <v>0</v>
      </c>
      <c r="AH2390">
        <v>0</v>
      </c>
      <c r="AI2390">
        <v>0</v>
      </c>
      <c r="AJ2390">
        <v>0</v>
      </c>
      <c r="AK2390">
        <v>0</v>
      </c>
    </row>
    <row r="2391" spans="1:37" x14ac:dyDescent="0.3">
      <c r="A2391">
        <v>7979</v>
      </c>
      <c r="B2391" t="s">
        <v>219</v>
      </c>
      <c r="D2391" t="s">
        <v>327</v>
      </c>
      <c r="E2391">
        <v>99999999</v>
      </c>
      <c r="F2391">
        <v>11111111</v>
      </c>
      <c r="G2391">
        <v>1111111111</v>
      </c>
      <c r="H2391" t="s">
        <v>5960</v>
      </c>
      <c r="I2391">
        <v>99999999</v>
      </c>
      <c r="J2391" s="188">
        <v>45238</v>
      </c>
      <c r="K2391" t="s">
        <v>5960</v>
      </c>
      <c r="L2391" t="s">
        <v>5960</v>
      </c>
      <c r="M2391" t="s">
        <v>1240</v>
      </c>
      <c r="N2391" t="s">
        <v>99</v>
      </c>
      <c r="O2391" t="s">
        <v>3113</v>
      </c>
      <c r="P2391" t="s">
        <v>221</v>
      </c>
      <c r="Q2391" t="s">
        <v>82</v>
      </c>
      <c r="R2391">
        <v>4</v>
      </c>
      <c r="S2391">
        <v>46.665999999999997</v>
      </c>
      <c r="T2391">
        <v>0</v>
      </c>
      <c r="U2391">
        <v>1</v>
      </c>
      <c r="V2391">
        <v>3</v>
      </c>
      <c r="W2391">
        <v>47.69</v>
      </c>
      <c r="X2391">
        <v>0</v>
      </c>
      <c r="Y2391">
        <v>0</v>
      </c>
      <c r="Z2391">
        <v>0</v>
      </c>
      <c r="AA2391">
        <v>0</v>
      </c>
      <c r="AB2391">
        <v>0</v>
      </c>
      <c r="AC2391">
        <v>0</v>
      </c>
      <c r="AD2391">
        <v>4</v>
      </c>
      <c r="AE2391">
        <v>0</v>
      </c>
      <c r="AF2391">
        <v>0</v>
      </c>
      <c r="AG2391">
        <v>0</v>
      </c>
      <c r="AH2391">
        <v>0</v>
      </c>
      <c r="AI2391">
        <v>0</v>
      </c>
      <c r="AJ2391">
        <v>0</v>
      </c>
      <c r="AK2391">
        <v>0</v>
      </c>
    </row>
    <row r="2392" spans="1:37" x14ac:dyDescent="0.3">
      <c r="A2392">
        <v>7979</v>
      </c>
      <c r="B2392" t="s">
        <v>219</v>
      </c>
      <c r="D2392" t="s">
        <v>327</v>
      </c>
      <c r="E2392">
        <v>99999999</v>
      </c>
      <c r="F2392">
        <v>11111111</v>
      </c>
      <c r="G2392">
        <v>1111111111</v>
      </c>
      <c r="H2392" t="s">
        <v>5961</v>
      </c>
      <c r="I2392">
        <v>99999999</v>
      </c>
      <c r="J2392" s="188">
        <v>45238</v>
      </c>
      <c r="K2392" t="s">
        <v>5961</v>
      </c>
      <c r="L2392" t="s">
        <v>5961</v>
      </c>
      <c r="M2392" t="s">
        <v>799</v>
      </c>
      <c r="N2392" t="s">
        <v>97</v>
      </c>
      <c r="O2392" t="s">
        <v>3114</v>
      </c>
      <c r="P2392" t="s">
        <v>221</v>
      </c>
      <c r="Q2392" t="s">
        <v>82</v>
      </c>
      <c r="R2392">
        <v>1</v>
      </c>
      <c r="S2392">
        <v>10.164</v>
      </c>
      <c r="T2392">
        <v>0</v>
      </c>
      <c r="U2392">
        <v>1</v>
      </c>
      <c r="V2392">
        <v>1</v>
      </c>
      <c r="W2392">
        <v>30.7</v>
      </c>
      <c r="X2392">
        <v>0</v>
      </c>
      <c r="Y2392">
        <v>0</v>
      </c>
      <c r="Z2392">
        <v>0</v>
      </c>
      <c r="AA2392">
        <v>0</v>
      </c>
      <c r="AB2392">
        <v>0</v>
      </c>
      <c r="AC2392">
        <v>0</v>
      </c>
      <c r="AD2392">
        <v>1</v>
      </c>
      <c r="AE2392">
        <v>0</v>
      </c>
      <c r="AF2392">
        <v>0</v>
      </c>
      <c r="AG2392">
        <v>0</v>
      </c>
      <c r="AH2392">
        <v>0</v>
      </c>
      <c r="AI2392">
        <v>0</v>
      </c>
      <c r="AJ2392">
        <v>0</v>
      </c>
      <c r="AK2392">
        <v>0</v>
      </c>
    </row>
    <row r="2393" spans="1:37" x14ac:dyDescent="0.3">
      <c r="A2393">
        <v>7979</v>
      </c>
      <c r="B2393" t="s">
        <v>219</v>
      </c>
      <c r="D2393" t="s">
        <v>327</v>
      </c>
      <c r="E2393">
        <v>99999999</v>
      </c>
      <c r="F2393">
        <v>11111111</v>
      </c>
      <c r="G2393">
        <v>1111111111</v>
      </c>
      <c r="H2393" t="s">
        <v>5962</v>
      </c>
      <c r="I2393">
        <v>99999999</v>
      </c>
      <c r="J2393" s="188">
        <v>45238</v>
      </c>
      <c r="K2393" t="s">
        <v>5962</v>
      </c>
      <c r="L2393" t="s">
        <v>5962</v>
      </c>
      <c r="M2393" t="s">
        <v>1269</v>
      </c>
      <c r="N2393" t="s">
        <v>91</v>
      </c>
      <c r="O2393" t="s">
        <v>3115</v>
      </c>
      <c r="P2393" t="s">
        <v>221</v>
      </c>
      <c r="Q2393" t="s">
        <v>82</v>
      </c>
      <c r="R2393">
        <v>2</v>
      </c>
      <c r="S2393">
        <v>6</v>
      </c>
      <c r="T2393">
        <v>0</v>
      </c>
      <c r="U2393">
        <v>1</v>
      </c>
      <c r="V2393">
        <v>1</v>
      </c>
      <c r="W2393">
        <v>31.08</v>
      </c>
      <c r="X2393">
        <v>0</v>
      </c>
      <c r="Y2393">
        <v>0</v>
      </c>
      <c r="Z2393">
        <v>0</v>
      </c>
      <c r="AA2393">
        <v>0</v>
      </c>
      <c r="AB2393">
        <v>0</v>
      </c>
      <c r="AC2393">
        <v>0</v>
      </c>
      <c r="AD2393">
        <v>2</v>
      </c>
      <c r="AE2393">
        <v>0</v>
      </c>
      <c r="AF2393">
        <v>0</v>
      </c>
      <c r="AG2393">
        <v>0</v>
      </c>
      <c r="AH2393">
        <v>0</v>
      </c>
      <c r="AI2393">
        <v>0</v>
      </c>
      <c r="AJ2393">
        <v>0</v>
      </c>
      <c r="AK2393">
        <v>0</v>
      </c>
    </row>
    <row r="2394" spans="1:37" x14ac:dyDescent="0.3">
      <c r="A2394">
        <v>7979</v>
      </c>
      <c r="B2394" t="s">
        <v>219</v>
      </c>
      <c r="D2394" t="s">
        <v>327</v>
      </c>
      <c r="E2394">
        <v>99999999</v>
      </c>
      <c r="F2394">
        <v>11111111</v>
      </c>
      <c r="G2394">
        <v>1111111111</v>
      </c>
      <c r="H2394" t="s">
        <v>5963</v>
      </c>
      <c r="I2394">
        <v>99999999</v>
      </c>
      <c r="J2394" s="188">
        <v>45238</v>
      </c>
      <c r="K2394" t="s">
        <v>5963</v>
      </c>
      <c r="L2394" t="s">
        <v>5963</v>
      </c>
      <c r="M2394" t="s">
        <v>3116</v>
      </c>
      <c r="N2394" t="s">
        <v>91</v>
      </c>
      <c r="O2394" t="s">
        <v>3117</v>
      </c>
      <c r="P2394" t="s">
        <v>221</v>
      </c>
      <c r="Q2394" t="s">
        <v>82</v>
      </c>
      <c r="R2394">
        <v>2</v>
      </c>
      <c r="S2394">
        <v>3.8</v>
      </c>
      <c r="T2394">
        <v>0</v>
      </c>
      <c r="U2394">
        <v>1</v>
      </c>
      <c r="V2394">
        <v>1</v>
      </c>
      <c r="W2394">
        <v>24.32</v>
      </c>
      <c r="X2394">
        <v>0</v>
      </c>
      <c r="Y2394">
        <v>0</v>
      </c>
      <c r="Z2394">
        <v>0</v>
      </c>
      <c r="AA2394">
        <v>0</v>
      </c>
      <c r="AB2394">
        <v>0</v>
      </c>
      <c r="AC2394">
        <v>0</v>
      </c>
      <c r="AD2394">
        <v>2</v>
      </c>
      <c r="AE2394">
        <v>0</v>
      </c>
      <c r="AF2394">
        <v>0</v>
      </c>
      <c r="AG2394">
        <v>0</v>
      </c>
      <c r="AH2394">
        <v>0</v>
      </c>
      <c r="AI2394">
        <v>0</v>
      </c>
      <c r="AJ2394">
        <v>0</v>
      </c>
      <c r="AK2394">
        <v>0</v>
      </c>
    </row>
    <row r="2395" spans="1:37" x14ac:dyDescent="0.3">
      <c r="A2395">
        <v>7979</v>
      </c>
      <c r="B2395" t="s">
        <v>219</v>
      </c>
      <c r="D2395" t="s">
        <v>327</v>
      </c>
      <c r="E2395">
        <v>99999999</v>
      </c>
      <c r="F2395">
        <v>11111111</v>
      </c>
      <c r="G2395">
        <v>1111111111</v>
      </c>
      <c r="H2395" t="s">
        <v>5964</v>
      </c>
      <c r="I2395">
        <v>99999999</v>
      </c>
      <c r="J2395" s="188">
        <v>45238</v>
      </c>
      <c r="K2395" t="s">
        <v>5964</v>
      </c>
      <c r="L2395" t="s">
        <v>5964</v>
      </c>
      <c r="M2395" t="s">
        <v>349</v>
      </c>
      <c r="N2395" t="s">
        <v>99</v>
      </c>
      <c r="O2395" t="s">
        <v>350</v>
      </c>
      <c r="P2395" t="s">
        <v>221</v>
      </c>
      <c r="Q2395" t="s">
        <v>82</v>
      </c>
      <c r="R2395">
        <v>1</v>
      </c>
      <c r="S2395">
        <v>17.5</v>
      </c>
      <c r="T2395">
        <v>0</v>
      </c>
      <c r="U2395">
        <v>1</v>
      </c>
      <c r="V2395">
        <v>1</v>
      </c>
      <c r="W2395">
        <v>26.23</v>
      </c>
      <c r="X2395">
        <v>0</v>
      </c>
      <c r="Y2395">
        <v>0</v>
      </c>
      <c r="Z2395">
        <v>0</v>
      </c>
      <c r="AA2395">
        <v>0</v>
      </c>
      <c r="AB2395">
        <v>0</v>
      </c>
      <c r="AC2395">
        <v>0</v>
      </c>
      <c r="AD2395">
        <v>1</v>
      </c>
      <c r="AE2395">
        <v>0</v>
      </c>
      <c r="AF2395">
        <v>0</v>
      </c>
      <c r="AG2395">
        <v>0</v>
      </c>
      <c r="AH2395">
        <v>0</v>
      </c>
      <c r="AI2395">
        <v>0</v>
      </c>
      <c r="AJ2395">
        <v>0</v>
      </c>
      <c r="AK2395">
        <v>0</v>
      </c>
    </row>
    <row r="2396" spans="1:37" x14ac:dyDescent="0.3">
      <c r="A2396">
        <v>7979</v>
      </c>
      <c r="B2396" t="s">
        <v>219</v>
      </c>
      <c r="D2396" t="s">
        <v>327</v>
      </c>
      <c r="E2396">
        <v>99999999</v>
      </c>
      <c r="F2396">
        <v>11111111</v>
      </c>
      <c r="G2396">
        <v>1111111111</v>
      </c>
      <c r="H2396" t="s">
        <v>5965</v>
      </c>
      <c r="I2396">
        <v>99999999</v>
      </c>
      <c r="J2396" s="188">
        <v>45238</v>
      </c>
      <c r="K2396" t="s">
        <v>5965</v>
      </c>
      <c r="L2396" t="s">
        <v>5965</v>
      </c>
      <c r="M2396" t="s">
        <v>448</v>
      </c>
      <c r="N2396" t="s">
        <v>197</v>
      </c>
      <c r="O2396" t="s">
        <v>2900</v>
      </c>
      <c r="P2396" t="s">
        <v>221</v>
      </c>
      <c r="Q2396" t="s">
        <v>82</v>
      </c>
      <c r="R2396">
        <v>1</v>
      </c>
      <c r="S2396">
        <v>2.4500000000000002</v>
      </c>
      <c r="T2396">
        <v>0</v>
      </c>
      <c r="U2396">
        <v>1</v>
      </c>
      <c r="V2396">
        <v>1</v>
      </c>
      <c r="W2396">
        <v>23.88</v>
      </c>
      <c r="X2396">
        <v>0</v>
      </c>
      <c r="Y2396">
        <v>0</v>
      </c>
      <c r="Z2396">
        <v>0</v>
      </c>
      <c r="AA2396">
        <v>0</v>
      </c>
      <c r="AB2396">
        <v>0</v>
      </c>
      <c r="AC2396">
        <v>0</v>
      </c>
      <c r="AD2396">
        <v>1</v>
      </c>
      <c r="AE2396">
        <v>0</v>
      </c>
      <c r="AF2396">
        <v>0</v>
      </c>
      <c r="AG2396">
        <v>0</v>
      </c>
      <c r="AH2396">
        <v>0</v>
      </c>
      <c r="AI2396">
        <v>0</v>
      </c>
      <c r="AJ2396">
        <v>0</v>
      </c>
      <c r="AK2396">
        <v>0</v>
      </c>
    </row>
    <row r="2397" spans="1:37" x14ac:dyDescent="0.3">
      <c r="A2397">
        <v>7979</v>
      </c>
      <c r="B2397" t="s">
        <v>219</v>
      </c>
      <c r="D2397" t="s">
        <v>327</v>
      </c>
      <c r="E2397">
        <v>99999999</v>
      </c>
      <c r="F2397">
        <v>11111111</v>
      </c>
      <c r="G2397">
        <v>1111111111</v>
      </c>
      <c r="H2397" t="s">
        <v>5966</v>
      </c>
      <c r="I2397">
        <v>99999999</v>
      </c>
      <c r="J2397" s="188">
        <v>45238</v>
      </c>
      <c r="K2397" t="s">
        <v>5966</v>
      </c>
      <c r="L2397" t="s">
        <v>5966</v>
      </c>
      <c r="M2397" t="s">
        <v>3118</v>
      </c>
      <c r="N2397" t="s">
        <v>197</v>
      </c>
      <c r="O2397" t="s">
        <v>3119</v>
      </c>
      <c r="P2397" t="s">
        <v>221</v>
      </c>
      <c r="Q2397" t="s">
        <v>82</v>
      </c>
      <c r="R2397">
        <v>1</v>
      </c>
      <c r="S2397">
        <v>11.5</v>
      </c>
      <c r="T2397">
        <v>0</v>
      </c>
      <c r="U2397">
        <v>1</v>
      </c>
      <c r="V2397">
        <v>1</v>
      </c>
      <c r="W2397">
        <v>36.369999999999997</v>
      </c>
      <c r="X2397">
        <v>0</v>
      </c>
      <c r="Y2397">
        <v>0</v>
      </c>
      <c r="Z2397">
        <v>0</v>
      </c>
      <c r="AA2397">
        <v>0</v>
      </c>
      <c r="AB2397">
        <v>0</v>
      </c>
      <c r="AC2397">
        <v>0</v>
      </c>
      <c r="AD2397">
        <v>1</v>
      </c>
      <c r="AE2397">
        <v>0</v>
      </c>
      <c r="AF2397">
        <v>0</v>
      </c>
      <c r="AG2397">
        <v>0</v>
      </c>
      <c r="AH2397">
        <v>0</v>
      </c>
      <c r="AI2397">
        <v>0</v>
      </c>
      <c r="AJ2397">
        <v>0</v>
      </c>
      <c r="AK2397">
        <v>0</v>
      </c>
    </row>
    <row r="2398" spans="1:37" x14ac:dyDescent="0.3">
      <c r="A2398">
        <v>7979</v>
      </c>
      <c r="B2398" t="s">
        <v>219</v>
      </c>
      <c r="D2398" t="s">
        <v>327</v>
      </c>
      <c r="E2398">
        <v>99999999</v>
      </c>
      <c r="F2398">
        <v>11111111</v>
      </c>
      <c r="G2398">
        <v>1111111111</v>
      </c>
      <c r="H2398" t="s">
        <v>5967</v>
      </c>
      <c r="I2398">
        <v>99999999</v>
      </c>
      <c r="J2398" s="188">
        <v>45238</v>
      </c>
      <c r="K2398" t="s">
        <v>5967</v>
      </c>
      <c r="L2398" t="s">
        <v>5967</v>
      </c>
      <c r="M2398" t="s">
        <v>285</v>
      </c>
      <c r="N2398" t="s">
        <v>99</v>
      </c>
      <c r="O2398" t="s">
        <v>3120</v>
      </c>
      <c r="P2398" t="s">
        <v>221</v>
      </c>
      <c r="Q2398" t="s">
        <v>82</v>
      </c>
      <c r="R2398">
        <v>1</v>
      </c>
      <c r="S2398">
        <v>4.4000000000000004</v>
      </c>
      <c r="T2398">
        <v>0</v>
      </c>
      <c r="U2398">
        <v>1</v>
      </c>
      <c r="V2398">
        <v>1</v>
      </c>
      <c r="W2398">
        <v>28.99</v>
      </c>
      <c r="X2398">
        <v>0</v>
      </c>
      <c r="Y2398">
        <v>0</v>
      </c>
      <c r="Z2398">
        <v>0</v>
      </c>
      <c r="AA2398">
        <v>0</v>
      </c>
      <c r="AB2398">
        <v>0</v>
      </c>
      <c r="AC2398">
        <v>0</v>
      </c>
      <c r="AD2398">
        <v>1</v>
      </c>
      <c r="AE2398">
        <v>0</v>
      </c>
      <c r="AF2398">
        <v>0</v>
      </c>
      <c r="AG2398">
        <v>0</v>
      </c>
      <c r="AH2398">
        <v>0</v>
      </c>
      <c r="AI2398">
        <v>0</v>
      </c>
      <c r="AJ2398">
        <v>0</v>
      </c>
      <c r="AK2398">
        <v>0</v>
      </c>
    </row>
    <row r="2399" spans="1:37" x14ac:dyDescent="0.3">
      <c r="A2399">
        <v>7979</v>
      </c>
      <c r="B2399" t="s">
        <v>219</v>
      </c>
      <c r="D2399" t="s">
        <v>327</v>
      </c>
      <c r="E2399">
        <v>99999999</v>
      </c>
      <c r="F2399">
        <v>11111111</v>
      </c>
      <c r="G2399">
        <v>1111111111</v>
      </c>
      <c r="H2399" t="s">
        <v>5968</v>
      </c>
      <c r="I2399">
        <v>99999999</v>
      </c>
      <c r="J2399" s="188">
        <v>45238</v>
      </c>
      <c r="K2399" t="s">
        <v>5968</v>
      </c>
      <c r="L2399" t="s">
        <v>5968</v>
      </c>
      <c r="M2399" t="s">
        <v>865</v>
      </c>
      <c r="N2399" t="s">
        <v>91</v>
      </c>
      <c r="O2399" t="s">
        <v>2239</v>
      </c>
      <c r="P2399" t="s">
        <v>221</v>
      </c>
      <c r="Q2399" t="s">
        <v>82</v>
      </c>
      <c r="R2399">
        <v>1</v>
      </c>
      <c r="S2399">
        <v>4</v>
      </c>
      <c r="T2399">
        <v>0</v>
      </c>
      <c r="U2399">
        <v>1</v>
      </c>
      <c r="V2399">
        <v>1</v>
      </c>
      <c r="W2399">
        <v>24.32</v>
      </c>
      <c r="X2399">
        <v>0</v>
      </c>
      <c r="Y2399">
        <v>0</v>
      </c>
      <c r="Z2399">
        <v>0</v>
      </c>
      <c r="AA2399">
        <v>0</v>
      </c>
      <c r="AB2399">
        <v>0</v>
      </c>
      <c r="AC2399">
        <v>0</v>
      </c>
      <c r="AD2399">
        <v>1</v>
      </c>
      <c r="AE2399">
        <v>0</v>
      </c>
      <c r="AF2399">
        <v>0</v>
      </c>
      <c r="AG2399">
        <v>0</v>
      </c>
      <c r="AH2399">
        <v>0</v>
      </c>
      <c r="AI2399">
        <v>0</v>
      </c>
      <c r="AJ2399">
        <v>0</v>
      </c>
      <c r="AK2399">
        <v>0</v>
      </c>
    </row>
    <row r="2400" spans="1:37" x14ac:dyDescent="0.3">
      <c r="A2400">
        <v>7979</v>
      </c>
      <c r="B2400" t="s">
        <v>219</v>
      </c>
      <c r="D2400" t="s">
        <v>327</v>
      </c>
      <c r="E2400">
        <v>99999999</v>
      </c>
      <c r="F2400">
        <v>11111111</v>
      </c>
      <c r="G2400">
        <v>1111111111</v>
      </c>
      <c r="H2400" t="s">
        <v>5969</v>
      </c>
      <c r="I2400">
        <v>99999999</v>
      </c>
      <c r="J2400" s="188">
        <v>45238</v>
      </c>
      <c r="K2400" t="s">
        <v>5969</v>
      </c>
      <c r="L2400" t="s">
        <v>5969</v>
      </c>
      <c r="M2400" t="s">
        <v>349</v>
      </c>
      <c r="N2400" t="s">
        <v>99</v>
      </c>
      <c r="O2400" t="s">
        <v>3121</v>
      </c>
      <c r="P2400" t="s">
        <v>221</v>
      </c>
      <c r="Q2400" t="s">
        <v>82</v>
      </c>
      <c r="R2400">
        <v>1</v>
      </c>
      <c r="S2400">
        <v>3</v>
      </c>
      <c r="T2400">
        <v>0</v>
      </c>
      <c r="U2400">
        <v>1</v>
      </c>
      <c r="V2400">
        <v>1</v>
      </c>
      <c r="W2400">
        <v>22.47</v>
      </c>
      <c r="X2400">
        <v>0</v>
      </c>
      <c r="Y2400">
        <v>0</v>
      </c>
      <c r="Z2400">
        <v>0</v>
      </c>
      <c r="AA2400">
        <v>0</v>
      </c>
      <c r="AB2400">
        <v>0</v>
      </c>
      <c r="AC2400">
        <v>0</v>
      </c>
      <c r="AD2400">
        <v>1</v>
      </c>
      <c r="AE2400">
        <v>0</v>
      </c>
      <c r="AF2400">
        <v>0</v>
      </c>
      <c r="AG2400">
        <v>0</v>
      </c>
      <c r="AH2400">
        <v>0</v>
      </c>
      <c r="AI2400">
        <v>0</v>
      </c>
      <c r="AJ2400">
        <v>0</v>
      </c>
      <c r="AK2400">
        <v>0</v>
      </c>
    </row>
    <row r="2401" spans="1:37" x14ac:dyDescent="0.3">
      <c r="A2401">
        <v>7979</v>
      </c>
      <c r="B2401" t="s">
        <v>219</v>
      </c>
      <c r="D2401" t="s">
        <v>327</v>
      </c>
      <c r="E2401">
        <v>99999999</v>
      </c>
      <c r="F2401">
        <v>11111111</v>
      </c>
      <c r="G2401">
        <v>1111111111</v>
      </c>
      <c r="H2401" t="s">
        <v>5970</v>
      </c>
      <c r="I2401">
        <v>99999999</v>
      </c>
      <c r="J2401" s="188">
        <v>45238</v>
      </c>
      <c r="K2401" t="s">
        <v>5970</v>
      </c>
      <c r="L2401" t="s">
        <v>5970</v>
      </c>
      <c r="M2401" t="s">
        <v>3122</v>
      </c>
      <c r="N2401" t="s">
        <v>99</v>
      </c>
      <c r="O2401" t="s">
        <v>3123</v>
      </c>
      <c r="P2401" t="s">
        <v>221</v>
      </c>
      <c r="Q2401" t="s">
        <v>82</v>
      </c>
      <c r="R2401">
        <v>1</v>
      </c>
      <c r="S2401">
        <v>9.9</v>
      </c>
      <c r="T2401">
        <v>0</v>
      </c>
      <c r="U2401">
        <v>1</v>
      </c>
      <c r="V2401">
        <v>1</v>
      </c>
      <c r="W2401">
        <v>30.54</v>
      </c>
      <c r="X2401">
        <v>0</v>
      </c>
      <c r="Y2401">
        <v>0</v>
      </c>
      <c r="Z2401">
        <v>0</v>
      </c>
      <c r="AA2401">
        <v>0</v>
      </c>
      <c r="AB2401">
        <v>0</v>
      </c>
      <c r="AC2401">
        <v>0</v>
      </c>
      <c r="AD2401">
        <v>1</v>
      </c>
      <c r="AE2401">
        <v>0</v>
      </c>
      <c r="AF2401">
        <v>0</v>
      </c>
      <c r="AG2401">
        <v>0</v>
      </c>
      <c r="AH2401">
        <v>0</v>
      </c>
      <c r="AI2401">
        <v>0</v>
      </c>
      <c r="AJ2401">
        <v>0</v>
      </c>
      <c r="AK2401">
        <v>0</v>
      </c>
    </row>
    <row r="2402" spans="1:37" x14ac:dyDescent="0.3">
      <c r="A2402">
        <v>7979</v>
      </c>
      <c r="B2402" t="s">
        <v>219</v>
      </c>
      <c r="D2402" t="s">
        <v>327</v>
      </c>
      <c r="E2402">
        <v>99999999</v>
      </c>
      <c r="F2402">
        <v>11111111</v>
      </c>
      <c r="G2402">
        <v>1111111111</v>
      </c>
      <c r="H2402" t="s">
        <v>5971</v>
      </c>
      <c r="I2402">
        <v>99999999</v>
      </c>
      <c r="J2402" s="188">
        <v>45238</v>
      </c>
      <c r="K2402" t="s">
        <v>5971</v>
      </c>
      <c r="L2402" t="s">
        <v>5971</v>
      </c>
      <c r="M2402" t="s">
        <v>285</v>
      </c>
      <c r="N2402" t="s">
        <v>99</v>
      </c>
      <c r="O2402" t="s">
        <v>3120</v>
      </c>
      <c r="P2402" t="s">
        <v>221</v>
      </c>
      <c r="Q2402" t="s">
        <v>82</v>
      </c>
      <c r="R2402">
        <v>2</v>
      </c>
      <c r="S2402">
        <v>4.4000000000000004</v>
      </c>
      <c r="T2402">
        <v>0</v>
      </c>
      <c r="U2402">
        <v>1</v>
      </c>
      <c r="V2402">
        <v>1</v>
      </c>
      <c r="W2402">
        <v>28.99</v>
      </c>
      <c r="X2402">
        <v>0</v>
      </c>
      <c r="Y2402">
        <v>0</v>
      </c>
      <c r="Z2402">
        <v>0</v>
      </c>
      <c r="AA2402">
        <v>0</v>
      </c>
      <c r="AB2402">
        <v>0</v>
      </c>
      <c r="AC2402">
        <v>0</v>
      </c>
      <c r="AD2402">
        <v>2</v>
      </c>
      <c r="AE2402">
        <v>0</v>
      </c>
      <c r="AF2402">
        <v>0</v>
      </c>
      <c r="AG2402">
        <v>0</v>
      </c>
      <c r="AH2402">
        <v>0</v>
      </c>
      <c r="AI2402">
        <v>0</v>
      </c>
      <c r="AJ2402">
        <v>0</v>
      </c>
      <c r="AK2402">
        <v>0</v>
      </c>
    </row>
    <row r="2403" spans="1:37" x14ac:dyDescent="0.3">
      <c r="A2403">
        <v>7979</v>
      </c>
      <c r="B2403" t="s">
        <v>219</v>
      </c>
      <c r="D2403" t="s">
        <v>327</v>
      </c>
      <c r="E2403">
        <v>99999999</v>
      </c>
      <c r="F2403">
        <v>11111111</v>
      </c>
      <c r="G2403">
        <v>1111111111</v>
      </c>
      <c r="H2403" t="s">
        <v>5972</v>
      </c>
      <c r="I2403">
        <v>99999999</v>
      </c>
      <c r="J2403" s="188">
        <v>45238</v>
      </c>
      <c r="K2403" t="s">
        <v>5972</v>
      </c>
      <c r="L2403" t="s">
        <v>5972</v>
      </c>
      <c r="M2403" t="s">
        <v>724</v>
      </c>
      <c r="N2403" t="s">
        <v>197</v>
      </c>
      <c r="O2403" t="s">
        <v>3124</v>
      </c>
      <c r="P2403" t="s">
        <v>221</v>
      </c>
      <c r="Q2403" t="s">
        <v>82</v>
      </c>
      <c r="R2403">
        <v>1</v>
      </c>
      <c r="S2403">
        <v>4.2</v>
      </c>
      <c r="T2403">
        <v>0</v>
      </c>
      <c r="U2403">
        <v>1</v>
      </c>
      <c r="V2403">
        <v>1</v>
      </c>
      <c r="W2403">
        <v>32.19</v>
      </c>
      <c r="X2403">
        <v>0</v>
      </c>
      <c r="Y2403">
        <v>0</v>
      </c>
      <c r="Z2403">
        <v>0</v>
      </c>
      <c r="AA2403">
        <v>0</v>
      </c>
      <c r="AB2403">
        <v>0</v>
      </c>
      <c r="AC2403">
        <v>0</v>
      </c>
      <c r="AD2403">
        <v>1</v>
      </c>
      <c r="AE2403">
        <v>0</v>
      </c>
      <c r="AF2403">
        <v>0</v>
      </c>
      <c r="AG2403">
        <v>0</v>
      </c>
      <c r="AH2403">
        <v>0</v>
      </c>
      <c r="AI2403">
        <v>0</v>
      </c>
      <c r="AJ2403">
        <v>0</v>
      </c>
      <c r="AK2403">
        <v>0</v>
      </c>
    </row>
    <row r="2404" spans="1:37" x14ac:dyDescent="0.3">
      <c r="A2404">
        <v>7979</v>
      </c>
      <c r="B2404" t="s">
        <v>219</v>
      </c>
      <c r="D2404" t="s">
        <v>327</v>
      </c>
      <c r="E2404">
        <v>99999999</v>
      </c>
      <c r="F2404">
        <v>11111111</v>
      </c>
      <c r="G2404">
        <v>1111111111</v>
      </c>
      <c r="H2404" t="s">
        <v>5973</v>
      </c>
      <c r="I2404">
        <v>99999999</v>
      </c>
      <c r="J2404" s="188">
        <v>45238</v>
      </c>
      <c r="K2404" t="s">
        <v>5973</v>
      </c>
      <c r="L2404" t="s">
        <v>5973</v>
      </c>
      <c r="M2404" t="s">
        <v>420</v>
      </c>
      <c r="N2404" t="s">
        <v>164</v>
      </c>
      <c r="O2404" t="s">
        <v>421</v>
      </c>
      <c r="P2404" t="s">
        <v>221</v>
      </c>
      <c r="Q2404" t="s">
        <v>82</v>
      </c>
      <c r="R2404">
        <v>2</v>
      </c>
      <c r="S2404">
        <v>4.04</v>
      </c>
      <c r="T2404">
        <v>0</v>
      </c>
      <c r="U2404">
        <v>1</v>
      </c>
      <c r="V2404">
        <v>1</v>
      </c>
      <c r="W2404">
        <v>28.99</v>
      </c>
      <c r="X2404">
        <v>0</v>
      </c>
      <c r="Y2404">
        <v>0</v>
      </c>
      <c r="Z2404">
        <v>0</v>
      </c>
      <c r="AA2404">
        <v>0</v>
      </c>
      <c r="AB2404">
        <v>0</v>
      </c>
      <c r="AC2404">
        <v>0</v>
      </c>
      <c r="AD2404">
        <v>2</v>
      </c>
      <c r="AE2404">
        <v>0</v>
      </c>
      <c r="AF2404">
        <v>0</v>
      </c>
      <c r="AG2404">
        <v>0</v>
      </c>
      <c r="AH2404">
        <v>0</v>
      </c>
      <c r="AI2404">
        <v>0</v>
      </c>
      <c r="AJ2404">
        <v>0</v>
      </c>
      <c r="AK2404">
        <v>0</v>
      </c>
    </row>
    <row r="2405" spans="1:37" x14ac:dyDescent="0.3">
      <c r="A2405">
        <v>7979</v>
      </c>
      <c r="B2405" t="s">
        <v>219</v>
      </c>
      <c r="D2405" t="s">
        <v>327</v>
      </c>
      <c r="E2405">
        <v>99999999</v>
      </c>
      <c r="F2405">
        <v>11111111</v>
      </c>
      <c r="G2405">
        <v>1111111111</v>
      </c>
      <c r="H2405" t="s">
        <v>5974</v>
      </c>
      <c r="I2405">
        <v>99999999</v>
      </c>
      <c r="J2405" s="188">
        <v>45238</v>
      </c>
      <c r="K2405" t="s">
        <v>5974</v>
      </c>
      <c r="L2405" t="s">
        <v>5974</v>
      </c>
      <c r="M2405" t="s">
        <v>1071</v>
      </c>
      <c r="N2405" t="s">
        <v>104</v>
      </c>
      <c r="O2405" t="s">
        <v>3125</v>
      </c>
      <c r="P2405" t="s">
        <v>221</v>
      </c>
      <c r="Q2405" t="s">
        <v>82</v>
      </c>
      <c r="R2405">
        <v>2</v>
      </c>
      <c r="S2405">
        <v>22.14</v>
      </c>
      <c r="T2405">
        <v>0</v>
      </c>
      <c r="U2405">
        <v>1</v>
      </c>
      <c r="V2405">
        <v>1</v>
      </c>
      <c r="W2405">
        <v>34.01</v>
      </c>
      <c r="X2405">
        <v>0</v>
      </c>
      <c r="Y2405">
        <v>0</v>
      </c>
      <c r="Z2405">
        <v>0</v>
      </c>
      <c r="AA2405">
        <v>0</v>
      </c>
      <c r="AB2405">
        <v>0</v>
      </c>
      <c r="AC2405">
        <v>0</v>
      </c>
      <c r="AD2405">
        <v>2</v>
      </c>
      <c r="AE2405">
        <v>0</v>
      </c>
      <c r="AF2405">
        <v>0</v>
      </c>
      <c r="AG2405">
        <v>0</v>
      </c>
      <c r="AH2405">
        <v>0</v>
      </c>
      <c r="AI2405">
        <v>0</v>
      </c>
      <c r="AJ2405">
        <v>0</v>
      </c>
      <c r="AK2405">
        <v>0</v>
      </c>
    </row>
    <row r="2406" spans="1:37" x14ac:dyDescent="0.3">
      <c r="A2406">
        <v>7979</v>
      </c>
      <c r="B2406" t="s">
        <v>219</v>
      </c>
      <c r="D2406" t="s">
        <v>327</v>
      </c>
      <c r="E2406">
        <v>99999999</v>
      </c>
      <c r="F2406">
        <v>11111111</v>
      </c>
      <c r="G2406">
        <v>1111111111</v>
      </c>
      <c r="H2406" t="s">
        <v>5975</v>
      </c>
      <c r="I2406">
        <v>99999999</v>
      </c>
      <c r="J2406" s="188">
        <v>45238</v>
      </c>
      <c r="K2406" t="s">
        <v>5975</v>
      </c>
      <c r="L2406" t="s">
        <v>5975</v>
      </c>
      <c r="M2406" t="s">
        <v>3126</v>
      </c>
      <c r="N2406" t="s">
        <v>99</v>
      </c>
      <c r="O2406" t="s">
        <v>3127</v>
      </c>
      <c r="P2406" t="s">
        <v>221</v>
      </c>
      <c r="Q2406" t="s">
        <v>82</v>
      </c>
      <c r="R2406">
        <v>2</v>
      </c>
      <c r="S2406">
        <v>1.45</v>
      </c>
      <c r="T2406">
        <v>0</v>
      </c>
      <c r="U2406">
        <v>1</v>
      </c>
      <c r="V2406">
        <v>2</v>
      </c>
      <c r="W2406">
        <v>18.61</v>
      </c>
      <c r="X2406">
        <v>0</v>
      </c>
      <c r="Y2406">
        <v>0</v>
      </c>
      <c r="Z2406">
        <v>0</v>
      </c>
      <c r="AA2406">
        <v>0</v>
      </c>
      <c r="AB2406">
        <v>0</v>
      </c>
      <c r="AC2406">
        <v>0</v>
      </c>
      <c r="AD2406">
        <v>2</v>
      </c>
      <c r="AE2406">
        <v>0</v>
      </c>
      <c r="AF2406">
        <v>0</v>
      </c>
      <c r="AG2406">
        <v>0</v>
      </c>
      <c r="AH2406">
        <v>0</v>
      </c>
      <c r="AI2406">
        <v>0</v>
      </c>
      <c r="AJ2406">
        <v>0</v>
      </c>
      <c r="AK2406">
        <v>0</v>
      </c>
    </row>
    <row r="2407" spans="1:37" x14ac:dyDescent="0.3">
      <c r="A2407">
        <v>7979</v>
      </c>
      <c r="B2407" t="s">
        <v>219</v>
      </c>
      <c r="D2407" t="s">
        <v>327</v>
      </c>
      <c r="E2407">
        <v>99999999</v>
      </c>
      <c r="F2407">
        <v>11111111</v>
      </c>
      <c r="G2407">
        <v>1111111111</v>
      </c>
      <c r="H2407" t="s">
        <v>5976</v>
      </c>
      <c r="I2407">
        <v>99999999</v>
      </c>
      <c r="J2407" s="188">
        <v>45238</v>
      </c>
      <c r="K2407" t="s">
        <v>5976</v>
      </c>
      <c r="L2407" t="s">
        <v>5976</v>
      </c>
      <c r="M2407" t="s">
        <v>1979</v>
      </c>
      <c r="N2407" t="s">
        <v>99</v>
      </c>
      <c r="O2407" t="s">
        <v>3128</v>
      </c>
      <c r="P2407" t="s">
        <v>221</v>
      </c>
      <c r="Q2407" t="s">
        <v>82</v>
      </c>
      <c r="R2407">
        <v>1</v>
      </c>
      <c r="S2407">
        <v>8.0500000000000007</v>
      </c>
      <c r="T2407">
        <v>0</v>
      </c>
      <c r="U2407">
        <v>1</v>
      </c>
      <c r="V2407">
        <v>1</v>
      </c>
      <c r="W2407">
        <v>29.65</v>
      </c>
      <c r="X2407">
        <v>0</v>
      </c>
      <c r="Y2407">
        <v>0</v>
      </c>
      <c r="Z2407">
        <v>0</v>
      </c>
      <c r="AA2407">
        <v>0</v>
      </c>
      <c r="AB2407">
        <v>0</v>
      </c>
      <c r="AC2407">
        <v>0</v>
      </c>
      <c r="AD2407">
        <v>1</v>
      </c>
      <c r="AE2407">
        <v>0</v>
      </c>
      <c r="AF2407">
        <v>0</v>
      </c>
      <c r="AG2407">
        <v>0</v>
      </c>
      <c r="AH2407">
        <v>0</v>
      </c>
      <c r="AI2407">
        <v>0</v>
      </c>
      <c r="AJ2407">
        <v>0</v>
      </c>
      <c r="AK2407">
        <v>0</v>
      </c>
    </row>
    <row r="2408" spans="1:37" x14ac:dyDescent="0.3">
      <c r="A2408">
        <v>7979</v>
      </c>
      <c r="B2408" t="s">
        <v>219</v>
      </c>
      <c r="D2408" t="s">
        <v>327</v>
      </c>
      <c r="E2408">
        <v>99999999</v>
      </c>
      <c r="F2408">
        <v>11111111</v>
      </c>
      <c r="G2408">
        <v>1111111111</v>
      </c>
      <c r="H2408" t="s">
        <v>5977</v>
      </c>
      <c r="I2408">
        <v>99999999</v>
      </c>
      <c r="J2408" s="188">
        <v>45238</v>
      </c>
      <c r="K2408" t="s">
        <v>5977</v>
      </c>
      <c r="L2408" t="s">
        <v>5977</v>
      </c>
      <c r="M2408" t="s">
        <v>875</v>
      </c>
      <c r="N2408" t="s">
        <v>97</v>
      </c>
      <c r="O2408" t="s">
        <v>3129</v>
      </c>
      <c r="P2408" t="s">
        <v>221</v>
      </c>
      <c r="Q2408" t="s">
        <v>82</v>
      </c>
      <c r="R2408">
        <v>3</v>
      </c>
      <c r="S2408">
        <v>0.75</v>
      </c>
      <c r="T2408">
        <v>0</v>
      </c>
      <c r="U2408">
        <v>1</v>
      </c>
      <c r="V2408">
        <v>1</v>
      </c>
      <c r="W2408">
        <v>21.16</v>
      </c>
      <c r="X2408">
        <v>0</v>
      </c>
      <c r="Y2408">
        <v>0</v>
      </c>
      <c r="Z2408">
        <v>0</v>
      </c>
      <c r="AA2408">
        <v>0</v>
      </c>
      <c r="AB2408">
        <v>0</v>
      </c>
      <c r="AC2408">
        <v>0</v>
      </c>
      <c r="AD2408">
        <v>3</v>
      </c>
      <c r="AE2408">
        <v>0</v>
      </c>
      <c r="AF2408">
        <v>0</v>
      </c>
      <c r="AG2408">
        <v>0</v>
      </c>
      <c r="AH2408">
        <v>0</v>
      </c>
      <c r="AI2408">
        <v>0</v>
      </c>
      <c r="AJ2408">
        <v>0</v>
      </c>
      <c r="AK2408">
        <v>0</v>
      </c>
    </row>
    <row r="2409" spans="1:37" x14ac:dyDescent="0.3">
      <c r="A2409">
        <v>7979</v>
      </c>
      <c r="B2409" t="s">
        <v>219</v>
      </c>
      <c r="D2409" t="s">
        <v>327</v>
      </c>
      <c r="E2409">
        <v>99999999</v>
      </c>
      <c r="F2409">
        <v>11111111</v>
      </c>
      <c r="G2409">
        <v>1111111111</v>
      </c>
      <c r="H2409" t="s">
        <v>5978</v>
      </c>
      <c r="I2409">
        <v>99999999</v>
      </c>
      <c r="J2409" s="188">
        <v>45238</v>
      </c>
      <c r="K2409" t="s">
        <v>5978</v>
      </c>
      <c r="L2409" t="s">
        <v>5978</v>
      </c>
      <c r="M2409" t="s">
        <v>285</v>
      </c>
      <c r="N2409" t="s">
        <v>99</v>
      </c>
      <c r="O2409" t="s">
        <v>3120</v>
      </c>
      <c r="P2409" t="s">
        <v>221</v>
      </c>
      <c r="Q2409" t="s">
        <v>82</v>
      </c>
      <c r="R2409">
        <v>1</v>
      </c>
      <c r="S2409">
        <v>2.2000000000000002</v>
      </c>
      <c r="T2409">
        <v>0</v>
      </c>
      <c r="U2409">
        <v>1</v>
      </c>
      <c r="V2409">
        <v>1</v>
      </c>
      <c r="W2409">
        <v>27.94</v>
      </c>
      <c r="X2409">
        <v>0</v>
      </c>
      <c r="Y2409">
        <v>0</v>
      </c>
      <c r="Z2409">
        <v>0</v>
      </c>
      <c r="AA2409">
        <v>0</v>
      </c>
      <c r="AB2409">
        <v>0</v>
      </c>
      <c r="AC2409">
        <v>0</v>
      </c>
      <c r="AD2409">
        <v>1</v>
      </c>
      <c r="AE2409">
        <v>0</v>
      </c>
      <c r="AF2409">
        <v>0</v>
      </c>
      <c r="AG2409">
        <v>0</v>
      </c>
      <c r="AH2409">
        <v>0</v>
      </c>
      <c r="AI2409">
        <v>0</v>
      </c>
      <c r="AJ2409">
        <v>0</v>
      </c>
      <c r="AK2409">
        <v>0</v>
      </c>
    </row>
    <row r="2410" spans="1:37" x14ac:dyDescent="0.3">
      <c r="A2410">
        <v>7979</v>
      </c>
      <c r="B2410" t="s">
        <v>219</v>
      </c>
      <c r="D2410" t="s">
        <v>327</v>
      </c>
      <c r="E2410">
        <v>99999999</v>
      </c>
      <c r="F2410">
        <v>11111111</v>
      </c>
      <c r="G2410">
        <v>1111111111</v>
      </c>
      <c r="H2410" t="s">
        <v>5979</v>
      </c>
      <c r="I2410">
        <v>99999999</v>
      </c>
      <c r="J2410" s="188">
        <v>45238</v>
      </c>
      <c r="K2410" t="s">
        <v>5979</v>
      </c>
      <c r="L2410" t="s">
        <v>5979</v>
      </c>
      <c r="M2410" t="s">
        <v>3130</v>
      </c>
      <c r="N2410" t="s">
        <v>99</v>
      </c>
      <c r="O2410" t="s">
        <v>3131</v>
      </c>
      <c r="P2410" t="s">
        <v>221</v>
      </c>
      <c r="Q2410" t="s">
        <v>82</v>
      </c>
      <c r="R2410">
        <v>1</v>
      </c>
      <c r="S2410">
        <v>2.2000000000000002</v>
      </c>
      <c r="T2410">
        <v>0</v>
      </c>
      <c r="U2410">
        <v>1</v>
      </c>
      <c r="V2410">
        <v>1</v>
      </c>
      <c r="W2410">
        <v>27.94</v>
      </c>
      <c r="X2410">
        <v>0</v>
      </c>
      <c r="Y2410">
        <v>0</v>
      </c>
      <c r="Z2410">
        <v>0</v>
      </c>
      <c r="AA2410">
        <v>0</v>
      </c>
      <c r="AB2410">
        <v>0</v>
      </c>
      <c r="AC2410">
        <v>0</v>
      </c>
      <c r="AD2410">
        <v>1</v>
      </c>
      <c r="AE2410">
        <v>0</v>
      </c>
      <c r="AF2410">
        <v>0</v>
      </c>
      <c r="AG2410">
        <v>0</v>
      </c>
      <c r="AH2410">
        <v>0</v>
      </c>
      <c r="AI2410">
        <v>0</v>
      </c>
      <c r="AJ2410">
        <v>0</v>
      </c>
      <c r="AK2410">
        <v>0</v>
      </c>
    </row>
    <row r="2411" spans="1:37" x14ac:dyDescent="0.3">
      <c r="A2411">
        <v>7979</v>
      </c>
      <c r="B2411" t="s">
        <v>219</v>
      </c>
      <c r="D2411" t="s">
        <v>327</v>
      </c>
      <c r="E2411">
        <v>99999999</v>
      </c>
      <c r="F2411">
        <v>11111111</v>
      </c>
      <c r="G2411">
        <v>1111111111</v>
      </c>
      <c r="H2411" t="s">
        <v>5980</v>
      </c>
      <c r="I2411">
        <v>99999999</v>
      </c>
      <c r="J2411" s="188">
        <v>45238</v>
      </c>
      <c r="K2411" t="s">
        <v>5980</v>
      </c>
      <c r="L2411" t="s">
        <v>5980</v>
      </c>
      <c r="M2411" t="s">
        <v>3132</v>
      </c>
      <c r="N2411" t="s">
        <v>197</v>
      </c>
      <c r="O2411" t="s">
        <v>3133</v>
      </c>
      <c r="P2411" t="s">
        <v>221</v>
      </c>
      <c r="Q2411" t="s">
        <v>82</v>
      </c>
      <c r="R2411">
        <v>1</v>
      </c>
      <c r="S2411">
        <v>4</v>
      </c>
      <c r="T2411">
        <v>0</v>
      </c>
      <c r="U2411">
        <v>1</v>
      </c>
      <c r="V2411">
        <v>1</v>
      </c>
      <c r="W2411">
        <v>25.06</v>
      </c>
      <c r="X2411">
        <v>0</v>
      </c>
      <c r="Y2411">
        <v>0</v>
      </c>
      <c r="Z2411">
        <v>0</v>
      </c>
      <c r="AA2411">
        <v>0</v>
      </c>
      <c r="AB2411">
        <v>0</v>
      </c>
      <c r="AC2411">
        <v>0</v>
      </c>
      <c r="AD2411">
        <v>1</v>
      </c>
      <c r="AE2411">
        <v>0</v>
      </c>
      <c r="AF2411">
        <v>0</v>
      </c>
      <c r="AG2411">
        <v>0</v>
      </c>
      <c r="AH2411">
        <v>0</v>
      </c>
      <c r="AI2411">
        <v>0</v>
      </c>
      <c r="AJ2411">
        <v>0</v>
      </c>
      <c r="AK2411">
        <v>0</v>
      </c>
    </row>
    <row r="2412" spans="1:37" x14ac:dyDescent="0.3">
      <c r="A2412">
        <v>7979</v>
      </c>
      <c r="B2412" t="s">
        <v>219</v>
      </c>
      <c r="D2412" t="s">
        <v>327</v>
      </c>
      <c r="E2412">
        <v>99999999</v>
      </c>
      <c r="F2412">
        <v>11111111</v>
      </c>
      <c r="G2412">
        <v>1111111111</v>
      </c>
      <c r="H2412" t="s">
        <v>5981</v>
      </c>
      <c r="I2412">
        <v>99999999</v>
      </c>
      <c r="J2412" s="188">
        <v>45238</v>
      </c>
      <c r="K2412" t="s">
        <v>5981</v>
      </c>
      <c r="L2412" t="s">
        <v>5981</v>
      </c>
      <c r="M2412" t="s">
        <v>724</v>
      </c>
      <c r="N2412" t="s">
        <v>197</v>
      </c>
      <c r="O2412" t="s">
        <v>3134</v>
      </c>
      <c r="P2412" t="s">
        <v>221</v>
      </c>
      <c r="Q2412" t="s">
        <v>82</v>
      </c>
      <c r="R2412">
        <v>1</v>
      </c>
      <c r="S2412">
        <v>0.08</v>
      </c>
      <c r="T2412">
        <v>0</v>
      </c>
      <c r="U2412">
        <v>1</v>
      </c>
      <c r="V2412">
        <v>1</v>
      </c>
      <c r="W2412">
        <v>26.59</v>
      </c>
      <c r="X2412">
        <v>0</v>
      </c>
      <c r="Y2412">
        <v>0</v>
      </c>
      <c r="Z2412">
        <v>0</v>
      </c>
      <c r="AA2412">
        <v>0</v>
      </c>
      <c r="AB2412">
        <v>0</v>
      </c>
      <c r="AC2412">
        <v>0</v>
      </c>
      <c r="AD2412">
        <v>1</v>
      </c>
      <c r="AE2412">
        <v>0</v>
      </c>
      <c r="AF2412">
        <v>0</v>
      </c>
      <c r="AG2412">
        <v>0</v>
      </c>
      <c r="AH2412">
        <v>0</v>
      </c>
      <c r="AI2412">
        <v>0</v>
      </c>
      <c r="AJ2412">
        <v>0</v>
      </c>
      <c r="AK2412">
        <v>0</v>
      </c>
    </row>
    <row r="2413" spans="1:37" x14ac:dyDescent="0.3">
      <c r="A2413">
        <v>7979</v>
      </c>
      <c r="B2413" t="s">
        <v>219</v>
      </c>
      <c r="D2413" t="s">
        <v>327</v>
      </c>
      <c r="E2413">
        <v>99999999</v>
      </c>
      <c r="F2413">
        <v>11111111</v>
      </c>
      <c r="G2413">
        <v>1111111111</v>
      </c>
      <c r="H2413" t="s">
        <v>5982</v>
      </c>
      <c r="I2413">
        <v>99999999</v>
      </c>
      <c r="J2413" s="188">
        <v>45238</v>
      </c>
      <c r="K2413" t="s">
        <v>5982</v>
      </c>
      <c r="L2413" t="s">
        <v>5982</v>
      </c>
      <c r="M2413" t="s">
        <v>297</v>
      </c>
      <c r="N2413" t="s">
        <v>197</v>
      </c>
      <c r="O2413" t="s">
        <v>1842</v>
      </c>
      <c r="P2413" t="s">
        <v>221</v>
      </c>
      <c r="Q2413" t="s">
        <v>82</v>
      </c>
      <c r="R2413">
        <v>1</v>
      </c>
      <c r="S2413">
        <v>3.7</v>
      </c>
      <c r="T2413">
        <v>0</v>
      </c>
      <c r="U2413">
        <v>1</v>
      </c>
      <c r="V2413">
        <v>1</v>
      </c>
      <c r="W2413">
        <v>25.06</v>
      </c>
      <c r="X2413">
        <v>0</v>
      </c>
      <c r="Y2413">
        <v>0</v>
      </c>
      <c r="Z2413">
        <v>0</v>
      </c>
      <c r="AA2413">
        <v>0</v>
      </c>
      <c r="AB2413">
        <v>0</v>
      </c>
      <c r="AC2413">
        <v>0</v>
      </c>
      <c r="AD2413">
        <v>1</v>
      </c>
      <c r="AE2413">
        <v>0</v>
      </c>
      <c r="AF2413">
        <v>0</v>
      </c>
      <c r="AG2413">
        <v>0</v>
      </c>
      <c r="AH2413">
        <v>0</v>
      </c>
      <c r="AI2413">
        <v>0</v>
      </c>
      <c r="AJ2413">
        <v>0</v>
      </c>
      <c r="AK2413">
        <v>0</v>
      </c>
    </row>
    <row r="2414" spans="1:37" x14ac:dyDescent="0.3">
      <c r="A2414">
        <v>7979</v>
      </c>
      <c r="B2414" t="s">
        <v>219</v>
      </c>
      <c r="D2414" t="s">
        <v>327</v>
      </c>
      <c r="E2414">
        <v>99999999</v>
      </c>
      <c r="F2414">
        <v>11111111</v>
      </c>
      <c r="G2414">
        <v>1111111111</v>
      </c>
      <c r="H2414" t="s">
        <v>5983</v>
      </c>
      <c r="I2414">
        <v>99999999</v>
      </c>
      <c r="J2414" s="188">
        <v>45238</v>
      </c>
      <c r="K2414" t="s">
        <v>5983</v>
      </c>
      <c r="L2414" t="s">
        <v>5983</v>
      </c>
      <c r="M2414" t="s">
        <v>374</v>
      </c>
      <c r="N2414" t="s">
        <v>130</v>
      </c>
      <c r="O2414" t="s">
        <v>3135</v>
      </c>
      <c r="P2414" t="s">
        <v>221</v>
      </c>
      <c r="Q2414" t="s">
        <v>82</v>
      </c>
      <c r="R2414">
        <v>1</v>
      </c>
      <c r="S2414">
        <v>3.75</v>
      </c>
      <c r="T2414">
        <v>0</v>
      </c>
      <c r="U2414">
        <v>1</v>
      </c>
      <c r="V2414">
        <v>1</v>
      </c>
      <c r="W2414">
        <v>24.32</v>
      </c>
      <c r="X2414">
        <v>0</v>
      </c>
      <c r="Y2414">
        <v>0</v>
      </c>
      <c r="Z2414">
        <v>0</v>
      </c>
      <c r="AA2414">
        <v>0</v>
      </c>
      <c r="AB2414">
        <v>0</v>
      </c>
      <c r="AC2414">
        <v>0</v>
      </c>
      <c r="AD2414">
        <v>1</v>
      </c>
      <c r="AE2414">
        <v>0</v>
      </c>
      <c r="AF2414">
        <v>0</v>
      </c>
      <c r="AG2414">
        <v>0</v>
      </c>
      <c r="AH2414">
        <v>0</v>
      </c>
      <c r="AI2414">
        <v>0</v>
      </c>
      <c r="AJ2414">
        <v>0</v>
      </c>
      <c r="AK2414">
        <v>0</v>
      </c>
    </row>
    <row r="2415" spans="1:37" x14ac:dyDescent="0.3">
      <c r="A2415">
        <v>7979</v>
      </c>
      <c r="B2415" t="s">
        <v>219</v>
      </c>
      <c r="D2415" t="s">
        <v>327</v>
      </c>
      <c r="E2415">
        <v>99999999</v>
      </c>
      <c r="F2415">
        <v>11111111</v>
      </c>
      <c r="G2415">
        <v>1111111111</v>
      </c>
      <c r="H2415" t="s">
        <v>5984</v>
      </c>
      <c r="I2415">
        <v>99999999</v>
      </c>
      <c r="J2415" s="188">
        <v>45238</v>
      </c>
      <c r="K2415" t="s">
        <v>5984</v>
      </c>
      <c r="L2415" t="s">
        <v>5984</v>
      </c>
      <c r="M2415" t="s">
        <v>406</v>
      </c>
      <c r="N2415" t="s">
        <v>99</v>
      </c>
      <c r="O2415" t="s">
        <v>3136</v>
      </c>
      <c r="P2415" t="s">
        <v>221</v>
      </c>
      <c r="Q2415" t="s">
        <v>82</v>
      </c>
      <c r="R2415">
        <v>2</v>
      </c>
      <c r="S2415">
        <v>31.5</v>
      </c>
      <c r="T2415">
        <v>0</v>
      </c>
      <c r="U2415">
        <v>1</v>
      </c>
      <c r="V2415">
        <v>1</v>
      </c>
      <c r="W2415">
        <v>35.69</v>
      </c>
      <c r="X2415">
        <v>0</v>
      </c>
      <c r="Y2415">
        <v>0</v>
      </c>
      <c r="Z2415">
        <v>0</v>
      </c>
      <c r="AA2415">
        <v>0</v>
      </c>
      <c r="AB2415">
        <v>0</v>
      </c>
      <c r="AC2415">
        <v>0</v>
      </c>
      <c r="AD2415">
        <v>2</v>
      </c>
      <c r="AE2415">
        <v>0</v>
      </c>
      <c r="AF2415">
        <v>0</v>
      </c>
      <c r="AG2415">
        <v>0</v>
      </c>
      <c r="AH2415">
        <v>0</v>
      </c>
      <c r="AI2415">
        <v>0</v>
      </c>
      <c r="AJ2415">
        <v>0</v>
      </c>
      <c r="AK2415">
        <v>0</v>
      </c>
    </row>
    <row r="2416" spans="1:37" x14ac:dyDescent="0.3">
      <c r="A2416">
        <v>7979</v>
      </c>
      <c r="B2416" t="s">
        <v>219</v>
      </c>
      <c r="D2416" t="s">
        <v>327</v>
      </c>
      <c r="E2416">
        <v>99999999</v>
      </c>
      <c r="F2416">
        <v>11111111</v>
      </c>
      <c r="G2416">
        <v>1111111111</v>
      </c>
      <c r="H2416" t="s">
        <v>5985</v>
      </c>
      <c r="I2416">
        <v>99999999</v>
      </c>
      <c r="J2416" s="188">
        <v>45238</v>
      </c>
      <c r="K2416" t="s">
        <v>5985</v>
      </c>
      <c r="L2416" t="s">
        <v>5985</v>
      </c>
      <c r="M2416" t="s">
        <v>171</v>
      </c>
      <c r="N2416" t="s">
        <v>104</v>
      </c>
      <c r="O2416" t="s">
        <v>3137</v>
      </c>
      <c r="P2416" t="s">
        <v>221</v>
      </c>
      <c r="Q2416" t="s">
        <v>82</v>
      </c>
      <c r="R2416">
        <v>1</v>
      </c>
      <c r="S2416">
        <v>5.0999999999999996</v>
      </c>
      <c r="T2416">
        <v>0</v>
      </c>
      <c r="U2416">
        <v>1</v>
      </c>
      <c r="V2416">
        <v>1</v>
      </c>
      <c r="W2416">
        <v>23.04</v>
      </c>
      <c r="X2416">
        <v>0</v>
      </c>
      <c r="Y2416">
        <v>0</v>
      </c>
      <c r="Z2416">
        <v>0</v>
      </c>
      <c r="AA2416">
        <v>0</v>
      </c>
      <c r="AB2416">
        <v>0</v>
      </c>
      <c r="AC2416">
        <v>0</v>
      </c>
      <c r="AD2416">
        <v>1</v>
      </c>
      <c r="AE2416">
        <v>0</v>
      </c>
      <c r="AF2416">
        <v>0</v>
      </c>
      <c r="AG2416">
        <v>0</v>
      </c>
      <c r="AH2416">
        <v>0</v>
      </c>
      <c r="AI2416">
        <v>0</v>
      </c>
      <c r="AJ2416">
        <v>0</v>
      </c>
      <c r="AK2416">
        <v>0</v>
      </c>
    </row>
    <row r="2417" spans="1:37" x14ac:dyDescent="0.3">
      <c r="A2417">
        <v>7979</v>
      </c>
      <c r="B2417" t="s">
        <v>219</v>
      </c>
      <c r="D2417" t="s">
        <v>327</v>
      </c>
      <c r="E2417">
        <v>99999999</v>
      </c>
      <c r="F2417">
        <v>11111111</v>
      </c>
      <c r="G2417">
        <v>1111111111</v>
      </c>
      <c r="H2417" t="s">
        <v>5986</v>
      </c>
      <c r="I2417">
        <v>99999999</v>
      </c>
      <c r="J2417" s="188">
        <v>45238</v>
      </c>
      <c r="K2417" t="s">
        <v>5986</v>
      </c>
      <c r="L2417" t="s">
        <v>5986</v>
      </c>
      <c r="M2417" t="s">
        <v>406</v>
      </c>
      <c r="N2417" t="s">
        <v>99</v>
      </c>
      <c r="O2417" t="s">
        <v>407</v>
      </c>
      <c r="P2417" t="s">
        <v>221</v>
      </c>
      <c r="Q2417" t="s">
        <v>82</v>
      </c>
      <c r="R2417">
        <v>1</v>
      </c>
      <c r="S2417">
        <v>2</v>
      </c>
      <c r="T2417">
        <v>0</v>
      </c>
      <c r="U2417">
        <v>1</v>
      </c>
      <c r="V2417">
        <v>1</v>
      </c>
      <c r="W2417">
        <v>21.83</v>
      </c>
      <c r="X2417">
        <v>0</v>
      </c>
      <c r="Y2417">
        <v>0</v>
      </c>
      <c r="Z2417">
        <v>0</v>
      </c>
      <c r="AA2417">
        <v>0</v>
      </c>
      <c r="AB2417">
        <v>0</v>
      </c>
      <c r="AC2417">
        <v>0</v>
      </c>
      <c r="AD2417">
        <v>1</v>
      </c>
      <c r="AE2417">
        <v>0</v>
      </c>
      <c r="AF2417">
        <v>0</v>
      </c>
      <c r="AG2417">
        <v>0</v>
      </c>
      <c r="AH2417">
        <v>0</v>
      </c>
      <c r="AI2417">
        <v>0</v>
      </c>
      <c r="AJ2417">
        <v>0</v>
      </c>
      <c r="AK2417">
        <v>0</v>
      </c>
    </row>
    <row r="2418" spans="1:37" x14ac:dyDescent="0.3">
      <c r="A2418">
        <v>7979</v>
      </c>
      <c r="B2418" t="s">
        <v>219</v>
      </c>
      <c r="D2418" t="s">
        <v>327</v>
      </c>
      <c r="E2418">
        <v>99999999</v>
      </c>
      <c r="F2418">
        <v>11111111</v>
      </c>
      <c r="G2418">
        <v>1111111111</v>
      </c>
      <c r="H2418" t="s">
        <v>5987</v>
      </c>
      <c r="I2418">
        <v>99999999</v>
      </c>
      <c r="J2418" s="188">
        <v>45238</v>
      </c>
      <c r="K2418" t="s">
        <v>5987</v>
      </c>
      <c r="L2418" t="s">
        <v>5987</v>
      </c>
      <c r="M2418" t="s">
        <v>414</v>
      </c>
      <c r="N2418" t="s">
        <v>97</v>
      </c>
      <c r="O2418" t="s">
        <v>415</v>
      </c>
      <c r="P2418" t="s">
        <v>221</v>
      </c>
      <c r="Q2418" t="s">
        <v>82</v>
      </c>
      <c r="R2418">
        <v>4</v>
      </c>
      <c r="S2418">
        <v>0.68</v>
      </c>
      <c r="T2418">
        <v>0</v>
      </c>
      <c r="U2418">
        <v>1</v>
      </c>
      <c r="V2418">
        <v>1</v>
      </c>
      <c r="W2418">
        <v>27.27</v>
      </c>
      <c r="X2418">
        <v>0</v>
      </c>
      <c r="Y2418">
        <v>0</v>
      </c>
      <c r="Z2418">
        <v>0</v>
      </c>
      <c r="AA2418">
        <v>0</v>
      </c>
      <c r="AB2418">
        <v>0</v>
      </c>
      <c r="AC2418">
        <v>0</v>
      </c>
      <c r="AD2418">
        <v>4</v>
      </c>
      <c r="AE2418">
        <v>0</v>
      </c>
      <c r="AF2418">
        <v>0</v>
      </c>
      <c r="AG2418">
        <v>0</v>
      </c>
      <c r="AH2418">
        <v>0</v>
      </c>
      <c r="AI2418">
        <v>0</v>
      </c>
      <c r="AJ2418">
        <v>0</v>
      </c>
      <c r="AK2418">
        <v>0</v>
      </c>
    </row>
    <row r="2419" spans="1:37" x14ac:dyDescent="0.3">
      <c r="A2419">
        <v>7979</v>
      </c>
      <c r="B2419" t="s">
        <v>219</v>
      </c>
      <c r="D2419" t="s">
        <v>327</v>
      </c>
      <c r="E2419">
        <v>99999999</v>
      </c>
      <c r="F2419">
        <v>11111111</v>
      </c>
      <c r="G2419">
        <v>1111111111</v>
      </c>
      <c r="H2419" t="s">
        <v>5988</v>
      </c>
      <c r="I2419">
        <v>99999999</v>
      </c>
      <c r="J2419" s="188">
        <v>45238</v>
      </c>
      <c r="K2419" t="s">
        <v>5988</v>
      </c>
      <c r="L2419" t="s">
        <v>5988</v>
      </c>
      <c r="M2419" t="s">
        <v>1540</v>
      </c>
      <c r="N2419" t="s">
        <v>104</v>
      </c>
      <c r="O2419" t="s">
        <v>3138</v>
      </c>
      <c r="P2419" t="s">
        <v>221</v>
      </c>
      <c r="Q2419" t="s">
        <v>82</v>
      </c>
      <c r="R2419">
        <v>2</v>
      </c>
      <c r="S2419">
        <v>25</v>
      </c>
      <c r="T2419">
        <v>0</v>
      </c>
      <c r="U2419">
        <v>1</v>
      </c>
      <c r="V2419">
        <v>1</v>
      </c>
      <c r="W2419">
        <v>31.99</v>
      </c>
      <c r="X2419">
        <v>0</v>
      </c>
      <c r="Y2419">
        <v>0</v>
      </c>
      <c r="Z2419">
        <v>0</v>
      </c>
      <c r="AA2419">
        <v>0</v>
      </c>
      <c r="AB2419">
        <v>0</v>
      </c>
      <c r="AC2419">
        <v>0</v>
      </c>
      <c r="AD2419">
        <v>2</v>
      </c>
      <c r="AE2419">
        <v>0</v>
      </c>
      <c r="AF2419">
        <v>0</v>
      </c>
      <c r="AG2419">
        <v>0</v>
      </c>
      <c r="AH2419">
        <v>0</v>
      </c>
      <c r="AI2419">
        <v>0</v>
      </c>
      <c r="AJ2419">
        <v>0</v>
      </c>
      <c r="AK2419">
        <v>0</v>
      </c>
    </row>
    <row r="2420" spans="1:37" x14ac:dyDescent="0.3">
      <c r="A2420">
        <v>7979</v>
      </c>
      <c r="B2420" t="s">
        <v>219</v>
      </c>
      <c r="D2420" t="s">
        <v>327</v>
      </c>
      <c r="E2420">
        <v>99999999</v>
      </c>
      <c r="F2420">
        <v>11111111</v>
      </c>
      <c r="G2420">
        <v>1111111111</v>
      </c>
      <c r="H2420" t="s">
        <v>5989</v>
      </c>
      <c r="I2420">
        <v>99999999</v>
      </c>
      <c r="J2420" s="188">
        <v>45238</v>
      </c>
      <c r="K2420" t="s">
        <v>5989</v>
      </c>
      <c r="L2420" t="s">
        <v>5989</v>
      </c>
      <c r="M2420" t="s">
        <v>111</v>
      </c>
      <c r="N2420" t="s">
        <v>97</v>
      </c>
      <c r="O2420">
        <v>98092</v>
      </c>
      <c r="P2420" t="s">
        <v>221</v>
      </c>
      <c r="Q2420" t="s">
        <v>82</v>
      </c>
      <c r="R2420">
        <v>2</v>
      </c>
      <c r="S2420">
        <v>16</v>
      </c>
      <c r="T2420">
        <v>0</v>
      </c>
      <c r="U2420">
        <v>1</v>
      </c>
      <c r="V2420">
        <v>2</v>
      </c>
      <c r="W2420">
        <v>26.02</v>
      </c>
      <c r="X2420">
        <v>0</v>
      </c>
      <c r="Y2420">
        <v>0</v>
      </c>
      <c r="Z2420">
        <v>0</v>
      </c>
      <c r="AA2420">
        <v>0</v>
      </c>
      <c r="AB2420">
        <v>0</v>
      </c>
      <c r="AC2420">
        <v>0</v>
      </c>
      <c r="AD2420">
        <v>2</v>
      </c>
      <c r="AE2420">
        <v>0</v>
      </c>
      <c r="AF2420">
        <v>0</v>
      </c>
      <c r="AG2420">
        <v>0</v>
      </c>
      <c r="AH2420">
        <v>0</v>
      </c>
      <c r="AI2420">
        <v>0</v>
      </c>
      <c r="AJ2420">
        <v>0</v>
      </c>
      <c r="AK2420">
        <v>0</v>
      </c>
    </row>
    <row r="2421" spans="1:37" x14ac:dyDescent="0.3">
      <c r="A2421">
        <v>7979</v>
      </c>
      <c r="B2421" t="s">
        <v>219</v>
      </c>
      <c r="D2421" t="s">
        <v>327</v>
      </c>
      <c r="E2421">
        <v>99999999</v>
      </c>
      <c r="F2421">
        <v>11111111</v>
      </c>
      <c r="G2421">
        <v>1111111111</v>
      </c>
      <c r="H2421" t="s">
        <v>5990</v>
      </c>
      <c r="I2421">
        <v>99999999</v>
      </c>
      <c r="J2421" s="188">
        <v>45238</v>
      </c>
      <c r="K2421" t="s">
        <v>5990</v>
      </c>
      <c r="L2421" t="s">
        <v>5990</v>
      </c>
      <c r="M2421" t="s">
        <v>3033</v>
      </c>
      <c r="N2421" t="s">
        <v>99</v>
      </c>
      <c r="O2421" t="s">
        <v>3139</v>
      </c>
      <c r="P2421" t="s">
        <v>221</v>
      </c>
      <c r="Q2421" t="s">
        <v>82</v>
      </c>
      <c r="R2421">
        <v>1</v>
      </c>
      <c r="S2421">
        <v>6.4</v>
      </c>
      <c r="T2421">
        <v>0</v>
      </c>
      <c r="U2421">
        <v>1</v>
      </c>
      <c r="V2421">
        <v>1</v>
      </c>
      <c r="W2421">
        <v>26.86</v>
      </c>
      <c r="X2421">
        <v>0</v>
      </c>
      <c r="Y2421">
        <v>0</v>
      </c>
      <c r="Z2421">
        <v>0</v>
      </c>
      <c r="AA2421">
        <v>0</v>
      </c>
      <c r="AB2421">
        <v>0</v>
      </c>
      <c r="AC2421">
        <v>0</v>
      </c>
      <c r="AD2421">
        <v>1</v>
      </c>
      <c r="AE2421">
        <v>0</v>
      </c>
      <c r="AF2421">
        <v>0</v>
      </c>
      <c r="AG2421">
        <v>0</v>
      </c>
      <c r="AH2421">
        <v>0</v>
      </c>
      <c r="AI2421">
        <v>0</v>
      </c>
      <c r="AJ2421">
        <v>0</v>
      </c>
      <c r="AK2421">
        <v>0</v>
      </c>
    </row>
    <row r="2422" spans="1:37" x14ac:dyDescent="0.3">
      <c r="A2422">
        <v>7979</v>
      </c>
      <c r="B2422" t="s">
        <v>219</v>
      </c>
      <c r="D2422" t="s">
        <v>327</v>
      </c>
      <c r="E2422">
        <v>99999999</v>
      </c>
      <c r="F2422">
        <v>11111111</v>
      </c>
      <c r="G2422">
        <v>1111111111</v>
      </c>
      <c r="H2422" t="s">
        <v>5991</v>
      </c>
      <c r="I2422">
        <v>99999999</v>
      </c>
      <c r="J2422" s="188">
        <v>45238</v>
      </c>
      <c r="K2422" t="s">
        <v>5991</v>
      </c>
      <c r="L2422" t="s">
        <v>5991</v>
      </c>
      <c r="M2422" t="s">
        <v>358</v>
      </c>
      <c r="N2422" t="s">
        <v>197</v>
      </c>
      <c r="O2422" t="s">
        <v>3140</v>
      </c>
      <c r="P2422" t="s">
        <v>221</v>
      </c>
      <c r="Q2422" t="s">
        <v>82</v>
      </c>
      <c r="R2422">
        <v>1</v>
      </c>
      <c r="S2422">
        <v>1</v>
      </c>
      <c r="T2422">
        <v>0</v>
      </c>
      <c r="U2422">
        <v>1</v>
      </c>
      <c r="V2422">
        <v>1</v>
      </c>
      <c r="W2422">
        <v>22.16</v>
      </c>
      <c r="X2422">
        <v>0</v>
      </c>
      <c r="Y2422">
        <v>0</v>
      </c>
      <c r="Z2422">
        <v>0</v>
      </c>
      <c r="AA2422">
        <v>0</v>
      </c>
      <c r="AB2422">
        <v>0</v>
      </c>
      <c r="AC2422">
        <v>0</v>
      </c>
      <c r="AD2422">
        <v>1</v>
      </c>
      <c r="AE2422">
        <v>0</v>
      </c>
      <c r="AF2422">
        <v>0</v>
      </c>
      <c r="AG2422">
        <v>0</v>
      </c>
      <c r="AH2422">
        <v>0</v>
      </c>
      <c r="AI2422">
        <v>0</v>
      </c>
      <c r="AJ2422">
        <v>0</v>
      </c>
      <c r="AK2422">
        <v>0</v>
      </c>
    </row>
    <row r="2423" spans="1:37" x14ac:dyDescent="0.3">
      <c r="A2423">
        <v>7979</v>
      </c>
      <c r="B2423" t="s">
        <v>219</v>
      </c>
      <c r="D2423" t="s">
        <v>327</v>
      </c>
      <c r="E2423">
        <v>99999999</v>
      </c>
      <c r="F2423">
        <v>11111111</v>
      </c>
      <c r="G2423">
        <v>1111111111</v>
      </c>
      <c r="H2423" t="s">
        <v>5992</v>
      </c>
      <c r="I2423">
        <v>99999999</v>
      </c>
      <c r="J2423" s="188">
        <v>45238</v>
      </c>
      <c r="K2423" t="s">
        <v>5992</v>
      </c>
      <c r="L2423" t="s">
        <v>5992</v>
      </c>
      <c r="M2423" t="s">
        <v>3141</v>
      </c>
      <c r="N2423" t="s">
        <v>99</v>
      </c>
      <c r="O2423" t="s">
        <v>3142</v>
      </c>
      <c r="P2423" t="s">
        <v>221</v>
      </c>
      <c r="Q2423" t="s">
        <v>82</v>
      </c>
      <c r="R2423">
        <v>2</v>
      </c>
      <c r="S2423">
        <v>11.5</v>
      </c>
      <c r="T2423">
        <v>0</v>
      </c>
      <c r="U2423">
        <v>1</v>
      </c>
      <c r="V2423">
        <v>2</v>
      </c>
      <c r="W2423">
        <v>24.78</v>
      </c>
      <c r="X2423">
        <v>0</v>
      </c>
      <c r="Y2423">
        <v>0</v>
      </c>
      <c r="Z2423">
        <v>0</v>
      </c>
      <c r="AA2423">
        <v>0</v>
      </c>
      <c r="AB2423">
        <v>0</v>
      </c>
      <c r="AC2423">
        <v>0</v>
      </c>
      <c r="AD2423">
        <v>2</v>
      </c>
      <c r="AE2423">
        <v>0</v>
      </c>
      <c r="AF2423">
        <v>0</v>
      </c>
      <c r="AG2423">
        <v>0</v>
      </c>
      <c r="AH2423">
        <v>0</v>
      </c>
      <c r="AI2423">
        <v>0</v>
      </c>
      <c r="AJ2423">
        <v>0</v>
      </c>
      <c r="AK2423">
        <v>0</v>
      </c>
    </row>
    <row r="2424" spans="1:37" x14ac:dyDescent="0.3">
      <c r="A2424">
        <v>7979</v>
      </c>
      <c r="B2424" t="s">
        <v>219</v>
      </c>
      <c r="D2424" t="s">
        <v>327</v>
      </c>
      <c r="E2424">
        <v>99999999</v>
      </c>
      <c r="F2424">
        <v>11111111</v>
      </c>
      <c r="G2424">
        <v>1111111111</v>
      </c>
      <c r="H2424" t="s">
        <v>5993</v>
      </c>
      <c r="I2424">
        <v>99999999</v>
      </c>
      <c r="J2424" s="188">
        <v>45238</v>
      </c>
      <c r="K2424" t="s">
        <v>5993</v>
      </c>
      <c r="L2424" t="s">
        <v>5993</v>
      </c>
      <c r="M2424" t="s">
        <v>3143</v>
      </c>
      <c r="N2424" t="s">
        <v>197</v>
      </c>
      <c r="O2424">
        <v>75160</v>
      </c>
      <c r="P2424" t="s">
        <v>221</v>
      </c>
      <c r="Q2424" t="s">
        <v>82</v>
      </c>
      <c r="R2424">
        <v>1</v>
      </c>
      <c r="S2424">
        <v>3.5</v>
      </c>
      <c r="T2424">
        <v>0</v>
      </c>
      <c r="U2424">
        <v>1</v>
      </c>
      <c r="V2424">
        <v>1</v>
      </c>
      <c r="W2424">
        <v>30.13</v>
      </c>
      <c r="X2424">
        <v>0</v>
      </c>
      <c r="Y2424">
        <v>0</v>
      </c>
      <c r="Z2424">
        <v>0</v>
      </c>
      <c r="AA2424">
        <v>0</v>
      </c>
      <c r="AB2424">
        <v>0</v>
      </c>
      <c r="AC2424">
        <v>0</v>
      </c>
      <c r="AD2424">
        <v>1</v>
      </c>
      <c r="AE2424">
        <v>0</v>
      </c>
      <c r="AF2424">
        <v>0</v>
      </c>
      <c r="AG2424">
        <v>0</v>
      </c>
      <c r="AH2424">
        <v>0</v>
      </c>
      <c r="AI2424">
        <v>0</v>
      </c>
      <c r="AJ2424">
        <v>0</v>
      </c>
      <c r="AK2424">
        <v>0</v>
      </c>
    </row>
    <row r="2425" spans="1:37" x14ac:dyDescent="0.3">
      <c r="A2425">
        <v>7979</v>
      </c>
      <c r="B2425" t="s">
        <v>219</v>
      </c>
      <c r="D2425" t="s">
        <v>327</v>
      </c>
      <c r="E2425">
        <v>99999999</v>
      </c>
      <c r="F2425">
        <v>11111111</v>
      </c>
      <c r="G2425">
        <v>1111111111</v>
      </c>
      <c r="H2425" t="s">
        <v>5994</v>
      </c>
      <c r="I2425">
        <v>99999999</v>
      </c>
      <c r="J2425" s="188">
        <v>45238</v>
      </c>
      <c r="K2425" t="s">
        <v>5994</v>
      </c>
      <c r="L2425" t="s">
        <v>5994</v>
      </c>
      <c r="M2425" t="s">
        <v>2948</v>
      </c>
      <c r="N2425" t="s">
        <v>97</v>
      </c>
      <c r="O2425" t="s">
        <v>3144</v>
      </c>
      <c r="P2425" t="s">
        <v>221</v>
      </c>
      <c r="Q2425" t="s">
        <v>82</v>
      </c>
      <c r="R2425">
        <v>1</v>
      </c>
      <c r="S2425">
        <v>10.61</v>
      </c>
      <c r="T2425">
        <v>0</v>
      </c>
      <c r="U2425">
        <v>1</v>
      </c>
      <c r="V2425">
        <v>1</v>
      </c>
      <c r="W2425">
        <v>24.78</v>
      </c>
      <c r="X2425">
        <v>0</v>
      </c>
      <c r="Y2425">
        <v>0</v>
      </c>
      <c r="Z2425">
        <v>0</v>
      </c>
      <c r="AA2425">
        <v>0</v>
      </c>
      <c r="AB2425">
        <v>0</v>
      </c>
      <c r="AC2425">
        <v>0</v>
      </c>
      <c r="AD2425">
        <v>1</v>
      </c>
      <c r="AE2425">
        <v>0</v>
      </c>
      <c r="AF2425">
        <v>0</v>
      </c>
      <c r="AG2425">
        <v>0</v>
      </c>
      <c r="AH2425">
        <v>0</v>
      </c>
      <c r="AI2425">
        <v>0</v>
      </c>
      <c r="AJ2425">
        <v>0</v>
      </c>
      <c r="AK2425">
        <v>0</v>
      </c>
    </row>
    <row r="2426" spans="1:37" x14ac:dyDescent="0.3">
      <c r="A2426">
        <v>7979</v>
      </c>
      <c r="B2426" t="s">
        <v>219</v>
      </c>
      <c r="D2426" t="s">
        <v>327</v>
      </c>
      <c r="E2426">
        <v>99999999</v>
      </c>
      <c r="F2426">
        <v>11111111</v>
      </c>
      <c r="G2426">
        <v>1111111111</v>
      </c>
      <c r="H2426" t="s">
        <v>5995</v>
      </c>
      <c r="I2426">
        <v>99999999</v>
      </c>
      <c r="J2426" s="188">
        <v>45238</v>
      </c>
      <c r="K2426" t="s">
        <v>5995</v>
      </c>
      <c r="L2426" t="s">
        <v>5995</v>
      </c>
      <c r="M2426" t="s">
        <v>2611</v>
      </c>
      <c r="N2426" t="s">
        <v>99</v>
      </c>
      <c r="O2426" t="s">
        <v>3145</v>
      </c>
      <c r="P2426" t="s">
        <v>221</v>
      </c>
      <c r="Q2426" t="s">
        <v>82</v>
      </c>
      <c r="R2426">
        <v>1</v>
      </c>
      <c r="S2426">
        <v>11.5</v>
      </c>
      <c r="T2426">
        <v>0</v>
      </c>
      <c r="U2426">
        <v>1</v>
      </c>
      <c r="V2426">
        <v>1</v>
      </c>
      <c r="W2426">
        <v>39.82</v>
      </c>
      <c r="X2426">
        <v>0</v>
      </c>
      <c r="Y2426">
        <v>0</v>
      </c>
      <c r="Z2426">
        <v>0</v>
      </c>
      <c r="AA2426">
        <v>0</v>
      </c>
      <c r="AB2426">
        <v>0</v>
      </c>
      <c r="AC2426">
        <v>0</v>
      </c>
      <c r="AD2426">
        <v>1</v>
      </c>
      <c r="AE2426">
        <v>0</v>
      </c>
      <c r="AF2426">
        <v>0</v>
      </c>
      <c r="AG2426">
        <v>0</v>
      </c>
      <c r="AH2426">
        <v>0</v>
      </c>
      <c r="AI2426">
        <v>0</v>
      </c>
      <c r="AJ2426">
        <v>0</v>
      </c>
      <c r="AK2426">
        <v>0</v>
      </c>
    </row>
    <row r="2427" spans="1:37" x14ac:dyDescent="0.3">
      <c r="A2427">
        <v>7979</v>
      </c>
      <c r="B2427" t="s">
        <v>219</v>
      </c>
      <c r="D2427" t="s">
        <v>327</v>
      </c>
      <c r="E2427">
        <v>99999999</v>
      </c>
      <c r="F2427">
        <v>11111111</v>
      </c>
      <c r="G2427">
        <v>1111111111</v>
      </c>
      <c r="H2427" t="s">
        <v>5996</v>
      </c>
      <c r="I2427">
        <v>99999999</v>
      </c>
      <c r="J2427" s="188">
        <v>45238</v>
      </c>
      <c r="K2427" t="s">
        <v>5996</v>
      </c>
      <c r="L2427" t="s">
        <v>5996</v>
      </c>
      <c r="M2427" t="s">
        <v>482</v>
      </c>
      <c r="N2427" t="s">
        <v>104</v>
      </c>
      <c r="O2427" t="s">
        <v>3146</v>
      </c>
      <c r="P2427" t="s">
        <v>221</v>
      </c>
      <c r="Q2427" t="s">
        <v>82</v>
      </c>
      <c r="R2427">
        <v>1</v>
      </c>
      <c r="S2427">
        <v>3.75</v>
      </c>
      <c r="T2427">
        <v>0</v>
      </c>
      <c r="U2427">
        <v>1</v>
      </c>
      <c r="V2427">
        <v>1</v>
      </c>
      <c r="W2427">
        <v>30.43</v>
      </c>
      <c r="X2427">
        <v>0</v>
      </c>
      <c r="Y2427">
        <v>0</v>
      </c>
      <c r="Z2427">
        <v>0</v>
      </c>
      <c r="AA2427">
        <v>0</v>
      </c>
      <c r="AB2427">
        <v>0</v>
      </c>
      <c r="AC2427">
        <v>0</v>
      </c>
      <c r="AD2427">
        <v>1</v>
      </c>
      <c r="AE2427">
        <v>0</v>
      </c>
      <c r="AF2427">
        <v>0</v>
      </c>
      <c r="AG2427">
        <v>0</v>
      </c>
      <c r="AH2427">
        <v>0</v>
      </c>
      <c r="AI2427">
        <v>0</v>
      </c>
      <c r="AJ2427">
        <v>0</v>
      </c>
      <c r="AK2427">
        <v>0</v>
      </c>
    </row>
    <row r="2428" spans="1:37" x14ac:dyDescent="0.3">
      <c r="A2428">
        <v>7979</v>
      </c>
      <c r="B2428" t="s">
        <v>219</v>
      </c>
      <c r="D2428" t="s">
        <v>327</v>
      </c>
      <c r="E2428">
        <v>99999999</v>
      </c>
      <c r="F2428">
        <v>11111111</v>
      </c>
      <c r="G2428">
        <v>1111111111</v>
      </c>
      <c r="H2428" t="s">
        <v>5997</v>
      </c>
      <c r="I2428">
        <v>99999999</v>
      </c>
      <c r="J2428" s="188">
        <v>45238</v>
      </c>
      <c r="K2428" t="s">
        <v>5997</v>
      </c>
      <c r="L2428" t="s">
        <v>5997</v>
      </c>
      <c r="M2428" t="s">
        <v>3147</v>
      </c>
      <c r="N2428" t="s">
        <v>307</v>
      </c>
      <c r="O2428" t="s">
        <v>3148</v>
      </c>
      <c r="P2428" t="s">
        <v>221</v>
      </c>
      <c r="Q2428" t="s">
        <v>82</v>
      </c>
      <c r="R2428">
        <v>1</v>
      </c>
      <c r="S2428">
        <v>2.02</v>
      </c>
      <c r="T2428">
        <v>0</v>
      </c>
      <c r="U2428">
        <v>1</v>
      </c>
      <c r="V2428">
        <v>1</v>
      </c>
      <c r="W2428">
        <v>29.41</v>
      </c>
      <c r="X2428">
        <v>0</v>
      </c>
      <c r="Y2428">
        <v>0</v>
      </c>
      <c r="Z2428">
        <v>0</v>
      </c>
      <c r="AA2428">
        <v>0</v>
      </c>
      <c r="AB2428">
        <v>0</v>
      </c>
      <c r="AC2428">
        <v>0</v>
      </c>
      <c r="AD2428">
        <v>1</v>
      </c>
      <c r="AE2428">
        <v>0</v>
      </c>
      <c r="AF2428">
        <v>0</v>
      </c>
      <c r="AG2428">
        <v>0</v>
      </c>
      <c r="AH2428">
        <v>0</v>
      </c>
      <c r="AI2428">
        <v>0</v>
      </c>
      <c r="AJ2428">
        <v>0</v>
      </c>
      <c r="AK2428">
        <v>0</v>
      </c>
    </row>
    <row r="2429" spans="1:37" x14ac:dyDescent="0.3">
      <c r="A2429">
        <v>7979</v>
      </c>
      <c r="B2429" t="s">
        <v>219</v>
      </c>
      <c r="D2429" t="s">
        <v>327</v>
      </c>
      <c r="E2429">
        <v>99999999</v>
      </c>
      <c r="F2429">
        <v>11111111</v>
      </c>
      <c r="G2429">
        <v>1111111111</v>
      </c>
      <c r="H2429" t="s">
        <v>5998</v>
      </c>
      <c r="I2429">
        <v>99999999</v>
      </c>
      <c r="J2429" s="188">
        <v>45238</v>
      </c>
      <c r="K2429" t="s">
        <v>5998</v>
      </c>
      <c r="L2429" t="s">
        <v>5998</v>
      </c>
      <c r="M2429" t="s">
        <v>3149</v>
      </c>
      <c r="N2429" t="s">
        <v>164</v>
      </c>
      <c r="O2429" t="s">
        <v>3150</v>
      </c>
      <c r="P2429" t="s">
        <v>221</v>
      </c>
      <c r="Q2429" t="s">
        <v>82</v>
      </c>
      <c r="R2429">
        <v>1</v>
      </c>
      <c r="S2429">
        <v>6.2</v>
      </c>
      <c r="T2429">
        <v>0</v>
      </c>
      <c r="U2429">
        <v>1</v>
      </c>
      <c r="V2429">
        <v>1</v>
      </c>
      <c r="W2429">
        <v>29.6</v>
      </c>
      <c r="X2429">
        <v>0</v>
      </c>
      <c r="Y2429">
        <v>0</v>
      </c>
      <c r="Z2429">
        <v>0</v>
      </c>
      <c r="AA2429">
        <v>0</v>
      </c>
      <c r="AB2429">
        <v>0</v>
      </c>
      <c r="AC2429">
        <v>0</v>
      </c>
      <c r="AD2429">
        <v>1</v>
      </c>
      <c r="AE2429">
        <v>0</v>
      </c>
      <c r="AF2429">
        <v>0</v>
      </c>
      <c r="AG2429">
        <v>0</v>
      </c>
      <c r="AH2429">
        <v>0</v>
      </c>
      <c r="AI2429">
        <v>0</v>
      </c>
      <c r="AJ2429">
        <v>0</v>
      </c>
      <c r="AK2429">
        <v>0</v>
      </c>
    </row>
    <row r="2430" spans="1:37" x14ac:dyDescent="0.3">
      <c r="A2430">
        <v>7979</v>
      </c>
      <c r="B2430" t="s">
        <v>219</v>
      </c>
      <c r="D2430" t="s">
        <v>327</v>
      </c>
      <c r="E2430">
        <v>99999999</v>
      </c>
      <c r="F2430">
        <v>11111111</v>
      </c>
      <c r="G2430">
        <v>1111111111</v>
      </c>
      <c r="H2430" t="s">
        <v>5999</v>
      </c>
      <c r="I2430">
        <v>99999999</v>
      </c>
      <c r="J2430" s="188">
        <v>45238</v>
      </c>
      <c r="K2430" t="s">
        <v>5999</v>
      </c>
      <c r="L2430" t="s">
        <v>5999</v>
      </c>
      <c r="M2430" t="s">
        <v>1747</v>
      </c>
      <c r="N2430" t="s">
        <v>99</v>
      </c>
      <c r="O2430" t="s">
        <v>3151</v>
      </c>
      <c r="P2430" t="s">
        <v>221</v>
      </c>
      <c r="Q2430" t="s">
        <v>82</v>
      </c>
      <c r="R2430">
        <v>1</v>
      </c>
      <c r="S2430">
        <v>11.5</v>
      </c>
      <c r="T2430">
        <v>0</v>
      </c>
      <c r="U2430">
        <v>1</v>
      </c>
      <c r="V2430">
        <v>1</v>
      </c>
      <c r="W2430">
        <v>23.7</v>
      </c>
      <c r="X2430">
        <v>0</v>
      </c>
      <c r="Y2430">
        <v>0</v>
      </c>
      <c r="Z2430">
        <v>0</v>
      </c>
      <c r="AA2430">
        <v>0</v>
      </c>
      <c r="AB2430">
        <v>0</v>
      </c>
      <c r="AC2430">
        <v>0</v>
      </c>
      <c r="AD2430">
        <v>1</v>
      </c>
      <c r="AE2430">
        <v>0</v>
      </c>
      <c r="AF2430">
        <v>0</v>
      </c>
      <c r="AG2430">
        <v>0</v>
      </c>
      <c r="AH2430">
        <v>0</v>
      </c>
      <c r="AI2430">
        <v>0</v>
      </c>
      <c r="AJ2430">
        <v>0</v>
      </c>
      <c r="AK2430">
        <v>0</v>
      </c>
    </row>
    <row r="2431" spans="1:37" x14ac:dyDescent="0.3">
      <c r="A2431">
        <v>7979</v>
      </c>
      <c r="B2431" t="s">
        <v>219</v>
      </c>
      <c r="D2431" t="s">
        <v>327</v>
      </c>
      <c r="E2431">
        <v>99999999</v>
      </c>
      <c r="F2431">
        <v>11111111</v>
      </c>
      <c r="G2431">
        <v>1111111111</v>
      </c>
      <c r="H2431" t="s">
        <v>6000</v>
      </c>
      <c r="I2431">
        <v>99999999</v>
      </c>
      <c r="J2431" s="188">
        <v>45238</v>
      </c>
      <c r="K2431" t="s">
        <v>6000</v>
      </c>
      <c r="L2431" t="s">
        <v>6000</v>
      </c>
      <c r="M2431" t="s">
        <v>3065</v>
      </c>
      <c r="N2431" t="s">
        <v>197</v>
      </c>
      <c r="O2431" t="s">
        <v>3152</v>
      </c>
      <c r="P2431" t="s">
        <v>221</v>
      </c>
      <c r="Q2431" t="s">
        <v>82</v>
      </c>
      <c r="R2431">
        <v>1</v>
      </c>
      <c r="S2431">
        <v>3.75</v>
      </c>
      <c r="T2431">
        <v>0</v>
      </c>
      <c r="U2431">
        <v>1</v>
      </c>
      <c r="V2431">
        <v>1</v>
      </c>
      <c r="W2431">
        <v>31.16</v>
      </c>
      <c r="X2431">
        <v>0</v>
      </c>
      <c r="Y2431">
        <v>0</v>
      </c>
      <c r="Z2431">
        <v>0</v>
      </c>
      <c r="AA2431">
        <v>0</v>
      </c>
      <c r="AB2431">
        <v>0</v>
      </c>
      <c r="AC2431">
        <v>0</v>
      </c>
      <c r="AD2431">
        <v>1</v>
      </c>
      <c r="AE2431">
        <v>0</v>
      </c>
      <c r="AF2431">
        <v>0</v>
      </c>
      <c r="AG2431">
        <v>0</v>
      </c>
      <c r="AH2431">
        <v>0</v>
      </c>
      <c r="AI2431">
        <v>0</v>
      </c>
      <c r="AJ2431">
        <v>0</v>
      </c>
      <c r="AK2431">
        <v>0</v>
      </c>
    </row>
    <row r="2432" spans="1:37" x14ac:dyDescent="0.3">
      <c r="A2432">
        <v>7979</v>
      </c>
      <c r="B2432" t="s">
        <v>219</v>
      </c>
      <c r="D2432" t="s">
        <v>327</v>
      </c>
      <c r="E2432">
        <v>99999999</v>
      </c>
      <c r="F2432">
        <v>11111111</v>
      </c>
      <c r="G2432">
        <v>1111111111</v>
      </c>
      <c r="H2432" t="s">
        <v>6001</v>
      </c>
      <c r="I2432">
        <v>99999999</v>
      </c>
      <c r="J2432" s="188">
        <v>45238</v>
      </c>
      <c r="K2432" t="s">
        <v>6001</v>
      </c>
      <c r="L2432" t="s">
        <v>6001</v>
      </c>
      <c r="M2432" t="s">
        <v>3153</v>
      </c>
      <c r="N2432" t="s">
        <v>97</v>
      </c>
      <c r="O2432" t="s">
        <v>3154</v>
      </c>
      <c r="P2432" t="s">
        <v>221</v>
      </c>
      <c r="Q2432" t="s">
        <v>82</v>
      </c>
      <c r="R2432">
        <v>1</v>
      </c>
      <c r="S2432">
        <v>17.5</v>
      </c>
      <c r="T2432">
        <v>0</v>
      </c>
      <c r="U2432">
        <v>1</v>
      </c>
      <c r="V2432">
        <v>1</v>
      </c>
      <c r="W2432">
        <v>34.47</v>
      </c>
      <c r="X2432">
        <v>0</v>
      </c>
      <c r="Y2432">
        <v>0</v>
      </c>
      <c r="Z2432">
        <v>0</v>
      </c>
      <c r="AA2432">
        <v>0</v>
      </c>
      <c r="AB2432">
        <v>0</v>
      </c>
      <c r="AC2432">
        <v>0</v>
      </c>
      <c r="AD2432">
        <v>1</v>
      </c>
      <c r="AE2432">
        <v>0</v>
      </c>
      <c r="AF2432">
        <v>0</v>
      </c>
      <c r="AG2432">
        <v>0</v>
      </c>
      <c r="AH2432">
        <v>0</v>
      </c>
      <c r="AI2432">
        <v>0</v>
      </c>
      <c r="AJ2432">
        <v>0</v>
      </c>
      <c r="AK2432">
        <v>0</v>
      </c>
    </row>
    <row r="2433" spans="1:37" x14ac:dyDescent="0.3">
      <c r="A2433">
        <v>7979</v>
      </c>
      <c r="B2433" t="s">
        <v>219</v>
      </c>
      <c r="D2433" t="s">
        <v>327</v>
      </c>
      <c r="E2433">
        <v>99999999</v>
      </c>
      <c r="F2433">
        <v>11111111</v>
      </c>
      <c r="G2433">
        <v>1111111111</v>
      </c>
      <c r="H2433" t="s">
        <v>6002</v>
      </c>
      <c r="I2433">
        <v>99999999</v>
      </c>
      <c r="J2433" s="188">
        <v>45238</v>
      </c>
      <c r="K2433" t="s">
        <v>6002</v>
      </c>
      <c r="L2433" t="s">
        <v>6002</v>
      </c>
      <c r="M2433" t="s">
        <v>590</v>
      </c>
      <c r="N2433" t="s">
        <v>130</v>
      </c>
      <c r="O2433" t="s">
        <v>3155</v>
      </c>
      <c r="P2433" t="s">
        <v>221</v>
      </c>
      <c r="Q2433" t="s">
        <v>82</v>
      </c>
      <c r="R2433">
        <v>2</v>
      </c>
      <c r="S2433">
        <v>23</v>
      </c>
      <c r="T2433">
        <v>0</v>
      </c>
      <c r="U2433">
        <v>1</v>
      </c>
      <c r="V2433">
        <v>1</v>
      </c>
      <c r="W2433">
        <v>43.74</v>
      </c>
      <c r="X2433">
        <v>0</v>
      </c>
      <c r="Y2433">
        <v>0</v>
      </c>
      <c r="Z2433">
        <v>0</v>
      </c>
      <c r="AA2433">
        <v>0</v>
      </c>
      <c r="AB2433">
        <v>0</v>
      </c>
      <c r="AC2433">
        <v>0</v>
      </c>
      <c r="AD2433">
        <v>2</v>
      </c>
      <c r="AE2433">
        <v>0</v>
      </c>
      <c r="AF2433">
        <v>0</v>
      </c>
      <c r="AG2433">
        <v>0</v>
      </c>
      <c r="AH2433">
        <v>0</v>
      </c>
      <c r="AI2433">
        <v>0</v>
      </c>
      <c r="AJ2433">
        <v>0</v>
      </c>
      <c r="AK2433">
        <v>0</v>
      </c>
    </row>
    <row r="2434" spans="1:37" x14ac:dyDescent="0.3">
      <c r="A2434">
        <v>7979</v>
      </c>
      <c r="B2434" t="s">
        <v>219</v>
      </c>
      <c r="D2434" t="s">
        <v>327</v>
      </c>
      <c r="E2434">
        <v>99999999</v>
      </c>
      <c r="F2434">
        <v>11111111</v>
      </c>
      <c r="G2434">
        <v>1111111111</v>
      </c>
      <c r="H2434" t="s">
        <v>6003</v>
      </c>
      <c r="I2434">
        <v>99999999</v>
      </c>
      <c r="J2434" s="188">
        <v>45238</v>
      </c>
      <c r="K2434" t="s">
        <v>6003</v>
      </c>
      <c r="L2434" t="s">
        <v>6003</v>
      </c>
      <c r="M2434" t="s">
        <v>620</v>
      </c>
      <c r="N2434" t="s">
        <v>97</v>
      </c>
      <c r="O2434">
        <v>98439</v>
      </c>
      <c r="P2434" t="s">
        <v>221</v>
      </c>
      <c r="Q2434" t="s">
        <v>82</v>
      </c>
      <c r="R2434">
        <v>1</v>
      </c>
      <c r="S2434">
        <v>3.75</v>
      </c>
      <c r="T2434">
        <v>0</v>
      </c>
      <c r="U2434">
        <v>1</v>
      </c>
      <c r="V2434">
        <v>1</v>
      </c>
      <c r="W2434">
        <v>28.99</v>
      </c>
      <c r="X2434">
        <v>0</v>
      </c>
      <c r="Y2434">
        <v>0</v>
      </c>
      <c r="Z2434">
        <v>0</v>
      </c>
      <c r="AA2434">
        <v>0</v>
      </c>
      <c r="AB2434">
        <v>0</v>
      </c>
      <c r="AC2434">
        <v>0</v>
      </c>
      <c r="AD2434">
        <v>1</v>
      </c>
      <c r="AE2434">
        <v>0</v>
      </c>
      <c r="AF2434">
        <v>0</v>
      </c>
      <c r="AG2434">
        <v>0</v>
      </c>
      <c r="AH2434">
        <v>0</v>
      </c>
      <c r="AI2434">
        <v>0</v>
      </c>
      <c r="AJ2434">
        <v>0</v>
      </c>
      <c r="AK2434">
        <v>0</v>
      </c>
    </row>
    <row r="2435" spans="1:37" x14ac:dyDescent="0.3">
      <c r="A2435">
        <v>7979</v>
      </c>
      <c r="B2435" t="s">
        <v>219</v>
      </c>
      <c r="D2435" t="s">
        <v>327</v>
      </c>
      <c r="E2435">
        <v>99999999</v>
      </c>
      <c r="F2435">
        <v>11111111</v>
      </c>
      <c r="G2435">
        <v>1111111111</v>
      </c>
      <c r="H2435" t="s">
        <v>6004</v>
      </c>
      <c r="I2435">
        <v>99999999</v>
      </c>
      <c r="J2435" s="188">
        <v>45238</v>
      </c>
      <c r="K2435" t="s">
        <v>6004</v>
      </c>
      <c r="L2435" t="s">
        <v>6004</v>
      </c>
      <c r="M2435" t="s">
        <v>565</v>
      </c>
      <c r="N2435" t="s">
        <v>381</v>
      </c>
      <c r="O2435" t="s">
        <v>2204</v>
      </c>
      <c r="P2435" t="s">
        <v>221</v>
      </c>
      <c r="Q2435" t="s">
        <v>82</v>
      </c>
      <c r="R2435">
        <v>1</v>
      </c>
      <c r="S2435">
        <v>11.07</v>
      </c>
      <c r="T2435">
        <v>0</v>
      </c>
      <c r="U2435">
        <v>1</v>
      </c>
      <c r="V2435">
        <v>1</v>
      </c>
      <c r="W2435">
        <v>32.56</v>
      </c>
      <c r="X2435">
        <v>0</v>
      </c>
      <c r="Y2435">
        <v>0</v>
      </c>
      <c r="Z2435">
        <v>0</v>
      </c>
      <c r="AA2435">
        <v>0</v>
      </c>
      <c r="AB2435">
        <v>0</v>
      </c>
      <c r="AC2435">
        <v>0</v>
      </c>
      <c r="AD2435">
        <v>1</v>
      </c>
      <c r="AE2435">
        <v>0</v>
      </c>
      <c r="AF2435">
        <v>0</v>
      </c>
      <c r="AG2435">
        <v>0</v>
      </c>
      <c r="AH2435">
        <v>0</v>
      </c>
      <c r="AI2435">
        <v>0</v>
      </c>
      <c r="AJ2435">
        <v>0</v>
      </c>
      <c r="AK2435">
        <v>0</v>
      </c>
    </row>
    <row r="2436" spans="1:37" x14ac:dyDescent="0.3">
      <c r="A2436">
        <v>7979</v>
      </c>
      <c r="B2436" t="s">
        <v>219</v>
      </c>
      <c r="D2436" t="s">
        <v>327</v>
      </c>
      <c r="E2436">
        <v>99999999</v>
      </c>
      <c r="F2436">
        <v>11111111</v>
      </c>
      <c r="G2436">
        <v>1111111111</v>
      </c>
      <c r="H2436" t="s">
        <v>6005</v>
      </c>
      <c r="I2436">
        <v>99999999</v>
      </c>
      <c r="J2436" s="188">
        <v>45238</v>
      </c>
      <c r="K2436" t="s">
        <v>6005</v>
      </c>
      <c r="L2436" t="s">
        <v>6005</v>
      </c>
      <c r="M2436" t="s">
        <v>1058</v>
      </c>
      <c r="N2436" t="s">
        <v>164</v>
      </c>
      <c r="O2436" t="s">
        <v>3156</v>
      </c>
      <c r="P2436" t="s">
        <v>221</v>
      </c>
      <c r="Q2436" t="s">
        <v>82</v>
      </c>
      <c r="R2436">
        <v>1</v>
      </c>
      <c r="S2436">
        <v>15</v>
      </c>
      <c r="T2436">
        <v>0</v>
      </c>
      <c r="U2436">
        <v>1</v>
      </c>
      <c r="V2436">
        <v>1</v>
      </c>
      <c r="W2436">
        <v>25.8</v>
      </c>
      <c r="X2436">
        <v>0</v>
      </c>
      <c r="Y2436">
        <v>0</v>
      </c>
      <c r="Z2436">
        <v>0</v>
      </c>
      <c r="AA2436">
        <v>0</v>
      </c>
      <c r="AB2436">
        <v>0</v>
      </c>
      <c r="AC2436">
        <v>0</v>
      </c>
      <c r="AD2436">
        <v>1</v>
      </c>
      <c r="AE2436">
        <v>0</v>
      </c>
      <c r="AF2436">
        <v>0</v>
      </c>
      <c r="AG2436">
        <v>0</v>
      </c>
      <c r="AH2436">
        <v>0</v>
      </c>
      <c r="AI2436">
        <v>0</v>
      </c>
      <c r="AJ2436">
        <v>0</v>
      </c>
      <c r="AK2436">
        <v>0</v>
      </c>
    </row>
    <row r="2437" spans="1:37" x14ac:dyDescent="0.3">
      <c r="A2437">
        <v>7979</v>
      </c>
      <c r="B2437" t="s">
        <v>219</v>
      </c>
      <c r="D2437" t="s">
        <v>327</v>
      </c>
      <c r="E2437">
        <v>99999999</v>
      </c>
      <c r="F2437">
        <v>11111111</v>
      </c>
      <c r="G2437">
        <v>1111111111</v>
      </c>
      <c r="H2437" t="s">
        <v>6006</v>
      </c>
      <c r="I2437">
        <v>99999999</v>
      </c>
      <c r="J2437" s="188">
        <v>45238</v>
      </c>
      <c r="K2437" t="s">
        <v>6006</v>
      </c>
      <c r="L2437" t="s">
        <v>6006</v>
      </c>
      <c r="M2437" t="s">
        <v>341</v>
      </c>
      <c r="N2437" t="s">
        <v>130</v>
      </c>
      <c r="O2437" t="s">
        <v>3157</v>
      </c>
      <c r="P2437" t="s">
        <v>221</v>
      </c>
      <c r="Q2437" t="s">
        <v>82</v>
      </c>
      <c r="R2437">
        <v>2</v>
      </c>
      <c r="S2437">
        <v>23</v>
      </c>
      <c r="T2437">
        <v>0</v>
      </c>
      <c r="U2437">
        <v>1</v>
      </c>
      <c r="V2437">
        <v>2</v>
      </c>
      <c r="W2437">
        <v>35.5</v>
      </c>
      <c r="X2437">
        <v>0</v>
      </c>
      <c r="Y2437">
        <v>0</v>
      </c>
      <c r="Z2437">
        <v>0</v>
      </c>
      <c r="AA2437">
        <v>0</v>
      </c>
      <c r="AB2437">
        <v>0</v>
      </c>
      <c r="AC2437">
        <v>0</v>
      </c>
      <c r="AD2437">
        <v>2</v>
      </c>
      <c r="AE2437">
        <v>0</v>
      </c>
      <c r="AF2437">
        <v>0</v>
      </c>
      <c r="AG2437">
        <v>0</v>
      </c>
      <c r="AH2437">
        <v>0</v>
      </c>
      <c r="AI2437">
        <v>0</v>
      </c>
      <c r="AJ2437">
        <v>0</v>
      </c>
      <c r="AK2437">
        <v>0</v>
      </c>
    </row>
    <row r="2438" spans="1:37" x14ac:dyDescent="0.3">
      <c r="A2438">
        <v>7979</v>
      </c>
      <c r="B2438" t="s">
        <v>219</v>
      </c>
      <c r="D2438" t="s">
        <v>327</v>
      </c>
      <c r="E2438">
        <v>99999999</v>
      </c>
      <c r="F2438">
        <v>11111111</v>
      </c>
      <c r="G2438">
        <v>1111111111</v>
      </c>
      <c r="H2438" t="s">
        <v>6007</v>
      </c>
      <c r="I2438">
        <v>99999999</v>
      </c>
      <c r="J2438" s="188">
        <v>45238</v>
      </c>
      <c r="K2438" t="s">
        <v>6007</v>
      </c>
      <c r="L2438" t="s">
        <v>6007</v>
      </c>
      <c r="M2438" t="s">
        <v>1309</v>
      </c>
      <c r="N2438" t="s">
        <v>99</v>
      </c>
      <c r="O2438" t="s">
        <v>3158</v>
      </c>
      <c r="P2438" t="s">
        <v>221</v>
      </c>
      <c r="Q2438" t="s">
        <v>82</v>
      </c>
      <c r="R2438">
        <v>1</v>
      </c>
      <c r="S2438">
        <v>7.15</v>
      </c>
      <c r="T2438">
        <v>0</v>
      </c>
      <c r="U2438">
        <v>1</v>
      </c>
      <c r="V2438">
        <v>1</v>
      </c>
      <c r="W2438">
        <v>28.48</v>
      </c>
      <c r="X2438">
        <v>0</v>
      </c>
      <c r="Y2438">
        <v>0</v>
      </c>
      <c r="Z2438">
        <v>0</v>
      </c>
      <c r="AA2438">
        <v>0</v>
      </c>
      <c r="AB2438">
        <v>0</v>
      </c>
      <c r="AC2438">
        <v>0</v>
      </c>
      <c r="AD2438">
        <v>1</v>
      </c>
      <c r="AE2438">
        <v>0</v>
      </c>
      <c r="AF2438">
        <v>0</v>
      </c>
      <c r="AG2438">
        <v>0</v>
      </c>
      <c r="AH2438">
        <v>0</v>
      </c>
      <c r="AI2438">
        <v>0</v>
      </c>
      <c r="AJ2438">
        <v>0</v>
      </c>
      <c r="AK2438">
        <v>0</v>
      </c>
    </row>
    <row r="2439" spans="1:37" x14ac:dyDescent="0.3">
      <c r="A2439">
        <v>7979</v>
      </c>
      <c r="B2439" t="s">
        <v>219</v>
      </c>
      <c r="D2439" t="s">
        <v>327</v>
      </c>
      <c r="E2439">
        <v>99999999</v>
      </c>
      <c r="F2439">
        <v>11111111</v>
      </c>
      <c r="G2439">
        <v>1111111111</v>
      </c>
      <c r="H2439" t="s">
        <v>6008</v>
      </c>
      <c r="I2439">
        <v>99999999</v>
      </c>
      <c r="J2439" s="188">
        <v>45238</v>
      </c>
      <c r="K2439" t="s">
        <v>6008</v>
      </c>
      <c r="L2439" t="s">
        <v>6008</v>
      </c>
      <c r="M2439" t="s">
        <v>816</v>
      </c>
      <c r="N2439" t="s">
        <v>381</v>
      </c>
      <c r="O2439">
        <v>59718</v>
      </c>
      <c r="P2439" t="s">
        <v>221</v>
      </c>
      <c r="Q2439" t="s">
        <v>82</v>
      </c>
      <c r="R2439">
        <v>1</v>
      </c>
      <c r="S2439">
        <v>8.8000000000000007</v>
      </c>
      <c r="T2439">
        <v>0</v>
      </c>
      <c r="U2439">
        <v>1</v>
      </c>
      <c r="V2439">
        <v>1</v>
      </c>
      <c r="W2439">
        <v>24.35</v>
      </c>
      <c r="X2439">
        <v>0</v>
      </c>
      <c r="Y2439">
        <v>0</v>
      </c>
      <c r="Z2439">
        <v>0</v>
      </c>
      <c r="AA2439">
        <v>0</v>
      </c>
      <c r="AB2439">
        <v>0</v>
      </c>
      <c r="AC2439">
        <v>0</v>
      </c>
      <c r="AD2439">
        <v>1</v>
      </c>
      <c r="AE2439">
        <v>0</v>
      </c>
      <c r="AF2439">
        <v>0</v>
      </c>
      <c r="AG2439">
        <v>0</v>
      </c>
      <c r="AH2439">
        <v>0</v>
      </c>
      <c r="AI2439">
        <v>0</v>
      </c>
      <c r="AJ2439">
        <v>0</v>
      </c>
      <c r="AK2439">
        <v>0</v>
      </c>
    </row>
    <row r="2440" spans="1:37" x14ac:dyDescent="0.3">
      <c r="A2440">
        <v>7979</v>
      </c>
      <c r="B2440" t="s">
        <v>219</v>
      </c>
      <c r="D2440" t="s">
        <v>327</v>
      </c>
      <c r="E2440">
        <v>99999999</v>
      </c>
      <c r="F2440">
        <v>11111111</v>
      </c>
      <c r="G2440">
        <v>1111111111</v>
      </c>
      <c r="H2440" t="s">
        <v>6009</v>
      </c>
      <c r="I2440">
        <v>99999999</v>
      </c>
      <c r="J2440" s="188">
        <v>45238</v>
      </c>
      <c r="K2440" t="s">
        <v>6009</v>
      </c>
      <c r="L2440" t="s">
        <v>6009</v>
      </c>
      <c r="M2440" t="s">
        <v>646</v>
      </c>
      <c r="N2440" t="s">
        <v>197</v>
      </c>
      <c r="O2440">
        <v>75077</v>
      </c>
      <c r="P2440" t="s">
        <v>221</v>
      </c>
      <c r="Q2440" t="s">
        <v>82</v>
      </c>
      <c r="R2440">
        <v>3</v>
      </c>
      <c r="S2440">
        <v>4.3</v>
      </c>
      <c r="T2440">
        <v>0</v>
      </c>
      <c r="U2440">
        <v>1</v>
      </c>
      <c r="V2440">
        <v>3</v>
      </c>
      <c r="W2440">
        <v>25.06</v>
      </c>
      <c r="X2440">
        <v>0</v>
      </c>
      <c r="Y2440">
        <v>0</v>
      </c>
      <c r="Z2440">
        <v>0</v>
      </c>
      <c r="AA2440">
        <v>0</v>
      </c>
      <c r="AB2440">
        <v>0</v>
      </c>
      <c r="AC2440">
        <v>0</v>
      </c>
      <c r="AD2440">
        <v>3</v>
      </c>
      <c r="AE2440">
        <v>0</v>
      </c>
      <c r="AF2440">
        <v>0</v>
      </c>
      <c r="AG2440">
        <v>0</v>
      </c>
      <c r="AH2440">
        <v>0</v>
      </c>
      <c r="AI2440">
        <v>0</v>
      </c>
      <c r="AJ2440">
        <v>0</v>
      </c>
      <c r="AK2440">
        <v>0</v>
      </c>
    </row>
    <row r="2441" spans="1:37" x14ac:dyDescent="0.3">
      <c r="A2441">
        <v>7979</v>
      </c>
      <c r="B2441" t="s">
        <v>219</v>
      </c>
      <c r="D2441" t="s">
        <v>327</v>
      </c>
      <c r="E2441">
        <v>99999999</v>
      </c>
      <c r="F2441">
        <v>11111111</v>
      </c>
      <c r="G2441">
        <v>1111111111</v>
      </c>
      <c r="H2441" t="s">
        <v>6010</v>
      </c>
      <c r="I2441">
        <v>99999999</v>
      </c>
      <c r="J2441" s="188">
        <v>45238</v>
      </c>
      <c r="K2441" t="s">
        <v>6010</v>
      </c>
      <c r="L2441" t="s">
        <v>6010</v>
      </c>
      <c r="M2441" t="s">
        <v>2495</v>
      </c>
      <c r="N2441" t="s">
        <v>99</v>
      </c>
      <c r="O2441" t="s">
        <v>3159</v>
      </c>
      <c r="P2441" t="s">
        <v>221</v>
      </c>
      <c r="Q2441" t="s">
        <v>82</v>
      </c>
      <c r="R2441">
        <v>1</v>
      </c>
      <c r="S2441">
        <v>3</v>
      </c>
      <c r="T2441">
        <v>0</v>
      </c>
      <c r="U2441">
        <v>1</v>
      </c>
      <c r="V2441">
        <v>1</v>
      </c>
      <c r="W2441">
        <v>22.47</v>
      </c>
      <c r="X2441">
        <v>0</v>
      </c>
      <c r="Y2441">
        <v>0</v>
      </c>
      <c r="Z2441">
        <v>0</v>
      </c>
      <c r="AA2441">
        <v>0</v>
      </c>
      <c r="AB2441">
        <v>0</v>
      </c>
      <c r="AC2441">
        <v>0</v>
      </c>
      <c r="AD2441">
        <v>1</v>
      </c>
      <c r="AE2441">
        <v>0</v>
      </c>
      <c r="AF2441">
        <v>0</v>
      </c>
      <c r="AG2441">
        <v>0</v>
      </c>
      <c r="AH2441">
        <v>0</v>
      </c>
      <c r="AI2441">
        <v>0</v>
      </c>
      <c r="AJ2441">
        <v>0</v>
      </c>
      <c r="AK2441">
        <v>0</v>
      </c>
    </row>
    <row r="2442" spans="1:37" x14ac:dyDescent="0.3">
      <c r="A2442">
        <v>7979</v>
      </c>
      <c r="B2442" t="s">
        <v>219</v>
      </c>
      <c r="D2442" t="s">
        <v>327</v>
      </c>
      <c r="E2442">
        <v>99999999</v>
      </c>
      <c r="F2442">
        <v>11111111</v>
      </c>
      <c r="G2442">
        <v>1111111111</v>
      </c>
      <c r="H2442" t="s">
        <v>6011</v>
      </c>
      <c r="I2442">
        <v>99999999</v>
      </c>
      <c r="J2442" s="188">
        <v>45238</v>
      </c>
      <c r="K2442" t="s">
        <v>6011</v>
      </c>
      <c r="L2442" t="s">
        <v>6011</v>
      </c>
      <c r="M2442" t="s">
        <v>3160</v>
      </c>
      <c r="N2442" t="s">
        <v>99</v>
      </c>
      <c r="O2442" t="s">
        <v>3161</v>
      </c>
      <c r="P2442" t="s">
        <v>221</v>
      </c>
      <c r="Q2442" t="s">
        <v>82</v>
      </c>
      <c r="R2442">
        <v>1</v>
      </c>
      <c r="S2442">
        <v>7</v>
      </c>
      <c r="T2442">
        <v>0</v>
      </c>
      <c r="U2442">
        <v>1</v>
      </c>
      <c r="V2442">
        <v>1</v>
      </c>
      <c r="W2442">
        <v>30.61</v>
      </c>
      <c r="X2442">
        <v>0</v>
      </c>
      <c r="Y2442">
        <v>0</v>
      </c>
      <c r="Z2442">
        <v>0</v>
      </c>
      <c r="AA2442">
        <v>0</v>
      </c>
      <c r="AB2442">
        <v>0</v>
      </c>
      <c r="AC2442">
        <v>0</v>
      </c>
      <c r="AD2442">
        <v>1</v>
      </c>
      <c r="AE2442">
        <v>0</v>
      </c>
      <c r="AF2442">
        <v>0</v>
      </c>
      <c r="AG2442">
        <v>0</v>
      </c>
      <c r="AH2442">
        <v>0</v>
      </c>
      <c r="AI2442">
        <v>0</v>
      </c>
      <c r="AJ2442">
        <v>0</v>
      </c>
      <c r="AK2442">
        <v>0</v>
      </c>
    </row>
    <row r="2443" spans="1:37" x14ac:dyDescent="0.3">
      <c r="A2443">
        <v>7979</v>
      </c>
      <c r="B2443" t="s">
        <v>219</v>
      </c>
      <c r="D2443" t="s">
        <v>327</v>
      </c>
      <c r="E2443">
        <v>99999999</v>
      </c>
      <c r="F2443">
        <v>11111111</v>
      </c>
      <c r="G2443">
        <v>1111111111</v>
      </c>
      <c r="H2443" t="s">
        <v>6012</v>
      </c>
      <c r="I2443">
        <v>99999999</v>
      </c>
      <c r="J2443" s="188">
        <v>45238</v>
      </c>
      <c r="K2443" t="s">
        <v>6012</v>
      </c>
      <c r="L2443" t="s">
        <v>6012</v>
      </c>
      <c r="M2443" t="s">
        <v>2781</v>
      </c>
      <c r="N2443" t="s">
        <v>130</v>
      </c>
      <c r="O2443">
        <v>80550</v>
      </c>
      <c r="P2443" t="s">
        <v>221</v>
      </c>
      <c r="Q2443" t="s">
        <v>82</v>
      </c>
      <c r="R2443">
        <v>1</v>
      </c>
      <c r="S2443">
        <v>10.78</v>
      </c>
      <c r="T2443">
        <v>0</v>
      </c>
      <c r="U2443">
        <v>1</v>
      </c>
      <c r="V2443">
        <v>1</v>
      </c>
      <c r="W2443">
        <v>26.45</v>
      </c>
      <c r="X2443">
        <v>0</v>
      </c>
      <c r="Y2443">
        <v>0</v>
      </c>
      <c r="Z2443">
        <v>0</v>
      </c>
      <c r="AA2443">
        <v>0</v>
      </c>
      <c r="AB2443">
        <v>0</v>
      </c>
      <c r="AC2443">
        <v>0</v>
      </c>
      <c r="AD2443">
        <v>1</v>
      </c>
      <c r="AE2443">
        <v>0</v>
      </c>
      <c r="AF2443">
        <v>0</v>
      </c>
      <c r="AG2443">
        <v>0</v>
      </c>
      <c r="AH2443">
        <v>0</v>
      </c>
      <c r="AI2443">
        <v>0</v>
      </c>
      <c r="AJ2443">
        <v>0</v>
      </c>
      <c r="AK2443">
        <v>0</v>
      </c>
    </row>
    <row r="2444" spans="1:37" x14ac:dyDescent="0.3">
      <c r="A2444">
        <v>7979</v>
      </c>
      <c r="B2444" t="s">
        <v>219</v>
      </c>
      <c r="D2444" t="s">
        <v>327</v>
      </c>
      <c r="E2444">
        <v>99999999</v>
      </c>
      <c r="F2444">
        <v>11111111</v>
      </c>
      <c r="G2444">
        <v>1111111111</v>
      </c>
      <c r="H2444" t="s">
        <v>6013</v>
      </c>
      <c r="I2444">
        <v>99999999</v>
      </c>
      <c r="J2444" s="188">
        <v>45238</v>
      </c>
      <c r="K2444" t="s">
        <v>6013</v>
      </c>
      <c r="L2444" t="s">
        <v>6013</v>
      </c>
      <c r="M2444" t="s">
        <v>767</v>
      </c>
      <c r="N2444" t="s">
        <v>197</v>
      </c>
      <c r="O2444" t="s">
        <v>3162</v>
      </c>
      <c r="P2444" t="s">
        <v>221</v>
      </c>
      <c r="Q2444" t="s">
        <v>82</v>
      </c>
      <c r="R2444">
        <v>1</v>
      </c>
      <c r="S2444">
        <v>2.9</v>
      </c>
      <c r="T2444">
        <v>0</v>
      </c>
      <c r="U2444">
        <v>1</v>
      </c>
      <c r="V2444">
        <v>1</v>
      </c>
      <c r="W2444">
        <v>30.13</v>
      </c>
      <c r="X2444">
        <v>0</v>
      </c>
      <c r="Y2444">
        <v>0</v>
      </c>
      <c r="Z2444">
        <v>0</v>
      </c>
      <c r="AA2444">
        <v>0</v>
      </c>
      <c r="AB2444">
        <v>0</v>
      </c>
      <c r="AC2444">
        <v>0</v>
      </c>
      <c r="AD2444">
        <v>1</v>
      </c>
      <c r="AE2444">
        <v>0</v>
      </c>
      <c r="AF2444">
        <v>0</v>
      </c>
      <c r="AG2444">
        <v>0</v>
      </c>
      <c r="AH2444">
        <v>0</v>
      </c>
      <c r="AI2444">
        <v>0</v>
      </c>
      <c r="AJ2444">
        <v>0</v>
      </c>
      <c r="AK2444">
        <v>0</v>
      </c>
    </row>
    <row r="2445" spans="1:37" x14ac:dyDescent="0.3">
      <c r="A2445">
        <v>7979</v>
      </c>
      <c r="B2445" t="s">
        <v>219</v>
      </c>
      <c r="D2445" t="s">
        <v>327</v>
      </c>
      <c r="E2445">
        <v>99999999</v>
      </c>
      <c r="F2445">
        <v>11111111</v>
      </c>
      <c r="G2445">
        <v>1111111111</v>
      </c>
      <c r="H2445" t="s">
        <v>6014</v>
      </c>
      <c r="I2445">
        <v>99999999</v>
      </c>
      <c r="J2445" s="188">
        <v>45238</v>
      </c>
      <c r="K2445" t="s">
        <v>6014</v>
      </c>
      <c r="L2445" t="s">
        <v>6014</v>
      </c>
      <c r="M2445" t="s">
        <v>2004</v>
      </c>
      <c r="N2445" t="s">
        <v>97</v>
      </c>
      <c r="O2445" t="s">
        <v>3163</v>
      </c>
      <c r="P2445" t="s">
        <v>221</v>
      </c>
      <c r="Q2445" t="s">
        <v>82</v>
      </c>
      <c r="R2445">
        <v>2</v>
      </c>
      <c r="S2445">
        <v>4.4000000000000004</v>
      </c>
      <c r="T2445">
        <v>0</v>
      </c>
      <c r="U2445">
        <v>1</v>
      </c>
      <c r="V2445">
        <v>1</v>
      </c>
      <c r="W2445">
        <v>31.12</v>
      </c>
      <c r="X2445">
        <v>0</v>
      </c>
      <c r="Y2445">
        <v>0</v>
      </c>
      <c r="Z2445">
        <v>0</v>
      </c>
      <c r="AA2445">
        <v>0</v>
      </c>
      <c r="AB2445">
        <v>0</v>
      </c>
      <c r="AC2445">
        <v>0</v>
      </c>
      <c r="AD2445">
        <v>2</v>
      </c>
      <c r="AE2445">
        <v>0</v>
      </c>
      <c r="AF2445">
        <v>0</v>
      </c>
      <c r="AG2445">
        <v>0</v>
      </c>
      <c r="AH2445">
        <v>0</v>
      </c>
      <c r="AI2445">
        <v>0</v>
      </c>
      <c r="AJ2445">
        <v>0</v>
      </c>
      <c r="AK2445">
        <v>0</v>
      </c>
    </row>
    <row r="2446" spans="1:37" x14ac:dyDescent="0.3">
      <c r="A2446">
        <v>7979</v>
      </c>
      <c r="B2446" t="s">
        <v>219</v>
      </c>
      <c r="D2446" t="s">
        <v>327</v>
      </c>
      <c r="E2446">
        <v>99999999</v>
      </c>
      <c r="F2446">
        <v>11111111</v>
      </c>
      <c r="G2446">
        <v>1111111111</v>
      </c>
      <c r="H2446" t="s">
        <v>6015</v>
      </c>
      <c r="I2446">
        <v>99999999</v>
      </c>
      <c r="J2446" s="188">
        <v>45238</v>
      </c>
      <c r="K2446" t="s">
        <v>6015</v>
      </c>
      <c r="L2446" t="s">
        <v>6015</v>
      </c>
      <c r="M2446" t="s">
        <v>3164</v>
      </c>
      <c r="N2446" t="s">
        <v>233</v>
      </c>
      <c r="O2446" t="s">
        <v>3165</v>
      </c>
      <c r="P2446" t="s">
        <v>221</v>
      </c>
      <c r="Q2446" t="s">
        <v>82</v>
      </c>
      <c r="R2446">
        <v>4</v>
      </c>
      <c r="S2446">
        <v>2</v>
      </c>
      <c r="T2446">
        <v>0</v>
      </c>
      <c r="U2446">
        <v>1</v>
      </c>
      <c r="V2446">
        <v>1</v>
      </c>
      <c r="W2446">
        <v>33</v>
      </c>
      <c r="X2446">
        <v>0</v>
      </c>
      <c r="Y2446">
        <v>0</v>
      </c>
      <c r="Z2446">
        <v>0</v>
      </c>
      <c r="AA2446">
        <v>0</v>
      </c>
      <c r="AB2446">
        <v>0</v>
      </c>
      <c r="AC2446">
        <v>0</v>
      </c>
      <c r="AD2446">
        <v>4</v>
      </c>
      <c r="AE2446">
        <v>0</v>
      </c>
      <c r="AF2446">
        <v>0</v>
      </c>
      <c r="AG2446">
        <v>0</v>
      </c>
      <c r="AH2446">
        <v>0</v>
      </c>
      <c r="AI2446">
        <v>0</v>
      </c>
      <c r="AJ2446">
        <v>0</v>
      </c>
      <c r="AK2446">
        <v>0</v>
      </c>
    </row>
    <row r="2447" spans="1:37" x14ac:dyDescent="0.3">
      <c r="A2447">
        <v>7979</v>
      </c>
      <c r="B2447" t="s">
        <v>219</v>
      </c>
      <c r="D2447" t="s">
        <v>327</v>
      </c>
      <c r="E2447">
        <v>99999999</v>
      </c>
      <c r="F2447">
        <v>11111111</v>
      </c>
      <c r="G2447">
        <v>1111111111</v>
      </c>
      <c r="H2447" t="s">
        <v>6016</v>
      </c>
      <c r="I2447">
        <v>99999999</v>
      </c>
      <c r="J2447" s="188">
        <v>45238</v>
      </c>
      <c r="K2447" t="s">
        <v>6016</v>
      </c>
      <c r="L2447" t="s">
        <v>6016</v>
      </c>
      <c r="M2447" t="s">
        <v>915</v>
      </c>
      <c r="N2447" t="s">
        <v>164</v>
      </c>
      <c r="O2447" t="s">
        <v>2755</v>
      </c>
      <c r="P2447" t="s">
        <v>221</v>
      </c>
      <c r="Q2447" t="s">
        <v>82</v>
      </c>
      <c r="R2447">
        <v>1</v>
      </c>
      <c r="S2447">
        <v>0.6</v>
      </c>
      <c r="T2447">
        <v>0</v>
      </c>
      <c r="U2447">
        <v>1</v>
      </c>
      <c r="V2447">
        <v>1</v>
      </c>
      <c r="W2447">
        <v>21.16</v>
      </c>
      <c r="X2447">
        <v>0</v>
      </c>
      <c r="Y2447">
        <v>0</v>
      </c>
      <c r="Z2447">
        <v>0</v>
      </c>
      <c r="AA2447">
        <v>0</v>
      </c>
      <c r="AB2447">
        <v>0</v>
      </c>
      <c r="AC2447">
        <v>0</v>
      </c>
      <c r="AD2447">
        <v>1</v>
      </c>
      <c r="AE2447">
        <v>0</v>
      </c>
      <c r="AF2447">
        <v>0</v>
      </c>
      <c r="AG2447">
        <v>0</v>
      </c>
      <c r="AH2447">
        <v>0</v>
      </c>
      <c r="AI2447">
        <v>0</v>
      </c>
      <c r="AJ2447">
        <v>0</v>
      </c>
      <c r="AK2447">
        <v>0</v>
      </c>
    </row>
    <row r="2448" spans="1:37" x14ac:dyDescent="0.3">
      <c r="A2448">
        <v>7979</v>
      </c>
      <c r="B2448" t="s">
        <v>219</v>
      </c>
      <c r="D2448" t="s">
        <v>327</v>
      </c>
      <c r="E2448">
        <v>99999999</v>
      </c>
      <c r="F2448">
        <v>11111111</v>
      </c>
      <c r="G2448">
        <v>1111111111</v>
      </c>
      <c r="H2448" t="s">
        <v>6017</v>
      </c>
      <c r="I2448">
        <v>99999999</v>
      </c>
      <c r="J2448" s="188">
        <v>45238</v>
      </c>
      <c r="K2448" t="s">
        <v>6017</v>
      </c>
      <c r="L2448" t="s">
        <v>6017</v>
      </c>
      <c r="M2448" t="s">
        <v>875</v>
      </c>
      <c r="N2448" t="s">
        <v>97</v>
      </c>
      <c r="O2448" t="s">
        <v>3166</v>
      </c>
      <c r="P2448" t="s">
        <v>221</v>
      </c>
      <c r="Q2448" t="s">
        <v>82</v>
      </c>
      <c r="R2448">
        <v>1</v>
      </c>
      <c r="S2448">
        <v>5.3</v>
      </c>
      <c r="T2448">
        <v>0</v>
      </c>
      <c r="U2448">
        <v>1</v>
      </c>
      <c r="V2448">
        <v>1</v>
      </c>
      <c r="W2448">
        <v>23.04</v>
      </c>
      <c r="X2448">
        <v>0</v>
      </c>
      <c r="Y2448">
        <v>0</v>
      </c>
      <c r="Z2448">
        <v>0</v>
      </c>
      <c r="AA2448">
        <v>0</v>
      </c>
      <c r="AB2448">
        <v>0</v>
      </c>
      <c r="AC2448">
        <v>0</v>
      </c>
      <c r="AD2448">
        <v>1</v>
      </c>
      <c r="AE2448">
        <v>0</v>
      </c>
      <c r="AF2448">
        <v>0</v>
      </c>
      <c r="AG2448">
        <v>0</v>
      </c>
      <c r="AH2448">
        <v>0</v>
      </c>
      <c r="AI2448">
        <v>0</v>
      </c>
      <c r="AJ2448">
        <v>0</v>
      </c>
      <c r="AK2448">
        <v>0</v>
      </c>
    </row>
    <row r="2449" spans="1:37" x14ac:dyDescent="0.3">
      <c r="A2449">
        <v>7979</v>
      </c>
      <c r="B2449" t="s">
        <v>219</v>
      </c>
      <c r="D2449" t="s">
        <v>327</v>
      </c>
      <c r="E2449">
        <v>99999999</v>
      </c>
      <c r="F2449">
        <v>11111111</v>
      </c>
      <c r="G2449">
        <v>1111111111</v>
      </c>
      <c r="H2449" t="s">
        <v>6018</v>
      </c>
      <c r="I2449">
        <v>99999999</v>
      </c>
      <c r="J2449" s="188">
        <v>45238</v>
      </c>
      <c r="K2449" t="s">
        <v>6018</v>
      </c>
      <c r="L2449" t="s">
        <v>6018</v>
      </c>
      <c r="M2449" t="s">
        <v>495</v>
      </c>
      <c r="N2449" t="s">
        <v>164</v>
      </c>
      <c r="O2449" t="s">
        <v>3167</v>
      </c>
      <c r="P2449" t="s">
        <v>221</v>
      </c>
      <c r="Q2449" t="s">
        <v>82</v>
      </c>
      <c r="R2449">
        <v>1</v>
      </c>
      <c r="S2449">
        <v>1</v>
      </c>
      <c r="T2449">
        <v>0</v>
      </c>
      <c r="U2449">
        <v>1</v>
      </c>
      <c r="V2449">
        <v>1</v>
      </c>
      <c r="W2449">
        <v>29.4</v>
      </c>
      <c r="X2449">
        <v>0</v>
      </c>
      <c r="Y2449">
        <v>0</v>
      </c>
      <c r="Z2449">
        <v>0</v>
      </c>
      <c r="AA2449">
        <v>0</v>
      </c>
      <c r="AB2449">
        <v>0</v>
      </c>
      <c r="AC2449">
        <v>0</v>
      </c>
      <c r="AD2449">
        <v>1</v>
      </c>
      <c r="AE2449">
        <v>0</v>
      </c>
      <c r="AF2449">
        <v>0</v>
      </c>
      <c r="AG2449">
        <v>0</v>
      </c>
      <c r="AH2449">
        <v>0</v>
      </c>
      <c r="AI2449">
        <v>0</v>
      </c>
      <c r="AJ2449">
        <v>0</v>
      </c>
      <c r="AK2449">
        <v>0</v>
      </c>
    </row>
    <row r="2450" spans="1:37" x14ac:dyDescent="0.3">
      <c r="A2450">
        <v>7979</v>
      </c>
      <c r="B2450" t="s">
        <v>219</v>
      </c>
      <c r="D2450" t="s">
        <v>327</v>
      </c>
      <c r="E2450">
        <v>99999999</v>
      </c>
      <c r="F2450">
        <v>11111111</v>
      </c>
      <c r="G2450">
        <v>1111111111</v>
      </c>
      <c r="H2450" t="s">
        <v>6019</v>
      </c>
      <c r="I2450">
        <v>99999999</v>
      </c>
      <c r="J2450" s="188">
        <v>45238</v>
      </c>
      <c r="K2450" t="s">
        <v>6019</v>
      </c>
      <c r="L2450" t="s">
        <v>6019</v>
      </c>
      <c r="M2450" t="s">
        <v>1191</v>
      </c>
      <c r="N2450" t="s">
        <v>99</v>
      </c>
      <c r="O2450" t="s">
        <v>3168</v>
      </c>
      <c r="P2450" t="s">
        <v>221</v>
      </c>
      <c r="Q2450" t="s">
        <v>82</v>
      </c>
      <c r="R2450">
        <v>1</v>
      </c>
      <c r="S2450">
        <v>2.8</v>
      </c>
      <c r="T2450">
        <v>0</v>
      </c>
      <c r="U2450">
        <v>1</v>
      </c>
      <c r="V2450">
        <v>1</v>
      </c>
      <c r="W2450">
        <v>20.72</v>
      </c>
      <c r="X2450">
        <v>0</v>
      </c>
      <c r="Y2450">
        <v>0</v>
      </c>
      <c r="Z2450">
        <v>0</v>
      </c>
      <c r="AA2450">
        <v>0</v>
      </c>
      <c r="AB2450">
        <v>0</v>
      </c>
      <c r="AC2450">
        <v>0</v>
      </c>
      <c r="AD2450">
        <v>1</v>
      </c>
      <c r="AE2450">
        <v>0</v>
      </c>
      <c r="AF2450">
        <v>0</v>
      </c>
      <c r="AG2450">
        <v>0</v>
      </c>
      <c r="AH2450">
        <v>0</v>
      </c>
      <c r="AI2450">
        <v>0</v>
      </c>
      <c r="AJ2450">
        <v>0</v>
      </c>
      <c r="AK2450">
        <v>0</v>
      </c>
    </row>
    <row r="2451" spans="1:37" x14ac:dyDescent="0.3">
      <c r="A2451">
        <v>7979</v>
      </c>
      <c r="B2451" t="s">
        <v>219</v>
      </c>
      <c r="D2451" t="s">
        <v>327</v>
      </c>
      <c r="E2451">
        <v>99999999</v>
      </c>
      <c r="F2451">
        <v>11111111</v>
      </c>
      <c r="G2451">
        <v>1111111111</v>
      </c>
      <c r="H2451" t="s">
        <v>6020</v>
      </c>
      <c r="I2451">
        <v>99999999</v>
      </c>
      <c r="J2451" s="188">
        <v>45238</v>
      </c>
      <c r="K2451" t="s">
        <v>6020</v>
      </c>
      <c r="L2451" t="s">
        <v>6020</v>
      </c>
      <c r="M2451" t="s">
        <v>3169</v>
      </c>
      <c r="N2451" t="s">
        <v>164</v>
      </c>
      <c r="O2451" t="s">
        <v>3170</v>
      </c>
      <c r="P2451" t="s">
        <v>221</v>
      </c>
      <c r="Q2451" t="s">
        <v>82</v>
      </c>
      <c r="R2451">
        <v>2</v>
      </c>
      <c r="S2451">
        <v>4.1260000000000003</v>
      </c>
      <c r="T2451">
        <v>0</v>
      </c>
      <c r="U2451">
        <v>1</v>
      </c>
      <c r="V2451">
        <v>1</v>
      </c>
      <c r="W2451">
        <v>27.5</v>
      </c>
      <c r="X2451">
        <v>0</v>
      </c>
      <c r="Y2451">
        <v>0</v>
      </c>
      <c r="Z2451">
        <v>0</v>
      </c>
      <c r="AA2451">
        <v>0</v>
      </c>
      <c r="AB2451">
        <v>0</v>
      </c>
      <c r="AC2451">
        <v>0</v>
      </c>
      <c r="AD2451">
        <v>2</v>
      </c>
      <c r="AE2451">
        <v>0</v>
      </c>
      <c r="AF2451">
        <v>0</v>
      </c>
      <c r="AG2451">
        <v>0</v>
      </c>
      <c r="AH2451">
        <v>0</v>
      </c>
      <c r="AI2451">
        <v>0</v>
      </c>
      <c r="AJ2451">
        <v>0</v>
      </c>
      <c r="AK2451">
        <v>0</v>
      </c>
    </row>
    <row r="2452" spans="1:37" x14ac:dyDescent="0.3">
      <c r="A2452">
        <v>7979</v>
      </c>
      <c r="B2452" t="s">
        <v>219</v>
      </c>
      <c r="D2452" t="s">
        <v>327</v>
      </c>
      <c r="E2452">
        <v>99999999</v>
      </c>
      <c r="F2452">
        <v>11111111</v>
      </c>
      <c r="G2452">
        <v>1111111111</v>
      </c>
      <c r="H2452" t="s">
        <v>6021</v>
      </c>
      <c r="I2452">
        <v>99999999</v>
      </c>
      <c r="J2452" s="188">
        <v>45238</v>
      </c>
      <c r="K2452" t="s">
        <v>6021</v>
      </c>
      <c r="L2452" t="s">
        <v>6021</v>
      </c>
      <c r="M2452" t="s">
        <v>1893</v>
      </c>
      <c r="N2452" t="s">
        <v>99</v>
      </c>
      <c r="O2452">
        <v>93465</v>
      </c>
      <c r="P2452" t="s">
        <v>221</v>
      </c>
      <c r="Q2452" t="s">
        <v>82</v>
      </c>
      <c r="R2452">
        <v>1</v>
      </c>
      <c r="S2452">
        <v>15</v>
      </c>
      <c r="T2452">
        <v>0</v>
      </c>
      <c r="U2452">
        <v>1</v>
      </c>
      <c r="V2452">
        <v>1</v>
      </c>
      <c r="W2452">
        <v>31.91</v>
      </c>
      <c r="X2452">
        <v>0</v>
      </c>
      <c r="Y2452">
        <v>0</v>
      </c>
      <c r="Z2452">
        <v>0</v>
      </c>
      <c r="AA2452">
        <v>0</v>
      </c>
      <c r="AB2452">
        <v>0</v>
      </c>
      <c r="AC2452">
        <v>0</v>
      </c>
      <c r="AD2452">
        <v>1</v>
      </c>
      <c r="AE2452">
        <v>0</v>
      </c>
      <c r="AF2452">
        <v>0</v>
      </c>
      <c r="AG2452">
        <v>0</v>
      </c>
      <c r="AH2452">
        <v>0</v>
      </c>
      <c r="AI2452">
        <v>0</v>
      </c>
      <c r="AJ2452">
        <v>0</v>
      </c>
      <c r="AK2452">
        <v>0</v>
      </c>
    </row>
    <row r="2453" spans="1:37" x14ac:dyDescent="0.3">
      <c r="A2453">
        <v>7979</v>
      </c>
      <c r="B2453" t="s">
        <v>219</v>
      </c>
      <c r="D2453" t="s">
        <v>327</v>
      </c>
      <c r="E2453">
        <v>99999999</v>
      </c>
      <c r="F2453">
        <v>11111111</v>
      </c>
      <c r="G2453">
        <v>1111111111</v>
      </c>
      <c r="H2453" t="s">
        <v>6022</v>
      </c>
      <c r="I2453">
        <v>99999999</v>
      </c>
      <c r="J2453" s="188">
        <v>45238</v>
      </c>
      <c r="K2453" t="s">
        <v>6022</v>
      </c>
      <c r="L2453" t="s">
        <v>6022</v>
      </c>
      <c r="M2453" t="s">
        <v>3171</v>
      </c>
      <c r="N2453" t="s">
        <v>97</v>
      </c>
      <c r="O2453" t="s">
        <v>3172</v>
      </c>
      <c r="P2453" t="s">
        <v>221</v>
      </c>
      <c r="Q2453" t="s">
        <v>82</v>
      </c>
      <c r="R2453">
        <v>1</v>
      </c>
      <c r="S2453">
        <v>17.666</v>
      </c>
      <c r="T2453">
        <v>0</v>
      </c>
      <c r="U2453">
        <v>1</v>
      </c>
      <c r="V2453">
        <v>1</v>
      </c>
      <c r="W2453">
        <v>35.5</v>
      </c>
      <c r="X2453">
        <v>0</v>
      </c>
      <c r="Y2453">
        <v>0</v>
      </c>
      <c r="Z2453">
        <v>0</v>
      </c>
      <c r="AA2453">
        <v>0</v>
      </c>
      <c r="AB2453">
        <v>0</v>
      </c>
      <c r="AC2453">
        <v>0</v>
      </c>
      <c r="AD2453">
        <v>1</v>
      </c>
      <c r="AE2453">
        <v>0</v>
      </c>
      <c r="AF2453">
        <v>0</v>
      </c>
      <c r="AG2453">
        <v>0</v>
      </c>
      <c r="AH2453">
        <v>0</v>
      </c>
      <c r="AI2453">
        <v>0</v>
      </c>
      <c r="AJ2453">
        <v>0</v>
      </c>
      <c r="AK2453">
        <v>0</v>
      </c>
    </row>
    <row r="2454" spans="1:37" x14ac:dyDescent="0.3">
      <c r="A2454">
        <v>7979</v>
      </c>
      <c r="B2454" t="s">
        <v>219</v>
      </c>
      <c r="D2454" t="s">
        <v>327</v>
      </c>
      <c r="E2454">
        <v>99999999</v>
      </c>
      <c r="F2454">
        <v>11111111</v>
      </c>
      <c r="G2454">
        <v>1111111111</v>
      </c>
      <c r="H2454" t="s">
        <v>6023</v>
      </c>
      <c r="I2454">
        <v>99999999</v>
      </c>
      <c r="J2454" s="188">
        <v>45238</v>
      </c>
      <c r="K2454" t="s">
        <v>6023</v>
      </c>
      <c r="L2454" t="s">
        <v>6023</v>
      </c>
      <c r="M2454" t="s">
        <v>3173</v>
      </c>
      <c r="N2454" t="s">
        <v>135</v>
      </c>
      <c r="O2454" t="s">
        <v>3174</v>
      </c>
      <c r="P2454" t="s">
        <v>221</v>
      </c>
      <c r="Q2454" t="s">
        <v>82</v>
      </c>
      <c r="R2454">
        <v>1</v>
      </c>
      <c r="S2454">
        <v>44</v>
      </c>
      <c r="T2454">
        <v>0</v>
      </c>
      <c r="U2454">
        <v>1</v>
      </c>
      <c r="V2454">
        <v>1</v>
      </c>
      <c r="W2454">
        <v>45.79</v>
      </c>
      <c r="X2454">
        <v>0</v>
      </c>
      <c r="Y2454">
        <v>0</v>
      </c>
      <c r="Z2454">
        <v>0</v>
      </c>
      <c r="AA2454">
        <v>0</v>
      </c>
      <c r="AB2454">
        <v>0</v>
      </c>
      <c r="AC2454">
        <v>0</v>
      </c>
      <c r="AD2454">
        <v>1</v>
      </c>
      <c r="AE2454">
        <v>0</v>
      </c>
      <c r="AF2454">
        <v>0</v>
      </c>
      <c r="AG2454">
        <v>0</v>
      </c>
      <c r="AH2454">
        <v>0</v>
      </c>
      <c r="AI2454">
        <v>0</v>
      </c>
      <c r="AJ2454">
        <v>0</v>
      </c>
      <c r="AK2454">
        <v>0</v>
      </c>
    </row>
    <row r="2455" spans="1:37" x14ac:dyDescent="0.3">
      <c r="A2455">
        <v>7979</v>
      </c>
      <c r="B2455" t="s">
        <v>219</v>
      </c>
      <c r="D2455" t="s">
        <v>327</v>
      </c>
      <c r="E2455">
        <v>99999999</v>
      </c>
      <c r="F2455">
        <v>11111111</v>
      </c>
      <c r="G2455">
        <v>1111111111</v>
      </c>
      <c r="H2455" t="s">
        <v>6024</v>
      </c>
      <c r="I2455">
        <v>99999999</v>
      </c>
      <c r="J2455" s="188">
        <v>45238</v>
      </c>
      <c r="K2455" t="s">
        <v>6024</v>
      </c>
      <c r="L2455" t="s">
        <v>6024</v>
      </c>
      <c r="M2455" t="s">
        <v>988</v>
      </c>
      <c r="N2455" t="s">
        <v>99</v>
      </c>
      <c r="O2455" t="s">
        <v>3175</v>
      </c>
      <c r="P2455" t="s">
        <v>221</v>
      </c>
      <c r="Q2455" t="s">
        <v>82</v>
      </c>
      <c r="R2455">
        <v>2</v>
      </c>
      <c r="S2455">
        <v>44.1</v>
      </c>
      <c r="T2455">
        <v>0</v>
      </c>
      <c r="U2455">
        <v>1</v>
      </c>
      <c r="V2455">
        <v>2</v>
      </c>
      <c r="W2455">
        <v>45.79</v>
      </c>
      <c r="X2455">
        <v>0</v>
      </c>
      <c r="Y2455">
        <v>0</v>
      </c>
      <c r="Z2455">
        <v>0</v>
      </c>
      <c r="AA2455">
        <v>0</v>
      </c>
      <c r="AB2455">
        <v>0</v>
      </c>
      <c r="AC2455">
        <v>0</v>
      </c>
      <c r="AD2455">
        <v>2</v>
      </c>
      <c r="AE2455">
        <v>0</v>
      </c>
      <c r="AF2455">
        <v>0</v>
      </c>
      <c r="AG2455">
        <v>0</v>
      </c>
      <c r="AH2455">
        <v>0</v>
      </c>
      <c r="AI2455">
        <v>0</v>
      </c>
      <c r="AJ2455">
        <v>0</v>
      </c>
      <c r="AK2455">
        <v>0</v>
      </c>
    </row>
    <row r="2456" spans="1:37" x14ac:dyDescent="0.3">
      <c r="A2456">
        <v>7979</v>
      </c>
      <c r="B2456" t="s">
        <v>219</v>
      </c>
      <c r="D2456" t="s">
        <v>327</v>
      </c>
      <c r="E2456">
        <v>99999999</v>
      </c>
      <c r="F2456">
        <v>11111111</v>
      </c>
      <c r="G2456">
        <v>1111111111</v>
      </c>
      <c r="H2456" t="s">
        <v>6025</v>
      </c>
      <c r="I2456">
        <v>99999999</v>
      </c>
      <c r="J2456" s="188">
        <v>45238</v>
      </c>
      <c r="K2456" t="s">
        <v>6025</v>
      </c>
      <c r="L2456" t="s">
        <v>6025</v>
      </c>
      <c r="M2456" t="s">
        <v>128</v>
      </c>
      <c r="N2456" t="s">
        <v>85</v>
      </c>
      <c r="O2456" t="s">
        <v>3176</v>
      </c>
      <c r="P2456" t="s">
        <v>221</v>
      </c>
      <c r="Q2456" t="s">
        <v>82</v>
      </c>
      <c r="R2456">
        <v>1</v>
      </c>
      <c r="S2456">
        <v>30</v>
      </c>
      <c r="T2456">
        <v>0</v>
      </c>
      <c r="U2456">
        <v>1</v>
      </c>
      <c r="V2456">
        <v>1</v>
      </c>
      <c r="W2456">
        <v>29.32</v>
      </c>
      <c r="X2456">
        <v>0</v>
      </c>
      <c r="Y2456">
        <v>0</v>
      </c>
      <c r="Z2456">
        <v>0</v>
      </c>
      <c r="AA2456">
        <v>0</v>
      </c>
      <c r="AB2456">
        <v>0</v>
      </c>
      <c r="AC2456">
        <v>0</v>
      </c>
      <c r="AD2456">
        <v>1</v>
      </c>
      <c r="AE2456">
        <v>0</v>
      </c>
      <c r="AF2456">
        <v>0</v>
      </c>
      <c r="AG2456">
        <v>0</v>
      </c>
      <c r="AH2456">
        <v>0</v>
      </c>
      <c r="AI2456">
        <v>0</v>
      </c>
      <c r="AJ2456">
        <v>0</v>
      </c>
      <c r="AK2456">
        <v>0</v>
      </c>
    </row>
    <row r="2457" spans="1:37" x14ac:dyDescent="0.3">
      <c r="A2457">
        <v>7979</v>
      </c>
      <c r="B2457" t="s">
        <v>219</v>
      </c>
      <c r="D2457" t="s">
        <v>327</v>
      </c>
      <c r="E2457">
        <v>99999999</v>
      </c>
      <c r="F2457">
        <v>11111111</v>
      </c>
      <c r="G2457">
        <v>1111111111</v>
      </c>
      <c r="H2457" t="s">
        <v>6026</v>
      </c>
      <c r="I2457">
        <v>99999999</v>
      </c>
      <c r="J2457" s="188">
        <v>45238</v>
      </c>
      <c r="K2457" t="s">
        <v>6026</v>
      </c>
      <c r="L2457" t="s">
        <v>6026</v>
      </c>
      <c r="M2457" t="s">
        <v>3177</v>
      </c>
      <c r="N2457" t="s">
        <v>197</v>
      </c>
      <c r="O2457" t="s">
        <v>3178</v>
      </c>
      <c r="P2457" t="s">
        <v>221</v>
      </c>
      <c r="Q2457" t="s">
        <v>82</v>
      </c>
      <c r="R2457">
        <v>1</v>
      </c>
      <c r="S2457">
        <v>1.48</v>
      </c>
      <c r="T2457">
        <v>0</v>
      </c>
      <c r="U2457">
        <v>1</v>
      </c>
      <c r="V2457">
        <v>1</v>
      </c>
      <c r="W2457">
        <v>28.87</v>
      </c>
      <c r="X2457">
        <v>0</v>
      </c>
      <c r="Y2457">
        <v>0</v>
      </c>
      <c r="Z2457">
        <v>0</v>
      </c>
      <c r="AA2457">
        <v>0</v>
      </c>
      <c r="AB2457">
        <v>0</v>
      </c>
      <c r="AC2457">
        <v>0</v>
      </c>
      <c r="AD2457">
        <v>1</v>
      </c>
      <c r="AE2457">
        <v>0</v>
      </c>
      <c r="AF2457">
        <v>0</v>
      </c>
      <c r="AG2457">
        <v>0</v>
      </c>
      <c r="AH2457">
        <v>0</v>
      </c>
      <c r="AI2457">
        <v>0</v>
      </c>
      <c r="AJ2457">
        <v>0</v>
      </c>
      <c r="AK2457">
        <v>0</v>
      </c>
    </row>
    <row r="2458" spans="1:37" x14ac:dyDescent="0.3">
      <c r="A2458">
        <v>7979</v>
      </c>
      <c r="B2458" t="s">
        <v>219</v>
      </c>
      <c r="D2458" t="s">
        <v>327</v>
      </c>
      <c r="E2458">
        <v>99999999</v>
      </c>
      <c r="F2458">
        <v>11111111</v>
      </c>
      <c r="G2458">
        <v>1111111111</v>
      </c>
      <c r="H2458" t="s">
        <v>6027</v>
      </c>
      <c r="I2458">
        <v>99999999</v>
      </c>
      <c r="J2458" s="188">
        <v>45238</v>
      </c>
      <c r="K2458" t="s">
        <v>6027</v>
      </c>
      <c r="L2458" t="s">
        <v>6027</v>
      </c>
      <c r="M2458" t="s">
        <v>101</v>
      </c>
      <c r="N2458" t="s">
        <v>97</v>
      </c>
      <c r="O2458" t="s">
        <v>3179</v>
      </c>
      <c r="P2458" t="s">
        <v>221</v>
      </c>
      <c r="Q2458" t="s">
        <v>82</v>
      </c>
      <c r="R2458">
        <v>1</v>
      </c>
      <c r="S2458">
        <v>1.71</v>
      </c>
      <c r="T2458">
        <v>0</v>
      </c>
      <c r="U2458">
        <v>1</v>
      </c>
      <c r="V2458">
        <v>1</v>
      </c>
      <c r="W2458">
        <v>21.83</v>
      </c>
      <c r="X2458">
        <v>0</v>
      </c>
      <c r="Y2458">
        <v>0</v>
      </c>
      <c r="Z2458">
        <v>0</v>
      </c>
      <c r="AA2458">
        <v>0</v>
      </c>
      <c r="AB2458">
        <v>0</v>
      </c>
      <c r="AC2458">
        <v>0</v>
      </c>
      <c r="AD2458">
        <v>1</v>
      </c>
      <c r="AE2458">
        <v>0</v>
      </c>
      <c r="AF2458">
        <v>0</v>
      </c>
      <c r="AG2458">
        <v>0</v>
      </c>
      <c r="AH2458">
        <v>0</v>
      </c>
      <c r="AI2458">
        <v>0</v>
      </c>
      <c r="AJ2458">
        <v>0</v>
      </c>
      <c r="AK2458">
        <v>0</v>
      </c>
    </row>
    <row r="2459" spans="1:37" x14ac:dyDescent="0.3">
      <c r="A2459">
        <v>7979</v>
      </c>
      <c r="B2459" t="s">
        <v>219</v>
      </c>
      <c r="D2459" t="s">
        <v>327</v>
      </c>
      <c r="E2459">
        <v>99999999</v>
      </c>
      <c r="F2459">
        <v>11111111</v>
      </c>
      <c r="G2459">
        <v>1111111111</v>
      </c>
      <c r="H2459" t="s">
        <v>6028</v>
      </c>
      <c r="I2459">
        <v>99999999</v>
      </c>
      <c r="J2459" s="188">
        <v>45238</v>
      </c>
      <c r="K2459" t="s">
        <v>6028</v>
      </c>
      <c r="L2459" t="s">
        <v>6028</v>
      </c>
      <c r="M2459" t="s">
        <v>630</v>
      </c>
      <c r="N2459" t="s">
        <v>104</v>
      </c>
      <c r="O2459" t="s">
        <v>3180</v>
      </c>
      <c r="P2459" t="s">
        <v>221</v>
      </c>
      <c r="Q2459" t="s">
        <v>82</v>
      </c>
      <c r="R2459">
        <v>1</v>
      </c>
      <c r="S2459">
        <v>1.1499999999999999</v>
      </c>
      <c r="T2459">
        <v>0</v>
      </c>
      <c r="U2459">
        <v>1</v>
      </c>
      <c r="V2459">
        <v>1</v>
      </c>
      <c r="W2459">
        <v>21.16</v>
      </c>
      <c r="X2459">
        <v>0</v>
      </c>
      <c r="Y2459">
        <v>0</v>
      </c>
      <c r="Z2459">
        <v>0</v>
      </c>
      <c r="AA2459">
        <v>0</v>
      </c>
      <c r="AB2459">
        <v>0</v>
      </c>
      <c r="AC2459">
        <v>0</v>
      </c>
      <c r="AD2459">
        <v>1</v>
      </c>
      <c r="AE2459">
        <v>0</v>
      </c>
      <c r="AF2459">
        <v>0</v>
      </c>
      <c r="AG2459">
        <v>0</v>
      </c>
      <c r="AH2459">
        <v>0</v>
      </c>
      <c r="AI2459">
        <v>0</v>
      </c>
      <c r="AJ2459">
        <v>0</v>
      </c>
      <c r="AK2459">
        <v>0</v>
      </c>
    </row>
    <row r="2460" spans="1:37" x14ac:dyDescent="0.3">
      <c r="A2460">
        <v>7979</v>
      </c>
      <c r="B2460" t="s">
        <v>219</v>
      </c>
      <c r="D2460" t="s">
        <v>327</v>
      </c>
      <c r="E2460">
        <v>99999999</v>
      </c>
      <c r="F2460">
        <v>11111111</v>
      </c>
      <c r="G2460">
        <v>1111111111</v>
      </c>
      <c r="H2460" t="s">
        <v>6029</v>
      </c>
      <c r="I2460">
        <v>99999999</v>
      </c>
      <c r="J2460" s="188">
        <v>45238</v>
      </c>
      <c r="K2460" t="s">
        <v>6029</v>
      </c>
      <c r="L2460" t="s">
        <v>6029</v>
      </c>
      <c r="M2460" t="s">
        <v>3181</v>
      </c>
      <c r="N2460" t="s">
        <v>402</v>
      </c>
      <c r="O2460" t="s">
        <v>3182</v>
      </c>
      <c r="P2460" t="s">
        <v>221</v>
      </c>
      <c r="Q2460" t="s">
        <v>82</v>
      </c>
      <c r="R2460">
        <v>1</v>
      </c>
      <c r="S2460">
        <v>0.8</v>
      </c>
      <c r="T2460">
        <v>0</v>
      </c>
      <c r="U2460">
        <v>1</v>
      </c>
      <c r="V2460">
        <v>1</v>
      </c>
      <c r="W2460">
        <v>29.16</v>
      </c>
      <c r="X2460">
        <v>0</v>
      </c>
      <c r="Y2460">
        <v>0</v>
      </c>
      <c r="Z2460">
        <v>0</v>
      </c>
      <c r="AA2460">
        <v>0</v>
      </c>
      <c r="AB2460">
        <v>0</v>
      </c>
      <c r="AC2460">
        <v>0</v>
      </c>
      <c r="AD2460">
        <v>1</v>
      </c>
      <c r="AE2460">
        <v>0</v>
      </c>
      <c r="AF2460">
        <v>0</v>
      </c>
      <c r="AG2460">
        <v>0</v>
      </c>
      <c r="AH2460">
        <v>0</v>
      </c>
      <c r="AI2460">
        <v>0</v>
      </c>
      <c r="AJ2460">
        <v>0</v>
      </c>
      <c r="AK2460">
        <v>0</v>
      </c>
    </row>
    <row r="2461" spans="1:37" x14ac:dyDescent="0.3">
      <c r="A2461">
        <v>7979</v>
      </c>
      <c r="B2461" t="s">
        <v>219</v>
      </c>
      <c r="D2461" t="s">
        <v>327</v>
      </c>
      <c r="E2461">
        <v>99999999</v>
      </c>
      <c r="F2461">
        <v>11111111</v>
      </c>
      <c r="G2461">
        <v>1111111111</v>
      </c>
      <c r="H2461" t="s">
        <v>6030</v>
      </c>
      <c r="I2461">
        <v>99999999</v>
      </c>
      <c r="J2461" s="188">
        <v>45238</v>
      </c>
      <c r="K2461" t="s">
        <v>6030</v>
      </c>
      <c r="L2461" t="s">
        <v>6030</v>
      </c>
      <c r="M2461" t="s">
        <v>2804</v>
      </c>
      <c r="N2461" t="s">
        <v>99</v>
      </c>
      <c r="O2461" t="s">
        <v>3183</v>
      </c>
      <c r="P2461" t="s">
        <v>221</v>
      </c>
      <c r="Q2461" t="s">
        <v>82</v>
      </c>
      <c r="R2461">
        <v>2</v>
      </c>
      <c r="S2461">
        <v>2</v>
      </c>
      <c r="T2461">
        <v>0</v>
      </c>
      <c r="U2461">
        <v>1</v>
      </c>
      <c r="V2461">
        <v>2</v>
      </c>
      <c r="W2461">
        <v>21.83</v>
      </c>
      <c r="X2461">
        <v>0</v>
      </c>
      <c r="Y2461">
        <v>0</v>
      </c>
      <c r="Z2461">
        <v>0</v>
      </c>
      <c r="AA2461">
        <v>0</v>
      </c>
      <c r="AB2461">
        <v>0</v>
      </c>
      <c r="AC2461">
        <v>0</v>
      </c>
      <c r="AD2461">
        <v>2</v>
      </c>
      <c r="AE2461">
        <v>0</v>
      </c>
      <c r="AF2461">
        <v>0</v>
      </c>
      <c r="AG2461">
        <v>0</v>
      </c>
      <c r="AH2461">
        <v>0</v>
      </c>
      <c r="AI2461">
        <v>0</v>
      </c>
      <c r="AJ2461">
        <v>0</v>
      </c>
      <c r="AK2461">
        <v>0</v>
      </c>
    </row>
    <row r="2462" spans="1:37" x14ac:dyDescent="0.3">
      <c r="A2462">
        <v>7979</v>
      </c>
      <c r="B2462" t="s">
        <v>219</v>
      </c>
      <c r="D2462" t="s">
        <v>327</v>
      </c>
      <c r="E2462">
        <v>99999999</v>
      </c>
      <c r="F2462">
        <v>11111111</v>
      </c>
      <c r="G2462">
        <v>1111111111</v>
      </c>
      <c r="H2462" t="s">
        <v>6031</v>
      </c>
      <c r="I2462">
        <v>99999999</v>
      </c>
      <c r="J2462" s="188">
        <v>45238</v>
      </c>
      <c r="K2462" t="s">
        <v>6031</v>
      </c>
      <c r="L2462" t="s">
        <v>6031</v>
      </c>
      <c r="M2462" t="s">
        <v>463</v>
      </c>
      <c r="N2462" t="s">
        <v>104</v>
      </c>
      <c r="O2462">
        <v>83702</v>
      </c>
      <c r="P2462" t="s">
        <v>221</v>
      </c>
      <c r="Q2462" t="s">
        <v>82</v>
      </c>
      <c r="R2462">
        <v>1</v>
      </c>
      <c r="S2462">
        <v>0.6</v>
      </c>
      <c r="T2462">
        <v>0</v>
      </c>
      <c r="U2462">
        <v>1</v>
      </c>
      <c r="V2462">
        <v>1</v>
      </c>
      <c r="W2462">
        <v>21.16</v>
      </c>
      <c r="X2462">
        <v>0</v>
      </c>
      <c r="Y2462">
        <v>0</v>
      </c>
      <c r="Z2462">
        <v>0</v>
      </c>
      <c r="AA2462">
        <v>0</v>
      </c>
      <c r="AB2462">
        <v>0</v>
      </c>
      <c r="AC2462">
        <v>0</v>
      </c>
      <c r="AD2462">
        <v>1</v>
      </c>
      <c r="AE2462">
        <v>0</v>
      </c>
      <c r="AF2462">
        <v>0</v>
      </c>
      <c r="AG2462">
        <v>0</v>
      </c>
      <c r="AH2462">
        <v>0</v>
      </c>
      <c r="AI2462">
        <v>0</v>
      </c>
      <c r="AJ2462">
        <v>0</v>
      </c>
      <c r="AK2462">
        <v>0</v>
      </c>
    </row>
    <row r="2463" spans="1:37" x14ac:dyDescent="0.3">
      <c r="A2463">
        <v>7979</v>
      </c>
      <c r="B2463" t="s">
        <v>219</v>
      </c>
      <c r="D2463" t="s">
        <v>327</v>
      </c>
      <c r="E2463">
        <v>99999999</v>
      </c>
      <c r="F2463">
        <v>11111111</v>
      </c>
      <c r="G2463">
        <v>1111111111</v>
      </c>
      <c r="H2463" t="s">
        <v>6032</v>
      </c>
      <c r="I2463">
        <v>99999999</v>
      </c>
      <c r="J2463" s="188">
        <v>45238</v>
      </c>
      <c r="K2463" t="s">
        <v>6032</v>
      </c>
      <c r="L2463" t="s">
        <v>6032</v>
      </c>
      <c r="M2463" t="s">
        <v>209</v>
      </c>
      <c r="N2463" t="s">
        <v>402</v>
      </c>
      <c r="O2463">
        <v>23227</v>
      </c>
      <c r="P2463" t="s">
        <v>221</v>
      </c>
      <c r="Q2463" t="s">
        <v>82</v>
      </c>
      <c r="R2463">
        <v>1</v>
      </c>
      <c r="S2463">
        <v>0.8</v>
      </c>
      <c r="T2463">
        <v>0</v>
      </c>
      <c r="U2463">
        <v>1</v>
      </c>
      <c r="V2463">
        <v>1</v>
      </c>
      <c r="W2463">
        <v>23.05</v>
      </c>
      <c r="X2463">
        <v>0</v>
      </c>
      <c r="Y2463">
        <v>0</v>
      </c>
      <c r="Z2463">
        <v>0</v>
      </c>
      <c r="AA2463">
        <v>0</v>
      </c>
      <c r="AB2463">
        <v>0</v>
      </c>
      <c r="AC2463">
        <v>0</v>
      </c>
      <c r="AD2463">
        <v>1</v>
      </c>
      <c r="AE2463">
        <v>0</v>
      </c>
      <c r="AF2463">
        <v>0</v>
      </c>
      <c r="AG2463">
        <v>0</v>
      </c>
      <c r="AH2463">
        <v>0</v>
      </c>
      <c r="AI2463">
        <v>0</v>
      </c>
      <c r="AJ2463">
        <v>0</v>
      </c>
      <c r="AK2463">
        <v>0</v>
      </c>
    </row>
    <row r="2464" spans="1:37" x14ac:dyDescent="0.3">
      <c r="A2464">
        <v>7979</v>
      </c>
      <c r="B2464" t="s">
        <v>219</v>
      </c>
      <c r="D2464" t="s">
        <v>327</v>
      </c>
      <c r="E2464">
        <v>99999999</v>
      </c>
      <c r="F2464">
        <v>11111111</v>
      </c>
      <c r="G2464">
        <v>1111111111</v>
      </c>
      <c r="H2464" t="s">
        <v>6033</v>
      </c>
      <c r="I2464">
        <v>99999999</v>
      </c>
      <c r="J2464" s="188">
        <v>45238</v>
      </c>
      <c r="K2464" t="s">
        <v>6033</v>
      </c>
      <c r="L2464" t="s">
        <v>6033</v>
      </c>
      <c r="M2464" t="s">
        <v>207</v>
      </c>
      <c r="N2464" t="s">
        <v>161</v>
      </c>
      <c r="O2464" t="s">
        <v>3184</v>
      </c>
      <c r="P2464" t="s">
        <v>221</v>
      </c>
      <c r="Q2464" t="s">
        <v>82</v>
      </c>
      <c r="R2464">
        <v>1</v>
      </c>
      <c r="S2464">
        <v>1.21</v>
      </c>
      <c r="T2464">
        <v>0</v>
      </c>
      <c r="U2464">
        <v>1</v>
      </c>
      <c r="V2464">
        <v>1</v>
      </c>
      <c r="W2464">
        <v>28.87</v>
      </c>
      <c r="X2464">
        <v>0</v>
      </c>
      <c r="Y2464">
        <v>0</v>
      </c>
      <c r="Z2464">
        <v>0</v>
      </c>
      <c r="AA2464">
        <v>0</v>
      </c>
      <c r="AB2464">
        <v>0</v>
      </c>
      <c r="AC2464">
        <v>0</v>
      </c>
      <c r="AD2464">
        <v>1</v>
      </c>
      <c r="AE2464">
        <v>0</v>
      </c>
      <c r="AF2464">
        <v>0</v>
      </c>
      <c r="AG2464">
        <v>0</v>
      </c>
      <c r="AH2464">
        <v>0</v>
      </c>
      <c r="AI2464">
        <v>0</v>
      </c>
      <c r="AJ2464">
        <v>0</v>
      </c>
      <c r="AK2464">
        <v>0</v>
      </c>
    </row>
    <row r="2465" spans="1:37" x14ac:dyDescent="0.3">
      <c r="A2465">
        <v>7979</v>
      </c>
      <c r="B2465" t="s">
        <v>219</v>
      </c>
      <c r="D2465" t="s">
        <v>327</v>
      </c>
      <c r="E2465">
        <v>99999999</v>
      </c>
      <c r="F2465">
        <v>11111111</v>
      </c>
      <c r="G2465">
        <v>1111111111</v>
      </c>
      <c r="H2465" t="s">
        <v>6034</v>
      </c>
      <c r="I2465">
        <v>99999999</v>
      </c>
      <c r="J2465" s="188">
        <v>45238</v>
      </c>
      <c r="K2465" t="s">
        <v>6034</v>
      </c>
      <c r="L2465" t="s">
        <v>6034</v>
      </c>
      <c r="M2465" t="s">
        <v>448</v>
      </c>
      <c r="N2465" t="s">
        <v>197</v>
      </c>
      <c r="O2465" t="s">
        <v>3185</v>
      </c>
      <c r="P2465" t="s">
        <v>221</v>
      </c>
      <c r="Q2465" t="s">
        <v>82</v>
      </c>
      <c r="R2465">
        <v>20</v>
      </c>
      <c r="S2465">
        <v>16</v>
      </c>
      <c r="T2465">
        <v>0</v>
      </c>
      <c r="U2465">
        <v>1</v>
      </c>
      <c r="V2465">
        <v>1</v>
      </c>
      <c r="W2465">
        <v>39.92</v>
      </c>
      <c r="X2465">
        <v>0</v>
      </c>
      <c r="Y2465">
        <v>0</v>
      </c>
      <c r="Z2465">
        <v>0</v>
      </c>
      <c r="AA2465">
        <v>0</v>
      </c>
      <c r="AB2465">
        <v>0</v>
      </c>
      <c r="AC2465">
        <v>0</v>
      </c>
      <c r="AD2465">
        <v>20</v>
      </c>
      <c r="AE2465">
        <v>0</v>
      </c>
      <c r="AF2465">
        <v>0</v>
      </c>
      <c r="AG2465">
        <v>0</v>
      </c>
      <c r="AH2465">
        <v>0</v>
      </c>
      <c r="AI2465">
        <v>0</v>
      </c>
      <c r="AJ2465">
        <v>0</v>
      </c>
      <c r="AK2465">
        <v>0</v>
      </c>
    </row>
    <row r="2466" spans="1:37" x14ac:dyDescent="0.3">
      <c r="A2466">
        <v>7979</v>
      </c>
      <c r="B2466" t="s">
        <v>219</v>
      </c>
      <c r="D2466" t="s">
        <v>327</v>
      </c>
      <c r="E2466">
        <v>99999999</v>
      </c>
      <c r="F2466">
        <v>11111111</v>
      </c>
      <c r="G2466">
        <v>1111111111</v>
      </c>
      <c r="H2466" t="s">
        <v>6035</v>
      </c>
      <c r="I2466">
        <v>99999999</v>
      </c>
      <c r="J2466" s="188">
        <v>45238</v>
      </c>
      <c r="K2466" t="s">
        <v>6035</v>
      </c>
      <c r="L2466" t="s">
        <v>6035</v>
      </c>
      <c r="M2466" t="s">
        <v>3186</v>
      </c>
      <c r="N2466" t="s">
        <v>1276</v>
      </c>
      <c r="O2466" t="s">
        <v>3187</v>
      </c>
      <c r="P2466" t="s">
        <v>221</v>
      </c>
      <c r="Q2466" t="s">
        <v>82</v>
      </c>
      <c r="R2466">
        <v>1</v>
      </c>
      <c r="S2466">
        <v>0.8</v>
      </c>
      <c r="T2466">
        <v>0</v>
      </c>
      <c r="U2466">
        <v>1</v>
      </c>
      <c r="V2466">
        <v>1</v>
      </c>
      <c r="W2466">
        <v>22.16</v>
      </c>
      <c r="X2466">
        <v>0</v>
      </c>
      <c r="Y2466">
        <v>0</v>
      </c>
      <c r="Z2466">
        <v>0</v>
      </c>
      <c r="AA2466">
        <v>0</v>
      </c>
      <c r="AB2466">
        <v>0</v>
      </c>
      <c r="AC2466">
        <v>0</v>
      </c>
      <c r="AD2466">
        <v>1</v>
      </c>
      <c r="AE2466">
        <v>0</v>
      </c>
      <c r="AF2466">
        <v>0</v>
      </c>
      <c r="AG2466">
        <v>0</v>
      </c>
      <c r="AH2466">
        <v>0</v>
      </c>
      <c r="AI2466">
        <v>0</v>
      </c>
      <c r="AJ2466">
        <v>0</v>
      </c>
      <c r="AK2466">
        <v>0</v>
      </c>
    </row>
    <row r="2467" spans="1:37" x14ac:dyDescent="0.3">
      <c r="A2467">
        <v>7979</v>
      </c>
      <c r="B2467" t="s">
        <v>219</v>
      </c>
      <c r="D2467" t="s">
        <v>327</v>
      </c>
      <c r="E2467">
        <v>99999999</v>
      </c>
      <c r="F2467">
        <v>11111111</v>
      </c>
      <c r="G2467">
        <v>1111111111</v>
      </c>
      <c r="H2467" t="s">
        <v>6036</v>
      </c>
      <c r="I2467">
        <v>99999999</v>
      </c>
      <c r="J2467" s="188">
        <v>45238</v>
      </c>
      <c r="K2467" t="s">
        <v>6036</v>
      </c>
      <c r="L2467" t="s">
        <v>6036</v>
      </c>
      <c r="M2467" t="s">
        <v>1790</v>
      </c>
      <c r="N2467" t="s">
        <v>164</v>
      </c>
      <c r="O2467" t="s">
        <v>1791</v>
      </c>
      <c r="P2467" t="s">
        <v>221</v>
      </c>
      <c r="Q2467" t="s">
        <v>82</v>
      </c>
      <c r="R2467">
        <v>1</v>
      </c>
      <c r="S2467">
        <v>1.8</v>
      </c>
      <c r="T2467">
        <v>0</v>
      </c>
      <c r="U2467">
        <v>1</v>
      </c>
      <c r="V2467">
        <v>1</v>
      </c>
      <c r="W2467">
        <v>21.83</v>
      </c>
      <c r="X2467">
        <v>0</v>
      </c>
      <c r="Y2467">
        <v>0</v>
      </c>
      <c r="Z2467">
        <v>0</v>
      </c>
      <c r="AA2467">
        <v>0</v>
      </c>
      <c r="AB2467">
        <v>0</v>
      </c>
      <c r="AC2467">
        <v>0</v>
      </c>
      <c r="AD2467">
        <v>1</v>
      </c>
      <c r="AE2467">
        <v>0</v>
      </c>
      <c r="AF2467">
        <v>0</v>
      </c>
      <c r="AG2467">
        <v>0</v>
      </c>
      <c r="AH2467">
        <v>0</v>
      </c>
      <c r="AI2467">
        <v>0</v>
      </c>
      <c r="AJ2467">
        <v>0</v>
      </c>
      <c r="AK2467">
        <v>0</v>
      </c>
    </row>
    <row r="2468" spans="1:37" x14ac:dyDescent="0.3">
      <c r="A2468">
        <v>7979</v>
      </c>
      <c r="B2468" t="s">
        <v>219</v>
      </c>
      <c r="D2468" t="s">
        <v>327</v>
      </c>
      <c r="E2468">
        <v>99999999</v>
      </c>
      <c r="F2468">
        <v>11111111</v>
      </c>
      <c r="G2468">
        <v>1111111111</v>
      </c>
      <c r="H2468" t="s">
        <v>6037</v>
      </c>
      <c r="I2468">
        <v>99999999</v>
      </c>
      <c r="J2468" s="188">
        <v>45238</v>
      </c>
      <c r="K2468" t="s">
        <v>6037</v>
      </c>
      <c r="L2468" t="s">
        <v>6037</v>
      </c>
      <c r="M2468" t="s">
        <v>3188</v>
      </c>
      <c r="N2468" t="s">
        <v>97</v>
      </c>
      <c r="O2468" t="s">
        <v>3189</v>
      </c>
      <c r="P2468" t="s">
        <v>221</v>
      </c>
      <c r="Q2468" t="s">
        <v>82</v>
      </c>
      <c r="R2468">
        <v>1</v>
      </c>
      <c r="S2468">
        <v>1.25</v>
      </c>
      <c r="T2468">
        <v>0</v>
      </c>
      <c r="U2468">
        <v>1</v>
      </c>
      <c r="V2468">
        <v>1</v>
      </c>
      <c r="W2468">
        <v>21.16</v>
      </c>
      <c r="X2468">
        <v>0</v>
      </c>
      <c r="Y2468">
        <v>0</v>
      </c>
      <c r="Z2468">
        <v>0</v>
      </c>
      <c r="AA2468">
        <v>0</v>
      </c>
      <c r="AB2468">
        <v>0</v>
      </c>
      <c r="AC2468">
        <v>0</v>
      </c>
      <c r="AD2468">
        <v>1</v>
      </c>
      <c r="AE2468">
        <v>0</v>
      </c>
      <c r="AF2468">
        <v>0</v>
      </c>
      <c r="AG2468">
        <v>0</v>
      </c>
      <c r="AH2468">
        <v>0</v>
      </c>
      <c r="AI2468">
        <v>0</v>
      </c>
      <c r="AJ2468">
        <v>0</v>
      </c>
      <c r="AK2468">
        <v>0</v>
      </c>
    </row>
    <row r="2469" spans="1:37" x14ac:dyDescent="0.3">
      <c r="A2469">
        <v>7979</v>
      </c>
      <c r="B2469" t="s">
        <v>219</v>
      </c>
      <c r="D2469" t="s">
        <v>327</v>
      </c>
      <c r="E2469">
        <v>99999999</v>
      </c>
      <c r="F2469">
        <v>11111111</v>
      </c>
      <c r="G2469">
        <v>1111111111</v>
      </c>
      <c r="H2469" t="s">
        <v>6038</v>
      </c>
      <c r="I2469">
        <v>99999999</v>
      </c>
      <c r="J2469" s="188">
        <v>45238</v>
      </c>
      <c r="K2469" t="s">
        <v>6038</v>
      </c>
      <c r="L2469" t="s">
        <v>6038</v>
      </c>
      <c r="M2469" t="s">
        <v>2483</v>
      </c>
      <c r="N2469" t="s">
        <v>91</v>
      </c>
      <c r="O2469" t="s">
        <v>3190</v>
      </c>
      <c r="P2469" t="s">
        <v>221</v>
      </c>
      <c r="Q2469" t="s">
        <v>82</v>
      </c>
      <c r="R2469">
        <v>1</v>
      </c>
      <c r="S2469">
        <v>15.31</v>
      </c>
      <c r="T2469">
        <v>0</v>
      </c>
      <c r="U2469">
        <v>1</v>
      </c>
      <c r="V2469">
        <v>1</v>
      </c>
      <c r="W2469">
        <v>28.49</v>
      </c>
      <c r="X2469">
        <v>0</v>
      </c>
      <c r="Y2469">
        <v>0</v>
      </c>
      <c r="Z2469">
        <v>0</v>
      </c>
      <c r="AA2469">
        <v>0</v>
      </c>
      <c r="AB2469">
        <v>0</v>
      </c>
      <c r="AC2469">
        <v>0</v>
      </c>
      <c r="AD2469">
        <v>1</v>
      </c>
      <c r="AE2469">
        <v>0</v>
      </c>
      <c r="AF2469">
        <v>0</v>
      </c>
      <c r="AG2469">
        <v>0</v>
      </c>
      <c r="AH2469">
        <v>0</v>
      </c>
      <c r="AI2469">
        <v>0</v>
      </c>
      <c r="AJ2469">
        <v>0</v>
      </c>
      <c r="AK2469">
        <v>0</v>
      </c>
    </row>
    <row r="2470" spans="1:37" x14ac:dyDescent="0.3">
      <c r="A2470">
        <v>7979</v>
      </c>
      <c r="B2470" t="s">
        <v>219</v>
      </c>
      <c r="D2470" t="s">
        <v>327</v>
      </c>
      <c r="E2470">
        <v>99999999</v>
      </c>
      <c r="F2470">
        <v>11111111</v>
      </c>
      <c r="G2470">
        <v>1111111111</v>
      </c>
      <c r="H2470" t="s">
        <v>6039</v>
      </c>
      <c r="I2470">
        <v>99999999</v>
      </c>
      <c r="J2470" s="188">
        <v>45238</v>
      </c>
      <c r="K2470" t="s">
        <v>6039</v>
      </c>
      <c r="L2470" t="s">
        <v>6039</v>
      </c>
      <c r="M2470" t="s">
        <v>3191</v>
      </c>
      <c r="N2470" t="s">
        <v>80</v>
      </c>
      <c r="O2470" t="s">
        <v>3192</v>
      </c>
      <c r="P2470" t="s">
        <v>221</v>
      </c>
      <c r="Q2470" t="s">
        <v>82</v>
      </c>
      <c r="R2470">
        <v>1</v>
      </c>
      <c r="S2470">
        <v>1.21</v>
      </c>
      <c r="T2470">
        <v>0</v>
      </c>
      <c r="U2470">
        <v>1</v>
      </c>
      <c r="V2470">
        <v>1</v>
      </c>
      <c r="W2470">
        <v>29.16</v>
      </c>
      <c r="X2470">
        <v>0</v>
      </c>
      <c r="Y2470">
        <v>0</v>
      </c>
      <c r="Z2470">
        <v>0</v>
      </c>
      <c r="AA2470">
        <v>0</v>
      </c>
      <c r="AB2470">
        <v>0</v>
      </c>
      <c r="AC2470">
        <v>0</v>
      </c>
      <c r="AD2470">
        <v>1</v>
      </c>
      <c r="AE2470">
        <v>0</v>
      </c>
      <c r="AF2470">
        <v>0</v>
      </c>
      <c r="AG2470">
        <v>0</v>
      </c>
      <c r="AH2470">
        <v>0</v>
      </c>
      <c r="AI2470">
        <v>0</v>
      </c>
      <c r="AJ2470">
        <v>0</v>
      </c>
      <c r="AK2470">
        <v>0</v>
      </c>
    </row>
    <row r="2471" spans="1:37" x14ac:dyDescent="0.3">
      <c r="A2471">
        <v>7979</v>
      </c>
      <c r="B2471" t="s">
        <v>219</v>
      </c>
      <c r="D2471" t="s">
        <v>327</v>
      </c>
      <c r="E2471">
        <v>99999999</v>
      </c>
      <c r="F2471">
        <v>11111111</v>
      </c>
      <c r="G2471">
        <v>1111111111</v>
      </c>
      <c r="H2471" t="s">
        <v>6040</v>
      </c>
      <c r="I2471">
        <v>99999999</v>
      </c>
      <c r="J2471" s="188">
        <v>45238</v>
      </c>
      <c r="K2471" t="s">
        <v>6040</v>
      </c>
      <c r="L2471" t="s">
        <v>6040</v>
      </c>
      <c r="M2471" t="s">
        <v>3193</v>
      </c>
      <c r="N2471" t="s">
        <v>99</v>
      </c>
      <c r="O2471" t="s">
        <v>3194</v>
      </c>
      <c r="P2471" t="s">
        <v>221</v>
      </c>
      <c r="Q2471" t="s">
        <v>82</v>
      </c>
      <c r="R2471">
        <v>1</v>
      </c>
      <c r="S2471">
        <v>7.5</v>
      </c>
      <c r="T2471">
        <v>0</v>
      </c>
      <c r="U2471">
        <v>1</v>
      </c>
      <c r="V2471">
        <v>1</v>
      </c>
      <c r="W2471">
        <v>30.61</v>
      </c>
      <c r="X2471">
        <v>0</v>
      </c>
      <c r="Y2471">
        <v>0</v>
      </c>
      <c r="Z2471">
        <v>0</v>
      </c>
      <c r="AA2471">
        <v>0</v>
      </c>
      <c r="AB2471">
        <v>0</v>
      </c>
      <c r="AC2471">
        <v>0</v>
      </c>
      <c r="AD2471">
        <v>1</v>
      </c>
      <c r="AE2471">
        <v>0</v>
      </c>
      <c r="AF2471">
        <v>0</v>
      </c>
      <c r="AG2471">
        <v>0</v>
      </c>
      <c r="AH2471">
        <v>0</v>
      </c>
      <c r="AI2471">
        <v>0</v>
      </c>
      <c r="AJ2471">
        <v>0</v>
      </c>
      <c r="AK2471">
        <v>0</v>
      </c>
    </row>
    <row r="2472" spans="1:37" x14ac:dyDescent="0.3">
      <c r="A2472">
        <v>7979</v>
      </c>
      <c r="B2472" t="s">
        <v>219</v>
      </c>
      <c r="D2472" t="s">
        <v>327</v>
      </c>
      <c r="E2472">
        <v>99999999</v>
      </c>
      <c r="F2472">
        <v>11111111</v>
      </c>
      <c r="G2472">
        <v>1111111111</v>
      </c>
      <c r="H2472" t="s">
        <v>6041</v>
      </c>
      <c r="I2472">
        <v>99999999</v>
      </c>
      <c r="J2472" s="188">
        <v>45238</v>
      </c>
      <c r="K2472" t="s">
        <v>6041</v>
      </c>
      <c r="L2472" t="s">
        <v>6041</v>
      </c>
      <c r="M2472" t="s">
        <v>630</v>
      </c>
      <c r="N2472" t="s">
        <v>104</v>
      </c>
      <c r="O2472" t="s">
        <v>3195</v>
      </c>
      <c r="P2472" t="s">
        <v>221</v>
      </c>
      <c r="Q2472" t="s">
        <v>82</v>
      </c>
      <c r="R2472">
        <v>1</v>
      </c>
      <c r="S2472">
        <v>0.95</v>
      </c>
      <c r="T2472">
        <v>0</v>
      </c>
      <c r="U2472">
        <v>1</v>
      </c>
      <c r="V2472">
        <v>1</v>
      </c>
      <c r="W2472">
        <v>21.16</v>
      </c>
      <c r="X2472">
        <v>0</v>
      </c>
      <c r="Y2472">
        <v>0</v>
      </c>
      <c r="Z2472">
        <v>0</v>
      </c>
      <c r="AA2472">
        <v>0</v>
      </c>
      <c r="AB2472">
        <v>0</v>
      </c>
      <c r="AC2472">
        <v>0</v>
      </c>
      <c r="AD2472">
        <v>1</v>
      </c>
      <c r="AE2472">
        <v>0</v>
      </c>
      <c r="AF2472">
        <v>0</v>
      </c>
      <c r="AG2472">
        <v>0</v>
      </c>
      <c r="AH2472">
        <v>0</v>
      </c>
      <c r="AI2472">
        <v>0</v>
      </c>
      <c r="AJ2472">
        <v>0</v>
      </c>
      <c r="AK2472">
        <v>0</v>
      </c>
    </row>
    <row r="2473" spans="1:37" x14ac:dyDescent="0.3">
      <c r="A2473">
        <v>7979</v>
      </c>
      <c r="B2473" t="s">
        <v>219</v>
      </c>
      <c r="D2473" t="s">
        <v>327</v>
      </c>
      <c r="E2473">
        <v>99999999</v>
      </c>
      <c r="F2473">
        <v>11111111</v>
      </c>
      <c r="G2473">
        <v>1111111111</v>
      </c>
      <c r="H2473" t="s">
        <v>6042</v>
      </c>
      <c r="I2473">
        <v>99999999</v>
      </c>
      <c r="J2473" s="188">
        <v>45238</v>
      </c>
      <c r="K2473" t="s">
        <v>6042</v>
      </c>
      <c r="L2473" t="s">
        <v>6042</v>
      </c>
      <c r="M2473" t="s">
        <v>3196</v>
      </c>
      <c r="N2473" t="s">
        <v>1022</v>
      </c>
      <c r="O2473" t="s">
        <v>3197</v>
      </c>
      <c r="P2473" t="s">
        <v>221</v>
      </c>
      <c r="Q2473" t="s">
        <v>82</v>
      </c>
      <c r="R2473">
        <v>1</v>
      </c>
      <c r="S2473">
        <v>5</v>
      </c>
      <c r="T2473">
        <v>0</v>
      </c>
      <c r="U2473">
        <v>1</v>
      </c>
      <c r="V2473">
        <v>1</v>
      </c>
      <c r="W2473">
        <v>27.29</v>
      </c>
      <c r="X2473">
        <v>0</v>
      </c>
      <c r="Y2473">
        <v>0</v>
      </c>
      <c r="Z2473">
        <v>0</v>
      </c>
      <c r="AA2473">
        <v>0</v>
      </c>
      <c r="AB2473">
        <v>0</v>
      </c>
      <c r="AC2473">
        <v>0</v>
      </c>
      <c r="AD2473">
        <v>1</v>
      </c>
      <c r="AE2473">
        <v>0</v>
      </c>
      <c r="AF2473">
        <v>0</v>
      </c>
      <c r="AG2473">
        <v>0</v>
      </c>
      <c r="AH2473">
        <v>0</v>
      </c>
      <c r="AI2473">
        <v>0</v>
      </c>
      <c r="AJ2473">
        <v>0</v>
      </c>
      <c r="AK2473">
        <v>0</v>
      </c>
    </row>
    <row r="2474" spans="1:37" x14ac:dyDescent="0.3">
      <c r="A2474">
        <v>7979</v>
      </c>
      <c r="B2474" t="s">
        <v>219</v>
      </c>
      <c r="D2474" t="s">
        <v>327</v>
      </c>
      <c r="E2474">
        <v>99999999</v>
      </c>
      <c r="F2474">
        <v>11111111</v>
      </c>
      <c r="G2474">
        <v>1111111111</v>
      </c>
      <c r="H2474" t="s">
        <v>6043</v>
      </c>
      <c r="I2474">
        <v>99999999</v>
      </c>
      <c r="J2474" s="188">
        <v>45238</v>
      </c>
      <c r="K2474" t="s">
        <v>6043</v>
      </c>
      <c r="L2474" t="s">
        <v>6043</v>
      </c>
      <c r="M2474" t="s">
        <v>647</v>
      </c>
      <c r="N2474" t="s">
        <v>99</v>
      </c>
      <c r="O2474" t="s">
        <v>3198</v>
      </c>
      <c r="P2474" t="s">
        <v>221</v>
      </c>
      <c r="Q2474" t="s">
        <v>82</v>
      </c>
      <c r="R2474">
        <v>1</v>
      </c>
      <c r="S2474">
        <v>2</v>
      </c>
      <c r="T2474">
        <v>0</v>
      </c>
      <c r="U2474">
        <v>1</v>
      </c>
      <c r="V2474">
        <v>1</v>
      </c>
      <c r="W2474">
        <v>27.94</v>
      </c>
      <c r="X2474">
        <v>0</v>
      </c>
      <c r="Y2474">
        <v>0</v>
      </c>
      <c r="Z2474">
        <v>0</v>
      </c>
      <c r="AA2474">
        <v>0</v>
      </c>
      <c r="AB2474">
        <v>0</v>
      </c>
      <c r="AC2474">
        <v>0</v>
      </c>
      <c r="AD2474">
        <v>1</v>
      </c>
      <c r="AE2474">
        <v>0</v>
      </c>
      <c r="AF2474">
        <v>0</v>
      </c>
      <c r="AG2474">
        <v>0</v>
      </c>
      <c r="AH2474">
        <v>0</v>
      </c>
      <c r="AI2474">
        <v>0</v>
      </c>
      <c r="AJ2474">
        <v>0</v>
      </c>
      <c r="AK2474">
        <v>0</v>
      </c>
    </row>
    <row r="2475" spans="1:37" x14ac:dyDescent="0.3">
      <c r="A2475">
        <v>7979</v>
      </c>
      <c r="B2475" t="s">
        <v>219</v>
      </c>
      <c r="D2475" t="s">
        <v>327</v>
      </c>
      <c r="E2475">
        <v>99999999</v>
      </c>
      <c r="F2475">
        <v>11111111</v>
      </c>
      <c r="G2475">
        <v>1111111111</v>
      </c>
      <c r="H2475" t="s">
        <v>6044</v>
      </c>
      <c r="I2475">
        <v>99999999</v>
      </c>
      <c r="J2475" s="188">
        <v>45238</v>
      </c>
      <c r="K2475" t="s">
        <v>6044</v>
      </c>
      <c r="L2475" t="s">
        <v>6044</v>
      </c>
      <c r="M2475" t="s">
        <v>850</v>
      </c>
      <c r="N2475" t="s">
        <v>130</v>
      </c>
      <c r="O2475">
        <v>80487</v>
      </c>
      <c r="P2475" t="s">
        <v>221</v>
      </c>
      <c r="Q2475" t="s">
        <v>82</v>
      </c>
      <c r="R2475">
        <v>1</v>
      </c>
      <c r="S2475">
        <v>3.2</v>
      </c>
      <c r="T2475">
        <v>0</v>
      </c>
      <c r="U2475">
        <v>1</v>
      </c>
      <c r="V2475">
        <v>1</v>
      </c>
      <c r="W2475">
        <v>29.64</v>
      </c>
      <c r="X2475">
        <v>0</v>
      </c>
      <c r="Y2475">
        <v>0</v>
      </c>
      <c r="Z2475">
        <v>0</v>
      </c>
      <c r="AA2475">
        <v>0</v>
      </c>
      <c r="AB2475">
        <v>0</v>
      </c>
      <c r="AC2475">
        <v>0</v>
      </c>
      <c r="AD2475">
        <v>1</v>
      </c>
      <c r="AE2475">
        <v>0</v>
      </c>
      <c r="AF2475">
        <v>0</v>
      </c>
      <c r="AG2475">
        <v>0</v>
      </c>
      <c r="AH2475">
        <v>0</v>
      </c>
      <c r="AI2475">
        <v>0</v>
      </c>
      <c r="AJ2475">
        <v>0</v>
      </c>
      <c r="AK2475">
        <v>0</v>
      </c>
    </row>
    <row r="2476" spans="1:37" x14ac:dyDescent="0.3">
      <c r="A2476">
        <v>7979</v>
      </c>
      <c r="B2476" t="s">
        <v>219</v>
      </c>
      <c r="D2476" t="s">
        <v>327</v>
      </c>
      <c r="E2476">
        <v>99999999</v>
      </c>
      <c r="F2476">
        <v>11111111</v>
      </c>
      <c r="G2476">
        <v>1111111111</v>
      </c>
      <c r="H2476" t="s">
        <v>6045</v>
      </c>
      <c r="I2476">
        <v>99999999</v>
      </c>
      <c r="J2476" s="188">
        <v>45238</v>
      </c>
      <c r="K2476" t="s">
        <v>6045</v>
      </c>
      <c r="L2476" t="s">
        <v>6045</v>
      </c>
      <c r="M2476" t="s">
        <v>1634</v>
      </c>
      <c r="N2476" t="s">
        <v>130</v>
      </c>
      <c r="O2476" t="s">
        <v>3199</v>
      </c>
      <c r="P2476" t="s">
        <v>221</v>
      </c>
      <c r="Q2476" t="s">
        <v>82</v>
      </c>
      <c r="R2476">
        <v>2</v>
      </c>
      <c r="S2476">
        <v>15</v>
      </c>
      <c r="T2476">
        <v>0</v>
      </c>
      <c r="U2476">
        <v>1</v>
      </c>
      <c r="V2476">
        <v>1</v>
      </c>
      <c r="W2476">
        <v>34.6</v>
      </c>
      <c r="X2476">
        <v>0</v>
      </c>
      <c r="Y2476">
        <v>0</v>
      </c>
      <c r="Z2476">
        <v>0</v>
      </c>
      <c r="AA2476">
        <v>0</v>
      </c>
      <c r="AB2476">
        <v>0</v>
      </c>
      <c r="AC2476">
        <v>0</v>
      </c>
      <c r="AD2476">
        <v>2</v>
      </c>
      <c r="AE2476">
        <v>0</v>
      </c>
      <c r="AF2476">
        <v>0</v>
      </c>
      <c r="AG2476">
        <v>0</v>
      </c>
      <c r="AH2476">
        <v>0</v>
      </c>
      <c r="AI2476">
        <v>0</v>
      </c>
      <c r="AJ2476">
        <v>0</v>
      </c>
      <c r="AK2476">
        <v>0</v>
      </c>
    </row>
    <row r="2477" spans="1:37" x14ac:dyDescent="0.3">
      <c r="A2477">
        <v>7979</v>
      </c>
      <c r="B2477" t="s">
        <v>219</v>
      </c>
      <c r="D2477" t="s">
        <v>327</v>
      </c>
      <c r="E2477">
        <v>99999999</v>
      </c>
      <c r="F2477">
        <v>11111111</v>
      </c>
      <c r="G2477">
        <v>1111111111</v>
      </c>
      <c r="H2477" t="s">
        <v>6046</v>
      </c>
      <c r="I2477">
        <v>99999999</v>
      </c>
      <c r="J2477" s="188">
        <v>45238</v>
      </c>
      <c r="K2477" t="s">
        <v>6046</v>
      </c>
      <c r="L2477" t="s">
        <v>6046</v>
      </c>
      <c r="M2477" t="s">
        <v>767</v>
      </c>
      <c r="N2477" t="s">
        <v>197</v>
      </c>
      <c r="O2477" t="s">
        <v>768</v>
      </c>
      <c r="P2477" t="s">
        <v>221</v>
      </c>
      <c r="Q2477" t="s">
        <v>82</v>
      </c>
      <c r="R2477">
        <v>1</v>
      </c>
      <c r="S2477">
        <v>2.2000000000000002</v>
      </c>
      <c r="T2477">
        <v>0</v>
      </c>
      <c r="U2477">
        <v>1</v>
      </c>
      <c r="V2477">
        <v>1</v>
      </c>
      <c r="W2477">
        <v>29.41</v>
      </c>
      <c r="X2477">
        <v>0</v>
      </c>
      <c r="Y2477">
        <v>0</v>
      </c>
      <c r="Z2477">
        <v>0</v>
      </c>
      <c r="AA2477">
        <v>0</v>
      </c>
      <c r="AB2477">
        <v>0</v>
      </c>
      <c r="AC2477">
        <v>0</v>
      </c>
      <c r="AD2477">
        <v>1</v>
      </c>
      <c r="AE2477">
        <v>0</v>
      </c>
      <c r="AF2477">
        <v>0</v>
      </c>
      <c r="AG2477">
        <v>0</v>
      </c>
      <c r="AH2477">
        <v>0</v>
      </c>
      <c r="AI2477">
        <v>0</v>
      </c>
      <c r="AJ2477">
        <v>0</v>
      </c>
      <c r="AK2477">
        <v>0</v>
      </c>
    </row>
    <row r="2478" spans="1:37" x14ac:dyDescent="0.3">
      <c r="A2478">
        <v>7979</v>
      </c>
      <c r="B2478" t="s">
        <v>219</v>
      </c>
      <c r="D2478" t="s">
        <v>327</v>
      </c>
      <c r="E2478">
        <v>99999999</v>
      </c>
      <c r="F2478">
        <v>11111111</v>
      </c>
      <c r="G2478">
        <v>1111111111</v>
      </c>
      <c r="H2478" t="s">
        <v>6047</v>
      </c>
      <c r="I2478">
        <v>99999999</v>
      </c>
      <c r="J2478" s="188">
        <v>45238</v>
      </c>
      <c r="K2478" t="s">
        <v>6047</v>
      </c>
      <c r="L2478" t="s">
        <v>6047</v>
      </c>
      <c r="M2478" t="s">
        <v>1406</v>
      </c>
      <c r="N2478" t="s">
        <v>197</v>
      </c>
      <c r="O2478" t="s">
        <v>3200</v>
      </c>
      <c r="P2478" t="s">
        <v>221</v>
      </c>
      <c r="Q2478" t="s">
        <v>82</v>
      </c>
      <c r="R2478">
        <v>1</v>
      </c>
      <c r="S2478">
        <v>0.63</v>
      </c>
      <c r="T2478">
        <v>0</v>
      </c>
      <c r="U2478">
        <v>1</v>
      </c>
      <c r="V2478">
        <v>1</v>
      </c>
      <c r="W2478">
        <v>28.27</v>
      </c>
      <c r="X2478">
        <v>0</v>
      </c>
      <c r="Y2478">
        <v>0</v>
      </c>
      <c r="Z2478">
        <v>0</v>
      </c>
      <c r="AA2478">
        <v>0</v>
      </c>
      <c r="AB2478">
        <v>0</v>
      </c>
      <c r="AC2478">
        <v>0</v>
      </c>
      <c r="AD2478">
        <v>1</v>
      </c>
      <c r="AE2478">
        <v>0</v>
      </c>
      <c r="AF2478">
        <v>0</v>
      </c>
      <c r="AG2478">
        <v>0</v>
      </c>
      <c r="AH2478">
        <v>0</v>
      </c>
      <c r="AI2478">
        <v>0</v>
      </c>
      <c r="AJ2478">
        <v>0</v>
      </c>
      <c r="AK2478">
        <v>0</v>
      </c>
    </row>
    <row r="2479" spans="1:37" x14ac:dyDescent="0.3">
      <c r="A2479">
        <v>7979</v>
      </c>
      <c r="B2479" t="s">
        <v>219</v>
      </c>
      <c r="D2479" t="s">
        <v>327</v>
      </c>
      <c r="E2479">
        <v>99999999</v>
      </c>
      <c r="F2479">
        <v>11111111</v>
      </c>
      <c r="G2479">
        <v>1111111111</v>
      </c>
      <c r="H2479" t="s">
        <v>6048</v>
      </c>
      <c r="I2479">
        <v>99999999</v>
      </c>
      <c r="J2479" s="188">
        <v>45238</v>
      </c>
      <c r="K2479" t="s">
        <v>6048</v>
      </c>
      <c r="L2479" t="s">
        <v>6048</v>
      </c>
      <c r="M2479" t="s">
        <v>1582</v>
      </c>
      <c r="N2479" t="s">
        <v>85</v>
      </c>
      <c r="O2479" t="s">
        <v>3201</v>
      </c>
      <c r="P2479" t="s">
        <v>221</v>
      </c>
      <c r="Q2479" t="s">
        <v>82</v>
      </c>
      <c r="R2479">
        <v>2</v>
      </c>
      <c r="S2479">
        <v>1.86</v>
      </c>
      <c r="T2479">
        <v>0</v>
      </c>
      <c r="U2479">
        <v>1</v>
      </c>
      <c r="V2479">
        <v>1</v>
      </c>
      <c r="W2479">
        <v>27.36</v>
      </c>
      <c r="X2479">
        <v>0</v>
      </c>
      <c r="Y2479">
        <v>0</v>
      </c>
      <c r="Z2479">
        <v>0</v>
      </c>
      <c r="AA2479">
        <v>0</v>
      </c>
      <c r="AB2479">
        <v>0</v>
      </c>
      <c r="AC2479">
        <v>0</v>
      </c>
      <c r="AD2479">
        <v>2</v>
      </c>
      <c r="AE2479">
        <v>0</v>
      </c>
      <c r="AF2479">
        <v>0</v>
      </c>
      <c r="AG2479">
        <v>0</v>
      </c>
      <c r="AH2479">
        <v>0</v>
      </c>
      <c r="AI2479">
        <v>0</v>
      </c>
      <c r="AJ2479">
        <v>0</v>
      </c>
      <c r="AK2479">
        <v>0</v>
      </c>
    </row>
    <row r="2480" spans="1:37" x14ac:dyDescent="0.3">
      <c r="A2480">
        <v>7979</v>
      </c>
      <c r="B2480" t="s">
        <v>219</v>
      </c>
      <c r="D2480" t="s">
        <v>327</v>
      </c>
      <c r="E2480">
        <v>99999999</v>
      </c>
      <c r="F2480">
        <v>11111111</v>
      </c>
      <c r="G2480">
        <v>1111111111</v>
      </c>
      <c r="H2480" t="s">
        <v>6049</v>
      </c>
      <c r="I2480">
        <v>99999999</v>
      </c>
      <c r="J2480" s="188">
        <v>45238</v>
      </c>
      <c r="K2480" t="s">
        <v>6049</v>
      </c>
      <c r="L2480" t="s">
        <v>6049</v>
      </c>
      <c r="M2480" t="s">
        <v>1874</v>
      </c>
      <c r="N2480" t="s">
        <v>99</v>
      </c>
      <c r="O2480" t="s">
        <v>3202</v>
      </c>
      <c r="P2480" t="s">
        <v>221</v>
      </c>
      <c r="Q2480" t="s">
        <v>82</v>
      </c>
      <c r="R2480">
        <v>4</v>
      </c>
      <c r="S2480">
        <v>2.0699999999999998</v>
      </c>
      <c r="T2480">
        <v>0</v>
      </c>
      <c r="U2480">
        <v>1</v>
      </c>
      <c r="V2480">
        <v>4</v>
      </c>
      <c r="W2480">
        <v>25.23</v>
      </c>
      <c r="X2480">
        <v>0</v>
      </c>
      <c r="Y2480">
        <v>0</v>
      </c>
      <c r="Z2480">
        <v>0</v>
      </c>
      <c r="AA2480">
        <v>0</v>
      </c>
      <c r="AB2480">
        <v>0</v>
      </c>
      <c r="AC2480">
        <v>0</v>
      </c>
      <c r="AD2480">
        <v>4</v>
      </c>
      <c r="AE2480">
        <v>0</v>
      </c>
      <c r="AF2480">
        <v>0</v>
      </c>
      <c r="AG2480">
        <v>0</v>
      </c>
      <c r="AH2480">
        <v>0</v>
      </c>
      <c r="AI2480">
        <v>0</v>
      </c>
      <c r="AJ2480">
        <v>0</v>
      </c>
      <c r="AK2480">
        <v>0</v>
      </c>
    </row>
    <row r="2481" spans="1:37" x14ac:dyDescent="0.3">
      <c r="A2481">
        <v>7979</v>
      </c>
      <c r="B2481" t="s">
        <v>219</v>
      </c>
      <c r="D2481" t="s">
        <v>327</v>
      </c>
      <c r="E2481">
        <v>99999999</v>
      </c>
      <c r="F2481">
        <v>11111111</v>
      </c>
      <c r="G2481">
        <v>1111111111</v>
      </c>
      <c r="H2481" t="s">
        <v>6050</v>
      </c>
      <c r="I2481">
        <v>99999999</v>
      </c>
      <c r="J2481" s="188">
        <v>45238</v>
      </c>
      <c r="K2481" t="s">
        <v>6050</v>
      </c>
      <c r="L2481" t="s">
        <v>6050</v>
      </c>
      <c r="M2481" t="s">
        <v>358</v>
      </c>
      <c r="N2481" t="s">
        <v>197</v>
      </c>
      <c r="O2481" t="s">
        <v>3203</v>
      </c>
      <c r="P2481" t="s">
        <v>221</v>
      </c>
      <c r="Q2481" t="s">
        <v>82</v>
      </c>
      <c r="R2481">
        <v>1</v>
      </c>
      <c r="S2481">
        <v>2.65</v>
      </c>
      <c r="T2481">
        <v>0</v>
      </c>
      <c r="U2481">
        <v>1</v>
      </c>
      <c r="V2481">
        <v>1</v>
      </c>
      <c r="W2481">
        <v>24.02</v>
      </c>
      <c r="X2481">
        <v>0</v>
      </c>
      <c r="Y2481">
        <v>0</v>
      </c>
      <c r="Z2481">
        <v>0</v>
      </c>
      <c r="AA2481">
        <v>0</v>
      </c>
      <c r="AB2481">
        <v>0</v>
      </c>
      <c r="AC2481">
        <v>0</v>
      </c>
      <c r="AD2481">
        <v>1</v>
      </c>
      <c r="AE2481">
        <v>0</v>
      </c>
      <c r="AF2481">
        <v>0</v>
      </c>
      <c r="AG2481">
        <v>0</v>
      </c>
      <c r="AH2481">
        <v>0</v>
      </c>
      <c r="AI2481">
        <v>0</v>
      </c>
      <c r="AJ2481">
        <v>0</v>
      </c>
      <c r="AK2481">
        <v>0</v>
      </c>
    </row>
    <row r="2482" spans="1:37" x14ac:dyDescent="0.3">
      <c r="A2482">
        <v>7979</v>
      </c>
      <c r="B2482" t="s">
        <v>219</v>
      </c>
      <c r="D2482" t="s">
        <v>327</v>
      </c>
      <c r="E2482">
        <v>99999999</v>
      </c>
      <c r="F2482">
        <v>11111111</v>
      </c>
      <c r="G2482">
        <v>1111111111</v>
      </c>
      <c r="H2482" t="s">
        <v>6051</v>
      </c>
      <c r="I2482">
        <v>99999999</v>
      </c>
      <c r="J2482" s="188">
        <v>45238</v>
      </c>
      <c r="K2482" t="s">
        <v>6051</v>
      </c>
      <c r="L2482" t="s">
        <v>6051</v>
      </c>
      <c r="M2482" t="s">
        <v>707</v>
      </c>
      <c r="N2482" t="s">
        <v>141</v>
      </c>
      <c r="O2482" t="s">
        <v>3204</v>
      </c>
      <c r="P2482" t="s">
        <v>221</v>
      </c>
      <c r="Q2482" t="s">
        <v>82</v>
      </c>
      <c r="R2482">
        <v>1</v>
      </c>
      <c r="S2482">
        <v>5.3</v>
      </c>
      <c r="T2482">
        <v>0</v>
      </c>
      <c r="U2482">
        <v>1</v>
      </c>
      <c r="V2482">
        <v>1</v>
      </c>
      <c r="W2482">
        <v>33.4</v>
      </c>
      <c r="X2482">
        <v>0</v>
      </c>
      <c r="Y2482">
        <v>0</v>
      </c>
      <c r="Z2482">
        <v>0</v>
      </c>
      <c r="AA2482">
        <v>0</v>
      </c>
      <c r="AB2482">
        <v>0</v>
      </c>
      <c r="AC2482">
        <v>0</v>
      </c>
      <c r="AD2482">
        <v>1</v>
      </c>
      <c r="AE2482">
        <v>0</v>
      </c>
      <c r="AF2482">
        <v>0</v>
      </c>
      <c r="AG2482">
        <v>0</v>
      </c>
      <c r="AH2482">
        <v>0</v>
      </c>
      <c r="AI2482">
        <v>0</v>
      </c>
      <c r="AJ2482">
        <v>0</v>
      </c>
      <c r="AK2482">
        <v>0</v>
      </c>
    </row>
    <row r="2483" spans="1:37" x14ac:dyDescent="0.3">
      <c r="A2483">
        <v>7979</v>
      </c>
      <c r="B2483" t="s">
        <v>219</v>
      </c>
      <c r="D2483" t="s">
        <v>327</v>
      </c>
      <c r="E2483">
        <v>99999999</v>
      </c>
      <c r="F2483">
        <v>11111111</v>
      </c>
      <c r="G2483">
        <v>1111111111</v>
      </c>
      <c r="H2483" t="s">
        <v>6052</v>
      </c>
      <c r="I2483">
        <v>99999999</v>
      </c>
      <c r="J2483" s="188">
        <v>45238</v>
      </c>
      <c r="K2483" t="s">
        <v>6052</v>
      </c>
      <c r="L2483" t="s">
        <v>6052</v>
      </c>
      <c r="M2483" t="s">
        <v>3205</v>
      </c>
      <c r="N2483" t="s">
        <v>125</v>
      </c>
      <c r="O2483" t="s">
        <v>3206</v>
      </c>
      <c r="P2483" t="s">
        <v>221</v>
      </c>
      <c r="Q2483" t="s">
        <v>82</v>
      </c>
      <c r="R2483">
        <v>1</v>
      </c>
      <c r="S2483">
        <v>5.3</v>
      </c>
      <c r="T2483">
        <v>0</v>
      </c>
      <c r="U2483">
        <v>1</v>
      </c>
      <c r="V2483">
        <v>1</v>
      </c>
      <c r="W2483">
        <v>32.200000000000003</v>
      </c>
      <c r="X2483">
        <v>0</v>
      </c>
      <c r="Y2483">
        <v>0</v>
      </c>
      <c r="Z2483">
        <v>0</v>
      </c>
      <c r="AA2483">
        <v>0</v>
      </c>
      <c r="AB2483">
        <v>0</v>
      </c>
      <c r="AC2483">
        <v>0</v>
      </c>
      <c r="AD2483">
        <v>1</v>
      </c>
      <c r="AE2483">
        <v>0</v>
      </c>
      <c r="AF2483">
        <v>0</v>
      </c>
      <c r="AG2483">
        <v>0</v>
      </c>
      <c r="AH2483">
        <v>0</v>
      </c>
      <c r="AI2483">
        <v>0</v>
      </c>
      <c r="AJ2483">
        <v>0</v>
      </c>
      <c r="AK2483">
        <v>0</v>
      </c>
    </row>
    <row r="2484" spans="1:37" x14ac:dyDescent="0.3">
      <c r="A2484">
        <v>7979</v>
      </c>
      <c r="B2484" t="s">
        <v>219</v>
      </c>
      <c r="D2484" t="s">
        <v>327</v>
      </c>
      <c r="E2484">
        <v>99999999</v>
      </c>
      <c r="F2484">
        <v>11111111</v>
      </c>
      <c r="G2484">
        <v>1111111111</v>
      </c>
      <c r="H2484" t="s">
        <v>6053</v>
      </c>
      <c r="I2484">
        <v>99999999</v>
      </c>
      <c r="J2484" s="188">
        <v>45238</v>
      </c>
      <c r="K2484" t="s">
        <v>6053</v>
      </c>
      <c r="L2484" t="s">
        <v>6053</v>
      </c>
      <c r="M2484" t="s">
        <v>2590</v>
      </c>
      <c r="N2484" t="s">
        <v>99</v>
      </c>
      <c r="O2484">
        <v>95425</v>
      </c>
      <c r="P2484" t="s">
        <v>221</v>
      </c>
      <c r="Q2484" t="s">
        <v>82</v>
      </c>
      <c r="R2484">
        <v>2</v>
      </c>
      <c r="S2484">
        <v>4</v>
      </c>
      <c r="T2484">
        <v>0</v>
      </c>
      <c r="U2484">
        <v>1</v>
      </c>
      <c r="V2484">
        <v>1</v>
      </c>
      <c r="W2484">
        <v>27.5</v>
      </c>
      <c r="X2484">
        <v>0</v>
      </c>
      <c r="Y2484">
        <v>0</v>
      </c>
      <c r="Z2484">
        <v>0</v>
      </c>
      <c r="AA2484">
        <v>0</v>
      </c>
      <c r="AB2484">
        <v>0</v>
      </c>
      <c r="AC2484">
        <v>0</v>
      </c>
      <c r="AD2484">
        <v>2</v>
      </c>
      <c r="AE2484">
        <v>0</v>
      </c>
      <c r="AF2484">
        <v>0</v>
      </c>
      <c r="AG2484">
        <v>0</v>
      </c>
      <c r="AH2484">
        <v>0</v>
      </c>
      <c r="AI2484">
        <v>0</v>
      </c>
      <c r="AJ2484">
        <v>0</v>
      </c>
      <c r="AK2484">
        <v>0</v>
      </c>
    </row>
    <row r="2485" spans="1:37" x14ac:dyDescent="0.3">
      <c r="A2485">
        <v>7979</v>
      </c>
      <c r="B2485" t="s">
        <v>219</v>
      </c>
      <c r="D2485" t="s">
        <v>327</v>
      </c>
      <c r="E2485">
        <v>99999999</v>
      </c>
      <c r="F2485">
        <v>11111111</v>
      </c>
      <c r="G2485">
        <v>1111111111</v>
      </c>
      <c r="H2485" t="s">
        <v>6054</v>
      </c>
      <c r="I2485">
        <v>99999999</v>
      </c>
      <c r="J2485" s="188">
        <v>45238</v>
      </c>
      <c r="K2485" t="s">
        <v>6054</v>
      </c>
      <c r="L2485" t="s">
        <v>6054</v>
      </c>
      <c r="M2485" t="s">
        <v>653</v>
      </c>
      <c r="N2485" t="s">
        <v>164</v>
      </c>
      <c r="O2485" t="s">
        <v>2342</v>
      </c>
      <c r="P2485" t="s">
        <v>221</v>
      </c>
      <c r="Q2485" t="s">
        <v>82</v>
      </c>
      <c r="R2485">
        <v>3</v>
      </c>
      <c r="S2485">
        <v>1.974</v>
      </c>
      <c r="T2485">
        <v>0</v>
      </c>
      <c r="U2485">
        <v>1</v>
      </c>
      <c r="V2485">
        <v>2</v>
      </c>
      <c r="W2485">
        <v>21.83</v>
      </c>
      <c r="X2485">
        <v>0</v>
      </c>
      <c r="Y2485">
        <v>0</v>
      </c>
      <c r="Z2485">
        <v>0</v>
      </c>
      <c r="AA2485">
        <v>0</v>
      </c>
      <c r="AB2485">
        <v>0</v>
      </c>
      <c r="AC2485">
        <v>0</v>
      </c>
      <c r="AD2485">
        <v>3</v>
      </c>
      <c r="AE2485">
        <v>0</v>
      </c>
      <c r="AF2485">
        <v>0</v>
      </c>
      <c r="AG2485">
        <v>0</v>
      </c>
      <c r="AH2485">
        <v>0</v>
      </c>
      <c r="AI2485">
        <v>0</v>
      </c>
      <c r="AJ2485">
        <v>0</v>
      </c>
      <c r="AK2485">
        <v>0</v>
      </c>
    </row>
    <row r="2486" spans="1:37" x14ac:dyDescent="0.3">
      <c r="A2486">
        <v>7979</v>
      </c>
      <c r="B2486" t="s">
        <v>219</v>
      </c>
      <c r="D2486" t="s">
        <v>327</v>
      </c>
      <c r="E2486">
        <v>99999999</v>
      </c>
      <c r="F2486">
        <v>11111111</v>
      </c>
      <c r="G2486">
        <v>1111111111</v>
      </c>
      <c r="H2486" t="s">
        <v>6055</v>
      </c>
      <c r="I2486">
        <v>99999999</v>
      </c>
      <c r="J2486" s="188">
        <v>45238</v>
      </c>
      <c r="K2486" t="s">
        <v>6055</v>
      </c>
      <c r="L2486" t="s">
        <v>6055</v>
      </c>
      <c r="M2486" t="s">
        <v>3207</v>
      </c>
      <c r="N2486" t="s">
        <v>85</v>
      </c>
      <c r="O2486">
        <v>89414</v>
      </c>
      <c r="P2486" t="s">
        <v>221</v>
      </c>
      <c r="Q2486" t="s">
        <v>82</v>
      </c>
      <c r="R2486">
        <v>2</v>
      </c>
      <c r="S2486">
        <v>30</v>
      </c>
      <c r="T2486">
        <v>0</v>
      </c>
      <c r="U2486">
        <v>1</v>
      </c>
      <c r="V2486">
        <v>1</v>
      </c>
      <c r="W2486">
        <v>44.36</v>
      </c>
      <c r="X2486">
        <v>0</v>
      </c>
      <c r="Y2486">
        <v>0</v>
      </c>
      <c r="Z2486">
        <v>0</v>
      </c>
      <c r="AA2486">
        <v>0</v>
      </c>
      <c r="AB2486">
        <v>0</v>
      </c>
      <c r="AC2486">
        <v>0</v>
      </c>
      <c r="AD2486">
        <v>2</v>
      </c>
      <c r="AE2486">
        <v>0</v>
      </c>
      <c r="AF2486">
        <v>0</v>
      </c>
      <c r="AG2486">
        <v>0</v>
      </c>
      <c r="AH2486">
        <v>0</v>
      </c>
      <c r="AI2486">
        <v>0</v>
      </c>
      <c r="AJ2486">
        <v>0</v>
      </c>
      <c r="AK2486">
        <v>0</v>
      </c>
    </row>
    <row r="2487" spans="1:37" x14ac:dyDescent="0.3">
      <c r="A2487">
        <v>7979</v>
      </c>
      <c r="B2487" t="s">
        <v>219</v>
      </c>
      <c r="D2487" t="s">
        <v>327</v>
      </c>
      <c r="E2487">
        <v>99999999</v>
      </c>
      <c r="F2487">
        <v>11111111</v>
      </c>
      <c r="G2487">
        <v>1111111111</v>
      </c>
      <c r="H2487" t="s">
        <v>6056</v>
      </c>
      <c r="I2487">
        <v>99999999</v>
      </c>
      <c r="J2487" s="188">
        <v>45238</v>
      </c>
      <c r="K2487" t="s">
        <v>6056</v>
      </c>
      <c r="L2487" t="s">
        <v>6056</v>
      </c>
      <c r="M2487" t="s">
        <v>1449</v>
      </c>
      <c r="N2487" t="s">
        <v>97</v>
      </c>
      <c r="O2487" t="s">
        <v>1450</v>
      </c>
      <c r="P2487" t="s">
        <v>221</v>
      </c>
      <c r="Q2487" t="s">
        <v>82</v>
      </c>
      <c r="R2487">
        <v>3</v>
      </c>
      <c r="S2487">
        <v>4.0529999999999999</v>
      </c>
      <c r="T2487">
        <v>0</v>
      </c>
      <c r="U2487">
        <v>1</v>
      </c>
      <c r="V2487">
        <v>3</v>
      </c>
      <c r="W2487">
        <v>28.99</v>
      </c>
      <c r="X2487">
        <v>0</v>
      </c>
      <c r="Y2487">
        <v>0</v>
      </c>
      <c r="Z2487">
        <v>0</v>
      </c>
      <c r="AA2487">
        <v>0</v>
      </c>
      <c r="AB2487">
        <v>0</v>
      </c>
      <c r="AC2487">
        <v>0</v>
      </c>
      <c r="AD2487">
        <v>3</v>
      </c>
      <c r="AE2487">
        <v>0</v>
      </c>
      <c r="AF2487">
        <v>0</v>
      </c>
      <c r="AG2487">
        <v>0</v>
      </c>
      <c r="AH2487">
        <v>0</v>
      </c>
      <c r="AI2487">
        <v>0</v>
      </c>
      <c r="AJ2487">
        <v>0</v>
      </c>
      <c r="AK2487">
        <v>0</v>
      </c>
    </row>
    <row r="2488" spans="1:37" x14ac:dyDescent="0.3">
      <c r="A2488">
        <v>7979</v>
      </c>
      <c r="B2488" t="s">
        <v>219</v>
      </c>
      <c r="D2488" t="s">
        <v>327</v>
      </c>
      <c r="E2488">
        <v>99999999</v>
      </c>
      <c r="F2488">
        <v>11111111</v>
      </c>
      <c r="G2488">
        <v>1111111111</v>
      </c>
      <c r="H2488" t="s">
        <v>6057</v>
      </c>
      <c r="I2488">
        <v>99999999</v>
      </c>
      <c r="J2488" s="188">
        <v>45238</v>
      </c>
      <c r="K2488" t="s">
        <v>6057</v>
      </c>
      <c r="L2488" t="s">
        <v>6057</v>
      </c>
      <c r="M2488" t="s">
        <v>3208</v>
      </c>
      <c r="N2488" t="s">
        <v>99</v>
      </c>
      <c r="O2488" t="s">
        <v>3209</v>
      </c>
      <c r="P2488" t="s">
        <v>221</v>
      </c>
      <c r="Q2488" t="s">
        <v>82</v>
      </c>
      <c r="R2488">
        <v>5</v>
      </c>
      <c r="S2488">
        <v>9.77</v>
      </c>
      <c r="T2488">
        <v>0</v>
      </c>
      <c r="U2488">
        <v>1</v>
      </c>
      <c r="V2488">
        <v>3</v>
      </c>
      <c r="W2488">
        <v>22.97</v>
      </c>
      <c r="X2488">
        <v>0</v>
      </c>
      <c r="Y2488">
        <v>0</v>
      </c>
      <c r="Z2488">
        <v>0</v>
      </c>
      <c r="AA2488">
        <v>0</v>
      </c>
      <c r="AB2488">
        <v>0</v>
      </c>
      <c r="AC2488">
        <v>0</v>
      </c>
      <c r="AD2488">
        <v>5</v>
      </c>
      <c r="AE2488">
        <v>0</v>
      </c>
      <c r="AF2488">
        <v>0</v>
      </c>
      <c r="AG2488">
        <v>0</v>
      </c>
      <c r="AH2488">
        <v>0</v>
      </c>
      <c r="AI2488">
        <v>0</v>
      </c>
      <c r="AJ2488">
        <v>0</v>
      </c>
      <c r="AK2488">
        <v>0</v>
      </c>
    </row>
    <row r="2489" spans="1:37" x14ac:dyDescent="0.3">
      <c r="A2489">
        <v>7979</v>
      </c>
      <c r="B2489" t="s">
        <v>219</v>
      </c>
      <c r="D2489" t="s">
        <v>327</v>
      </c>
      <c r="E2489">
        <v>99999999</v>
      </c>
      <c r="F2489">
        <v>11111111</v>
      </c>
      <c r="G2489">
        <v>1111111111</v>
      </c>
      <c r="H2489" t="s">
        <v>6058</v>
      </c>
      <c r="I2489">
        <v>99999999</v>
      </c>
      <c r="J2489" s="188">
        <v>45238</v>
      </c>
      <c r="K2489" t="s">
        <v>6058</v>
      </c>
      <c r="L2489" t="s">
        <v>6058</v>
      </c>
      <c r="M2489" t="s">
        <v>3210</v>
      </c>
      <c r="N2489" t="s">
        <v>85</v>
      </c>
      <c r="O2489">
        <v>89451</v>
      </c>
      <c r="P2489" t="s">
        <v>221</v>
      </c>
      <c r="Q2489" t="s">
        <v>82</v>
      </c>
      <c r="R2489">
        <v>1</v>
      </c>
      <c r="S2489">
        <v>1.1200000000000001</v>
      </c>
      <c r="T2489">
        <v>0</v>
      </c>
      <c r="U2489">
        <v>1</v>
      </c>
      <c r="V2489">
        <v>1</v>
      </c>
      <c r="W2489">
        <v>24.72</v>
      </c>
      <c r="X2489">
        <v>0</v>
      </c>
      <c r="Y2489">
        <v>0</v>
      </c>
      <c r="Z2489">
        <v>0</v>
      </c>
      <c r="AA2489">
        <v>0</v>
      </c>
      <c r="AB2489">
        <v>0</v>
      </c>
      <c r="AC2489">
        <v>0</v>
      </c>
      <c r="AD2489">
        <v>1</v>
      </c>
      <c r="AE2489">
        <v>0</v>
      </c>
      <c r="AF2489">
        <v>0</v>
      </c>
      <c r="AG2489">
        <v>0</v>
      </c>
      <c r="AH2489">
        <v>0</v>
      </c>
      <c r="AI2489">
        <v>0</v>
      </c>
      <c r="AJ2489">
        <v>0</v>
      </c>
      <c r="AK2489">
        <v>0</v>
      </c>
    </row>
    <row r="2490" spans="1:37" x14ac:dyDescent="0.3">
      <c r="A2490">
        <v>7979</v>
      </c>
      <c r="B2490" t="s">
        <v>219</v>
      </c>
      <c r="D2490" t="s">
        <v>327</v>
      </c>
      <c r="E2490">
        <v>99999999</v>
      </c>
      <c r="F2490">
        <v>11111111</v>
      </c>
      <c r="G2490">
        <v>1111111111</v>
      </c>
      <c r="H2490" t="s">
        <v>6059</v>
      </c>
      <c r="I2490">
        <v>99999999</v>
      </c>
      <c r="J2490" s="188">
        <v>45238</v>
      </c>
      <c r="K2490" t="s">
        <v>6059</v>
      </c>
      <c r="L2490" t="s">
        <v>6059</v>
      </c>
      <c r="M2490" t="s">
        <v>879</v>
      </c>
      <c r="N2490" t="s">
        <v>381</v>
      </c>
      <c r="O2490" t="s">
        <v>3211</v>
      </c>
      <c r="P2490" t="s">
        <v>221</v>
      </c>
      <c r="Q2490" t="s">
        <v>82</v>
      </c>
      <c r="R2490">
        <v>1</v>
      </c>
      <c r="S2490">
        <v>0.49</v>
      </c>
      <c r="T2490">
        <v>0</v>
      </c>
      <c r="U2490">
        <v>1</v>
      </c>
      <c r="V2490">
        <v>1</v>
      </c>
      <c r="W2490">
        <v>28.1</v>
      </c>
      <c r="X2490">
        <v>0</v>
      </c>
      <c r="Y2490">
        <v>0</v>
      </c>
      <c r="Z2490">
        <v>0</v>
      </c>
      <c r="AA2490">
        <v>0</v>
      </c>
      <c r="AB2490">
        <v>0</v>
      </c>
      <c r="AC2490">
        <v>0</v>
      </c>
      <c r="AD2490">
        <v>1</v>
      </c>
      <c r="AE2490">
        <v>0</v>
      </c>
      <c r="AF2490">
        <v>0</v>
      </c>
      <c r="AG2490">
        <v>0</v>
      </c>
      <c r="AH2490">
        <v>0</v>
      </c>
      <c r="AI2490">
        <v>0</v>
      </c>
      <c r="AJ2490">
        <v>0</v>
      </c>
      <c r="AK2490">
        <v>0</v>
      </c>
    </row>
    <row r="2491" spans="1:37" x14ac:dyDescent="0.3">
      <c r="A2491">
        <v>7979</v>
      </c>
      <c r="B2491" t="s">
        <v>219</v>
      </c>
      <c r="D2491" t="s">
        <v>327</v>
      </c>
      <c r="E2491">
        <v>99999999</v>
      </c>
      <c r="F2491">
        <v>11111111</v>
      </c>
      <c r="G2491">
        <v>1111111111</v>
      </c>
      <c r="H2491" t="s">
        <v>6060</v>
      </c>
      <c r="I2491">
        <v>99999999</v>
      </c>
      <c r="J2491" s="188">
        <v>45238</v>
      </c>
      <c r="K2491" t="s">
        <v>6060</v>
      </c>
      <c r="L2491" t="s">
        <v>6060</v>
      </c>
      <c r="M2491" t="s">
        <v>463</v>
      </c>
      <c r="N2491" t="s">
        <v>104</v>
      </c>
      <c r="O2491" t="s">
        <v>2141</v>
      </c>
      <c r="P2491" t="s">
        <v>221</v>
      </c>
      <c r="Q2491" t="s">
        <v>82</v>
      </c>
      <c r="R2491">
        <v>2</v>
      </c>
      <c r="S2491">
        <v>2.2200000000000002</v>
      </c>
      <c r="T2491">
        <v>0</v>
      </c>
      <c r="U2491">
        <v>1</v>
      </c>
      <c r="V2491">
        <v>2</v>
      </c>
      <c r="W2491">
        <v>21.83</v>
      </c>
      <c r="X2491">
        <v>0</v>
      </c>
      <c r="Y2491">
        <v>0</v>
      </c>
      <c r="Z2491">
        <v>0</v>
      </c>
      <c r="AA2491">
        <v>0</v>
      </c>
      <c r="AB2491">
        <v>0</v>
      </c>
      <c r="AC2491">
        <v>0</v>
      </c>
      <c r="AD2491">
        <v>2</v>
      </c>
      <c r="AE2491">
        <v>0</v>
      </c>
      <c r="AF2491">
        <v>0</v>
      </c>
      <c r="AG2491">
        <v>0</v>
      </c>
      <c r="AH2491">
        <v>0</v>
      </c>
      <c r="AI2491">
        <v>0</v>
      </c>
      <c r="AJ2491">
        <v>0</v>
      </c>
      <c r="AK2491">
        <v>0</v>
      </c>
    </row>
    <row r="2492" spans="1:37" x14ac:dyDescent="0.3">
      <c r="A2492">
        <v>7979</v>
      </c>
      <c r="B2492" t="s">
        <v>219</v>
      </c>
      <c r="D2492" t="s">
        <v>327</v>
      </c>
      <c r="E2492">
        <v>99999999</v>
      </c>
      <c r="F2492">
        <v>11111111</v>
      </c>
      <c r="G2492">
        <v>1111111111</v>
      </c>
      <c r="H2492" t="s">
        <v>6061</v>
      </c>
      <c r="I2492">
        <v>99999999</v>
      </c>
      <c r="J2492" s="188">
        <v>45238</v>
      </c>
      <c r="K2492" t="s">
        <v>6061</v>
      </c>
      <c r="L2492" t="s">
        <v>6061</v>
      </c>
      <c r="M2492" t="s">
        <v>3212</v>
      </c>
      <c r="N2492" t="s">
        <v>151</v>
      </c>
      <c r="O2492">
        <v>28782</v>
      </c>
      <c r="P2492" t="s">
        <v>221</v>
      </c>
      <c r="Q2492" t="s">
        <v>82</v>
      </c>
      <c r="R2492">
        <v>1</v>
      </c>
      <c r="S2492">
        <v>2.5350000000000001</v>
      </c>
      <c r="T2492">
        <v>0</v>
      </c>
      <c r="U2492">
        <v>1</v>
      </c>
      <c r="V2492">
        <v>1</v>
      </c>
      <c r="W2492">
        <v>32.200000000000003</v>
      </c>
      <c r="X2492">
        <v>0</v>
      </c>
      <c r="Y2492">
        <v>0</v>
      </c>
      <c r="Z2492">
        <v>0</v>
      </c>
      <c r="AA2492">
        <v>0</v>
      </c>
      <c r="AB2492">
        <v>0</v>
      </c>
      <c r="AC2492">
        <v>0</v>
      </c>
      <c r="AD2492">
        <v>1</v>
      </c>
      <c r="AE2492">
        <v>0</v>
      </c>
      <c r="AF2492">
        <v>0</v>
      </c>
      <c r="AG2492">
        <v>0</v>
      </c>
      <c r="AH2492">
        <v>0</v>
      </c>
      <c r="AI2492">
        <v>0</v>
      </c>
      <c r="AJ2492">
        <v>0</v>
      </c>
      <c r="AK2492">
        <v>0</v>
      </c>
    </row>
    <row r="2493" spans="1:37" x14ac:dyDescent="0.3">
      <c r="A2493">
        <v>7979</v>
      </c>
      <c r="B2493" t="s">
        <v>219</v>
      </c>
      <c r="D2493" t="s">
        <v>327</v>
      </c>
      <c r="E2493">
        <v>99999999</v>
      </c>
      <c r="F2493">
        <v>11111111</v>
      </c>
      <c r="G2493">
        <v>1111111111</v>
      </c>
      <c r="H2493" t="s">
        <v>6062</v>
      </c>
      <c r="I2493">
        <v>99999999</v>
      </c>
      <c r="J2493" s="188">
        <v>45238</v>
      </c>
      <c r="K2493" t="s">
        <v>6062</v>
      </c>
      <c r="L2493" t="s">
        <v>6062</v>
      </c>
      <c r="M2493" t="s">
        <v>96</v>
      </c>
      <c r="N2493" t="s">
        <v>97</v>
      </c>
      <c r="O2493">
        <v>98203</v>
      </c>
      <c r="P2493" t="s">
        <v>221</v>
      </c>
      <c r="Q2493" t="s">
        <v>82</v>
      </c>
      <c r="R2493">
        <v>1</v>
      </c>
      <c r="S2493">
        <v>4</v>
      </c>
      <c r="T2493">
        <v>0</v>
      </c>
      <c r="U2493">
        <v>1</v>
      </c>
      <c r="V2493">
        <v>1</v>
      </c>
      <c r="W2493">
        <v>22.88</v>
      </c>
      <c r="X2493">
        <v>0</v>
      </c>
      <c r="Y2493">
        <v>0</v>
      </c>
      <c r="Z2493">
        <v>0</v>
      </c>
      <c r="AA2493">
        <v>0</v>
      </c>
      <c r="AB2493">
        <v>0</v>
      </c>
      <c r="AC2493">
        <v>0</v>
      </c>
      <c r="AD2493">
        <v>1</v>
      </c>
      <c r="AE2493">
        <v>0</v>
      </c>
      <c r="AF2493">
        <v>0</v>
      </c>
      <c r="AG2493">
        <v>0</v>
      </c>
      <c r="AH2493">
        <v>0</v>
      </c>
      <c r="AI2493">
        <v>0</v>
      </c>
      <c r="AJ2493">
        <v>0</v>
      </c>
      <c r="AK2493">
        <v>0</v>
      </c>
    </row>
    <row r="2494" spans="1:37" x14ac:dyDescent="0.3">
      <c r="A2494">
        <v>7979</v>
      </c>
      <c r="B2494" t="s">
        <v>219</v>
      </c>
      <c r="D2494" t="s">
        <v>327</v>
      </c>
      <c r="E2494">
        <v>99999999</v>
      </c>
      <c r="F2494">
        <v>11111111</v>
      </c>
      <c r="G2494">
        <v>1111111111</v>
      </c>
      <c r="H2494" t="s">
        <v>6063</v>
      </c>
      <c r="I2494">
        <v>99999999</v>
      </c>
      <c r="J2494" s="188">
        <v>45238</v>
      </c>
      <c r="K2494" t="s">
        <v>6063</v>
      </c>
      <c r="L2494" t="s">
        <v>6063</v>
      </c>
      <c r="M2494" t="s">
        <v>3213</v>
      </c>
      <c r="N2494" t="s">
        <v>97</v>
      </c>
      <c r="O2494" t="s">
        <v>3214</v>
      </c>
      <c r="P2494" t="s">
        <v>221</v>
      </c>
      <c r="Q2494" t="s">
        <v>82</v>
      </c>
      <c r="R2494">
        <v>4</v>
      </c>
      <c r="S2494">
        <v>1.3260000000000001</v>
      </c>
      <c r="T2494">
        <v>0</v>
      </c>
      <c r="U2494">
        <v>1</v>
      </c>
      <c r="V2494">
        <v>3</v>
      </c>
      <c r="W2494">
        <v>21.16</v>
      </c>
      <c r="X2494">
        <v>0</v>
      </c>
      <c r="Y2494">
        <v>0</v>
      </c>
      <c r="Z2494">
        <v>0</v>
      </c>
      <c r="AA2494">
        <v>0</v>
      </c>
      <c r="AB2494">
        <v>0</v>
      </c>
      <c r="AC2494">
        <v>0</v>
      </c>
      <c r="AD2494">
        <v>4</v>
      </c>
      <c r="AE2494">
        <v>0</v>
      </c>
      <c r="AF2494">
        <v>0</v>
      </c>
      <c r="AG2494">
        <v>0</v>
      </c>
      <c r="AH2494">
        <v>0</v>
      </c>
      <c r="AI2494">
        <v>0</v>
      </c>
      <c r="AJ2494">
        <v>0</v>
      </c>
      <c r="AK2494">
        <v>0</v>
      </c>
    </row>
    <row r="2495" spans="1:37" x14ac:dyDescent="0.3">
      <c r="A2495">
        <v>7979</v>
      </c>
      <c r="B2495" t="s">
        <v>219</v>
      </c>
      <c r="D2495" t="s">
        <v>327</v>
      </c>
      <c r="E2495">
        <v>99999999</v>
      </c>
      <c r="F2495">
        <v>11111111</v>
      </c>
      <c r="G2495">
        <v>1111111111</v>
      </c>
      <c r="H2495" t="s">
        <v>6064</v>
      </c>
      <c r="I2495">
        <v>99999999</v>
      </c>
      <c r="J2495" s="188">
        <v>45238</v>
      </c>
      <c r="K2495" t="s">
        <v>6064</v>
      </c>
      <c r="L2495" t="s">
        <v>6064</v>
      </c>
      <c r="M2495" t="s">
        <v>3215</v>
      </c>
      <c r="N2495" t="s">
        <v>99</v>
      </c>
      <c r="O2495" t="s">
        <v>3216</v>
      </c>
      <c r="P2495" t="s">
        <v>221</v>
      </c>
      <c r="Q2495" t="s">
        <v>82</v>
      </c>
      <c r="R2495">
        <v>2</v>
      </c>
      <c r="S2495">
        <v>3.05</v>
      </c>
      <c r="T2495">
        <v>0</v>
      </c>
      <c r="U2495">
        <v>1</v>
      </c>
      <c r="V2495">
        <v>2</v>
      </c>
      <c r="W2495">
        <v>22.47</v>
      </c>
      <c r="X2495">
        <v>0</v>
      </c>
      <c r="Y2495">
        <v>0</v>
      </c>
      <c r="Z2495">
        <v>0</v>
      </c>
      <c r="AA2495">
        <v>0</v>
      </c>
      <c r="AB2495">
        <v>0</v>
      </c>
      <c r="AC2495">
        <v>0</v>
      </c>
      <c r="AD2495">
        <v>2</v>
      </c>
      <c r="AE2495">
        <v>0</v>
      </c>
      <c r="AF2495">
        <v>0</v>
      </c>
      <c r="AG2495">
        <v>0</v>
      </c>
      <c r="AH2495">
        <v>0</v>
      </c>
      <c r="AI2495">
        <v>0</v>
      </c>
      <c r="AJ2495">
        <v>0</v>
      </c>
      <c r="AK2495">
        <v>0</v>
      </c>
    </row>
    <row r="2496" spans="1:37" x14ac:dyDescent="0.3">
      <c r="A2496">
        <v>7979</v>
      </c>
      <c r="B2496" t="s">
        <v>219</v>
      </c>
      <c r="D2496" t="s">
        <v>327</v>
      </c>
      <c r="E2496">
        <v>99999999</v>
      </c>
      <c r="F2496">
        <v>11111111</v>
      </c>
      <c r="G2496">
        <v>1111111111</v>
      </c>
      <c r="H2496" t="s">
        <v>6065</v>
      </c>
      <c r="I2496">
        <v>99999999</v>
      </c>
      <c r="J2496" s="188">
        <v>45238</v>
      </c>
      <c r="K2496" t="s">
        <v>6065</v>
      </c>
      <c r="L2496" t="s">
        <v>6065</v>
      </c>
      <c r="M2496" t="s">
        <v>3217</v>
      </c>
      <c r="N2496" t="s">
        <v>130</v>
      </c>
      <c r="O2496">
        <v>80921</v>
      </c>
      <c r="P2496" t="s">
        <v>221</v>
      </c>
      <c r="Q2496" t="s">
        <v>82</v>
      </c>
      <c r="R2496">
        <v>1</v>
      </c>
      <c r="S2496">
        <v>9.24</v>
      </c>
      <c r="T2496">
        <v>0</v>
      </c>
      <c r="U2496">
        <v>1</v>
      </c>
      <c r="V2496">
        <v>1</v>
      </c>
      <c r="W2496">
        <v>26.16</v>
      </c>
      <c r="X2496">
        <v>0</v>
      </c>
      <c r="Y2496">
        <v>0</v>
      </c>
      <c r="Z2496">
        <v>0</v>
      </c>
      <c r="AA2496">
        <v>0</v>
      </c>
      <c r="AB2496">
        <v>0</v>
      </c>
      <c r="AC2496">
        <v>0</v>
      </c>
      <c r="AD2496">
        <v>1</v>
      </c>
      <c r="AE2496">
        <v>0</v>
      </c>
      <c r="AF2496">
        <v>0</v>
      </c>
      <c r="AG2496">
        <v>0</v>
      </c>
      <c r="AH2496">
        <v>0</v>
      </c>
      <c r="AI2496">
        <v>0</v>
      </c>
      <c r="AJ2496">
        <v>0</v>
      </c>
      <c r="AK2496">
        <v>0</v>
      </c>
    </row>
    <row r="2497" spans="1:37" x14ac:dyDescent="0.3">
      <c r="A2497">
        <v>7979</v>
      </c>
      <c r="B2497" t="s">
        <v>219</v>
      </c>
      <c r="D2497" t="s">
        <v>327</v>
      </c>
      <c r="E2497">
        <v>99999999</v>
      </c>
      <c r="F2497">
        <v>11111111</v>
      </c>
      <c r="G2497">
        <v>1111111111</v>
      </c>
      <c r="H2497" t="s">
        <v>6066</v>
      </c>
      <c r="I2497">
        <v>99999999</v>
      </c>
      <c r="J2497" s="188">
        <v>45238</v>
      </c>
      <c r="K2497" t="s">
        <v>6066</v>
      </c>
      <c r="L2497" t="s">
        <v>6066</v>
      </c>
      <c r="M2497" t="s">
        <v>142</v>
      </c>
      <c r="N2497" t="s">
        <v>97</v>
      </c>
      <c r="O2497" t="s">
        <v>3218</v>
      </c>
      <c r="P2497" t="s">
        <v>221</v>
      </c>
      <c r="Q2497" t="s">
        <v>82</v>
      </c>
      <c r="R2497">
        <v>2</v>
      </c>
      <c r="S2497">
        <v>6</v>
      </c>
      <c r="T2497">
        <v>0</v>
      </c>
      <c r="U2497">
        <v>1</v>
      </c>
      <c r="V2497">
        <v>1</v>
      </c>
      <c r="W2497">
        <v>23.49</v>
      </c>
      <c r="X2497">
        <v>0</v>
      </c>
      <c r="Y2497">
        <v>0</v>
      </c>
      <c r="Z2497">
        <v>0</v>
      </c>
      <c r="AA2497">
        <v>0</v>
      </c>
      <c r="AB2497">
        <v>0</v>
      </c>
      <c r="AC2497">
        <v>0</v>
      </c>
      <c r="AD2497">
        <v>2</v>
      </c>
      <c r="AE2497">
        <v>0</v>
      </c>
      <c r="AF2497">
        <v>0</v>
      </c>
      <c r="AG2497">
        <v>0</v>
      </c>
      <c r="AH2497">
        <v>0</v>
      </c>
      <c r="AI2497">
        <v>0</v>
      </c>
      <c r="AJ2497">
        <v>0</v>
      </c>
      <c r="AK2497">
        <v>0</v>
      </c>
    </row>
    <row r="2498" spans="1:37" x14ac:dyDescent="0.3">
      <c r="A2498">
        <v>7979</v>
      </c>
      <c r="B2498" t="s">
        <v>219</v>
      </c>
      <c r="D2498" t="s">
        <v>327</v>
      </c>
      <c r="E2498">
        <v>99999999</v>
      </c>
      <c r="F2498">
        <v>11111111</v>
      </c>
      <c r="G2498">
        <v>1111111111</v>
      </c>
      <c r="H2498" t="s">
        <v>6067</v>
      </c>
      <c r="I2498">
        <v>99999999</v>
      </c>
      <c r="J2498" s="188">
        <v>45238</v>
      </c>
      <c r="K2498" t="s">
        <v>6067</v>
      </c>
      <c r="L2498" t="s">
        <v>6067</v>
      </c>
      <c r="M2498" t="s">
        <v>3219</v>
      </c>
      <c r="N2498" t="s">
        <v>91</v>
      </c>
      <c r="O2498" t="s">
        <v>3220</v>
      </c>
      <c r="P2498" t="s">
        <v>221</v>
      </c>
      <c r="Q2498" t="s">
        <v>82</v>
      </c>
      <c r="R2498">
        <v>1</v>
      </c>
      <c r="S2498">
        <v>5</v>
      </c>
      <c r="T2498">
        <v>0</v>
      </c>
      <c r="U2498">
        <v>1</v>
      </c>
      <c r="V2498">
        <v>1</v>
      </c>
      <c r="W2498">
        <v>24.39</v>
      </c>
      <c r="X2498">
        <v>0</v>
      </c>
      <c r="Y2498">
        <v>0</v>
      </c>
      <c r="Z2498">
        <v>0</v>
      </c>
      <c r="AA2498">
        <v>0</v>
      </c>
      <c r="AB2498">
        <v>0</v>
      </c>
      <c r="AC2498">
        <v>0</v>
      </c>
      <c r="AD2498">
        <v>1</v>
      </c>
      <c r="AE2498">
        <v>0</v>
      </c>
      <c r="AF2498">
        <v>0</v>
      </c>
      <c r="AG2498">
        <v>0</v>
      </c>
      <c r="AH2498">
        <v>0</v>
      </c>
      <c r="AI2498">
        <v>0</v>
      </c>
      <c r="AJ2498">
        <v>0</v>
      </c>
      <c r="AK2498">
        <v>0</v>
      </c>
    </row>
    <row r="2499" spans="1:37" x14ac:dyDescent="0.3">
      <c r="A2499">
        <v>7979</v>
      </c>
      <c r="B2499" t="s">
        <v>219</v>
      </c>
      <c r="D2499" t="s">
        <v>327</v>
      </c>
      <c r="E2499">
        <v>99999999</v>
      </c>
      <c r="F2499">
        <v>11111111</v>
      </c>
      <c r="G2499">
        <v>1111111111</v>
      </c>
      <c r="H2499" t="s">
        <v>6068</v>
      </c>
      <c r="I2499">
        <v>99999999</v>
      </c>
      <c r="J2499" s="188">
        <v>45238</v>
      </c>
      <c r="K2499" t="s">
        <v>6068</v>
      </c>
      <c r="L2499" t="s">
        <v>6068</v>
      </c>
      <c r="M2499" t="s">
        <v>3221</v>
      </c>
      <c r="N2499" t="s">
        <v>307</v>
      </c>
      <c r="O2499" t="s">
        <v>3222</v>
      </c>
      <c r="P2499" t="s">
        <v>221</v>
      </c>
      <c r="Q2499" t="s">
        <v>82</v>
      </c>
      <c r="R2499">
        <v>1</v>
      </c>
      <c r="S2499">
        <v>10.61</v>
      </c>
      <c r="T2499">
        <v>0</v>
      </c>
      <c r="U2499">
        <v>1</v>
      </c>
      <c r="V2499">
        <v>1</v>
      </c>
      <c r="W2499">
        <v>34.24</v>
      </c>
      <c r="X2499">
        <v>0</v>
      </c>
      <c r="Y2499">
        <v>0</v>
      </c>
      <c r="Z2499">
        <v>0</v>
      </c>
      <c r="AA2499">
        <v>0</v>
      </c>
      <c r="AB2499">
        <v>0</v>
      </c>
      <c r="AC2499">
        <v>0</v>
      </c>
      <c r="AD2499">
        <v>1</v>
      </c>
      <c r="AE2499">
        <v>0</v>
      </c>
      <c r="AF2499">
        <v>0</v>
      </c>
      <c r="AG2499">
        <v>0</v>
      </c>
      <c r="AH2499">
        <v>0</v>
      </c>
      <c r="AI2499">
        <v>0</v>
      </c>
      <c r="AJ2499">
        <v>0</v>
      </c>
      <c r="AK2499">
        <v>0</v>
      </c>
    </row>
    <row r="2500" spans="1:37" x14ac:dyDescent="0.3">
      <c r="A2500">
        <v>7979</v>
      </c>
      <c r="B2500" t="s">
        <v>219</v>
      </c>
      <c r="D2500" t="s">
        <v>327</v>
      </c>
      <c r="E2500">
        <v>99999999</v>
      </c>
      <c r="F2500">
        <v>11111111</v>
      </c>
      <c r="G2500">
        <v>1111111111</v>
      </c>
      <c r="H2500" t="s">
        <v>6069</v>
      </c>
      <c r="I2500">
        <v>99999999</v>
      </c>
      <c r="J2500" s="188">
        <v>45238</v>
      </c>
      <c r="K2500" t="s">
        <v>6069</v>
      </c>
      <c r="L2500" t="s">
        <v>6069</v>
      </c>
      <c r="M2500" t="s">
        <v>3223</v>
      </c>
      <c r="N2500" t="s">
        <v>983</v>
      </c>
      <c r="O2500" t="s">
        <v>3224</v>
      </c>
      <c r="P2500" t="s">
        <v>221</v>
      </c>
      <c r="Q2500" t="s">
        <v>82</v>
      </c>
      <c r="R2500">
        <v>1</v>
      </c>
      <c r="S2500">
        <v>4.8600000000000003</v>
      </c>
      <c r="T2500">
        <v>0</v>
      </c>
      <c r="U2500">
        <v>1</v>
      </c>
      <c r="V2500">
        <v>1</v>
      </c>
      <c r="W2500">
        <v>27.29</v>
      </c>
      <c r="X2500">
        <v>0</v>
      </c>
      <c r="Y2500">
        <v>0</v>
      </c>
      <c r="Z2500">
        <v>0</v>
      </c>
      <c r="AA2500">
        <v>0</v>
      </c>
      <c r="AB2500">
        <v>0</v>
      </c>
      <c r="AC2500">
        <v>0</v>
      </c>
      <c r="AD2500">
        <v>1</v>
      </c>
      <c r="AE2500">
        <v>0</v>
      </c>
      <c r="AF2500">
        <v>0</v>
      </c>
      <c r="AG2500">
        <v>0</v>
      </c>
      <c r="AH2500">
        <v>0</v>
      </c>
      <c r="AI2500">
        <v>0</v>
      </c>
      <c r="AJ2500">
        <v>0</v>
      </c>
      <c r="AK2500">
        <v>0</v>
      </c>
    </row>
    <row r="2501" spans="1:37" x14ac:dyDescent="0.3">
      <c r="A2501">
        <v>7979</v>
      </c>
      <c r="B2501" t="s">
        <v>219</v>
      </c>
      <c r="D2501" t="s">
        <v>327</v>
      </c>
      <c r="E2501">
        <v>99999999</v>
      </c>
      <c r="F2501">
        <v>11111111</v>
      </c>
      <c r="G2501">
        <v>1111111111</v>
      </c>
      <c r="H2501" t="s">
        <v>6070</v>
      </c>
      <c r="I2501">
        <v>99999999</v>
      </c>
      <c r="J2501" s="188">
        <v>45238</v>
      </c>
      <c r="K2501" t="s">
        <v>6070</v>
      </c>
      <c r="L2501" t="s">
        <v>6070</v>
      </c>
      <c r="M2501" t="s">
        <v>343</v>
      </c>
      <c r="N2501" t="s">
        <v>164</v>
      </c>
      <c r="O2501" t="s">
        <v>3225</v>
      </c>
      <c r="P2501" t="s">
        <v>221</v>
      </c>
      <c r="Q2501" t="s">
        <v>82</v>
      </c>
      <c r="R2501">
        <v>1</v>
      </c>
      <c r="S2501">
        <v>5</v>
      </c>
      <c r="T2501">
        <v>0</v>
      </c>
      <c r="U2501">
        <v>1</v>
      </c>
      <c r="V2501">
        <v>1</v>
      </c>
      <c r="W2501">
        <v>23.04</v>
      </c>
      <c r="X2501">
        <v>0</v>
      </c>
      <c r="Y2501">
        <v>0</v>
      </c>
      <c r="Z2501">
        <v>0</v>
      </c>
      <c r="AA2501">
        <v>0</v>
      </c>
      <c r="AB2501">
        <v>0</v>
      </c>
      <c r="AC2501">
        <v>0</v>
      </c>
      <c r="AD2501">
        <v>1</v>
      </c>
      <c r="AE2501">
        <v>0</v>
      </c>
      <c r="AF2501">
        <v>0</v>
      </c>
      <c r="AG2501">
        <v>0</v>
      </c>
      <c r="AH2501">
        <v>0</v>
      </c>
      <c r="AI2501">
        <v>0</v>
      </c>
      <c r="AJ2501">
        <v>0</v>
      </c>
      <c r="AK2501">
        <v>0</v>
      </c>
    </row>
    <row r="2502" spans="1:37" x14ac:dyDescent="0.3">
      <c r="A2502">
        <v>7979</v>
      </c>
      <c r="B2502" t="s">
        <v>219</v>
      </c>
      <c r="D2502" t="s">
        <v>327</v>
      </c>
      <c r="E2502">
        <v>99999999</v>
      </c>
      <c r="F2502">
        <v>11111111</v>
      </c>
      <c r="G2502">
        <v>1111111111</v>
      </c>
      <c r="H2502" t="s">
        <v>6071</v>
      </c>
      <c r="I2502">
        <v>99999999</v>
      </c>
      <c r="J2502" s="188">
        <v>45238</v>
      </c>
      <c r="K2502" t="s">
        <v>6071</v>
      </c>
      <c r="L2502" t="s">
        <v>6071</v>
      </c>
      <c r="M2502" t="s">
        <v>719</v>
      </c>
      <c r="N2502" t="s">
        <v>97</v>
      </c>
      <c r="O2502">
        <v>98026</v>
      </c>
      <c r="P2502" t="s">
        <v>221</v>
      </c>
      <c r="Q2502" t="s">
        <v>82</v>
      </c>
      <c r="R2502">
        <v>1</v>
      </c>
      <c r="S2502">
        <v>3.75</v>
      </c>
      <c r="T2502">
        <v>0</v>
      </c>
      <c r="U2502">
        <v>1</v>
      </c>
      <c r="V2502">
        <v>1</v>
      </c>
      <c r="W2502">
        <v>22.88</v>
      </c>
      <c r="X2502">
        <v>0</v>
      </c>
      <c r="Y2502">
        <v>0</v>
      </c>
      <c r="Z2502">
        <v>0</v>
      </c>
      <c r="AA2502">
        <v>0</v>
      </c>
      <c r="AB2502">
        <v>0</v>
      </c>
      <c r="AC2502">
        <v>0</v>
      </c>
      <c r="AD2502">
        <v>1</v>
      </c>
      <c r="AE2502">
        <v>0</v>
      </c>
      <c r="AF2502">
        <v>0</v>
      </c>
      <c r="AG2502">
        <v>0</v>
      </c>
      <c r="AH2502">
        <v>0</v>
      </c>
      <c r="AI2502">
        <v>0</v>
      </c>
      <c r="AJ2502">
        <v>0</v>
      </c>
      <c r="AK2502">
        <v>0</v>
      </c>
    </row>
    <row r="2503" spans="1:37" x14ac:dyDescent="0.3">
      <c r="A2503">
        <v>7979</v>
      </c>
      <c r="B2503" t="s">
        <v>219</v>
      </c>
      <c r="D2503" t="s">
        <v>327</v>
      </c>
      <c r="E2503">
        <v>99999999</v>
      </c>
      <c r="F2503">
        <v>11111111</v>
      </c>
      <c r="G2503">
        <v>1111111111</v>
      </c>
      <c r="H2503" t="s">
        <v>6072</v>
      </c>
      <c r="I2503">
        <v>99999999</v>
      </c>
      <c r="J2503" s="188">
        <v>45238</v>
      </c>
      <c r="K2503" t="s">
        <v>6072</v>
      </c>
      <c r="L2503" t="s">
        <v>6072</v>
      </c>
      <c r="M2503" t="s">
        <v>297</v>
      </c>
      <c r="N2503" t="s">
        <v>197</v>
      </c>
      <c r="O2503" t="s">
        <v>3226</v>
      </c>
      <c r="P2503" t="s">
        <v>221</v>
      </c>
      <c r="Q2503" t="s">
        <v>82</v>
      </c>
      <c r="R2503">
        <v>1</v>
      </c>
      <c r="S2503">
        <v>15.75</v>
      </c>
      <c r="T2503">
        <v>0</v>
      </c>
      <c r="U2503">
        <v>1</v>
      </c>
      <c r="V2503">
        <v>1</v>
      </c>
      <c r="W2503">
        <v>33.409999999999997</v>
      </c>
      <c r="X2503">
        <v>0</v>
      </c>
      <c r="Y2503">
        <v>0</v>
      </c>
      <c r="Z2503">
        <v>0</v>
      </c>
      <c r="AA2503">
        <v>0</v>
      </c>
      <c r="AB2503">
        <v>0</v>
      </c>
      <c r="AC2503">
        <v>0</v>
      </c>
      <c r="AD2503">
        <v>1</v>
      </c>
      <c r="AE2503">
        <v>0</v>
      </c>
      <c r="AF2503">
        <v>0</v>
      </c>
      <c r="AG2503">
        <v>0</v>
      </c>
      <c r="AH2503">
        <v>0</v>
      </c>
      <c r="AI2503">
        <v>0</v>
      </c>
      <c r="AJ2503">
        <v>0</v>
      </c>
      <c r="AK2503">
        <v>0</v>
      </c>
    </row>
    <row r="2504" spans="1:37" x14ac:dyDescent="0.3">
      <c r="A2504">
        <v>7979</v>
      </c>
      <c r="B2504" t="s">
        <v>219</v>
      </c>
      <c r="D2504" t="s">
        <v>327</v>
      </c>
      <c r="E2504">
        <v>99999999</v>
      </c>
      <c r="F2504">
        <v>11111111</v>
      </c>
      <c r="G2504">
        <v>1111111111</v>
      </c>
      <c r="H2504" t="s">
        <v>6073</v>
      </c>
      <c r="I2504">
        <v>99999999</v>
      </c>
      <c r="J2504" s="188">
        <v>45238</v>
      </c>
      <c r="K2504" t="s">
        <v>6073</v>
      </c>
      <c r="L2504" t="s">
        <v>6073</v>
      </c>
      <c r="M2504" t="s">
        <v>3227</v>
      </c>
      <c r="N2504" t="s">
        <v>231</v>
      </c>
      <c r="O2504" t="s">
        <v>3228</v>
      </c>
      <c r="P2504" t="s">
        <v>221</v>
      </c>
      <c r="Q2504" t="s">
        <v>82</v>
      </c>
      <c r="R2504">
        <v>1</v>
      </c>
      <c r="S2504">
        <v>8</v>
      </c>
      <c r="T2504">
        <v>0</v>
      </c>
      <c r="U2504">
        <v>1</v>
      </c>
      <c r="V2504">
        <v>1</v>
      </c>
      <c r="W2504">
        <v>36.380000000000003</v>
      </c>
      <c r="X2504">
        <v>0</v>
      </c>
      <c r="Y2504">
        <v>0</v>
      </c>
      <c r="Z2504">
        <v>0</v>
      </c>
      <c r="AA2504">
        <v>0</v>
      </c>
      <c r="AB2504">
        <v>0</v>
      </c>
      <c r="AC2504">
        <v>0</v>
      </c>
      <c r="AD2504">
        <v>1</v>
      </c>
      <c r="AE2504">
        <v>0</v>
      </c>
      <c r="AF2504">
        <v>0</v>
      </c>
      <c r="AG2504">
        <v>0</v>
      </c>
      <c r="AH2504">
        <v>0</v>
      </c>
      <c r="AI2504">
        <v>0</v>
      </c>
      <c r="AJ2504">
        <v>0</v>
      </c>
      <c r="AK2504">
        <v>0</v>
      </c>
    </row>
    <row r="2505" spans="1:37" x14ac:dyDescent="0.3">
      <c r="A2505">
        <v>7979</v>
      </c>
      <c r="B2505" t="s">
        <v>219</v>
      </c>
      <c r="D2505" t="s">
        <v>327</v>
      </c>
      <c r="E2505">
        <v>99999999</v>
      </c>
      <c r="F2505">
        <v>11111111</v>
      </c>
      <c r="G2505">
        <v>1111111111</v>
      </c>
      <c r="H2505" t="s">
        <v>6074</v>
      </c>
      <c r="I2505">
        <v>99999999</v>
      </c>
      <c r="J2505" s="188">
        <v>45238</v>
      </c>
      <c r="K2505" t="s">
        <v>6074</v>
      </c>
      <c r="L2505" t="s">
        <v>6074</v>
      </c>
      <c r="M2505" t="s">
        <v>95</v>
      </c>
      <c r="N2505" t="s">
        <v>91</v>
      </c>
      <c r="O2505" t="s">
        <v>971</v>
      </c>
      <c r="P2505" t="s">
        <v>221</v>
      </c>
      <c r="Q2505" t="s">
        <v>82</v>
      </c>
      <c r="R2505">
        <v>6</v>
      </c>
      <c r="S2505">
        <v>30.6</v>
      </c>
      <c r="T2505">
        <v>0</v>
      </c>
      <c r="U2505">
        <v>1</v>
      </c>
      <c r="V2505">
        <v>1</v>
      </c>
      <c r="W2505">
        <v>41.28</v>
      </c>
      <c r="X2505">
        <v>0</v>
      </c>
      <c r="Y2505">
        <v>0</v>
      </c>
      <c r="Z2505">
        <v>0</v>
      </c>
      <c r="AA2505">
        <v>0</v>
      </c>
      <c r="AB2505">
        <v>0</v>
      </c>
      <c r="AC2505">
        <v>0</v>
      </c>
      <c r="AD2505">
        <v>6</v>
      </c>
      <c r="AE2505">
        <v>0</v>
      </c>
      <c r="AF2505">
        <v>0</v>
      </c>
      <c r="AG2505">
        <v>0</v>
      </c>
      <c r="AH2505">
        <v>0</v>
      </c>
      <c r="AI2505">
        <v>0</v>
      </c>
      <c r="AJ2505">
        <v>0</v>
      </c>
      <c r="AK2505">
        <v>0</v>
      </c>
    </row>
    <row r="2506" spans="1:37" x14ac:dyDescent="0.3">
      <c r="A2506">
        <v>7979</v>
      </c>
      <c r="B2506" t="s">
        <v>219</v>
      </c>
      <c r="D2506" t="s">
        <v>327</v>
      </c>
      <c r="E2506">
        <v>99999999</v>
      </c>
      <c r="F2506">
        <v>11111111</v>
      </c>
      <c r="G2506">
        <v>1111111111</v>
      </c>
      <c r="H2506" t="s">
        <v>6075</v>
      </c>
      <c r="I2506">
        <v>99999999</v>
      </c>
      <c r="J2506" s="188">
        <v>45238</v>
      </c>
      <c r="K2506" t="s">
        <v>6075</v>
      </c>
      <c r="L2506" t="s">
        <v>6075</v>
      </c>
      <c r="M2506" t="s">
        <v>3229</v>
      </c>
      <c r="N2506" t="s">
        <v>99</v>
      </c>
      <c r="O2506" t="s">
        <v>3230</v>
      </c>
      <c r="P2506" t="s">
        <v>221</v>
      </c>
      <c r="Q2506" t="s">
        <v>82</v>
      </c>
      <c r="R2506">
        <v>1</v>
      </c>
      <c r="S2506">
        <v>8.0500000000000007</v>
      </c>
      <c r="T2506">
        <v>0</v>
      </c>
      <c r="U2506">
        <v>1</v>
      </c>
      <c r="V2506">
        <v>1</v>
      </c>
      <c r="W2506">
        <v>30.84</v>
      </c>
      <c r="X2506">
        <v>0</v>
      </c>
      <c r="Y2506">
        <v>0</v>
      </c>
      <c r="Z2506">
        <v>0</v>
      </c>
      <c r="AA2506">
        <v>0</v>
      </c>
      <c r="AB2506">
        <v>0</v>
      </c>
      <c r="AC2506">
        <v>0</v>
      </c>
      <c r="AD2506">
        <v>1</v>
      </c>
      <c r="AE2506">
        <v>0</v>
      </c>
      <c r="AF2506">
        <v>0</v>
      </c>
      <c r="AG2506">
        <v>0</v>
      </c>
      <c r="AH2506">
        <v>0</v>
      </c>
      <c r="AI2506">
        <v>0</v>
      </c>
      <c r="AJ2506">
        <v>0</v>
      </c>
      <c r="AK2506">
        <v>0</v>
      </c>
    </row>
    <row r="2507" spans="1:37" x14ac:dyDescent="0.3">
      <c r="A2507">
        <v>7979</v>
      </c>
      <c r="B2507" t="s">
        <v>219</v>
      </c>
      <c r="D2507" t="s">
        <v>327</v>
      </c>
      <c r="E2507">
        <v>99999999</v>
      </c>
      <c r="F2507">
        <v>11111111</v>
      </c>
      <c r="G2507">
        <v>1111111111</v>
      </c>
      <c r="H2507" t="s">
        <v>6076</v>
      </c>
      <c r="I2507">
        <v>99999999</v>
      </c>
      <c r="J2507" s="188">
        <v>45238</v>
      </c>
      <c r="K2507" t="s">
        <v>6076</v>
      </c>
      <c r="L2507" t="s">
        <v>6076</v>
      </c>
      <c r="M2507" t="s">
        <v>2948</v>
      </c>
      <c r="N2507" t="s">
        <v>97</v>
      </c>
      <c r="O2507" t="s">
        <v>3231</v>
      </c>
      <c r="P2507" t="s">
        <v>221</v>
      </c>
      <c r="Q2507" t="s">
        <v>82</v>
      </c>
      <c r="R2507">
        <v>1</v>
      </c>
      <c r="S2507">
        <v>5.6</v>
      </c>
      <c r="T2507">
        <v>0</v>
      </c>
      <c r="U2507">
        <v>1</v>
      </c>
      <c r="V2507">
        <v>1</v>
      </c>
      <c r="W2507">
        <v>29.6</v>
      </c>
      <c r="X2507">
        <v>0</v>
      </c>
      <c r="Y2507">
        <v>0</v>
      </c>
      <c r="Z2507">
        <v>0</v>
      </c>
      <c r="AA2507">
        <v>0</v>
      </c>
      <c r="AB2507">
        <v>0</v>
      </c>
      <c r="AC2507">
        <v>0</v>
      </c>
      <c r="AD2507">
        <v>1</v>
      </c>
      <c r="AE2507">
        <v>0</v>
      </c>
      <c r="AF2507">
        <v>0</v>
      </c>
      <c r="AG2507">
        <v>0</v>
      </c>
      <c r="AH2507">
        <v>0</v>
      </c>
      <c r="AI2507">
        <v>0</v>
      </c>
      <c r="AJ2507">
        <v>0</v>
      </c>
      <c r="AK2507">
        <v>0</v>
      </c>
    </row>
    <row r="2508" spans="1:37" x14ac:dyDescent="0.3">
      <c r="A2508">
        <v>7979</v>
      </c>
      <c r="B2508" t="s">
        <v>219</v>
      </c>
      <c r="D2508" t="s">
        <v>327</v>
      </c>
      <c r="E2508">
        <v>99999999</v>
      </c>
      <c r="F2508">
        <v>11111111</v>
      </c>
      <c r="G2508">
        <v>1111111111</v>
      </c>
      <c r="H2508" t="s">
        <v>6077</v>
      </c>
      <c r="I2508">
        <v>99999999</v>
      </c>
      <c r="J2508" s="188">
        <v>45238</v>
      </c>
      <c r="K2508" t="s">
        <v>6077</v>
      </c>
      <c r="L2508" t="s">
        <v>6077</v>
      </c>
      <c r="M2508" t="s">
        <v>2987</v>
      </c>
      <c r="N2508" t="s">
        <v>197</v>
      </c>
      <c r="O2508" t="s">
        <v>3232</v>
      </c>
      <c r="P2508" t="s">
        <v>221</v>
      </c>
      <c r="Q2508" t="s">
        <v>82</v>
      </c>
      <c r="R2508">
        <v>1</v>
      </c>
      <c r="S2508">
        <v>12</v>
      </c>
      <c r="T2508">
        <v>0</v>
      </c>
      <c r="U2508">
        <v>1</v>
      </c>
      <c r="V2508">
        <v>1</v>
      </c>
      <c r="W2508">
        <v>34.93</v>
      </c>
      <c r="X2508">
        <v>0</v>
      </c>
      <c r="Y2508">
        <v>0</v>
      </c>
      <c r="Z2508">
        <v>0</v>
      </c>
      <c r="AA2508">
        <v>0</v>
      </c>
      <c r="AB2508">
        <v>0</v>
      </c>
      <c r="AC2508">
        <v>0</v>
      </c>
      <c r="AD2508">
        <v>1</v>
      </c>
      <c r="AE2508">
        <v>0</v>
      </c>
      <c r="AF2508">
        <v>0</v>
      </c>
      <c r="AG2508">
        <v>0</v>
      </c>
      <c r="AH2508">
        <v>0</v>
      </c>
      <c r="AI2508">
        <v>0</v>
      </c>
      <c r="AJ2508">
        <v>0</v>
      </c>
      <c r="AK2508">
        <v>0</v>
      </c>
    </row>
    <row r="2509" spans="1:37" x14ac:dyDescent="0.3">
      <c r="A2509">
        <v>7979</v>
      </c>
      <c r="B2509" t="s">
        <v>219</v>
      </c>
      <c r="D2509" t="s">
        <v>327</v>
      </c>
      <c r="E2509">
        <v>99999999</v>
      </c>
      <c r="F2509">
        <v>11111111</v>
      </c>
      <c r="G2509">
        <v>1111111111</v>
      </c>
      <c r="H2509" t="s">
        <v>6078</v>
      </c>
      <c r="I2509">
        <v>99999999</v>
      </c>
      <c r="J2509" s="188">
        <v>45238</v>
      </c>
      <c r="K2509" t="s">
        <v>6078</v>
      </c>
      <c r="L2509" t="s">
        <v>6078</v>
      </c>
      <c r="M2509" t="s">
        <v>3233</v>
      </c>
      <c r="N2509" t="s">
        <v>197</v>
      </c>
      <c r="O2509" t="s">
        <v>3234</v>
      </c>
      <c r="P2509" t="s">
        <v>221</v>
      </c>
      <c r="Q2509" t="s">
        <v>82</v>
      </c>
      <c r="R2509">
        <v>2</v>
      </c>
      <c r="S2509">
        <v>10</v>
      </c>
      <c r="T2509">
        <v>0</v>
      </c>
      <c r="U2509">
        <v>1</v>
      </c>
      <c r="V2509">
        <v>2</v>
      </c>
      <c r="W2509">
        <v>27.38</v>
      </c>
      <c r="X2509">
        <v>0</v>
      </c>
      <c r="Y2509">
        <v>0</v>
      </c>
      <c r="Z2509">
        <v>0</v>
      </c>
      <c r="AA2509">
        <v>0</v>
      </c>
      <c r="AB2509">
        <v>0</v>
      </c>
      <c r="AC2509">
        <v>0</v>
      </c>
      <c r="AD2509">
        <v>2</v>
      </c>
      <c r="AE2509">
        <v>0</v>
      </c>
      <c r="AF2509">
        <v>0</v>
      </c>
      <c r="AG2509">
        <v>0</v>
      </c>
      <c r="AH2509">
        <v>0</v>
      </c>
      <c r="AI2509">
        <v>0</v>
      </c>
      <c r="AJ2509">
        <v>0</v>
      </c>
      <c r="AK2509">
        <v>0</v>
      </c>
    </row>
    <row r="2510" spans="1:37" x14ac:dyDescent="0.3">
      <c r="A2510">
        <v>7979</v>
      </c>
      <c r="B2510" t="s">
        <v>219</v>
      </c>
      <c r="D2510" t="s">
        <v>327</v>
      </c>
      <c r="E2510">
        <v>99999999</v>
      </c>
      <c r="F2510">
        <v>11111111</v>
      </c>
      <c r="G2510">
        <v>1111111111</v>
      </c>
      <c r="H2510" t="s">
        <v>6079</v>
      </c>
      <c r="I2510">
        <v>99999999</v>
      </c>
      <c r="J2510" s="188">
        <v>45238</v>
      </c>
      <c r="K2510" t="s">
        <v>6079</v>
      </c>
      <c r="L2510" t="s">
        <v>6079</v>
      </c>
      <c r="M2510" t="s">
        <v>2871</v>
      </c>
      <c r="N2510" t="s">
        <v>99</v>
      </c>
      <c r="O2510" t="s">
        <v>3235</v>
      </c>
      <c r="P2510" t="s">
        <v>221</v>
      </c>
      <c r="Q2510" t="s">
        <v>82</v>
      </c>
      <c r="R2510">
        <v>2</v>
      </c>
      <c r="S2510">
        <v>6.36</v>
      </c>
      <c r="T2510">
        <v>0</v>
      </c>
      <c r="U2510">
        <v>1</v>
      </c>
      <c r="V2510">
        <v>2</v>
      </c>
      <c r="W2510">
        <v>21.79</v>
      </c>
      <c r="X2510">
        <v>0</v>
      </c>
      <c r="Y2510">
        <v>0</v>
      </c>
      <c r="Z2510">
        <v>0</v>
      </c>
      <c r="AA2510">
        <v>0</v>
      </c>
      <c r="AB2510">
        <v>0</v>
      </c>
      <c r="AC2510">
        <v>0</v>
      </c>
      <c r="AD2510">
        <v>2</v>
      </c>
      <c r="AE2510">
        <v>0</v>
      </c>
      <c r="AF2510">
        <v>0</v>
      </c>
      <c r="AG2510">
        <v>0</v>
      </c>
      <c r="AH2510">
        <v>0</v>
      </c>
      <c r="AI2510">
        <v>0</v>
      </c>
      <c r="AJ2510">
        <v>0</v>
      </c>
      <c r="AK2510">
        <v>0</v>
      </c>
    </row>
    <row r="2511" spans="1:37" x14ac:dyDescent="0.3">
      <c r="A2511">
        <v>7979</v>
      </c>
      <c r="B2511" t="s">
        <v>219</v>
      </c>
      <c r="D2511" t="s">
        <v>327</v>
      </c>
      <c r="E2511">
        <v>99999999</v>
      </c>
      <c r="F2511">
        <v>11111111</v>
      </c>
      <c r="G2511">
        <v>1111111111</v>
      </c>
      <c r="H2511" t="s">
        <v>6080</v>
      </c>
      <c r="I2511">
        <v>99999999</v>
      </c>
      <c r="J2511" s="188">
        <v>45238</v>
      </c>
      <c r="K2511" t="s">
        <v>6080</v>
      </c>
      <c r="L2511" t="s">
        <v>6080</v>
      </c>
      <c r="M2511" t="s">
        <v>3236</v>
      </c>
      <c r="N2511" t="s">
        <v>307</v>
      </c>
      <c r="O2511" t="s">
        <v>3237</v>
      </c>
      <c r="P2511" t="s">
        <v>221</v>
      </c>
      <c r="Q2511" t="s">
        <v>82</v>
      </c>
      <c r="R2511">
        <v>2</v>
      </c>
      <c r="S2511">
        <v>16.2</v>
      </c>
      <c r="T2511">
        <v>0</v>
      </c>
      <c r="U2511">
        <v>1</v>
      </c>
      <c r="V2511">
        <v>2</v>
      </c>
      <c r="W2511">
        <v>33.409999999999997</v>
      </c>
      <c r="X2511">
        <v>0</v>
      </c>
      <c r="Y2511">
        <v>0</v>
      </c>
      <c r="Z2511">
        <v>0</v>
      </c>
      <c r="AA2511">
        <v>0</v>
      </c>
      <c r="AB2511">
        <v>0</v>
      </c>
      <c r="AC2511">
        <v>0</v>
      </c>
      <c r="AD2511">
        <v>2</v>
      </c>
      <c r="AE2511">
        <v>0</v>
      </c>
      <c r="AF2511">
        <v>0</v>
      </c>
      <c r="AG2511">
        <v>0</v>
      </c>
      <c r="AH2511">
        <v>0</v>
      </c>
      <c r="AI2511">
        <v>0</v>
      </c>
      <c r="AJ2511">
        <v>0</v>
      </c>
      <c r="AK2511">
        <v>0</v>
      </c>
    </row>
    <row r="2512" spans="1:37" x14ac:dyDescent="0.3">
      <c r="A2512">
        <v>7979</v>
      </c>
      <c r="B2512" t="s">
        <v>219</v>
      </c>
      <c r="D2512" t="s">
        <v>327</v>
      </c>
      <c r="E2512">
        <v>99999999</v>
      </c>
      <c r="F2512">
        <v>11111111</v>
      </c>
      <c r="G2512">
        <v>1111111111</v>
      </c>
      <c r="H2512" t="s">
        <v>6081</v>
      </c>
      <c r="I2512">
        <v>99999999</v>
      </c>
      <c r="J2512" s="188">
        <v>45238</v>
      </c>
      <c r="K2512" t="s">
        <v>6081</v>
      </c>
      <c r="L2512" t="s">
        <v>6081</v>
      </c>
      <c r="M2512" t="s">
        <v>3238</v>
      </c>
      <c r="N2512" t="s">
        <v>99</v>
      </c>
      <c r="O2512" t="s">
        <v>3239</v>
      </c>
      <c r="P2512" t="s">
        <v>221</v>
      </c>
      <c r="Q2512" t="s">
        <v>82</v>
      </c>
      <c r="R2512">
        <v>4</v>
      </c>
      <c r="S2512">
        <v>3.99</v>
      </c>
      <c r="T2512">
        <v>0</v>
      </c>
      <c r="U2512">
        <v>1</v>
      </c>
      <c r="V2512">
        <v>4</v>
      </c>
      <c r="W2512">
        <v>21.39</v>
      </c>
      <c r="X2512">
        <v>0</v>
      </c>
      <c r="Y2512">
        <v>0</v>
      </c>
      <c r="Z2512">
        <v>0</v>
      </c>
      <c r="AA2512">
        <v>0</v>
      </c>
      <c r="AB2512">
        <v>0</v>
      </c>
      <c r="AC2512">
        <v>0</v>
      </c>
      <c r="AD2512">
        <v>4</v>
      </c>
      <c r="AE2512">
        <v>0</v>
      </c>
      <c r="AF2512">
        <v>0</v>
      </c>
      <c r="AG2512">
        <v>0</v>
      </c>
      <c r="AH2512">
        <v>0</v>
      </c>
      <c r="AI2512">
        <v>0</v>
      </c>
      <c r="AJ2512">
        <v>0</v>
      </c>
      <c r="AK2512">
        <v>0</v>
      </c>
    </row>
    <row r="2513" spans="1:37" x14ac:dyDescent="0.3">
      <c r="A2513">
        <v>7979</v>
      </c>
      <c r="B2513" t="s">
        <v>219</v>
      </c>
      <c r="D2513" t="s">
        <v>327</v>
      </c>
      <c r="E2513">
        <v>99999999</v>
      </c>
      <c r="F2513">
        <v>11111111</v>
      </c>
      <c r="G2513">
        <v>1111111111</v>
      </c>
      <c r="H2513" t="s">
        <v>6082</v>
      </c>
      <c r="I2513">
        <v>99999999</v>
      </c>
      <c r="J2513" s="188">
        <v>45238</v>
      </c>
      <c r="K2513" t="s">
        <v>6082</v>
      </c>
      <c r="L2513" t="s">
        <v>6082</v>
      </c>
      <c r="M2513" t="s">
        <v>3240</v>
      </c>
      <c r="N2513" t="s">
        <v>97</v>
      </c>
      <c r="O2513" t="s">
        <v>3241</v>
      </c>
      <c r="P2513" t="s">
        <v>221</v>
      </c>
      <c r="Q2513" t="s">
        <v>82</v>
      </c>
      <c r="R2513">
        <v>4</v>
      </c>
      <c r="S2513">
        <v>4.92</v>
      </c>
      <c r="T2513">
        <v>0</v>
      </c>
      <c r="U2513">
        <v>1</v>
      </c>
      <c r="V2513">
        <v>3</v>
      </c>
      <c r="W2513">
        <v>23.04</v>
      </c>
      <c r="X2513">
        <v>0</v>
      </c>
      <c r="Y2513">
        <v>0</v>
      </c>
      <c r="Z2513">
        <v>0</v>
      </c>
      <c r="AA2513">
        <v>0</v>
      </c>
      <c r="AB2513">
        <v>0</v>
      </c>
      <c r="AC2513">
        <v>0</v>
      </c>
      <c r="AD2513">
        <v>4</v>
      </c>
      <c r="AE2513">
        <v>0</v>
      </c>
      <c r="AF2513">
        <v>0</v>
      </c>
      <c r="AG2513">
        <v>0</v>
      </c>
      <c r="AH2513">
        <v>0</v>
      </c>
      <c r="AI2513">
        <v>0</v>
      </c>
      <c r="AJ2513">
        <v>0</v>
      </c>
      <c r="AK2513">
        <v>0</v>
      </c>
    </row>
    <row r="2514" spans="1:37" x14ac:dyDescent="0.3">
      <c r="A2514">
        <v>7979</v>
      </c>
      <c r="B2514" t="s">
        <v>219</v>
      </c>
      <c r="D2514" t="s">
        <v>327</v>
      </c>
      <c r="E2514">
        <v>99999999</v>
      </c>
      <c r="F2514">
        <v>11111111</v>
      </c>
      <c r="G2514">
        <v>1111111111</v>
      </c>
      <c r="H2514" t="s">
        <v>6083</v>
      </c>
      <c r="I2514">
        <v>99999999</v>
      </c>
      <c r="J2514" s="188">
        <v>45238</v>
      </c>
      <c r="K2514" t="s">
        <v>6083</v>
      </c>
      <c r="L2514" t="s">
        <v>6083</v>
      </c>
      <c r="M2514" t="s">
        <v>297</v>
      </c>
      <c r="N2514" t="s">
        <v>197</v>
      </c>
      <c r="O2514" t="s">
        <v>3242</v>
      </c>
      <c r="P2514" t="s">
        <v>221</v>
      </c>
      <c r="Q2514" t="s">
        <v>82</v>
      </c>
      <c r="R2514">
        <v>2</v>
      </c>
      <c r="S2514">
        <v>3</v>
      </c>
      <c r="T2514">
        <v>0</v>
      </c>
      <c r="U2514">
        <v>1</v>
      </c>
      <c r="V2514">
        <v>2</v>
      </c>
      <c r="W2514">
        <v>24.02</v>
      </c>
      <c r="X2514">
        <v>0</v>
      </c>
      <c r="Y2514">
        <v>0</v>
      </c>
      <c r="Z2514">
        <v>0</v>
      </c>
      <c r="AA2514">
        <v>0</v>
      </c>
      <c r="AB2514">
        <v>0</v>
      </c>
      <c r="AC2514">
        <v>0</v>
      </c>
      <c r="AD2514">
        <v>2</v>
      </c>
      <c r="AE2514">
        <v>0</v>
      </c>
      <c r="AF2514">
        <v>0</v>
      </c>
      <c r="AG2514">
        <v>0</v>
      </c>
      <c r="AH2514">
        <v>0</v>
      </c>
      <c r="AI2514">
        <v>0</v>
      </c>
      <c r="AJ2514">
        <v>0</v>
      </c>
      <c r="AK2514">
        <v>0</v>
      </c>
    </row>
    <row r="2515" spans="1:37" x14ac:dyDescent="0.3">
      <c r="A2515">
        <v>7979</v>
      </c>
      <c r="B2515" t="s">
        <v>219</v>
      </c>
      <c r="D2515" t="s">
        <v>327</v>
      </c>
      <c r="E2515">
        <v>99999999</v>
      </c>
      <c r="F2515">
        <v>11111111</v>
      </c>
      <c r="G2515">
        <v>1111111111</v>
      </c>
      <c r="H2515" t="s">
        <v>6084</v>
      </c>
      <c r="I2515">
        <v>99999999</v>
      </c>
      <c r="J2515" s="188">
        <v>45238</v>
      </c>
      <c r="K2515" t="s">
        <v>6084</v>
      </c>
      <c r="L2515" t="s">
        <v>6084</v>
      </c>
      <c r="M2515" t="s">
        <v>537</v>
      </c>
      <c r="N2515" t="s">
        <v>130</v>
      </c>
      <c r="O2515" t="s">
        <v>3243</v>
      </c>
      <c r="P2515" t="s">
        <v>221</v>
      </c>
      <c r="Q2515" t="s">
        <v>82</v>
      </c>
      <c r="R2515">
        <v>3</v>
      </c>
      <c r="S2515">
        <v>24.14</v>
      </c>
      <c r="T2515">
        <v>0</v>
      </c>
      <c r="U2515">
        <v>1</v>
      </c>
      <c r="V2515">
        <v>2</v>
      </c>
      <c r="W2515">
        <v>35.869999999999997</v>
      </c>
      <c r="X2515">
        <v>0</v>
      </c>
      <c r="Y2515">
        <v>0</v>
      </c>
      <c r="Z2515">
        <v>0</v>
      </c>
      <c r="AA2515">
        <v>0</v>
      </c>
      <c r="AB2515">
        <v>0</v>
      </c>
      <c r="AC2515">
        <v>0</v>
      </c>
      <c r="AD2515">
        <v>3</v>
      </c>
      <c r="AE2515">
        <v>0</v>
      </c>
      <c r="AF2515">
        <v>0</v>
      </c>
      <c r="AG2515">
        <v>0</v>
      </c>
      <c r="AH2515">
        <v>0</v>
      </c>
      <c r="AI2515">
        <v>0</v>
      </c>
      <c r="AJ2515">
        <v>0</v>
      </c>
      <c r="AK2515">
        <v>0</v>
      </c>
    </row>
    <row r="2516" spans="1:37" x14ac:dyDescent="0.3">
      <c r="A2516">
        <v>7979</v>
      </c>
      <c r="B2516" t="s">
        <v>219</v>
      </c>
      <c r="D2516" t="s">
        <v>327</v>
      </c>
      <c r="E2516">
        <v>99999999</v>
      </c>
      <c r="F2516">
        <v>11111111</v>
      </c>
      <c r="G2516">
        <v>1111111111</v>
      </c>
      <c r="H2516" t="s">
        <v>6085</v>
      </c>
      <c r="I2516">
        <v>99999999</v>
      </c>
      <c r="J2516" s="188">
        <v>45238</v>
      </c>
      <c r="K2516" t="s">
        <v>6085</v>
      </c>
      <c r="L2516" t="s">
        <v>6085</v>
      </c>
      <c r="M2516" t="s">
        <v>1445</v>
      </c>
      <c r="N2516" t="s">
        <v>99</v>
      </c>
      <c r="O2516" t="s">
        <v>3244</v>
      </c>
      <c r="P2516" t="s">
        <v>221</v>
      </c>
      <c r="Q2516" t="s">
        <v>82</v>
      </c>
      <c r="R2516">
        <v>3</v>
      </c>
      <c r="S2516">
        <v>10.4</v>
      </c>
      <c r="T2516">
        <v>0</v>
      </c>
      <c r="U2516">
        <v>1</v>
      </c>
      <c r="V2516">
        <v>3</v>
      </c>
      <c r="W2516">
        <v>22.97</v>
      </c>
      <c r="X2516">
        <v>0</v>
      </c>
      <c r="Y2516">
        <v>0</v>
      </c>
      <c r="Z2516">
        <v>0</v>
      </c>
      <c r="AA2516">
        <v>0</v>
      </c>
      <c r="AB2516">
        <v>0</v>
      </c>
      <c r="AC2516">
        <v>0</v>
      </c>
      <c r="AD2516">
        <v>3</v>
      </c>
      <c r="AE2516">
        <v>0</v>
      </c>
      <c r="AF2516">
        <v>0</v>
      </c>
      <c r="AG2516">
        <v>0</v>
      </c>
      <c r="AH2516">
        <v>0</v>
      </c>
      <c r="AI2516">
        <v>0</v>
      </c>
      <c r="AJ2516">
        <v>0</v>
      </c>
      <c r="AK2516">
        <v>0</v>
      </c>
    </row>
    <row r="2517" spans="1:37" x14ac:dyDescent="0.3">
      <c r="A2517">
        <v>7979</v>
      </c>
      <c r="B2517" t="s">
        <v>219</v>
      </c>
      <c r="D2517" t="s">
        <v>327</v>
      </c>
      <c r="E2517">
        <v>99999999</v>
      </c>
      <c r="F2517">
        <v>11111111</v>
      </c>
      <c r="G2517">
        <v>1111111111</v>
      </c>
      <c r="H2517" t="s">
        <v>6086</v>
      </c>
      <c r="I2517">
        <v>99999999</v>
      </c>
      <c r="J2517" s="188">
        <v>45238</v>
      </c>
      <c r="K2517" t="s">
        <v>6086</v>
      </c>
      <c r="L2517" t="s">
        <v>6086</v>
      </c>
      <c r="M2517" t="s">
        <v>95</v>
      </c>
      <c r="N2517" t="s">
        <v>91</v>
      </c>
      <c r="O2517">
        <v>85086</v>
      </c>
      <c r="P2517" t="s">
        <v>221</v>
      </c>
      <c r="Q2517" t="s">
        <v>82</v>
      </c>
      <c r="R2517">
        <v>4</v>
      </c>
      <c r="S2517">
        <v>7.57</v>
      </c>
      <c r="T2517">
        <v>0</v>
      </c>
      <c r="U2517">
        <v>1</v>
      </c>
      <c r="V2517">
        <v>4</v>
      </c>
      <c r="W2517">
        <v>25.69</v>
      </c>
      <c r="X2517">
        <v>0</v>
      </c>
      <c r="Y2517">
        <v>0</v>
      </c>
      <c r="Z2517">
        <v>0</v>
      </c>
      <c r="AA2517">
        <v>0</v>
      </c>
      <c r="AB2517">
        <v>0</v>
      </c>
      <c r="AC2517">
        <v>0</v>
      </c>
      <c r="AD2517">
        <v>4</v>
      </c>
      <c r="AE2517">
        <v>0</v>
      </c>
      <c r="AF2517">
        <v>0</v>
      </c>
      <c r="AG2517">
        <v>0</v>
      </c>
      <c r="AH2517">
        <v>0</v>
      </c>
      <c r="AI2517">
        <v>0</v>
      </c>
      <c r="AJ2517">
        <v>0</v>
      </c>
      <c r="AK2517">
        <v>0</v>
      </c>
    </row>
    <row r="2518" spans="1:37" x14ac:dyDescent="0.3">
      <c r="A2518">
        <v>7979</v>
      </c>
      <c r="B2518" t="s">
        <v>219</v>
      </c>
      <c r="D2518" t="s">
        <v>327</v>
      </c>
      <c r="E2518">
        <v>99999999</v>
      </c>
      <c r="F2518">
        <v>11111111</v>
      </c>
      <c r="G2518">
        <v>1111111111</v>
      </c>
      <c r="H2518" t="s">
        <v>6087</v>
      </c>
      <c r="I2518">
        <v>99999999</v>
      </c>
      <c r="J2518" s="188">
        <v>45238</v>
      </c>
      <c r="K2518" t="s">
        <v>6087</v>
      </c>
      <c r="L2518" t="s">
        <v>6087</v>
      </c>
      <c r="M2518" t="s">
        <v>3213</v>
      </c>
      <c r="N2518" t="s">
        <v>97</v>
      </c>
      <c r="O2518" t="s">
        <v>3245</v>
      </c>
      <c r="P2518" t="s">
        <v>221</v>
      </c>
      <c r="Q2518" t="s">
        <v>82</v>
      </c>
      <c r="R2518">
        <v>2</v>
      </c>
      <c r="S2518">
        <v>16.940000000000001</v>
      </c>
      <c r="T2518">
        <v>0</v>
      </c>
      <c r="U2518">
        <v>1</v>
      </c>
      <c r="V2518">
        <v>2</v>
      </c>
      <c r="W2518">
        <v>26.23</v>
      </c>
      <c r="X2518">
        <v>0</v>
      </c>
      <c r="Y2518">
        <v>0</v>
      </c>
      <c r="Z2518">
        <v>0</v>
      </c>
      <c r="AA2518">
        <v>0</v>
      </c>
      <c r="AB2518">
        <v>0</v>
      </c>
      <c r="AC2518">
        <v>0</v>
      </c>
      <c r="AD2518">
        <v>2</v>
      </c>
      <c r="AE2518">
        <v>0</v>
      </c>
      <c r="AF2518">
        <v>0</v>
      </c>
      <c r="AG2518">
        <v>0</v>
      </c>
      <c r="AH2518">
        <v>0</v>
      </c>
      <c r="AI2518">
        <v>0</v>
      </c>
      <c r="AJ2518">
        <v>0</v>
      </c>
      <c r="AK2518">
        <v>0</v>
      </c>
    </row>
    <row r="2519" spans="1:37" x14ac:dyDescent="0.3">
      <c r="A2519">
        <v>7979</v>
      </c>
      <c r="B2519" t="s">
        <v>219</v>
      </c>
      <c r="D2519" t="s">
        <v>327</v>
      </c>
      <c r="E2519">
        <v>99999999</v>
      </c>
      <c r="F2519">
        <v>11111111</v>
      </c>
      <c r="G2519">
        <v>1111111111</v>
      </c>
      <c r="H2519" t="s">
        <v>6088</v>
      </c>
      <c r="I2519">
        <v>99999999</v>
      </c>
      <c r="J2519" s="188">
        <v>45238</v>
      </c>
      <c r="K2519" t="s">
        <v>6088</v>
      </c>
      <c r="L2519" t="s">
        <v>6088</v>
      </c>
      <c r="M2519" t="s">
        <v>155</v>
      </c>
      <c r="N2519" t="s">
        <v>99</v>
      </c>
      <c r="O2519" t="s">
        <v>3246</v>
      </c>
      <c r="P2519" t="s">
        <v>221</v>
      </c>
      <c r="Q2519" t="s">
        <v>82</v>
      </c>
      <c r="R2519">
        <v>1</v>
      </c>
      <c r="S2519">
        <v>0.5</v>
      </c>
      <c r="T2519">
        <v>0</v>
      </c>
      <c r="U2519">
        <v>1</v>
      </c>
      <c r="V2519">
        <v>1</v>
      </c>
      <c r="W2519">
        <v>19.260000000000002</v>
      </c>
      <c r="X2519">
        <v>0</v>
      </c>
      <c r="Y2519">
        <v>0</v>
      </c>
      <c r="Z2519">
        <v>0</v>
      </c>
      <c r="AA2519">
        <v>0</v>
      </c>
      <c r="AB2519">
        <v>0</v>
      </c>
      <c r="AC2519">
        <v>0</v>
      </c>
      <c r="AD2519">
        <v>1</v>
      </c>
      <c r="AE2519">
        <v>0</v>
      </c>
      <c r="AF2519">
        <v>0</v>
      </c>
      <c r="AG2519">
        <v>0</v>
      </c>
      <c r="AH2519">
        <v>0</v>
      </c>
      <c r="AI2519">
        <v>0</v>
      </c>
      <c r="AJ2519">
        <v>0</v>
      </c>
      <c r="AK2519">
        <v>0</v>
      </c>
    </row>
    <row r="2520" spans="1:37" x14ac:dyDescent="0.3">
      <c r="A2520">
        <v>7979</v>
      </c>
      <c r="B2520" t="s">
        <v>219</v>
      </c>
      <c r="D2520" t="s">
        <v>327</v>
      </c>
      <c r="E2520">
        <v>99999999</v>
      </c>
      <c r="F2520">
        <v>11111111</v>
      </c>
      <c r="G2520">
        <v>1111111111</v>
      </c>
      <c r="H2520" t="s">
        <v>6089</v>
      </c>
      <c r="I2520">
        <v>99999999</v>
      </c>
      <c r="J2520" s="188">
        <v>45238</v>
      </c>
      <c r="K2520" t="s">
        <v>6089</v>
      </c>
      <c r="L2520" t="s">
        <v>6089</v>
      </c>
      <c r="M2520" t="s">
        <v>749</v>
      </c>
      <c r="N2520" t="s">
        <v>130</v>
      </c>
      <c r="O2520" t="s">
        <v>1011</v>
      </c>
      <c r="P2520" t="s">
        <v>221</v>
      </c>
      <c r="Q2520" t="s">
        <v>82</v>
      </c>
      <c r="R2520">
        <v>1</v>
      </c>
      <c r="S2520">
        <v>9.92</v>
      </c>
      <c r="T2520">
        <v>0</v>
      </c>
      <c r="U2520">
        <v>1</v>
      </c>
      <c r="V2520">
        <v>1</v>
      </c>
      <c r="W2520">
        <v>26.22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1</v>
      </c>
      <c r="AE2520">
        <v>0</v>
      </c>
      <c r="AF2520">
        <v>0</v>
      </c>
      <c r="AG2520">
        <v>0</v>
      </c>
      <c r="AH2520">
        <v>0</v>
      </c>
      <c r="AI2520">
        <v>0</v>
      </c>
      <c r="AJ2520">
        <v>0</v>
      </c>
      <c r="AK2520">
        <v>0</v>
      </c>
    </row>
    <row r="2521" spans="1:37" x14ac:dyDescent="0.3">
      <c r="A2521">
        <v>7979</v>
      </c>
      <c r="B2521" t="s">
        <v>219</v>
      </c>
      <c r="D2521" t="s">
        <v>327</v>
      </c>
      <c r="E2521">
        <v>99999999</v>
      </c>
      <c r="F2521">
        <v>11111111</v>
      </c>
      <c r="G2521">
        <v>1111111111</v>
      </c>
      <c r="H2521" t="s">
        <v>6090</v>
      </c>
      <c r="I2521">
        <v>99999999</v>
      </c>
      <c r="J2521" s="188">
        <v>45238</v>
      </c>
      <c r="K2521" t="s">
        <v>6090</v>
      </c>
      <c r="L2521" t="s">
        <v>6090</v>
      </c>
      <c r="M2521" t="s">
        <v>1139</v>
      </c>
      <c r="N2521" t="s">
        <v>99</v>
      </c>
      <c r="O2521" t="s">
        <v>1140</v>
      </c>
      <c r="P2521" t="s">
        <v>221</v>
      </c>
      <c r="Q2521" t="s">
        <v>82</v>
      </c>
      <c r="R2521">
        <v>6</v>
      </c>
      <c r="S2521">
        <v>4.8</v>
      </c>
      <c r="T2521">
        <v>0</v>
      </c>
      <c r="U2521">
        <v>1</v>
      </c>
      <c r="V2521">
        <v>1</v>
      </c>
      <c r="W2521">
        <v>23.04</v>
      </c>
      <c r="X2521">
        <v>0</v>
      </c>
      <c r="Y2521">
        <v>0</v>
      </c>
      <c r="Z2521">
        <v>0</v>
      </c>
      <c r="AA2521">
        <v>0</v>
      </c>
      <c r="AB2521">
        <v>0</v>
      </c>
      <c r="AC2521">
        <v>0</v>
      </c>
      <c r="AD2521">
        <v>6</v>
      </c>
      <c r="AE2521">
        <v>0</v>
      </c>
      <c r="AF2521">
        <v>0</v>
      </c>
      <c r="AG2521">
        <v>0</v>
      </c>
      <c r="AH2521">
        <v>0</v>
      </c>
      <c r="AI2521">
        <v>0</v>
      </c>
      <c r="AJ2521">
        <v>0</v>
      </c>
      <c r="AK2521">
        <v>0</v>
      </c>
    </row>
    <row r="2522" spans="1:37" x14ac:dyDescent="0.3">
      <c r="A2522">
        <v>7979</v>
      </c>
      <c r="B2522" t="s">
        <v>219</v>
      </c>
      <c r="D2522" t="s">
        <v>327</v>
      </c>
      <c r="E2522">
        <v>99999999</v>
      </c>
      <c r="F2522">
        <v>11111111</v>
      </c>
      <c r="G2522">
        <v>1111111111</v>
      </c>
      <c r="H2522" t="s">
        <v>6091</v>
      </c>
      <c r="I2522">
        <v>99999999</v>
      </c>
      <c r="J2522" s="188">
        <v>45238</v>
      </c>
      <c r="K2522" t="s">
        <v>6091</v>
      </c>
      <c r="L2522" t="s">
        <v>6091</v>
      </c>
      <c r="M2522" t="s">
        <v>537</v>
      </c>
      <c r="N2522" t="s">
        <v>130</v>
      </c>
      <c r="O2522" t="s">
        <v>3247</v>
      </c>
      <c r="P2522" t="s">
        <v>221</v>
      </c>
      <c r="Q2522" t="s">
        <v>82</v>
      </c>
      <c r="R2522">
        <v>1</v>
      </c>
      <c r="S2522">
        <v>4</v>
      </c>
      <c r="T2522">
        <v>0</v>
      </c>
      <c r="U2522">
        <v>1</v>
      </c>
      <c r="V2522">
        <v>1</v>
      </c>
      <c r="W2522">
        <v>24.32</v>
      </c>
      <c r="X2522">
        <v>0</v>
      </c>
      <c r="Y2522">
        <v>0</v>
      </c>
      <c r="Z2522">
        <v>0</v>
      </c>
      <c r="AA2522">
        <v>0</v>
      </c>
      <c r="AB2522">
        <v>0</v>
      </c>
      <c r="AC2522">
        <v>0</v>
      </c>
      <c r="AD2522">
        <v>1</v>
      </c>
      <c r="AE2522">
        <v>0</v>
      </c>
      <c r="AF2522">
        <v>0</v>
      </c>
      <c r="AG2522">
        <v>0</v>
      </c>
      <c r="AH2522">
        <v>0</v>
      </c>
      <c r="AI2522">
        <v>0</v>
      </c>
      <c r="AJ2522">
        <v>0</v>
      </c>
      <c r="AK2522">
        <v>0</v>
      </c>
    </row>
    <row r="2523" spans="1:37" x14ac:dyDescent="0.3">
      <c r="A2523">
        <v>7979</v>
      </c>
      <c r="B2523" t="s">
        <v>219</v>
      </c>
      <c r="D2523" t="s">
        <v>327</v>
      </c>
      <c r="E2523">
        <v>99999999</v>
      </c>
      <c r="F2523">
        <v>11111111</v>
      </c>
      <c r="G2523">
        <v>1111111111</v>
      </c>
      <c r="H2523" t="s">
        <v>6092</v>
      </c>
      <c r="I2523">
        <v>99999999</v>
      </c>
      <c r="J2523" s="188">
        <v>45238</v>
      </c>
      <c r="K2523" t="s">
        <v>6092</v>
      </c>
      <c r="L2523" t="s">
        <v>6092</v>
      </c>
      <c r="M2523" t="s">
        <v>3248</v>
      </c>
      <c r="N2523" t="s">
        <v>99</v>
      </c>
      <c r="O2523" t="s">
        <v>3249</v>
      </c>
      <c r="P2523" t="s">
        <v>221</v>
      </c>
      <c r="Q2523" t="s">
        <v>82</v>
      </c>
      <c r="R2523">
        <v>1</v>
      </c>
      <c r="S2523">
        <v>2.2400000000000002</v>
      </c>
      <c r="T2523">
        <v>0</v>
      </c>
      <c r="U2523">
        <v>1</v>
      </c>
      <c r="V2523">
        <v>1</v>
      </c>
      <c r="W2523">
        <v>20.63</v>
      </c>
      <c r="X2523">
        <v>0</v>
      </c>
      <c r="Y2523">
        <v>0</v>
      </c>
      <c r="Z2523">
        <v>0</v>
      </c>
      <c r="AA2523">
        <v>0</v>
      </c>
      <c r="AB2523">
        <v>0</v>
      </c>
      <c r="AC2523">
        <v>0</v>
      </c>
      <c r="AD2523">
        <v>1</v>
      </c>
      <c r="AE2523">
        <v>0</v>
      </c>
      <c r="AF2523">
        <v>0</v>
      </c>
      <c r="AG2523">
        <v>0</v>
      </c>
      <c r="AH2523">
        <v>0</v>
      </c>
      <c r="AI2523">
        <v>0</v>
      </c>
      <c r="AJ2523">
        <v>0</v>
      </c>
      <c r="AK2523">
        <v>0</v>
      </c>
    </row>
    <row r="2524" spans="1:37" x14ac:dyDescent="0.3">
      <c r="A2524">
        <v>7979</v>
      </c>
      <c r="B2524" t="s">
        <v>219</v>
      </c>
      <c r="D2524" t="s">
        <v>327</v>
      </c>
      <c r="E2524">
        <v>99999999</v>
      </c>
      <c r="F2524">
        <v>11111111</v>
      </c>
      <c r="G2524">
        <v>1111111111</v>
      </c>
      <c r="H2524" t="s">
        <v>6093</v>
      </c>
      <c r="I2524">
        <v>99999999</v>
      </c>
      <c r="J2524" s="188">
        <v>45238</v>
      </c>
      <c r="K2524" t="s">
        <v>6093</v>
      </c>
      <c r="L2524" t="s">
        <v>6093</v>
      </c>
      <c r="M2524" t="s">
        <v>1577</v>
      </c>
      <c r="N2524" t="s">
        <v>97</v>
      </c>
      <c r="O2524" t="s">
        <v>3250</v>
      </c>
      <c r="P2524" t="s">
        <v>221</v>
      </c>
      <c r="Q2524" t="s">
        <v>82</v>
      </c>
      <c r="R2524">
        <v>1</v>
      </c>
      <c r="S2524">
        <v>8.36</v>
      </c>
      <c r="T2524">
        <v>0</v>
      </c>
      <c r="U2524">
        <v>1</v>
      </c>
      <c r="V2524">
        <v>1</v>
      </c>
      <c r="W2524">
        <v>30.28</v>
      </c>
      <c r="X2524">
        <v>0</v>
      </c>
      <c r="Y2524">
        <v>0</v>
      </c>
      <c r="Z2524">
        <v>0</v>
      </c>
      <c r="AA2524">
        <v>0</v>
      </c>
      <c r="AB2524">
        <v>0</v>
      </c>
      <c r="AC2524">
        <v>0</v>
      </c>
      <c r="AD2524">
        <v>1</v>
      </c>
      <c r="AE2524">
        <v>0</v>
      </c>
      <c r="AF2524">
        <v>0</v>
      </c>
      <c r="AG2524">
        <v>0</v>
      </c>
      <c r="AH2524">
        <v>0</v>
      </c>
      <c r="AI2524">
        <v>0</v>
      </c>
      <c r="AJ2524">
        <v>0</v>
      </c>
      <c r="AK2524">
        <v>0</v>
      </c>
    </row>
    <row r="2525" spans="1:37" x14ac:dyDescent="0.3">
      <c r="A2525">
        <v>7979</v>
      </c>
      <c r="B2525" t="s">
        <v>219</v>
      </c>
      <c r="D2525" t="s">
        <v>327</v>
      </c>
      <c r="E2525">
        <v>99999999</v>
      </c>
      <c r="F2525">
        <v>11111111</v>
      </c>
      <c r="G2525">
        <v>1111111111</v>
      </c>
      <c r="H2525" t="s">
        <v>6094</v>
      </c>
      <c r="I2525">
        <v>99999999</v>
      </c>
      <c r="J2525" s="188">
        <v>45238</v>
      </c>
      <c r="K2525" t="s">
        <v>6094</v>
      </c>
      <c r="L2525" t="s">
        <v>6094</v>
      </c>
      <c r="M2525" t="s">
        <v>632</v>
      </c>
      <c r="N2525" t="s">
        <v>97</v>
      </c>
      <c r="O2525" t="s">
        <v>3251</v>
      </c>
      <c r="P2525" t="s">
        <v>221</v>
      </c>
      <c r="Q2525" t="s">
        <v>82</v>
      </c>
      <c r="R2525">
        <v>1</v>
      </c>
      <c r="S2525">
        <v>7.48</v>
      </c>
      <c r="T2525">
        <v>0</v>
      </c>
      <c r="U2525">
        <v>1</v>
      </c>
      <c r="V2525">
        <v>1</v>
      </c>
      <c r="W2525">
        <v>24.1</v>
      </c>
      <c r="X2525">
        <v>0</v>
      </c>
      <c r="Y2525">
        <v>0</v>
      </c>
      <c r="Z2525">
        <v>0</v>
      </c>
      <c r="AA2525">
        <v>0</v>
      </c>
      <c r="AB2525">
        <v>0</v>
      </c>
      <c r="AC2525">
        <v>0</v>
      </c>
      <c r="AD2525">
        <v>1</v>
      </c>
      <c r="AE2525">
        <v>0</v>
      </c>
      <c r="AF2525">
        <v>0</v>
      </c>
      <c r="AG2525">
        <v>0</v>
      </c>
      <c r="AH2525">
        <v>0</v>
      </c>
      <c r="AI2525">
        <v>0</v>
      </c>
      <c r="AJ2525">
        <v>0</v>
      </c>
      <c r="AK2525">
        <v>0</v>
      </c>
    </row>
    <row r="2526" spans="1:37" x14ac:dyDescent="0.3">
      <c r="A2526">
        <v>7979</v>
      </c>
      <c r="B2526" t="s">
        <v>219</v>
      </c>
      <c r="D2526" t="s">
        <v>327</v>
      </c>
      <c r="E2526">
        <v>99999999</v>
      </c>
      <c r="F2526">
        <v>11111111</v>
      </c>
      <c r="G2526">
        <v>1111111111</v>
      </c>
      <c r="H2526" t="s">
        <v>6095</v>
      </c>
      <c r="I2526">
        <v>99999999</v>
      </c>
      <c r="J2526" s="188">
        <v>45238</v>
      </c>
      <c r="K2526" t="s">
        <v>6095</v>
      </c>
      <c r="L2526" t="s">
        <v>6095</v>
      </c>
      <c r="M2526" t="s">
        <v>155</v>
      </c>
      <c r="N2526" t="s">
        <v>99</v>
      </c>
      <c r="O2526">
        <v>92107</v>
      </c>
      <c r="P2526" t="s">
        <v>221</v>
      </c>
      <c r="Q2526" t="s">
        <v>82</v>
      </c>
      <c r="R2526">
        <v>1</v>
      </c>
      <c r="S2526">
        <v>0.28000000000000003</v>
      </c>
      <c r="T2526">
        <v>0</v>
      </c>
      <c r="U2526">
        <v>1</v>
      </c>
      <c r="V2526">
        <v>1</v>
      </c>
      <c r="W2526">
        <v>19.260000000000002</v>
      </c>
      <c r="X2526">
        <v>0</v>
      </c>
      <c r="Y2526">
        <v>0</v>
      </c>
      <c r="Z2526">
        <v>0</v>
      </c>
      <c r="AA2526">
        <v>0</v>
      </c>
      <c r="AB2526">
        <v>0</v>
      </c>
      <c r="AC2526">
        <v>0</v>
      </c>
      <c r="AD2526">
        <v>1</v>
      </c>
      <c r="AE2526">
        <v>0</v>
      </c>
      <c r="AF2526">
        <v>0</v>
      </c>
      <c r="AG2526">
        <v>0</v>
      </c>
      <c r="AH2526">
        <v>0</v>
      </c>
      <c r="AI2526">
        <v>0</v>
      </c>
      <c r="AJ2526">
        <v>0</v>
      </c>
      <c r="AK2526">
        <v>0</v>
      </c>
    </row>
    <row r="2527" spans="1:37" x14ac:dyDescent="0.3">
      <c r="A2527">
        <v>7979</v>
      </c>
      <c r="B2527" t="s">
        <v>219</v>
      </c>
      <c r="D2527" t="s">
        <v>3252</v>
      </c>
      <c r="E2527">
        <v>99999999</v>
      </c>
      <c r="F2527">
        <v>11111111</v>
      </c>
      <c r="G2527">
        <v>1111111111</v>
      </c>
      <c r="H2527" t="s">
        <v>6096</v>
      </c>
      <c r="I2527">
        <v>99999999</v>
      </c>
      <c r="J2527" s="188">
        <v>45236</v>
      </c>
      <c r="K2527" t="s">
        <v>6096</v>
      </c>
      <c r="L2527" t="s">
        <v>6096</v>
      </c>
      <c r="M2527" t="s">
        <v>3253</v>
      </c>
      <c r="N2527" t="s">
        <v>197</v>
      </c>
      <c r="O2527" t="s">
        <v>3254</v>
      </c>
      <c r="P2527" t="s">
        <v>221</v>
      </c>
      <c r="Q2527" t="s">
        <v>82</v>
      </c>
      <c r="R2527">
        <v>1</v>
      </c>
      <c r="S2527">
        <v>6.25</v>
      </c>
      <c r="T2527">
        <v>0</v>
      </c>
      <c r="U2527">
        <v>1</v>
      </c>
      <c r="V2527">
        <v>1</v>
      </c>
      <c r="W2527">
        <v>77.98</v>
      </c>
      <c r="X2527">
        <v>0</v>
      </c>
      <c r="Y2527">
        <v>0</v>
      </c>
      <c r="Z2527">
        <v>0</v>
      </c>
      <c r="AA2527">
        <v>0</v>
      </c>
      <c r="AB2527">
        <v>0</v>
      </c>
      <c r="AC2527">
        <v>0</v>
      </c>
      <c r="AD2527">
        <v>1</v>
      </c>
      <c r="AE2527">
        <v>0</v>
      </c>
      <c r="AF2527">
        <v>0</v>
      </c>
      <c r="AG2527">
        <v>0</v>
      </c>
      <c r="AH2527">
        <v>0</v>
      </c>
      <c r="AI2527">
        <v>0</v>
      </c>
      <c r="AJ2527">
        <v>0</v>
      </c>
      <c r="AK2527">
        <v>0</v>
      </c>
    </row>
    <row r="2528" spans="1:37" x14ac:dyDescent="0.3">
      <c r="A2528">
        <v>7979</v>
      </c>
      <c r="B2528" t="s">
        <v>219</v>
      </c>
      <c r="D2528" t="s">
        <v>3252</v>
      </c>
      <c r="E2528">
        <v>99999999</v>
      </c>
      <c r="F2528">
        <v>11111111</v>
      </c>
      <c r="G2528">
        <v>1111111111</v>
      </c>
      <c r="H2528" t="s">
        <v>6097</v>
      </c>
      <c r="I2528">
        <v>99999999</v>
      </c>
      <c r="J2528" s="188">
        <v>45236</v>
      </c>
      <c r="K2528" t="s">
        <v>6097</v>
      </c>
      <c r="L2528" t="s">
        <v>6097</v>
      </c>
      <c r="M2528" t="s">
        <v>2122</v>
      </c>
      <c r="N2528" t="s">
        <v>983</v>
      </c>
      <c r="O2528" t="s">
        <v>2123</v>
      </c>
      <c r="P2528" t="s">
        <v>221</v>
      </c>
      <c r="Q2528" t="s">
        <v>82</v>
      </c>
      <c r="R2528">
        <v>1</v>
      </c>
      <c r="S2528">
        <v>2</v>
      </c>
      <c r="T2528">
        <v>0</v>
      </c>
      <c r="U2528">
        <v>1</v>
      </c>
      <c r="V2528">
        <v>1</v>
      </c>
      <c r="W2528">
        <v>65.91</v>
      </c>
      <c r="X2528">
        <v>0</v>
      </c>
      <c r="Y2528">
        <v>0</v>
      </c>
      <c r="Z2528">
        <v>0</v>
      </c>
      <c r="AA2528">
        <v>0</v>
      </c>
      <c r="AB2528">
        <v>0</v>
      </c>
      <c r="AC2528">
        <v>0</v>
      </c>
      <c r="AD2528">
        <v>1</v>
      </c>
      <c r="AE2528">
        <v>0</v>
      </c>
      <c r="AF2528">
        <v>0</v>
      </c>
      <c r="AG2528">
        <v>0</v>
      </c>
      <c r="AH2528">
        <v>0</v>
      </c>
      <c r="AI2528">
        <v>0</v>
      </c>
      <c r="AJ2528">
        <v>0</v>
      </c>
      <c r="AK2528">
        <v>0</v>
      </c>
    </row>
    <row r="2529" spans="1:37" x14ac:dyDescent="0.3">
      <c r="A2529">
        <v>7979</v>
      </c>
      <c r="B2529" t="s">
        <v>219</v>
      </c>
      <c r="D2529" t="s">
        <v>3252</v>
      </c>
      <c r="E2529">
        <v>99999999</v>
      </c>
      <c r="F2529">
        <v>11111111</v>
      </c>
      <c r="G2529">
        <v>1111111111</v>
      </c>
      <c r="H2529" t="s">
        <v>6098</v>
      </c>
      <c r="I2529">
        <v>99999999</v>
      </c>
      <c r="J2529" s="188">
        <v>45236</v>
      </c>
      <c r="K2529" t="s">
        <v>6098</v>
      </c>
      <c r="L2529" t="s">
        <v>6098</v>
      </c>
      <c r="M2529" t="s">
        <v>2014</v>
      </c>
      <c r="N2529" t="s">
        <v>141</v>
      </c>
      <c r="O2529" t="s">
        <v>3255</v>
      </c>
      <c r="P2529" t="s">
        <v>221</v>
      </c>
      <c r="Q2529" t="s">
        <v>82</v>
      </c>
      <c r="R2529">
        <v>1</v>
      </c>
      <c r="S2529">
        <v>2.5</v>
      </c>
      <c r="T2529">
        <v>0</v>
      </c>
      <c r="U2529">
        <v>1</v>
      </c>
      <c r="V2529">
        <v>1</v>
      </c>
      <c r="W2529">
        <v>65.91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1</v>
      </c>
      <c r="AE2529">
        <v>0</v>
      </c>
      <c r="AF2529">
        <v>0</v>
      </c>
      <c r="AG2529">
        <v>0</v>
      </c>
      <c r="AH2529">
        <v>0</v>
      </c>
      <c r="AI2529">
        <v>0</v>
      </c>
      <c r="AJ2529">
        <v>0</v>
      </c>
      <c r="AK2529">
        <v>0</v>
      </c>
    </row>
    <row r="2530" spans="1:37" x14ac:dyDescent="0.3">
      <c r="A2530">
        <v>7979</v>
      </c>
      <c r="B2530" t="s">
        <v>219</v>
      </c>
      <c r="D2530" t="s">
        <v>3252</v>
      </c>
      <c r="E2530">
        <v>99999999</v>
      </c>
      <c r="F2530">
        <v>11111111</v>
      </c>
      <c r="G2530">
        <v>1111111111</v>
      </c>
      <c r="H2530" t="s">
        <v>6099</v>
      </c>
      <c r="I2530">
        <v>99999999</v>
      </c>
      <c r="J2530" s="188">
        <v>45236</v>
      </c>
      <c r="K2530" t="s">
        <v>6099</v>
      </c>
      <c r="L2530" t="s">
        <v>6099</v>
      </c>
      <c r="M2530" t="s">
        <v>3256</v>
      </c>
      <c r="N2530" t="s">
        <v>197</v>
      </c>
      <c r="O2530" t="s">
        <v>3257</v>
      </c>
      <c r="P2530" t="s">
        <v>221</v>
      </c>
      <c r="Q2530" t="s">
        <v>82</v>
      </c>
      <c r="R2530">
        <v>4</v>
      </c>
      <c r="S2530">
        <v>0.42</v>
      </c>
      <c r="T2530">
        <v>0</v>
      </c>
      <c r="U2530">
        <v>1</v>
      </c>
      <c r="V2530">
        <v>2</v>
      </c>
      <c r="W2530">
        <v>46.28</v>
      </c>
      <c r="X2530">
        <v>0</v>
      </c>
      <c r="Y2530">
        <v>0</v>
      </c>
      <c r="Z2530">
        <v>0</v>
      </c>
      <c r="AA2530">
        <v>0</v>
      </c>
      <c r="AB2530">
        <v>0</v>
      </c>
      <c r="AC2530">
        <v>0</v>
      </c>
      <c r="AD2530">
        <v>4</v>
      </c>
      <c r="AE2530">
        <v>0</v>
      </c>
      <c r="AF2530">
        <v>0</v>
      </c>
      <c r="AG2530">
        <v>0</v>
      </c>
      <c r="AH2530">
        <v>0</v>
      </c>
      <c r="AI2530">
        <v>0</v>
      </c>
      <c r="AJ2530">
        <v>0</v>
      </c>
      <c r="AK2530">
        <v>0</v>
      </c>
    </row>
    <row r="2531" spans="1:37" x14ac:dyDescent="0.3">
      <c r="A2531">
        <v>7979</v>
      </c>
      <c r="B2531" t="s">
        <v>219</v>
      </c>
      <c r="D2531" t="s">
        <v>3252</v>
      </c>
      <c r="E2531">
        <v>99999999</v>
      </c>
      <c r="F2531">
        <v>11111111</v>
      </c>
      <c r="G2531">
        <v>1111111111</v>
      </c>
      <c r="H2531" t="s">
        <v>6100</v>
      </c>
      <c r="I2531">
        <v>99999999</v>
      </c>
      <c r="J2531" s="188">
        <v>45236</v>
      </c>
      <c r="K2531" t="s">
        <v>6100</v>
      </c>
      <c r="L2531" t="s">
        <v>6100</v>
      </c>
      <c r="M2531" t="s">
        <v>3258</v>
      </c>
      <c r="N2531" t="s">
        <v>522</v>
      </c>
      <c r="O2531" t="s">
        <v>3259</v>
      </c>
      <c r="P2531" t="s">
        <v>221</v>
      </c>
      <c r="Q2531" t="s">
        <v>82</v>
      </c>
      <c r="R2531">
        <v>1</v>
      </c>
      <c r="S2531">
        <v>0.03</v>
      </c>
      <c r="T2531">
        <v>0</v>
      </c>
      <c r="U2531">
        <v>1</v>
      </c>
      <c r="V2531">
        <v>1</v>
      </c>
      <c r="W2531">
        <v>52.56</v>
      </c>
      <c r="X2531">
        <v>0</v>
      </c>
      <c r="Y2531">
        <v>0</v>
      </c>
      <c r="Z2531">
        <v>0</v>
      </c>
      <c r="AA2531">
        <v>0</v>
      </c>
      <c r="AB2531">
        <v>0</v>
      </c>
      <c r="AC2531">
        <v>0</v>
      </c>
      <c r="AD2531">
        <v>1</v>
      </c>
      <c r="AE2531">
        <v>0</v>
      </c>
      <c r="AF2531">
        <v>0</v>
      </c>
      <c r="AG2531">
        <v>0</v>
      </c>
      <c r="AH2531">
        <v>0</v>
      </c>
      <c r="AI2531">
        <v>0</v>
      </c>
      <c r="AJ2531">
        <v>0</v>
      </c>
      <c r="AK2531">
        <v>0</v>
      </c>
    </row>
    <row r="2532" spans="1:37" x14ac:dyDescent="0.3">
      <c r="A2532">
        <v>7979</v>
      </c>
      <c r="B2532" t="s">
        <v>219</v>
      </c>
      <c r="D2532" t="s">
        <v>3252</v>
      </c>
      <c r="E2532">
        <v>99999999</v>
      </c>
      <c r="F2532">
        <v>11111111</v>
      </c>
      <c r="G2532">
        <v>1111111111</v>
      </c>
      <c r="H2532" t="s">
        <v>6101</v>
      </c>
      <c r="I2532">
        <v>99999999</v>
      </c>
      <c r="J2532" s="188">
        <v>45236</v>
      </c>
      <c r="K2532" t="s">
        <v>6101</v>
      </c>
      <c r="L2532" t="s">
        <v>6101</v>
      </c>
      <c r="M2532" t="s">
        <v>3260</v>
      </c>
      <c r="N2532" t="s">
        <v>151</v>
      </c>
      <c r="O2532" t="s">
        <v>3261</v>
      </c>
      <c r="P2532" t="s">
        <v>221</v>
      </c>
      <c r="Q2532" t="s">
        <v>82</v>
      </c>
      <c r="R2532">
        <v>2</v>
      </c>
      <c r="S2532">
        <v>2.42</v>
      </c>
      <c r="T2532">
        <v>0</v>
      </c>
      <c r="U2532">
        <v>1</v>
      </c>
      <c r="V2532">
        <v>1</v>
      </c>
      <c r="W2532">
        <v>65.91</v>
      </c>
      <c r="X2532">
        <v>0</v>
      </c>
      <c r="Y2532">
        <v>0</v>
      </c>
      <c r="Z2532">
        <v>0</v>
      </c>
      <c r="AA2532">
        <v>0</v>
      </c>
      <c r="AB2532">
        <v>0</v>
      </c>
      <c r="AC2532">
        <v>0</v>
      </c>
      <c r="AD2532">
        <v>2</v>
      </c>
      <c r="AE2532">
        <v>0</v>
      </c>
      <c r="AF2532">
        <v>0</v>
      </c>
      <c r="AG2532">
        <v>0</v>
      </c>
      <c r="AH2532">
        <v>0</v>
      </c>
      <c r="AI2532">
        <v>0</v>
      </c>
      <c r="AJ2532">
        <v>0</v>
      </c>
      <c r="AK2532">
        <v>0</v>
      </c>
    </row>
    <row r="2533" spans="1:37" x14ac:dyDescent="0.3">
      <c r="A2533">
        <v>7979</v>
      </c>
      <c r="B2533" t="s">
        <v>219</v>
      </c>
      <c r="D2533" t="s">
        <v>3252</v>
      </c>
      <c r="E2533">
        <v>99999999</v>
      </c>
      <c r="F2533">
        <v>11111111</v>
      </c>
      <c r="G2533">
        <v>1111111111</v>
      </c>
      <c r="H2533" t="s">
        <v>6102</v>
      </c>
      <c r="I2533">
        <v>99999999</v>
      </c>
      <c r="J2533" s="188">
        <v>45236</v>
      </c>
      <c r="K2533" t="s">
        <v>6102</v>
      </c>
      <c r="L2533" t="s">
        <v>6102</v>
      </c>
      <c r="M2533" t="s">
        <v>3212</v>
      </c>
      <c r="N2533" t="s">
        <v>307</v>
      </c>
      <c r="O2533" t="s">
        <v>3262</v>
      </c>
      <c r="P2533" t="s">
        <v>221</v>
      </c>
      <c r="Q2533" t="s">
        <v>82</v>
      </c>
      <c r="R2533">
        <v>1</v>
      </c>
      <c r="S2533">
        <v>3.97</v>
      </c>
      <c r="T2533">
        <v>0</v>
      </c>
      <c r="U2533">
        <v>1</v>
      </c>
      <c r="V2533">
        <v>1</v>
      </c>
      <c r="W2533">
        <v>65.239999999999995</v>
      </c>
      <c r="X2533">
        <v>0</v>
      </c>
      <c r="Y2533">
        <v>0</v>
      </c>
      <c r="Z2533">
        <v>0</v>
      </c>
      <c r="AA2533">
        <v>0</v>
      </c>
      <c r="AB2533">
        <v>0</v>
      </c>
      <c r="AC2533">
        <v>0</v>
      </c>
      <c r="AD2533">
        <v>1</v>
      </c>
      <c r="AE2533">
        <v>0</v>
      </c>
      <c r="AF2533">
        <v>0</v>
      </c>
      <c r="AG2533">
        <v>0</v>
      </c>
      <c r="AH2533">
        <v>0</v>
      </c>
      <c r="AI2533">
        <v>0</v>
      </c>
      <c r="AJ2533">
        <v>0</v>
      </c>
      <c r="AK2533">
        <v>0</v>
      </c>
    </row>
    <row r="2534" spans="1:37" x14ac:dyDescent="0.3">
      <c r="A2534">
        <v>7979</v>
      </c>
      <c r="B2534" t="s">
        <v>219</v>
      </c>
      <c r="D2534" t="s">
        <v>3252</v>
      </c>
      <c r="E2534">
        <v>99999999</v>
      </c>
      <c r="F2534">
        <v>11111111</v>
      </c>
      <c r="G2534">
        <v>1111111111</v>
      </c>
      <c r="H2534" t="s">
        <v>6103</v>
      </c>
      <c r="I2534">
        <v>99999999</v>
      </c>
      <c r="J2534" s="188">
        <v>45236</v>
      </c>
      <c r="K2534" t="s">
        <v>6103</v>
      </c>
      <c r="L2534" t="s">
        <v>6103</v>
      </c>
      <c r="M2534" t="s">
        <v>2859</v>
      </c>
      <c r="N2534" t="s">
        <v>99</v>
      </c>
      <c r="O2534" t="s">
        <v>3263</v>
      </c>
      <c r="P2534" t="s">
        <v>221</v>
      </c>
      <c r="Q2534" t="s">
        <v>82</v>
      </c>
      <c r="R2534">
        <v>4</v>
      </c>
      <c r="S2534">
        <v>8.08</v>
      </c>
      <c r="T2534">
        <v>0</v>
      </c>
      <c r="U2534">
        <v>1</v>
      </c>
      <c r="V2534">
        <v>4</v>
      </c>
      <c r="W2534">
        <v>46.32</v>
      </c>
      <c r="X2534">
        <v>0</v>
      </c>
      <c r="Y2534">
        <v>0</v>
      </c>
      <c r="Z2534">
        <v>0</v>
      </c>
      <c r="AA2534">
        <v>0</v>
      </c>
      <c r="AB2534">
        <v>0</v>
      </c>
      <c r="AC2534">
        <v>0</v>
      </c>
      <c r="AD2534">
        <v>4</v>
      </c>
      <c r="AE2534">
        <v>0</v>
      </c>
      <c r="AF2534">
        <v>0</v>
      </c>
      <c r="AG2534">
        <v>0</v>
      </c>
      <c r="AH2534">
        <v>0</v>
      </c>
      <c r="AI2534">
        <v>0</v>
      </c>
      <c r="AJ2534">
        <v>0</v>
      </c>
      <c r="AK2534">
        <v>0</v>
      </c>
    </row>
    <row r="2535" spans="1:37" x14ac:dyDescent="0.3">
      <c r="A2535">
        <v>7979</v>
      </c>
      <c r="B2535" t="s">
        <v>219</v>
      </c>
      <c r="D2535" t="s">
        <v>3252</v>
      </c>
      <c r="E2535">
        <v>99999999</v>
      </c>
      <c r="F2535">
        <v>11111111</v>
      </c>
      <c r="G2535">
        <v>1111111111</v>
      </c>
      <c r="H2535" t="s">
        <v>6104</v>
      </c>
      <c r="I2535">
        <v>99999999</v>
      </c>
      <c r="J2535" s="188">
        <v>45236</v>
      </c>
      <c r="K2535" t="s">
        <v>6104</v>
      </c>
      <c r="L2535" t="s">
        <v>6104</v>
      </c>
      <c r="M2535" t="s">
        <v>1394</v>
      </c>
      <c r="N2535" t="s">
        <v>233</v>
      </c>
      <c r="O2535" t="s">
        <v>3264</v>
      </c>
      <c r="P2535" t="s">
        <v>221</v>
      </c>
      <c r="Q2535" t="s">
        <v>82</v>
      </c>
      <c r="R2535">
        <v>1</v>
      </c>
      <c r="S2535">
        <v>2</v>
      </c>
      <c r="T2535">
        <v>0</v>
      </c>
      <c r="U2535">
        <v>1</v>
      </c>
      <c r="V2535">
        <v>1</v>
      </c>
      <c r="W2535">
        <v>59.38</v>
      </c>
      <c r="X2535">
        <v>0</v>
      </c>
      <c r="Y2535">
        <v>0</v>
      </c>
      <c r="Z2535">
        <v>0</v>
      </c>
      <c r="AA2535">
        <v>0</v>
      </c>
      <c r="AB2535">
        <v>0</v>
      </c>
      <c r="AC2535">
        <v>0</v>
      </c>
      <c r="AD2535">
        <v>1</v>
      </c>
      <c r="AE2535">
        <v>0</v>
      </c>
      <c r="AF2535">
        <v>0</v>
      </c>
      <c r="AG2535">
        <v>0</v>
      </c>
      <c r="AH2535">
        <v>0</v>
      </c>
      <c r="AI2535">
        <v>0</v>
      </c>
      <c r="AJ2535">
        <v>0</v>
      </c>
      <c r="AK2535">
        <v>0</v>
      </c>
    </row>
    <row r="2536" spans="1:37" x14ac:dyDescent="0.3">
      <c r="A2536">
        <v>7979</v>
      </c>
      <c r="B2536" t="s">
        <v>219</v>
      </c>
      <c r="D2536" t="s">
        <v>3252</v>
      </c>
      <c r="E2536">
        <v>99999999</v>
      </c>
      <c r="F2536">
        <v>11111111</v>
      </c>
      <c r="G2536">
        <v>1111111111</v>
      </c>
      <c r="H2536" t="s">
        <v>6105</v>
      </c>
      <c r="I2536">
        <v>99999999</v>
      </c>
      <c r="J2536" s="188">
        <v>45236</v>
      </c>
      <c r="K2536" t="s">
        <v>6105</v>
      </c>
      <c r="L2536" t="s">
        <v>6105</v>
      </c>
      <c r="M2536" t="s">
        <v>1668</v>
      </c>
      <c r="N2536" t="s">
        <v>130</v>
      </c>
      <c r="O2536" t="s">
        <v>3265</v>
      </c>
      <c r="P2536" t="s">
        <v>221</v>
      </c>
      <c r="Q2536" t="s">
        <v>82</v>
      </c>
      <c r="R2536">
        <v>1</v>
      </c>
      <c r="S2536">
        <v>0.125</v>
      </c>
      <c r="T2536">
        <v>0</v>
      </c>
      <c r="U2536">
        <v>1</v>
      </c>
      <c r="V2536">
        <v>1</v>
      </c>
      <c r="W2536">
        <v>39.96</v>
      </c>
      <c r="X2536">
        <v>0</v>
      </c>
      <c r="Y2536">
        <v>0</v>
      </c>
      <c r="Z2536">
        <v>0</v>
      </c>
      <c r="AA2536">
        <v>0</v>
      </c>
      <c r="AB2536">
        <v>0</v>
      </c>
      <c r="AC2536">
        <v>0</v>
      </c>
      <c r="AD2536">
        <v>1</v>
      </c>
      <c r="AE2536">
        <v>0</v>
      </c>
      <c r="AF2536">
        <v>0</v>
      </c>
      <c r="AG2536">
        <v>0</v>
      </c>
      <c r="AH2536">
        <v>0</v>
      </c>
      <c r="AI2536">
        <v>0</v>
      </c>
      <c r="AJ2536">
        <v>0</v>
      </c>
      <c r="AK2536">
        <v>0</v>
      </c>
    </row>
    <row r="2537" spans="1:37" x14ac:dyDescent="0.3">
      <c r="A2537">
        <v>7979</v>
      </c>
      <c r="B2537" t="s">
        <v>219</v>
      </c>
      <c r="D2537" t="s">
        <v>3252</v>
      </c>
      <c r="E2537">
        <v>99999999</v>
      </c>
      <c r="F2537">
        <v>11111111</v>
      </c>
      <c r="G2537">
        <v>1111111111</v>
      </c>
      <c r="H2537" t="s">
        <v>6106</v>
      </c>
      <c r="I2537">
        <v>99999999</v>
      </c>
      <c r="J2537" s="188">
        <v>45236</v>
      </c>
      <c r="K2537" t="s">
        <v>6106</v>
      </c>
      <c r="L2537" t="s">
        <v>6106</v>
      </c>
      <c r="M2537" t="s">
        <v>3266</v>
      </c>
      <c r="N2537" t="s">
        <v>141</v>
      </c>
      <c r="O2537" t="s">
        <v>3267</v>
      </c>
      <c r="P2537" t="s">
        <v>221</v>
      </c>
      <c r="Q2537" t="s">
        <v>82</v>
      </c>
      <c r="R2537">
        <v>1</v>
      </c>
      <c r="S2537">
        <v>0.6</v>
      </c>
      <c r="T2537">
        <v>0</v>
      </c>
      <c r="U2537">
        <v>1</v>
      </c>
      <c r="V2537">
        <v>1</v>
      </c>
      <c r="W2537">
        <v>52.91</v>
      </c>
      <c r="X2537">
        <v>0</v>
      </c>
      <c r="Y2537">
        <v>0</v>
      </c>
      <c r="Z2537">
        <v>0</v>
      </c>
      <c r="AA2537">
        <v>0</v>
      </c>
      <c r="AB2537">
        <v>0</v>
      </c>
      <c r="AC2537">
        <v>0</v>
      </c>
      <c r="AD2537">
        <v>1</v>
      </c>
      <c r="AE2537">
        <v>0</v>
      </c>
      <c r="AF2537">
        <v>0</v>
      </c>
      <c r="AG2537">
        <v>0</v>
      </c>
      <c r="AH2537">
        <v>0</v>
      </c>
      <c r="AI2537">
        <v>0</v>
      </c>
      <c r="AJ2537">
        <v>0</v>
      </c>
      <c r="AK2537">
        <v>0</v>
      </c>
    </row>
    <row r="2538" spans="1:37" x14ac:dyDescent="0.3">
      <c r="A2538">
        <v>7979</v>
      </c>
      <c r="B2538" t="s">
        <v>219</v>
      </c>
      <c r="D2538" t="s">
        <v>3252</v>
      </c>
      <c r="E2538">
        <v>99999999</v>
      </c>
      <c r="F2538">
        <v>11111111</v>
      </c>
      <c r="G2538">
        <v>1111111111</v>
      </c>
      <c r="H2538" t="s">
        <v>6107</v>
      </c>
      <c r="I2538">
        <v>99999999</v>
      </c>
      <c r="J2538" s="188">
        <v>45236</v>
      </c>
      <c r="K2538" t="s">
        <v>6107</v>
      </c>
      <c r="L2538" t="s">
        <v>6107</v>
      </c>
      <c r="M2538" t="s">
        <v>1253</v>
      </c>
      <c r="N2538" t="s">
        <v>197</v>
      </c>
      <c r="O2538" t="s">
        <v>3268</v>
      </c>
      <c r="P2538" t="s">
        <v>221</v>
      </c>
      <c r="Q2538" t="s">
        <v>82</v>
      </c>
      <c r="R2538">
        <v>1</v>
      </c>
      <c r="S2538">
        <v>7.5</v>
      </c>
      <c r="T2538">
        <v>0</v>
      </c>
      <c r="U2538">
        <v>1</v>
      </c>
      <c r="V2538">
        <v>1</v>
      </c>
      <c r="W2538">
        <v>73.599999999999994</v>
      </c>
      <c r="X2538">
        <v>0</v>
      </c>
      <c r="Y2538">
        <v>0</v>
      </c>
      <c r="Z2538">
        <v>0</v>
      </c>
      <c r="AA2538">
        <v>0</v>
      </c>
      <c r="AB2538">
        <v>0</v>
      </c>
      <c r="AC2538">
        <v>0</v>
      </c>
      <c r="AD2538">
        <v>1</v>
      </c>
      <c r="AE2538">
        <v>0</v>
      </c>
      <c r="AF2538">
        <v>0</v>
      </c>
      <c r="AG2538">
        <v>0</v>
      </c>
      <c r="AH2538">
        <v>0</v>
      </c>
      <c r="AI2538">
        <v>0</v>
      </c>
      <c r="AJ2538">
        <v>0</v>
      </c>
      <c r="AK2538">
        <v>0</v>
      </c>
    </row>
    <row r="2539" spans="1:37" x14ac:dyDescent="0.3">
      <c r="A2539">
        <v>7979</v>
      </c>
      <c r="B2539" t="s">
        <v>219</v>
      </c>
      <c r="D2539" t="s">
        <v>3252</v>
      </c>
      <c r="E2539">
        <v>99999999</v>
      </c>
      <c r="F2539">
        <v>11111111</v>
      </c>
      <c r="G2539">
        <v>1111111111</v>
      </c>
      <c r="H2539" t="s">
        <v>6108</v>
      </c>
      <c r="I2539">
        <v>99999999</v>
      </c>
      <c r="J2539" s="188">
        <v>45236</v>
      </c>
      <c r="K2539" t="s">
        <v>6108</v>
      </c>
      <c r="L2539" t="s">
        <v>6108</v>
      </c>
      <c r="M2539" t="s">
        <v>343</v>
      </c>
      <c r="N2539" t="s">
        <v>164</v>
      </c>
      <c r="O2539" t="s">
        <v>3269</v>
      </c>
      <c r="P2539" t="s">
        <v>221</v>
      </c>
      <c r="Q2539" t="s">
        <v>82</v>
      </c>
      <c r="R2539">
        <v>1</v>
      </c>
      <c r="S2539">
        <v>0.57399999999999995</v>
      </c>
      <c r="T2539">
        <v>0</v>
      </c>
      <c r="U2539">
        <v>1</v>
      </c>
      <c r="V2539">
        <v>1</v>
      </c>
      <c r="W2539">
        <v>29.99</v>
      </c>
      <c r="X2539">
        <v>0</v>
      </c>
      <c r="Y2539">
        <v>0</v>
      </c>
      <c r="Z2539">
        <v>0</v>
      </c>
      <c r="AA2539">
        <v>0</v>
      </c>
      <c r="AB2539">
        <v>0</v>
      </c>
      <c r="AC2539">
        <v>0</v>
      </c>
      <c r="AD2539">
        <v>1</v>
      </c>
      <c r="AE2539">
        <v>0</v>
      </c>
      <c r="AF2539">
        <v>0</v>
      </c>
      <c r="AG2539">
        <v>0</v>
      </c>
      <c r="AH2539">
        <v>0</v>
      </c>
      <c r="AI2539">
        <v>0</v>
      </c>
      <c r="AJ2539">
        <v>0</v>
      </c>
      <c r="AK2539">
        <v>0</v>
      </c>
    </row>
    <row r="2540" spans="1:37" x14ac:dyDescent="0.3">
      <c r="A2540">
        <v>7979</v>
      </c>
      <c r="B2540" t="s">
        <v>219</v>
      </c>
      <c r="D2540" t="s">
        <v>3252</v>
      </c>
      <c r="E2540">
        <v>99999999</v>
      </c>
      <c r="F2540">
        <v>11111111</v>
      </c>
      <c r="G2540">
        <v>1111111111</v>
      </c>
      <c r="H2540" t="s">
        <v>6109</v>
      </c>
      <c r="I2540">
        <v>99999999</v>
      </c>
      <c r="J2540" s="188">
        <v>45236</v>
      </c>
      <c r="K2540" t="s">
        <v>6109</v>
      </c>
      <c r="L2540" t="s">
        <v>6109</v>
      </c>
      <c r="M2540" t="s">
        <v>297</v>
      </c>
      <c r="N2540" t="s">
        <v>197</v>
      </c>
      <c r="O2540" t="s">
        <v>3270</v>
      </c>
      <c r="P2540" t="s">
        <v>221</v>
      </c>
      <c r="Q2540" t="s">
        <v>82</v>
      </c>
      <c r="R2540">
        <v>4</v>
      </c>
      <c r="S2540">
        <v>7.23</v>
      </c>
      <c r="T2540">
        <v>0</v>
      </c>
      <c r="U2540">
        <v>1</v>
      </c>
      <c r="V2540">
        <v>3</v>
      </c>
      <c r="W2540">
        <v>73.599999999999994</v>
      </c>
      <c r="X2540">
        <v>0</v>
      </c>
      <c r="Y2540">
        <v>0</v>
      </c>
      <c r="Z2540">
        <v>0</v>
      </c>
      <c r="AA2540">
        <v>0</v>
      </c>
      <c r="AB2540">
        <v>0</v>
      </c>
      <c r="AC2540">
        <v>0</v>
      </c>
      <c r="AD2540">
        <v>4</v>
      </c>
      <c r="AE2540">
        <v>0</v>
      </c>
      <c r="AF2540">
        <v>0</v>
      </c>
      <c r="AG2540">
        <v>0</v>
      </c>
      <c r="AH2540">
        <v>0</v>
      </c>
      <c r="AI2540">
        <v>0</v>
      </c>
      <c r="AJ2540">
        <v>0</v>
      </c>
      <c r="AK2540">
        <v>0</v>
      </c>
    </row>
    <row r="2541" spans="1:37" x14ac:dyDescent="0.3">
      <c r="A2541">
        <v>7979</v>
      </c>
      <c r="B2541" t="s">
        <v>219</v>
      </c>
      <c r="D2541" t="s">
        <v>3252</v>
      </c>
      <c r="E2541">
        <v>99999999</v>
      </c>
      <c r="F2541">
        <v>11111111</v>
      </c>
      <c r="G2541">
        <v>1111111111</v>
      </c>
      <c r="H2541" t="s">
        <v>6110</v>
      </c>
      <c r="I2541">
        <v>99999999</v>
      </c>
      <c r="J2541" s="188">
        <v>45236</v>
      </c>
      <c r="K2541" t="s">
        <v>6110</v>
      </c>
      <c r="L2541" t="s">
        <v>6110</v>
      </c>
      <c r="M2541" t="s">
        <v>3271</v>
      </c>
      <c r="N2541" t="s">
        <v>130</v>
      </c>
      <c r="O2541" t="s">
        <v>3272</v>
      </c>
      <c r="P2541" t="s">
        <v>221</v>
      </c>
      <c r="Q2541" t="s">
        <v>82</v>
      </c>
      <c r="R2541">
        <v>1</v>
      </c>
      <c r="S2541">
        <v>2.58</v>
      </c>
      <c r="T2541">
        <v>0</v>
      </c>
      <c r="U2541">
        <v>1</v>
      </c>
      <c r="V2541">
        <v>1</v>
      </c>
      <c r="W2541">
        <v>51.85</v>
      </c>
      <c r="X2541">
        <v>0</v>
      </c>
      <c r="Y2541">
        <v>0</v>
      </c>
      <c r="Z2541">
        <v>0</v>
      </c>
      <c r="AA2541">
        <v>0</v>
      </c>
      <c r="AB2541">
        <v>0</v>
      </c>
      <c r="AC2541">
        <v>0</v>
      </c>
      <c r="AD2541">
        <v>1</v>
      </c>
      <c r="AE2541">
        <v>0</v>
      </c>
      <c r="AF2541">
        <v>0</v>
      </c>
      <c r="AG2541">
        <v>0</v>
      </c>
      <c r="AH2541">
        <v>0</v>
      </c>
      <c r="AI2541">
        <v>0</v>
      </c>
      <c r="AJ2541">
        <v>0</v>
      </c>
      <c r="AK2541">
        <v>0</v>
      </c>
    </row>
    <row r="2542" spans="1:37" x14ac:dyDescent="0.3">
      <c r="A2542">
        <v>7979</v>
      </c>
      <c r="B2542" t="s">
        <v>219</v>
      </c>
      <c r="D2542" t="s">
        <v>3252</v>
      </c>
      <c r="E2542">
        <v>99999999</v>
      </c>
      <c r="F2542">
        <v>11111111</v>
      </c>
      <c r="G2542">
        <v>1111111111</v>
      </c>
      <c r="H2542" t="s">
        <v>6111</v>
      </c>
      <c r="I2542">
        <v>99999999</v>
      </c>
      <c r="J2542" s="188">
        <v>45237</v>
      </c>
      <c r="K2542" t="s">
        <v>6111</v>
      </c>
      <c r="L2542" t="s">
        <v>6111</v>
      </c>
      <c r="M2542" t="s">
        <v>3273</v>
      </c>
      <c r="N2542" t="s">
        <v>231</v>
      </c>
      <c r="O2542" t="s">
        <v>3274</v>
      </c>
      <c r="P2542" t="s">
        <v>221</v>
      </c>
      <c r="Q2542" t="s">
        <v>82</v>
      </c>
      <c r="R2542">
        <v>1</v>
      </c>
      <c r="S2542">
        <v>0.8</v>
      </c>
      <c r="T2542">
        <v>0</v>
      </c>
      <c r="U2542">
        <v>1</v>
      </c>
      <c r="V2542">
        <v>1</v>
      </c>
      <c r="W2542">
        <v>52.91</v>
      </c>
      <c r="X2542">
        <v>0</v>
      </c>
      <c r="Y2542">
        <v>0</v>
      </c>
      <c r="Z2542">
        <v>0</v>
      </c>
      <c r="AA2542">
        <v>0</v>
      </c>
      <c r="AB2542">
        <v>0</v>
      </c>
      <c r="AC2542">
        <v>0</v>
      </c>
      <c r="AD2542">
        <v>1</v>
      </c>
      <c r="AE2542">
        <v>0</v>
      </c>
      <c r="AF2542">
        <v>0</v>
      </c>
      <c r="AG2542">
        <v>0</v>
      </c>
      <c r="AH2542">
        <v>0</v>
      </c>
      <c r="AI2542">
        <v>0</v>
      </c>
      <c r="AJ2542">
        <v>0</v>
      </c>
      <c r="AK2542">
        <v>0</v>
      </c>
    </row>
    <row r="2543" spans="1:37" x14ac:dyDescent="0.3">
      <c r="A2543">
        <v>7979</v>
      </c>
      <c r="B2543" t="s">
        <v>219</v>
      </c>
      <c r="D2543" t="s">
        <v>3252</v>
      </c>
      <c r="E2543">
        <v>99999999</v>
      </c>
      <c r="F2543">
        <v>11111111</v>
      </c>
      <c r="G2543">
        <v>1111111111</v>
      </c>
      <c r="H2543" t="s">
        <v>6112</v>
      </c>
      <c r="I2543">
        <v>99999999</v>
      </c>
      <c r="J2543" s="188">
        <v>45237</v>
      </c>
      <c r="K2543" t="s">
        <v>6112</v>
      </c>
      <c r="L2543" t="s">
        <v>6112</v>
      </c>
      <c r="M2543" t="s">
        <v>3275</v>
      </c>
      <c r="N2543" t="s">
        <v>183</v>
      </c>
      <c r="O2543" t="s">
        <v>3276</v>
      </c>
      <c r="P2543" t="s">
        <v>221</v>
      </c>
      <c r="Q2543" t="s">
        <v>82</v>
      </c>
      <c r="R2543">
        <v>1</v>
      </c>
      <c r="S2543">
        <v>0.5</v>
      </c>
      <c r="T2543">
        <v>0</v>
      </c>
      <c r="U2543">
        <v>1</v>
      </c>
      <c r="V2543">
        <v>1</v>
      </c>
      <c r="W2543">
        <v>43.02</v>
      </c>
      <c r="X2543">
        <v>0</v>
      </c>
      <c r="Y2543">
        <v>0</v>
      </c>
      <c r="Z2543">
        <v>0</v>
      </c>
      <c r="AA2543">
        <v>0</v>
      </c>
      <c r="AB2543">
        <v>0</v>
      </c>
      <c r="AC2543">
        <v>0</v>
      </c>
      <c r="AD2543">
        <v>1</v>
      </c>
      <c r="AE2543">
        <v>0</v>
      </c>
      <c r="AF2543">
        <v>0</v>
      </c>
      <c r="AG2543">
        <v>0</v>
      </c>
      <c r="AH2543">
        <v>0</v>
      </c>
      <c r="AI2543">
        <v>0</v>
      </c>
      <c r="AJ2543">
        <v>0</v>
      </c>
      <c r="AK2543">
        <v>0</v>
      </c>
    </row>
    <row r="2544" spans="1:37" x14ac:dyDescent="0.3">
      <c r="A2544">
        <v>7979</v>
      </c>
      <c r="B2544" t="s">
        <v>219</v>
      </c>
      <c r="D2544" t="s">
        <v>3252</v>
      </c>
      <c r="E2544">
        <v>99999999</v>
      </c>
      <c r="F2544">
        <v>11111111</v>
      </c>
      <c r="G2544">
        <v>1111111111</v>
      </c>
      <c r="H2544" t="s">
        <v>6113</v>
      </c>
      <c r="I2544">
        <v>99999999</v>
      </c>
      <c r="J2544" s="188">
        <v>45237</v>
      </c>
      <c r="K2544" t="s">
        <v>6113</v>
      </c>
      <c r="L2544" t="s">
        <v>6113</v>
      </c>
      <c r="M2544" t="s">
        <v>358</v>
      </c>
      <c r="N2544" t="s">
        <v>197</v>
      </c>
      <c r="O2544" t="s">
        <v>3277</v>
      </c>
      <c r="P2544" t="s">
        <v>221</v>
      </c>
      <c r="Q2544" t="s">
        <v>82</v>
      </c>
      <c r="R2544">
        <v>1</v>
      </c>
      <c r="S2544">
        <v>1</v>
      </c>
      <c r="T2544">
        <v>0</v>
      </c>
      <c r="U2544">
        <v>1</v>
      </c>
      <c r="V2544">
        <v>1</v>
      </c>
      <c r="W2544">
        <v>43.24</v>
      </c>
      <c r="X2544">
        <v>0</v>
      </c>
      <c r="Y2544">
        <v>0</v>
      </c>
      <c r="Z2544">
        <v>0</v>
      </c>
      <c r="AA2544">
        <v>0</v>
      </c>
      <c r="AB2544">
        <v>0</v>
      </c>
      <c r="AC2544">
        <v>0</v>
      </c>
      <c r="AD2544">
        <v>1</v>
      </c>
      <c r="AE2544">
        <v>0</v>
      </c>
      <c r="AF2544">
        <v>0</v>
      </c>
      <c r="AG2544">
        <v>0</v>
      </c>
      <c r="AH2544">
        <v>0</v>
      </c>
      <c r="AI2544">
        <v>0</v>
      </c>
      <c r="AJ2544">
        <v>0</v>
      </c>
      <c r="AK2544">
        <v>0</v>
      </c>
    </row>
    <row r="2545" spans="1:37" x14ac:dyDescent="0.3">
      <c r="A2545">
        <v>7979</v>
      </c>
      <c r="B2545" t="s">
        <v>219</v>
      </c>
      <c r="D2545" t="s">
        <v>3252</v>
      </c>
      <c r="E2545">
        <v>99999999</v>
      </c>
      <c r="F2545">
        <v>11111111</v>
      </c>
      <c r="G2545">
        <v>1111111111</v>
      </c>
      <c r="H2545" t="s">
        <v>6114</v>
      </c>
      <c r="I2545">
        <v>99999999</v>
      </c>
      <c r="J2545" s="188">
        <v>45237</v>
      </c>
      <c r="K2545" t="s">
        <v>6114</v>
      </c>
      <c r="L2545" t="s">
        <v>6114</v>
      </c>
      <c r="M2545" t="s">
        <v>3278</v>
      </c>
      <c r="N2545" t="s">
        <v>91</v>
      </c>
      <c r="O2545" t="s">
        <v>3279</v>
      </c>
      <c r="P2545" t="s">
        <v>221</v>
      </c>
      <c r="Q2545" t="s">
        <v>82</v>
      </c>
      <c r="R2545">
        <v>1</v>
      </c>
      <c r="S2545">
        <v>8.5</v>
      </c>
      <c r="T2545">
        <v>0</v>
      </c>
      <c r="U2545">
        <v>1</v>
      </c>
      <c r="V2545">
        <v>1</v>
      </c>
      <c r="W2545">
        <v>57.66</v>
      </c>
      <c r="X2545">
        <v>0</v>
      </c>
      <c r="Y2545">
        <v>0</v>
      </c>
      <c r="Z2545">
        <v>0</v>
      </c>
      <c r="AA2545">
        <v>0</v>
      </c>
      <c r="AB2545">
        <v>0</v>
      </c>
      <c r="AC2545">
        <v>0</v>
      </c>
      <c r="AD2545">
        <v>1</v>
      </c>
      <c r="AE2545">
        <v>0</v>
      </c>
      <c r="AF2545">
        <v>0</v>
      </c>
      <c r="AG2545">
        <v>0</v>
      </c>
      <c r="AH2545">
        <v>0</v>
      </c>
      <c r="AI2545">
        <v>0</v>
      </c>
      <c r="AJ2545">
        <v>0</v>
      </c>
      <c r="AK2545">
        <v>0</v>
      </c>
    </row>
    <row r="2546" spans="1:37" x14ac:dyDescent="0.3">
      <c r="A2546">
        <v>7979</v>
      </c>
      <c r="B2546" t="s">
        <v>219</v>
      </c>
      <c r="D2546" t="s">
        <v>3252</v>
      </c>
      <c r="E2546">
        <v>99999999</v>
      </c>
      <c r="F2546">
        <v>11111111</v>
      </c>
      <c r="G2546">
        <v>1111111111</v>
      </c>
      <c r="H2546" t="s">
        <v>6115</v>
      </c>
      <c r="I2546">
        <v>99999999</v>
      </c>
      <c r="J2546" s="188">
        <v>45237</v>
      </c>
      <c r="K2546" t="s">
        <v>6115</v>
      </c>
      <c r="L2546" t="s">
        <v>6115</v>
      </c>
      <c r="M2546" t="s">
        <v>1280</v>
      </c>
      <c r="N2546" t="s">
        <v>197</v>
      </c>
      <c r="O2546" t="s">
        <v>1281</v>
      </c>
      <c r="P2546" t="s">
        <v>221</v>
      </c>
      <c r="Q2546" t="s">
        <v>82</v>
      </c>
      <c r="R2546">
        <v>5</v>
      </c>
      <c r="S2546">
        <v>3.66</v>
      </c>
      <c r="T2546">
        <v>0</v>
      </c>
      <c r="U2546">
        <v>1</v>
      </c>
      <c r="V2546">
        <v>5</v>
      </c>
      <c r="W2546">
        <v>65.239999999999995</v>
      </c>
      <c r="X2546">
        <v>0</v>
      </c>
      <c r="Y2546">
        <v>0</v>
      </c>
      <c r="Z2546">
        <v>0</v>
      </c>
      <c r="AA2546">
        <v>0</v>
      </c>
      <c r="AB2546">
        <v>0</v>
      </c>
      <c r="AC2546">
        <v>0</v>
      </c>
      <c r="AD2546">
        <v>5</v>
      </c>
      <c r="AE2546">
        <v>0</v>
      </c>
      <c r="AF2546">
        <v>0</v>
      </c>
      <c r="AG2546">
        <v>0</v>
      </c>
      <c r="AH2546">
        <v>0</v>
      </c>
      <c r="AI2546">
        <v>0</v>
      </c>
      <c r="AJ2546">
        <v>0</v>
      </c>
      <c r="AK2546">
        <v>0</v>
      </c>
    </row>
    <row r="2547" spans="1:37" x14ac:dyDescent="0.3">
      <c r="A2547">
        <v>7979</v>
      </c>
      <c r="B2547" t="s">
        <v>219</v>
      </c>
      <c r="D2547" t="s">
        <v>3252</v>
      </c>
      <c r="E2547">
        <v>99999999</v>
      </c>
      <c r="F2547">
        <v>11111111</v>
      </c>
      <c r="G2547">
        <v>1111111111</v>
      </c>
      <c r="H2547" t="s">
        <v>6116</v>
      </c>
      <c r="I2547">
        <v>99999999</v>
      </c>
      <c r="J2547" s="188">
        <v>45237</v>
      </c>
      <c r="K2547" t="s">
        <v>6116</v>
      </c>
      <c r="L2547" t="s">
        <v>6116</v>
      </c>
      <c r="M2547" t="s">
        <v>3280</v>
      </c>
      <c r="N2547" t="s">
        <v>130</v>
      </c>
      <c r="O2547">
        <v>80621</v>
      </c>
      <c r="P2547" t="s">
        <v>221</v>
      </c>
      <c r="Q2547" t="s">
        <v>82</v>
      </c>
      <c r="R2547">
        <v>2</v>
      </c>
      <c r="S2547">
        <v>2</v>
      </c>
      <c r="T2547">
        <v>0</v>
      </c>
      <c r="U2547">
        <v>1</v>
      </c>
      <c r="V2547">
        <v>2</v>
      </c>
      <c r="W2547">
        <v>46.05</v>
      </c>
      <c r="X2547">
        <v>0</v>
      </c>
      <c r="Y2547">
        <v>0</v>
      </c>
      <c r="Z2547">
        <v>0</v>
      </c>
      <c r="AA2547">
        <v>0</v>
      </c>
      <c r="AB2547">
        <v>0</v>
      </c>
      <c r="AC2547">
        <v>0</v>
      </c>
      <c r="AD2547">
        <v>2</v>
      </c>
      <c r="AE2547">
        <v>0</v>
      </c>
      <c r="AF2547">
        <v>0</v>
      </c>
      <c r="AG2547">
        <v>0</v>
      </c>
      <c r="AH2547">
        <v>0</v>
      </c>
      <c r="AI2547">
        <v>0</v>
      </c>
      <c r="AJ2547">
        <v>0</v>
      </c>
      <c r="AK2547">
        <v>0</v>
      </c>
    </row>
    <row r="2548" spans="1:37" x14ac:dyDescent="0.3">
      <c r="A2548">
        <v>7979</v>
      </c>
      <c r="B2548" t="s">
        <v>219</v>
      </c>
      <c r="D2548" t="s">
        <v>3252</v>
      </c>
      <c r="E2548">
        <v>99999999</v>
      </c>
      <c r="F2548">
        <v>11111111</v>
      </c>
      <c r="G2548">
        <v>1111111111</v>
      </c>
      <c r="H2548" t="s">
        <v>6117</v>
      </c>
      <c r="I2548">
        <v>99999999</v>
      </c>
      <c r="J2548" s="188">
        <v>45237</v>
      </c>
      <c r="K2548" t="s">
        <v>6117</v>
      </c>
      <c r="L2548" t="s">
        <v>6117</v>
      </c>
      <c r="M2548" t="s">
        <v>3281</v>
      </c>
      <c r="N2548" t="s">
        <v>135</v>
      </c>
      <c r="O2548" t="s">
        <v>3282</v>
      </c>
      <c r="P2548" t="s">
        <v>221</v>
      </c>
      <c r="Q2548" t="s">
        <v>82</v>
      </c>
      <c r="R2548">
        <v>1</v>
      </c>
      <c r="S2548">
        <v>0.88100000000000001</v>
      </c>
      <c r="T2548">
        <v>0</v>
      </c>
      <c r="U2548">
        <v>1</v>
      </c>
      <c r="V2548">
        <v>1</v>
      </c>
      <c r="W2548">
        <v>29.99</v>
      </c>
      <c r="X2548">
        <v>0</v>
      </c>
      <c r="Y2548">
        <v>0</v>
      </c>
      <c r="Z2548">
        <v>0</v>
      </c>
      <c r="AA2548">
        <v>0</v>
      </c>
      <c r="AB2548">
        <v>0</v>
      </c>
      <c r="AC2548">
        <v>0</v>
      </c>
      <c r="AD2548">
        <v>1</v>
      </c>
      <c r="AE2548">
        <v>0</v>
      </c>
      <c r="AF2548">
        <v>0</v>
      </c>
      <c r="AG2548">
        <v>0</v>
      </c>
      <c r="AH2548">
        <v>0</v>
      </c>
      <c r="AI2548">
        <v>0</v>
      </c>
      <c r="AJ2548">
        <v>0</v>
      </c>
      <c r="AK2548">
        <v>0</v>
      </c>
    </row>
    <row r="2549" spans="1:37" x14ac:dyDescent="0.3">
      <c r="A2549">
        <v>7979</v>
      </c>
      <c r="B2549" t="s">
        <v>219</v>
      </c>
      <c r="D2549" t="s">
        <v>3252</v>
      </c>
      <c r="E2549">
        <v>99999999</v>
      </c>
      <c r="F2549">
        <v>11111111</v>
      </c>
      <c r="G2549">
        <v>1111111111</v>
      </c>
      <c r="H2549" t="s">
        <v>6118</v>
      </c>
      <c r="I2549">
        <v>99999999</v>
      </c>
      <c r="J2549" s="188">
        <v>45237</v>
      </c>
      <c r="K2549" t="s">
        <v>6118</v>
      </c>
      <c r="L2549" t="s">
        <v>6118</v>
      </c>
      <c r="M2549" t="s">
        <v>358</v>
      </c>
      <c r="N2549" t="s">
        <v>197</v>
      </c>
      <c r="O2549" t="s">
        <v>3283</v>
      </c>
      <c r="P2549" t="s">
        <v>221</v>
      </c>
      <c r="Q2549" t="s">
        <v>82</v>
      </c>
      <c r="R2549">
        <v>2</v>
      </c>
      <c r="S2549">
        <v>4.7</v>
      </c>
      <c r="T2549">
        <v>0</v>
      </c>
      <c r="U2549">
        <v>1</v>
      </c>
      <c r="V2549">
        <v>2</v>
      </c>
      <c r="W2549">
        <v>64.23</v>
      </c>
      <c r="X2549">
        <v>0</v>
      </c>
      <c r="Y2549">
        <v>0</v>
      </c>
      <c r="Z2549">
        <v>0</v>
      </c>
      <c r="AA2549">
        <v>0</v>
      </c>
      <c r="AB2549">
        <v>0</v>
      </c>
      <c r="AC2549">
        <v>0</v>
      </c>
      <c r="AD2549">
        <v>2</v>
      </c>
      <c r="AE2549">
        <v>0</v>
      </c>
      <c r="AF2549">
        <v>0</v>
      </c>
      <c r="AG2549">
        <v>0</v>
      </c>
      <c r="AH2549">
        <v>0</v>
      </c>
      <c r="AI2549">
        <v>0</v>
      </c>
      <c r="AJ2549">
        <v>0</v>
      </c>
      <c r="AK2549">
        <v>0</v>
      </c>
    </row>
    <row r="2550" spans="1:37" x14ac:dyDescent="0.3">
      <c r="A2550">
        <v>7979</v>
      </c>
      <c r="B2550" t="s">
        <v>219</v>
      </c>
      <c r="D2550" t="s">
        <v>3252</v>
      </c>
      <c r="E2550">
        <v>99999999</v>
      </c>
      <c r="F2550">
        <v>11111111</v>
      </c>
      <c r="G2550">
        <v>1111111111</v>
      </c>
      <c r="H2550" t="s">
        <v>6119</v>
      </c>
      <c r="I2550">
        <v>99999999</v>
      </c>
      <c r="J2550" s="188">
        <v>45237</v>
      </c>
      <c r="K2550" t="s">
        <v>6119</v>
      </c>
      <c r="L2550" t="s">
        <v>6119</v>
      </c>
      <c r="M2550" t="s">
        <v>2378</v>
      </c>
      <c r="N2550" t="s">
        <v>88</v>
      </c>
      <c r="O2550" t="s">
        <v>3284</v>
      </c>
      <c r="P2550" t="s">
        <v>221</v>
      </c>
      <c r="Q2550" t="s">
        <v>82</v>
      </c>
      <c r="R2550">
        <v>2</v>
      </c>
      <c r="S2550">
        <v>1.4</v>
      </c>
      <c r="T2550">
        <v>0</v>
      </c>
      <c r="U2550">
        <v>1</v>
      </c>
      <c r="V2550">
        <v>1</v>
      </c>
      <c r="W2550">
        <v>59.43</v>
      </c>
      <c r="X2550">
        <v>0</v>
      </c>
      <c r="Y2550">
        <v>0</v>
      </c>
      <c r="Z2550">
        <v>0</v>
      </c>
      <c r="AA2550">
        <v>0</v>
      </c>
      <c r="AB2550">
        <v>0</v>
      </c>
      <c r="AC2550">
        <v>0</v>
      </c>
      <c r="AD2550">
        <v>2</v>
      </c>
      <c r="AE2550">
        <v>0</v>
      </c>
      <c r="AF2550">
        <v>0</v>
      </c>
      <c r="AG2550">
        <v>0</v>
      </c>
      <c r="AH2550">
        <v>0</v>
      </c>
      <c r="AI2550">
        <v>0</v>
      </c>
      <c r="AJ2550">
        <v>0</v>
      </c>
      <c r="AK2550">
        <v>0</v>
      </c>
    </row>
    <row r="2551" spans="1:37" x14ac:dyDescent="0.3">
      <c r="A2551">
        <v>7979</v>
      </c>
      <c r="B2551" t="s">
        <v>219</v>
      </c>
      <c r="D2551" t="s">
        <v>3252</v>
      </c>
      <c r="E2551">
        <v>99999999</v>
      </c>
      <c r="F2551">
        <v>11111111</v>
      </c>
      <c r="G2551">
        <v>1111111111</v>
      </c>
      <c r="H2551" t="s">
        <v>6120</v>
      </c>
      <c r="I2551">
        <v>99999999</v>
      </c>
      <c r="J2551" s="188">
        <v>45237</v>
      </c>
      <c r="K2551" t="s">
        <v>6120</v>
      </c>
      <c r="L2551" t="s">
        <v>6120</v>
      </c>
      <c r="M2551" t="s">
        <v>2019</v>
      </c>
      <c r="N2551" t="s">
        <v>99</v>
      </c>
      <c r="O2551" t="s">
        <v>2089</v>
      </c>
      <c r="P2551" t="s">
        <v>221</v>
      </c>
      <c r="Q2551" t="s">
        <v>82</v>
      </c>
      <c r="R2551">
        <v>4</v>
      </c>
      <c r="S2551">
        <v>3.03</v>
      </c>
      <c r="T2551">
        <v>0</v>
      </c>
      <c r="U2551">
        <v>1</v>
      </c>
      <c r="V2551">
        <v>4</v>
      </c>
      <c r="W2551">
        <v>41.62</v>
      </c>
      <c r="X2551">
        <v>0</v>
      </c>
      <c r="Y2551">
        <v>0</v>
      </c>
      <c r="Z2551">
        <v>0</v>
      </c>
      <c r="AA2551">
        <v>0</v>
      </c>
      <c r="AB2551">
        <v>0</v>
      </c>
      <c r="AC2551">
        <v>0</v>
      </c>
      <c r="AD2551">
        <v>4</v>
      </c>
      <c r="AE2551">
        <v>0</v>
      </c>
      <c r="AF2551">
        <v>0</v>
      </c>
      <c r="AG2551">
        <v>0</v>
      </c>
      <c r="AH2551">
        <v>0</v>
      </c>
      <c r="AI2551">
        <v>0</v>
      </c>
      <c r="AJ2551">
        <v>0</v>
      </c>
      <c r="AK2551">
        <v>0</v>
      </c>
    </row>
    <row r="2552" spans="1:37" x14ac:dyDescent="0.3">
      <c r="A2552">
        <v>7979</v>
      </c>
      <c r="B2552" t="s">
        <v>219</v>
      </c>
      <c r="D2552" t="s">
        <v>3252</v>
      </c>
      <c r="E2552">
        <v>99999999</v>
      </c>
      <c r="F2552">
        <v>11111111</v>
      </c>
      <c r="G2552">
        <v>1111111111</v>
      </c>
      <c r="H2552" t="s">
        <v>6121</v>
      </c>
      <c r="I2552">
        <v>99999999</v>
      </c>
      <c r="J2552" s="188">
        <v>45238</v>
      </c>
      <c r="K2552" t="s">
        <v>6121</v>
      </c>
      <c r="L2552" t="s">
        <v>6121</v>
      </c>
      <c r="M2552" t="s">
        <v>3285</v>
      </c>
      <c r="N2552" t="s">
        <v>141</v>
      </c>
      <c r="O2552" t="s">
        <v>3286</v>
      </c>
      <c r="P2552" t="s">
        <v>221</v>
      </c>
      <c r="Q2552" t="s">
        <v>82</v>
      </c>
      <c r="R2552">
        <v>1</v>
      </c>
      <c r="S2552">
        <v>1</v>
      </c>
      <c r="T2552">
        <v>0</v>
      </c>
      <c r="U2552">
        <v>1</v>
      </c>
      <c r="V2552">
        <v>1</v>
      </c>
      <c r="W2552">
        <v>52.8</v>
      </c>
      <c r="X2552">
        <v>0</v>
      </c>
      <c r="Y2552">
        <v>0</v>
      </c>
      <c r="Z2552">
        <v>0</v>
      </c>
      <c r="AA2552">
        <v>0</v>
      </c>
      <c r="AB2552">
        <v>0</v>
      </c>
      <c r="AC2552">
        <v>0</v>
      </c>
      <c r="AD2552">
        <v>1</v>
      </c>
      <c r="AE2552">
        <v>0</v>
      </c>
      <c r="AF2552">
        <v>0</v>
      </c>
      <c r="AG2552">
        <v>0</v>
      </c>
      <c r="AH2552">
        <v>0</v>
      </c>
      <c r="AI2552">
        <v>0</v>
      </c>
      <c r="AJ2552">
        <v>0</v>
      </c>
      <c r="AK2552">
        <v>0</v>
      </c>
    </row>
    <row r="2553" spans="1:37" x14ac:dyDescent="0.3">
      <c r="A2553">
        <v>7979</v>
      </c>
      <c r="B2553" t="s">
        <v>219</v>
      </c>
      <c r="D2553" t="s">
        <v>3252</v>
      </c>
      <c r="E2553">
        <v>99999999</v>
      </c>
      <c r="F2553">
        <v>11111111</v>
      </c>
      <c r="G2553">
        <v>1111111111</v>
      </c>
      <c r="H2553" t="s">
        <v>6122</v>
      </c>
      <c r="I2553">
        <v>99999999</v>
      </c>
      <c r="J2553" s="188">
        <v>45238</v>
      </c>
      <c r="K2553" t="s">
        <v>6122</v>
      </c>
      <c r="L2553" t="s">
        <v>6122</v>
      </c>
      <c r="M2553" t="s">
        <v>3287</v>
      </c>
      <c r="N2553" t="s">
        <v>99</v>
      </c>
      <c r="O2553" t="s">
        <v>3288</v>
      </c>
      <c r="P2553" t="s">
        <v>221</v>
      </c>
      <c r="Q2553" t="s">
        <v>82</v>
      </c>
      <c r="R2553">
        <v>1</v>
      </c>
      <c r="S2553">
        <v>2.2999999999999998</v>
      </c>
      <c r="T2553">
        <v>0</v>
      </c>
      <c r="U2553">
        <v>1</v>
      </c>
      <c r="V2553">
        <v>1</v>
      </c>
      <c r="W2553">
        <v>32.07</v>
      </c>
      <c r="X2553">
        <v>0</v>
      </c>
      <c r="Y2553">
        <v>0</v>
      </c>
      <c r="Z2553">
        <v>0</v>
      </c>
      <c r="AA2553">
        <v>0</v>
      </c>
      <c r="AB2553">
        <v>0</v>
      </c>
      <c r="AC2553">
        <v>0</v>
      </c>
      <c r="AD2553">
        <v>1</v>
      </c>
      <c r="AE2553">
        <v>0</v>
      </c>
      <c r="AF2553">
        <v>0</v>
      </c>
      <c r="AG2553">
        <v>0</v>
      </c>
      <c r="AH2553">
        <v>0</v>
      </c>
      <c r="AI2553">
        <v>0</v>
      </c>
      <c r="AJ2553">
        <v>0</v>
      </c>
      <c r="AK2553">
        <v>0</v>
      </c>
    </row>
    <row r="2554" spans="1:37" x14ac:dyDescent="0.3">
      <c r="A2554">
        <v>7979</v>
      </c>
      <c r="B2554" t="s">
        <v>219</v>
      </c>
      <c r="D2554" t="s">
        <v>3252</v>
      </c>
      <c r="E2554">
        <v>99999999</v>
      </c>
      <c r="F2554">
        <v>11111111</v>
      </c>
      <c r="G2554">
        <v>1111111111</v>
      </c>
      <c r="H2554" t="s">
        <v>6123</v>
      </c>
      <c r="I2554">
        <v>99999999</v>
      </c>
      <c r="J2554" s="188">
        <v>45238</v>
      </c>
      <c r="K2554" t="s">
        <v>6123</v>
      </c>
      <c r="L2554" t="s">
        <v>6123</v>
      </c>
      <c r="M2554" t="s">
        <v>3289</v>
      </c>
      <c r="N2554" t="s">
        <v>307</v>
      </c>
      <c r="O2554" t="s">
        <v>3290</v>
      </c>
      <c r="P2554" t="s">
        <v>221</v>
      </c>
      <c r="Q2554" t="s">
        <v>82</v>
      </c>
      <c r="R2554">
        <v>1</v>
      </c>
      <c r="S2554">
        <v>1.21</v>
      </c>
      <c r="T2554">
        <v>0</v>
      </c>
      <c r="U2554">
        <v>1</v>
      </c>
      <c r="V2554">
        <v>1</v>
      </c>
      <c r="W2554">
        <v>43.15</v>
      </c>
      <c r="X2554">
        <v>0</v>
      </c>
      <c r="Y2554">
        <v>0</v>
      </c>
      <c r="Z2554">
        <v>0</v>
      </c>
      <c r="AA2554">
        <v>0</v>
      </c>
      <c r="AB2554">
        <v>0</v>
      </c>
      <c r="AC2554">
        <v>0</v>
      </c>
      <c r="AD2554">
        <v>1</v>
      </c>
      <c r="AE2554">
        <v>0</v>
      </c>
      <c r="AF2554">
        <v>0</v>
      </c>
      <c r="AG2554">
        <v>0</v>
      </c>
      <c r="AH2554">
        <v>0</v>
      </c>
      <c r="AI2554">
        <v>0</v>
      </c>
      <c r="AJ2554">
        <v>0</v>
      </c>
      <c r="AK2554">
        <v>0</v>
      </c>
    </row>
    <row r="2555" spans="1:37" x14ac:dyDescent="0.3">
      <c r="A2555">
        <v>7979</v>
      </c>
      <c r="B2555" t="s">
        <v>219</v>
      </c>
      <c r="D2555" t="s">
        <v>3252</v>
      </c>
      <c r="E2555">
        <v>99999999</v>
      </c>
      <c r="F2555">
        <v>11111111</v>
      </c>
      <c r="G2555">
        <v>1111111111</v>
      </c>
      <c r="H2555" t="s">
        <v>6124</v>
      </c>
      <c r="I2555">
        <v>99999999</v>
      </c>
      <c r="J2555" s="188">
        <v>45238</v>
      </c>
      <c r="K2555" t="s">
        <v>6124</v>
      </c>
      <c r="L2555" t="s">
        <v>6124</v>
      </c>
      <c r="M2555" t="s">
        <v>433</v>
      </c>
      <c r="N2555" t="s">
        <v>197</v>
      </c>
      <c r="O2555" t="s">
        <v>3291</v>
      </c>
      <c r="P2555" t="s">
        <v>221</v>
      </c>
      <c r="Q2555" t="s">
        <v>82</v>
      </c>
      <c r="R2555">
        <v>1</v>
      </c>
      <c r="S2555">
        <v>0.5</v>
      </c>
      <c r="T2555">
        <v>0</v>
      </c>
      <c r="U2555">
        <v>1</v>
      </c>
      <c r="V2555">
        <v>1</v>
      </c>
      <c r="W2555">
        <v>46.18</v>
      </c>
      <c r="X2555">
        <v>0</v>
      </c>
      <c r="Y2555">
        <v>0</v>
      </c>
      <c r="Z2555">
        <v>0</v>
      </c>
      <c r="AA2555">
        <v>0</v>
      </c>
      <c r="AB2555">
        <v>0</v>
      </c>
      <c r="AC2555">
        <v>0</v>
      </c>
      <c r="AD2555">
        <v>1</v>
      </c>
      <c r="AE2555">
        <v>0</v>
      </c>
      <c r="AF2555">
        <v>0</v>
      </c>
      <c r="AG2555">
        <v>0</v>
      </c>
      <c r="AH2555">
        <v>0</v>
      </c>
      <c r="AI2555">
        <v>0</v>
      </c>
      <c r="AJ2555">
        <v>0</v>
      </c>
      <c r="AK2555">
        <v>0</v>
      </c>
    </row>
    <row r="2556" spans="1:37" x14ac:dyDescent="0.3">
      <c r="A2556">
        <v>7979</v>
      </c>
      <c r="B2556" t="s">
        <v>219</v>
      </c>
      <c r="D2556" t="s">
        <v>3252</v>
      </c>
      <c r="E2556">
        <v>99999999</v>
      </c>
      <c r="F2556">
        <v>11111111</v>
      </c>
      <c r="G2556">
        <v>1111111111</v>
      </c>
      <c r="H2556" t="s">
        <v>6125</v>
      </c>
      <c r="I2556">
        <v>99999999</v>
      </c>
      <c r="J2556" s="188">
        <v>45238</v>
      </c>
      <c r="K2556" t="s">
        <v>6125</v>
      </c>
      <c r="L2556" t="s">
        <v>6125</v>
      </c>
      <c r="M2556" t="s">
        <v>3292</v>
      </c>
      <c r="N2556" t="s">
        <v>130</v>
      </c>
      <c r="O2556">
        <v>80103</v>
      </c>
      <c r="P2556" t="s">
        <v>221</v>
      </c>
      <c r="Q2556" t="s">
        <v>82</v>
      </c>
      <c r="R2556">
        <v>6</v>
      </c>
      <c r="S2556">
        <v>7.8</v>
      </c>
      <c r="T2556">
        <v>0</v>
      </c>
      <c r="U2556">
        <v>1</v>
      </c>
      <c r="V2556">
        <v>1</v>
      </c>
      <c r="W2556">
        <v>72.84</v>
      </c>
      <c r="X2556">
        <v>0</v>
      </c>
      <c r="Y2556">
        <v>0</v>
      </c>
      <c r="Z2556">
        <v>0</v>
      </c>
      <c r="AA2556">
        <v>0</v>
      </c>
      <c r="AB2556">
        <v>0</v>
      </c>
      <c r="AC2556">
        <v>0</v>
      </c>
      <c r="AD2556">
        <v>6</v>
      </c>
      <c r="AE2556">
        <v>0</v>
      </c>
      <c r="AF2556">
        <v>0</v>
      </c>
      <c r="AG2556">
        <v>0</v>
      </c>
      <c r="AH2556">
        <v>0</v>
      </c>
      <c r="AI2556">
        <v>0</v>
      </c>
      <c r="AJ2556">
        <v>0</v>
      </c>
      <c r="AK2556">
        <v>0</v>
      </c>
    </row>
    <row r="2557" spans="1:37" x14ac:dyDescent="0.3">
      <c r="A2557">
        <v>7979</v>
      </c>
      <c r="B2557" t="s">
        <v>219</v>
      </c>
      <c r="D2557" t="s">
        <v>3252</v>
      </c>
      <c r="E2557">
        <v>99999999</v>
      </c>
      <c r="F2557">
        <v>11111111</v>
      </c>
      <c r="G2557">
        <v>1111111111</v>
      </c>
      <c r="H2557" t="s">
        <v>6126</v>
      </c>
      <c r="I2557">
        <v>99999999</v>
      </c>
      <c r="J2557" s="188">
        <v>45238</v>
      </c>
      <c r="K2557" t="s">
        <v>6126</v>
      </c>
      <c r="L2557" t="s">
        <v>6126</v>
      </c>
      <c r="M2557" t="s">
        <v>567</v>
      </c>
      <c r="N2557" t="s">
        <v>197</v>
      </c>
      <c r="O2557" t="s">
        <v>3293</v>
      </c>
      <c r="P2557" t="s">
        <v>221</v>
      </c>
      <c r="Q2557" t="s">
        <v>82</v>
      </c>
      <c r="R2557">
        <v>1</v>
      </c>
      <c r="S2557">
        <v>0.125</v>
      </c>
      <c r="T2557">
        <v>0</v>
      </c>
      <c r="U2557">
        <v>1</v>
      </c>
      <c r="V2557">
        <v>1</v>
      </c>
      <c r="W2557">
        <v>39.68</v>
      </c>
      <c r="X2557">
        <v>0</v>
      </c>
      <c r="Y2557">
        <v>0</v>
      </c>
      <c r="Z2557">
        <v>0</v>
      </c>
      <c r="AA2557">
        <v>0</v>
      </c>
      <c r="AB2557">
        <v>0</v>
      </c>
      <c r="AC2557">
        <v>0</v>
      </c>
      <c r="AD2557">
        <v>1</v>
      </c>
      <c r="AE2557">
        <v>0</v>
      </c>
      <c r="AF2557">
        <v>0</v>
      </c>
      <c r="AG2557">
        <v>0</v>
      </c>
      <c r="AH2557">
        <v>0</v>
      </c>
      <c r="AI2557">
        <v>0</v>
      </c>
      <c r="AJ2557">
        <v>0</v>
      </c>
      <c r="AK2557">
        <v>0</v>
      </c>
    </row>
    <row r="2558" spans="1:37" x14ac:dyDescent="0.3">
      <c r="A2558">
        <v>7979</v>
      </c>
      <c r="B2558" t="s">
        <v>219</v>
      </c>
      <c r="D2558" t="s">
        <v>3252</v>
      </c>
      <c r="E2558">
        <v>99999999</v>
      </c>
      <c r="F2558">
        <v>11111111</v>
      </c>
      <c r="G2558">
        <v>1111111111</v>
      </c>
      <c r="H2558" t="s">
        <v>6127</v>
      </c>
      <c r="I2558">
        <v>99999999</v>
      </c>
      <c r="J2558" s="188">
        <v>45238</v>
      </c>
      <c r="K2558" t="s">
        <v>6127</v>
      </c>
      <c r="L2558" t="s">
        <v>6127</v>
      </c>
      <c r="M2558" t="s">
        <v>3294</v>
      </c>
      <c r="N2558" t="s">
        <v>228</v>
      </c>
      <c r="O2558" t="s">
        <v>3295</v>
      </c>
      <c r="P2558" t="s">
        <v>221</v>
      </c>
      <c r="Q2558" t="s">
        <v>82</v>
      </c>
      <c r="R2558">
        <v>1</v>
      </c>
      <c r="S2558">
        <v>3</v>
      </c>
      <c r="T2558">
        <v>0</v>
      </c>
      <c r="U2558">
        <v>1</v>
      </c>
      <c r="V2558">
        <v>1</v>
      </c>
      <c r="W2558">
        <v>64.89</v>
      </c>
      <c r="X2558">
        <v>0</v>
      </c>
      <c r="Y2558">
        <v>0</v>
      </c>
      <c r="Z2558">
        <v>0</v>
      </c>
      <c r="AA2558">
        <v>0</v>
      </c>
      <c r="AB2558">
        <v>0</v>
      </c>
      <c r="AC2558">
        <v>0</v>
      </c>
      <c r="AD2558">
        <v>1</v>
      </c>
      <c r="AE2558">
        <v>0</v>
      </c>
      <c r="AF2558">
        <v>0</v>
      </c>
      <c r="AG2558">
        <v>0</v>
      </c>
      <c r="AH2558">
        <v>0</v>
      </c>
      <c r="AI2558">
        <v>0</v>
      </c>
      <c r="AJ2558">
        <v>0</v>
      </c>
      <c r="AK2558">
        <v>0</v>
      </c>
    </row>
    <row r="2559" spans="1:37" x14ac:dyDescent="0.3">
      <c r="A2559">
        <v>7979</v>
      </c>
      <c r="B2559" t="s">
        <v>219</v>
      </c>
      <c r="D2559" t="s">
        <v>3252</v>
      </c>
      <c r="E2559">
        <v>99999999</v>
      </c>
      <c r="F2559">
        <v>11111111</v>
      </c>
      <c r="G2559">
        <v>1111111111</v>
      </c>
      <c r="H2559" t="s">
        <v>6128</v>
      </c>
      <c r="I2559">
        <v>99999999</v>
      </c>
      <c r="J2559" s="188">
        <v>45238</v>
      </c>
      <c r="K2559" t="s">
        <v>6128</v>
      </c>
      <c r="L2559" t="s">
        <v>6128</v>
      </c>
      <c r="M2559" t="s">
        <v>3296</v>
      </c>
      <c r="N2559" t="s">
        <v>1135</v>
      </c>
      <c r="O2559">
        <v>25443</v>
      </c>
      <c r="P2559" t="s">
        <v>221</v>
      </c>
      <c r="Q2559" t="s">
        <v>82</v>
      </c>
      <c r="R2559">
        <v>1</v>
      </c>
      <c r="S2559">
        <v>0.55000000000000004</v>
      </c>
      <c r="T2559">
        <v>0</v>
      </c>
      <c r="U2559">
        <v>1</v>
      </c>
      <c r="V2559">
        <v>1</v>
      </c>
      <c r="W2559">
        <v>59.31</v>
      </c>
      <c r="X2559">
        <v>0</v>
      </c>
      <c r="Y2559">
        <v>0</v>
      </c>
      <c r="Z2559">
        <v>0</v>
      </c>
      <c r="AA2559">
        <v>0</v>
      </c>
      <c r="AB2559">
        <v>0</v>
      </c>
      <c r="AC2559">
        <v>0</v>
      </c>
      <c r="AD2559">
        <v>1</v>
      </c>
      <c r="AE2559">
        <v>0</v>
      </c>
      <c r="AF2559">
        <v>0</v>
      </c>
      <c r="AG2559">
        <v>0</v>
      </c>
      <c r="AH2559">
        <v>0</v>
      </c>
      <c r="AI2559">
        <v>0</v>
      </c>
      <c r="AJ2559">
        <v>0</v>
      </c>
      <c r="AK2559">
        <v>0</v>
      </c>
    </row>
    <row r="2560" spans="1:37" x14ac:dyDescent="0.3">
      <c r="A2560">
        <v>7134</v>
      </c>
      <c r="B2560" t="s">
        <v>28</v>
      </c>
      <c r="C2560">
        <v>699</v>
      </c>
      <c r="D2560" t="s">
        <v>251</v>
      </c>
      <c r="E2560">
        <v>99999999</v>
      </c>
      <c r="F2560">
        <v>11111111</v>
      </c>
      <c r="G2560">
        <v>1111111111</v>
      </c>
      <c r="H2560" t="s">
        <v>6129</v>
      </c>
      <c r="I2560">
        <v>99999999</v>
      </c>
      <c r="J2560" s="188">
        <v>45236</v>
      </c>
      <c r="K2560" t="s">
        <v>6129</v>
      </c>
      <c r="L2560" t="s">
        <v>6129</v>
      </c>
      <c r="M2560" t="s">
        <v>3297</v>
      </c>
      <c r="N2560" t="s">
        <v>811</v>
      </c>
      <c r="O2560">
        <v>20774</v>
      </c>
      <c r="Q2560" t="s">
        <v>124</v>
      </c>
      <c r="R2560">
        <v>2</v>
      </c>
      <c r="S2560">
        <v>1.61</v>
      </c>
      <c r="T2560">
        <v>0</v>
      </c>
      <c r="U2560">
        <v>1</v>
      </c>
      <c r="V2560">
        <v>2</v>
      </c>
      <c r="W2560">
        <v>0</v>
      </c>
      <c r="X2560">
        <v>0</v>
      </c>
      <c r="Y2560">
        <v>0</v>
      </c>
      <c r="Z2560">
        <v>0</v>
      </c>
      <c r="AA2560">
        <v>0</v>
      </c>
      <c r="AB2560">
        <v>0</v>
      </c>
      <c r="AC2560">
        <v>0</v>
      </c>
      <c r="AD2560">
        <v>2</v>
      </c>
      <c r="AE2560">
        <v>0</v>
      </c>
      <c r="AF2560">
        <v>0</v>
      </c>
      <c r="AG2560">
        <v>0</v>
      </c>
      <c r="AH2560">
        <v>0</v>
      </c>
      <c r="AI2560">
        <v>0</v>
      </c>
      <c r="AJ2560">
        <v>0</v>
      </c>
      <c r="AK2560">
        <v>0</v>
      </c>
    </row>
    <row r="2561" spans="1:37" x14ac:dyDescent="0.3">
      <c r="A2561">
        <v>7134</v>
      </c>
      <c r="B2561" t="s">
        <v>28</v>
      </c>
      <c r="C2561">
        <v>699</v>
      </c>
      <c r="D2561" t="s">
        <v>251</v>
      </c>
      <c r="E2561">
        <v>99999999</v>
      </c>
      <c r="F2561">
        <v>11111111</v>
      </c>
      <c r="G2561">
        <v>1111111111</v>
      </c>
      <c r="H2561" t="s">
        <v>6130</v>
      </c>
      <c r="I2561">
        <v>99999999</v>
      </c>
      <c r="J2561" s="188">
        <v>45236</v>
      </c>
      <c r="K2561" t="s">
        <v>6130</v>
      </c>
      <c r="L2561" t="s">
        <v>6130</v>
      </c>
      <c r="M2561" t="s">
        <v>3297</v>
      </c>
      <c r="N2561" t="s">
        <v>811</v>
      </c>
      <c r="O2561">
        <v>20774</v>
      </c>
      <c r="Q2561" t="s">
        <v>124</v>
      </c>
      <c r="R2561">
        <v>1</v>
      </c>
      <c r="S2561">
        <v>0.83</v>
      </c>
      <c r="T2561">
        <v>0</v>
      </c>
      <c r="U2561">
        <v>1</v>
      </c>
      <c r="V2561">
        <v>1</v>
      </c>
      <c r="W2561">
        <v>0</v>
      </c>
      <c r="X2561">
        <v>0</v>
      </c>
      <c r="Y2561">
        <v>0</v>
      </c>
      <c r="Z2561">
        <v>0</v>
      </c>
      <c r="AA2561">
        <v>0</v>
      </c>
      <c r="AB2561">
        <v>0</v>
      </c>
      <c r="AC2561">
        <v>0</v>
      </c>
      <c r="AD2561">
        <v>1</v>
      </c>
      <c r="AE2561">
        <v>0</v>
      </c>
      <c r="AF2561">
        <v>0</v>
      </c>
      <c r="AG2561">
        <v>0</v>
      </c>
      <c r="AH2561">
        <v>0</v>
      </c>
      <c r="AI2561">
        <v>0</v>
      </c>
      <c r="AJ2561">
        <v>0</v>
      </c>
      <c r="AK2561">
        <v>0</v>
      </c>
    </row>
    <row r="2562" spans="1:37" x14ac:dyDescent="0.3">
      <c r="A2562">
        <v>7134</v>
      </c>
      <c r="B2562" t="s">
        <v>28</v>
      </c>
      <c r="C2562">
        <v>499</v>
      </c>
      <c r="D2562" t="s">
        <v>251</v>
      </c>
      <c r="E2562">
        <v>99999999</v>
      </c>
      <c r="F2562">
        <v>11111111</v>
      </c>
      <c r="G2562">
        <v>1111111111</v>
      </c>
      <c r="H2562" t="s">
        <v>6131</v>
      </c>
      <c r="I2562">
        <v>99999999</v>
      </c>
      <c r="J2562" s="188">
        <v>45236</v>
      </c>
      <c r="K2562" t="s">
        <v>6131</v>
      </c>
      <c r="L2562" t="s">
        <v>6131</v>
      </c>
      <c r="M2562" t="s">
        <v>1349</v>
      </c>
      <c r="N2562" t="s">
        <v>99</v>
      </c>
      <c r="O2562">
        <v>94560</v>
      </c>
      <c r="Q2562" t="s">
        <v>124</v>
      </c>
      <c r="R2562">
        <v>1</v>
      </c>
      <c r="S2562">
        <v>0.83</v>
      </c>
      <c r="T2562">
        <v>0</v>
      </c>
      <c r="U2562">
        <v>1</v>
      </c>
      <c r="V2562">
        <v>1</v>
      </c>
      <c r="W2562">
        <v>0</v>
      </c>
      <c r="X2562">
        <v>0</v>
      </c>
      <c r="Y2562">
        <v>0</v>
      </c>
      <c r="Z2562">
        <v>0</v>
      </c>
      <c r="AA2562">
        <v>0</v>
      </c>
      <c r="AB2562">
        <v>0</v>
      </c>
      <c r="AC2562">
        <v>0</v>
      </c>
      <c r="AD2562">
        <v>1</v>
      </c>
      <c r="AE2562">
        <v>0</v>
      </c>
      <c r="AF2562">
        <v>0</v>
      </c>
      <c r="AG2562">
        <v>0</v>
      </c>
      <c r="AH2562">
        <v>0</v>
      </c>
      <c r="AI2562">
        <v>0</v>
      </c>
      <c r="AJ2562">
        <v>0</v>
      </c>
      <c r="AK2562">
        <v>0</v>
      </c>
    </row>
    <row r="2563" spans="1:37" x14ac:dyDescent="0.3">
      <c r="A2563">
        <v>7134</v>
      </c>
      <c r="B2563" t="s">
        <v>28</v>
      </c>
      <c r="C2563">
        <v>399</v>
      </c>
      <c r="D2563" t="s">
        <v>251</v>
      </c>
      <c r="E2563">
        <v>99999999</v>
      </c>
      <c r="F2563">
        <v>11111111</v>
      </c>
      <c r="G2563">
        <v>1111111111</v>
      </c>
      <c r="H2563" t="s">
        <v>6132</v>
      </c>
      <c r="I2563">
        <v>99999999</v>
      </c>
      <c r="J2563" s="188">
        <v>45236</v>
      </c>
      <c r="K2563" t="s">
        <v>6132</v>
      </c>
      <c r="L2563" t="s">
        <v>6132</v>
      </c>
      <c r="M2563" t="s">
        <v>3298</v>
      </c>
      <c r="N2563" t="s">
        <v>99</v>
      </c>
      <c r="O2563">
        <v>91761</v>
      </c>
      <c r="Q2563" t="s">
        <v>124</v>
      </c>
      <c r="R2563">
        <v>2</v>
      </c>
      <c r="S2563">
        <v>1.56</v>
      </c>
      <c r="T2563">
        <v>0</v>
      </c>
      <c r="U2563">
        <v>1</v>
      </c>
      <c r="V2563">
        <v>1</v>
      </c>
      <c r="W2563">
        <v>0</v>
      </c>
      <c r="X2563">
        <v>0</v>
      </c>
      <c r="Y2563">
        <v>0</v>
      </c>
      <c r="Z2563">
        <v>0</v>
      </c>
      <c r="AA2563">
        <v>0</v>
      </c>
      <c r="AB2563">
        <v>0</v>
      </c>
      <c r="AC2563">
        <v>0</v>
      </c>
      <c r="AD2563">
        <v>2</v>
      </c>
      <c r="AE2563">
        <v>0</v>
      </c>
      <c r="AF2563">
        <v>0</v>
      </c>
      <c r="AG2563">
        <v>0</v>
      </c>
      <c r="AH2563">
        <v>0</v>
      </c>
      <c r="AI2563">
        <v>0</v>
      </c>
      <c r="AJ2563">
        <v>0</v>
      </c>
      <c r="AK2563">
        <v>0</v>
      </c>
    </row>
    <row r="2564" spans="1:37" x14ac:dyDescent="0.3">
      <c r="A2564">
        <v>7134</v>
      </c>
      <c r="B2564" t="s">
        <v>28</v>
      </c>
      <c r="C2564">
        <v>699</v>
      </c>
      <c r="D2564" t="s">
        <v>251</v>
      </c>
      <c r="E2564">
        <v>99999999</v>
      </c>
      <c r="F2564">
        <v>11111111</v>
      </c>
      <c r="G2564">
        <v>1111111111</v>
      </c>
      <c r="H2564" t="s">
        <v>6133</v>
      </c>
      <c r="I2564">
        <v>99999999</v>
      </c>
      <c r="J2564" s="188">
        <v>45236</v>
      </c>
      <c r="K2564" t="s">
        <v>6133</v>
      </c>
      <c r="L2564" t="s">
        <v>6133</v>
      </c>
      <c r="M2564" t="s">
        <v>3297</v>
      </c>
      <c r="N2564" t="s">
        <v>811</v>
      </c>
      <c r="O2564">
        <v>20774</v>
      </c>
      <c r="Q2564" t="s">
        <v>124</v>
      </c>
      <c r="R2564">
        <v>1</v>
      </c>
      <c r="S2564">
        <v>0.78</v>
      </c>
      <c r="T2564">
        <v>0</v>
      </c>
      <c r="U2564">
        <v>1</v>
      </c>
      <c r="V2564">
        <v>1</v>
      </c>
      <c r="W2564">
        <v>0</v>
      </c>
      <c r="X2564">
        <v>0</v>
      </c>
      <c r="Y2564">
        <v>0</v>
      </c>
      <c r="Z2564">
        <v>0</v>
      </c>
      <c r="AA2564">
        <v>0</v>
      </c>
      <c r="AB2564">
        <v>0</v>
      </c>
      <c r="AC2564">
        <v>0</v>
      </c>
      <c r="AD2564">
        <v>1</v>
      </c>
      <c r="AE2564">
        <v>0</v>
      </c>
      <c r="AF2564">
        <v>0</v>
      </c>
      <c r="AG2564">
        <v>0</v>
      </c>
      <c r="AH2564">
        <v>0</v>
      </c>
      <c r="AI2564">
        <v>0</v>
      </c>
      <c r="AJ2564">
        <v>0</v>
      </c>
      <c r="AK2564">
        <v>0</v>
      </c>
    </row>
    <row r="2565" spans="1:37" x14ac:dyDescent="0.3">
      <c r="A2565">
        <v>7134</v>
      </c>
      <c r="B2565" t="s">
        <v>28</v>
      </c>
      <c r="C2565">
        <v>399</v>
      </c>
      <c r="D2565" t="s">
        <v>251</v>
      </c>
      <c r="E2565">
        <v>99999999</v>
      </c>
      <c r="F2565">
        <v>11111111</v>
      </c>
      <c r="G2565">
        <v>1111111111</v>
      </c>
      <c r="H2565" t="s">
        <v>6134</v>
      </c>
      <c r="I2565">
        <v>99999999</v>
      </c>
      <c r="J2565" s="188">
        <v>45236</v>
      </c>
      <c r="K2565" t="s">
        <v>6134</v>
      </c>
      <c r="L2565" t="s">
        <v>6134</v>
      </c>
      <c r="M2565" t="s">
        <v>3298</v>
      </c>
      <c r="N2565" t="s">
        <v>99</v>
      </c>
      <c r="O2565">
        <v>91761</v>
      </c>
      <c r="Q2565" t="s">
        <v>124</v>
      </c>
      <c r="R2565">
        <v>2</v>
      </c>
      <c r="S2565">
        <v>1.61</v>
      </c>
      <c r="T2565">
        <v>0</v>
      </c>
      <c r="U2565">
        <v>1</v>
      </c>
      <c r="V2565">
        <v>2</v>
      </c>
      <c r="W2565">
        <v>0</v>
      </c>
      <c r="X2565">
        <v>0</v>
      </c>
      <c r="Y2565">
        <v>0</v>
      </c>
      <c r="Z2565">
        <v>0</v>
      </c>
      <c r="AA2565">
        <v>0</v>
      </c>
      <c r="AB2565">
        <v>0</v>
      </c>
      <c r="AC2565">
        <v>0</v>
      </c>
      <c r="AD2565">
        <v>2</v>
      </c>
      <c r="AE2565">
        <v>0</v>
      </c>
      <c r="AF2565">
        <v>0</v>
      </c>
      <c r="AG2565">
        <v>0</v>
      </c>
      <c r="AH2565">
        <v>0</v>
      </c>
      <c r="AI2565">
        <v>0</v>
      </c>
      <c r="AJ2565">
        <v>0</v>
      </c>
      <c r="AK2565">
        <v>0</v>
      </c>
    </row>
    <row r="2566" spans="1:37" x14ac:dyDescent="0.3">
      <c r="A2566">
        <v>7134</v>
      </c>
      <c r="B2566" t="s">
        <v>28</v>
      </c>
      <c r="C2566">
        <v>399</v>
      </c>
      <c r="D2566" t="s">
        <v>251</v>
      </c>
      <c r="E2566">
        <v>99999999</v>
      </c>
      <c r="F2566">
        <v>11111111</v>
      </c>
      <c r="G2566">
        <v>1111111111</v>
      </c>
      <c r="H2566" t="s">
        <v>6135</v>
      </c>
      <c r="I2566">
        <v>99999999</v>
      </c>
      <c r="J2566" s="188">
        <v>45236</v>
      </c>
      <c r="K2566" t="s">
        <v>6135</v>
      </c>
      <c r="L2566" t="s">
        <v>6135</v>
      </c>
      <c r="M2566" t="s">
        <v>3298</v>
      </c>
      <c r="N2566" t="s">
        <v>99</v>
      </c>
      <c r="O2566">
        <v>91761</v>
      </c>
      <c r="Q2566" t="s">
        <v>124</v>
      </c>
      <c r="R2566">
        <v>1</v>
      </c>
      <c r="S2566">
        <v>0.83</v>
      </c>
      <c r="T2566">
        <v>0</v>
      </c>
      <c r="U2566">
        <v>1</v>
      </c>
      <c r="V2566">
        <v>1</v>
      </c>
      <c r="W2566">
        <v>0</v>
      </c>
      <c r="X2566">
        <v>0</v>
      </c>
      <c r="Y2566">
        <v>0</v>
      </c>
      <c r="Z2566">
        <v>0</v>
      </c>
      <c r="AA2566">
        <v>0</v>
      </c>
      <c r="AB2566">
        <v>0</v>
      </c>
      <c r="AC2566">
        <v>0</v>
      </c>
      <c r="AD2566">
        <v>1</v>
      </c>
      <c r="AE2566">
        <v>0</v>
      </c>
      <c r="AF2566">
        <v>0</v>
      </c>
      <c r="AG2566">
        <v>0</v>
      </c>
      <c r="AH2566">
        <v>0</v>
      </c>
      <c r="AI2566">
        <v>0</v>
      </c>
      <c r="AJ2566">
        <v>0</v>
      </c>
      <c r="AK2566">
        <v>0</v>
      </c>
    </row>
    <row r="2567" spans="1:37" x14ac:dyDescent="0.3">
      <c r="A2567">
        <v>7134</v>
      </c>
      <c r="B2567" t="s">
        <v>28</v>
      </c>
      <c r="C2567">
        <v>699</v>
      </c>
      <c r="D2567" t="s">
        <v>251</v>
      </c>
      <c r="E2567">
        <v>99999999</v>
      </c>
      <c r="F2567">
        <v>11111111</v>
      </c>
      <c r="G2567">
        <v>1111111111</v>
      </c>
      <c r="H2567" t="s">
        <v>6136</v>
      </c>
      <c r="I2567">
        <v>99999999</v>
      </c>
      <c r="J2567" s="188">
        <v>45236</v>
      </c>
      <c r="K2567" t="s">
        <v>6136</v>
      </c>
      <c r="L2567" t="s">
        <v>6136</v>
      </c>
      <c r="M2567" t="s">
        <v>3297</v>
      </c>
      <c r="N2567" t="s">
        <v>811</v>
      </c>
      <c r="O2567">
        <v>20774</v>
      </c>
      <c r="Q2567" t="s">
        <v>124</v>
      </c>
      <c r="R2567">
        <v>3</v>
      </c>
      <c r="S2567">
        <v>2.39</v>
      </c>
      <c r="T2567">
        <v>0</v>
      </c>
      <c r="U2567">
        <v>1</v>
      </c>
      <c r="V2567">
        <v>2</v>
      </c>
      <c r="W2567">
        <v>0</v>
      </c>
      <c r="X2567">
        <v>0</v>
      </c>
      <c r="Y2567">
        <v>0</v>
      </c>
      <c r="Z2567">
        <v>0</v>
      </c>
      <c r="AA2567">
        <v>0</v>
      </c>
      <c r="AB2567">
        <v>0</v>
      </c>
      <c r="AC2567">
        <v>0</v>
      </c>
      <c r="AD2567">
        <v>3</v>
      </c>
      <c r="AE2567">
        <v>0</v>
      </c>
      <c r="AF2567">
        <v>0</v>
      </c>
      <c r="AG2567">
        <v>0</v>
      </c>
      <c r="AH2567">
        <v>0</v>
      </c>
      <c r="AI2567">
        <v>0</v>
      </c>
      <c r="AJ2567">
        <v>0</v>
      </c>
      <c r="AK2567">
        <v>0</v>
      </c>
    </row>
    <row r="2568" spans="1:37" x14ac:dyDescent="0.3">
      <c r="A2568">
        <v>7134</v>
      </c>
      <c r="B2568" t="s">
        <v>28</v>
      </c>
      <c r="C2568">
        <v>299</v>
      </c>
      <c r="D2568" t="s">
        <v>251</v>
      </c>
      <c r="E2568">
        <v>99999999</v>
      </c>
      <c r="F2568">
        <v>11111111</v>
      </c>
      <c r="G2568">
        <v>1111111111</v>
      </c>
      <c r="H2568" t="s">
        <v>6137</v>
      </c>
      <c r="I2568">
        <v>99999999</v>
      </c>
      <c r="J2568" s="188">
        <v>45236</v>
      </c>
      <c r="K2568" t="s">
        <v>6137</v>
      </c>
      <c r="L2568" t="s">
        <v>6137</v>
      </c>
      <c r="M2568" t="s">
        <v>3299</v>
      </c>
      <c r="N2568" t="s">
        <v>950</v>
      </c>
      <c r="O2568">
        <v>52002</v>
      </c>
      <c r="Q2568" t="s">
        <v>124</v>
      </c>
      <c r="R2568">
        <v>2</v>
      </c>
      <c r="S2568">
        <v>1.61</v>
      </c>
      <c r="T2568">
        <v>0</v>
      </c>
      <c r="U2568">
        <v>1</v>
      </c>
      <c r="V2568">
        <v>2</v>
      </c>
      <c r="W2568">
        <v>0</v>
      </c>
      <c r="X2568">
        <v>0</v>
      </c>
      <c r="Y2568">
        <v>0</v>
      </c>
      <c r="Z2568">
        <v>0</v>
      </c>
      <c r="AA2568">
        <v>0</v>
      </c>
      <c r="AB2568">
        <v>0</v>
      </c>
      <c r="AC2568">
        <v>0</v>
      </c>
      <c r="AD2568">
        <v>2</v>
      </c>
      <c r="AE2568">
        <v>0</v>
      </c>
      <c r="AF2568">
        <v>0</v>
      </c>
      <c r="AG2568">
        <v>0</v>
      </c>
      <c r="AH2568">
        <v>0</v>
      </c>
      <c r="AI2568">
        <v>0</v>
      </c>
      <c r="AJ2568">
        <v>0</v>
      </c>
      <c r="AK2568">
        <v>0</v>
      </c>
    </row>
    <row r="2569" spans="1:37" x14ac:dyDescent="0.3">
      <c r="A2569">
        <v>7134</v>
      </c>
      <c r="B2569" t="s">
        <v>28</v>
      </c>
      <c r="C2569">
        <v>399</v>
      </c>
      <c r="D2569" t="s">
        <v>251</v>
      </c>
      <c r="E2569">
        <v>99999999</v>
      </c>
      <c r="F2569">
        <v>11111111</v>
      </c>
      <c r="G2569">
        <v>1111111111</v>
      </c>
      <c r="H2569" t="s">
        <v>6138</v>
      </c>
      <c r="I2569">
        <v>99999999</v>
      </c>
      <c r="J2569" s="188">
        <v>45236</v>
      </c>
      <c r="K2569" t="s">
        <v>6138</v>
      </c>
      <c r="L2569" t="s">
        <v>6138</v>
      </c>
      <c r="M2569" t="s">
        <v>3298</v>
      </c>
      <c r="N2569" t="s">
        <v>99</v>
      </c>
      <c r="O2569">
        <v>91761</v>
      </c>
      <c r="Q2569" t="s">
        <v>124</v>
      </c>
      <c r="R2569">
        <v>8</v>
      </c>
      <c r="S2569">
        <v>7.96</v>
      </c>
      <c r="T2569">
        <v>0</v>
      </c>
      <c r="U2569">
        <v>1</v>
      </c>
      <c r="V2569">
        <v>4</v>
      </c>
      <c r="W2569">
        <v>0</v>
      </c>
      <c r="X2569">
        <v>0</v>
      </c>
      <c r="Y2569">
        <v>0</v>
      </c>
      <c r="Z2569">
        <v>0</v>
      </c>
      <c r="AA2569">
        <v>0</v>
      </c>
      <c r="AB2569">
        <v>0</v>
      </c>
      <c r="AC2569">
        <v>0</v>
      </c>
      <c r="AD2569">
        <v>8</v>
      </c>
      <c r="AE2569">
        <v>0</v>
      </c>
      <c r="AF2569">
        <v>0</v>
      </c>
      <c r="AG2569">
        <v>0</v>
      </c>
      <c r="AH2569">
        <v>0</v>
      </c>
      <c r="AI2569">
        <v>0</v>
      </c>
      <c r="AJ2569">
        <v>0</v>
      </c>
      <c r="AK2569">
        <v>0</v>
      </c>
    </row>
    <row r="2570" spans="1:37" x14ac:dyDescent="0.3">
      <c r="A2570">
        <v>7134</v>
      </c>
      <c r="B2570" t="s">
        <v>28</v>
      </c>
      <c r="C2570">
        <v>399</v>
      </c>
      <c r="D2570" t="s">
        <v>251</v>
      </c>
      <c r="E2570">
        <v>99999999</v>
      </c>
      <c r="F2570">
        <v>11111111</v>
      </c>
      <c r="G2570">
        <v>1111111111</v>
      </c>
      <c r="H2570" t="s">
        <v>6139</v>
      </c>
      <c r="I2570">
        <v>99999999</v>
      </c>
      <c r="J2570" s="188">
        <v>45236</v>
      </c>
      <c r="K2570" t="s">
        <v>6139</v>
      </c>
      <c r="L2570" t="s">
        <v>6139</v>
      </c>
      <c r="M2570" t="s">
        <v>3298</v>
      </c>
      <c r="N2570" t="s">
        <v>99</v>
      </c>
      <c r="O2570">
        <v>91761</v>
      </c>
      <c r="Q2570" t="s">
        <v>124</v>
      </c>
      <c r="R2570">
        <v>5</v>
      </c>
      <c r="S2570">
        <v>4.76</v>
      </c>
      <c r="T2570">
        <v>0</v>
      </c>
      <c r="U2570">
        <v>1</v>
      </c>
      <c r="V2570">
        <v>4</v>
      </c>
      <c r="W2570">
        <v>0</v>
      </c>
      <c r="X2570">
        <v>0</v>
      </c>
      <c r="Y2570">
        <v>0</v>
      </c>
      <c r="Z2570">
        <v>0</v>
      </c>
      <c r="AA2570">
        <v>0</v>
      </c>
      <c r="AB2570">
        <v>0</v>
      </c>
      <c r="AC2570">
        <v>0</v>
      </c>
      <c r="AD2570">
        <v>5</v>
      </c>
      <c r="AE2570">
        <v>0</v>
      </c>
      <c r="AF2570">
        <v>0</v>
      </c>
      <c r="AG2570">
        <v>0</v>
      </c>
      <c r="AH2570">
        <v>0</v>
      </c>
      <c r="AI2570">
        <v>0</v>
      </c>
      <c r="AJ2570">
        <v>0</v>
      </c>
      <c r="AK2570">
        <v>0</v>
      </c>
    </row>
    <row r="2571" spans="1:37" x14ac:dyDescent="0.3">
      <c r="A2571">
        <v>7134</v>
      </c>
      <c r="B2571" t="s">
        <v>28</v>
      </c>
      <c r="C2571">
        <v>699</v>
      </c>
      <c r="D2571" t="s">
        <v>251</v>
      </c>
      <c r="E2571">
        <v>99999999</v>
      </c>
      <c r="F2571">
        <v>11111111</v>
      </c>
      <c r="G2571">
        <v>1111111111</v>
      </c>
      <c r="H2571" t="s">
        <v>6140</v>
      </c>
      <c r="I2571">
        <v>99999999</v>
      </c>
      <c r="J2571" s="188">
        <v>45236</v>
      </c>
      <c r="K2571" t="s">
        <v>6140</v>
      </c>
      <c r="L2571" t="s">
        <v>6140</v>
      </c>
      <c r="M2571" t="s">
        <v>3297</v>
      </c>
      <c r="N2571" t="s">
        <v>811</v>
      </c>
      <c r="O2571">
        <v>20774</v>
      </c>
      <c r="Q2571" t="s">
        <v>124</v>
      </c>
      <c r="R2571">
        <v>1</v>
      </c>
      <c r="S2571">
        <v>1.18</v>
      </c>
      <c r="T2571">
        <v>0</v>
      </c>
      <c r="U2571">
        <v>1</v>
      </c>
      <c r="V2571">
        <v>1</v>
      </c>
      <c r="W2571">
        <v>0</v>
      </c>
      <c r="X2571">
        <v>0</v>
      </c>
      <c r="Y2571">
        <v>0</v>
      </c>
      <c r="Z2571">
        <v>0</v>
      </c>
      <c r="AA2571">
        <v>0</v>
      </c>
      <c r="AB2571">
        <v>0</v>
      </c>
      <c r="AC2571">
        <v>0</v>
      </c>
      <c r="AD2571">
        <v>1</v>
      </c>
      <c r="AE2571">
        <v>0</v>
      </c>
      <c r="AF2571">
        <v>0</v>
      </c>
      <c r="AG2571">
        <v>0</v>
      </c>
      <c r="AH2571">
        <v>0</v>
      </c>
      <c r="AI2571">
        <v>0</v>
      </c>
      <c r="AJ2571">
        <v>0</v>
      </c>
      <c r="AK2571">
        <v>0</v>
      </c>
    </row>
    <row r="2572" spans="1:37" x14ac:dyDescent="0.3">
      <c r="A2572">
        <v>7134</v>
      </c>
      <c r="B2572" t="s">
        <v>28</v>
      </c>
      <c r="C2572">
        <v>399</v>
      </c>
      <c r="D2572" t="s">
        <v>251</v>
      </c>
      <c r="E2572">
        <v>99999999</v>
      </c>
      <c r="F2572">
        <v>11111111</v>
      </c>
      <c r="G2572">
        <v>1111111111</v>
      </c>
      <c r="H2572" t="s">
        <v>6141</v>
      </c>
      <c r="I2572">
        <v>99999999</v>
      </c>
      <c r="J2572" s="188">
        <v>45236</v>
      </c>
      <c r="K2572" t="s">
        <v>6141</v>
      </c>
      <c r="L2572" t="s">
        <v>6141</v>
      </c>
      <c r="M2572" t="s">
        <v>3298</v>
      </c>
      <c r="N2572" t="s">
        <v>99</v>
      </c>
      <c r="O2572">
        <v>91761</v>
      </c>
      <c r="Q2572" t="s">
        <v>124</v>
      </c>
      <c r="R2572">
        <v>3</v>
      </c>
      <c r="S2572">
        <v>3.19</v>
      </c>
      <c r="T2572">
        <v>0</v>
      </c>
      <c r="U2572">
        <v>1</v>
      </c>
      <c r="V2572">
        <v>2</v>
      </c>
      <c r="W2572">
        <v>0</v>
      </c>
      <c r="X2572">
        <v>0</v>
      </c>
      <c r="Y2572">
        <v>0</v>
      </c>
      <c r="Z2572">
        <v>0</v>
      </c>
      <c r="AA2572">
        <v>0</v>
      </c>
      <c r="AB2572">
        <v>0</v>
      </c>
      <c r="AC2572">
        <v>0</v>
      </c>
      <c r="AD2572">
        <v>3</v>
      </c>
      <c r="AE2572">
        <v>0</v>
      </c>
      <c r="AF2572">
        <v>0</v>
      </c>
      <c r="AG2572">
        <v>0</v>
      </c>
      <c r="AH2572">
        <v>0</v>
      </c>
      <c r="AI2572">
        <v>0</v>
      </c>
      <c r="AJ2572">
        <v>0</v>
      </c>
      <c r="AK2572">
        <v>0</v>
      </c>
    </row>
    <row r="2573" spans="1:37" x14ac:dyDescent="0.3">
      <c r="A2573">
        <v>7134</v>
      </c>
      <c r="B2573" t="s">
        <v>28</v>
      </c>
      <c r="C2573">
        <v>399</v>
      </c>
      <c r="D2573" t="s">
        <v>251</v>
      </c>
      <c r="E2573">
        <v>99999999</v>
      </c>
      <c r="F2573">
        <v>11111111</v>
      </c>
      <c r="G2573">
        <v>1111111111</v>
      </c>
      <c r="H2573" t="s">
        <v>6142</v>
      </c>
      <c r="I2573">
        <v>99999999</v>
      </c>
      <c r="J2573" s="188">
        <v>45236</v>
      </c>
      <c r="K2573" t="s">
        <v>6142</v>
      </c>
      <c r="L2573" t="s">
        <v>6142</v>
      </c>
      <c r="M2573" t="s">
        <v>3298</v>
      </c>
      <c r="N2573" t="s">
        <v>99</v>
      </c>
      <c r="O2573">
        <v>91761</v>
      </c>
      <c r="Q2573" t="s">
        <v>124</v>
      </c>
      <c r="R2573">
        <v>1</v>
      </c>
      <c r="S2573">
        <v>1.19</v>
      </c>
      <c r="T2573">
        <v>0</v>
      </c>
      <c r="U2573">
        <v>1</v>
      </c>
      <c r="V2573">
        <v>1</v>
      </c>
      <c r="W2573">
        <v>0</v>
      </c>
      <c r="X2573">
        <v>0</v>
      </c>
      <c r="Y2573">
        <v>0</v>
      </c>
      <c r="Z2573">
        <v>0</v>
      </c>
      <c r="AA2573">
        <v>0</v>
      </c>
      <c r="AB2573">
        <v>0</v>
      </c>
      <c r="AC2573">
        <v>0</v>
      </c>
      <c r="AD2573">
        <v>1</v>
      </c>
      <c r="AE2573">
        <v>0</v>
      </c>
      <c r="AF2573">
        <v>0</v>
      </c>
      <c r="AG2573">
        <v>0</v>
      </c>
      <c r="AH2573">
        <v>0</v>
      </c>
      <c r="AI2573">
        <v>0</v>
      </c>
      <c r="AJ2573">
        <v>0</v>
      </c>
      <c r="AK2573">
        <v>0</v>
      </c>
    </row>
    <row r="2574" spans="1:37" x14ac:dyDescent="0.3">
      <c r="A2574">
        <v>7134</v>
      </c>
      <c r="B2574" t="s">
        <v>28</v>
      </c>
      <c r="C2574">
        <v>699</v>
      </c>
      <c r="D2574" t="s">
        <v>251</v>
      </c>
      <c r="E2574">
        <v>99999999</v>
      </c>
      <c r="F2574">
        <v>11111111</v>
      </c>
      <c r="G2574">
        <v>1111111111</v>
      </c>
      <c r="H2574" t="s">
        <v>6143</v>
      </c>
      <c r="I2574">
        <v>99999999</v>
      </c>
      <c r="J2574" s="188">
        <v>45236</v>
      </c>
      <c r="K2574" t="s">
        <v>6143</v>
      </c>
      <c r="L2574" t="s">
        <v>6143</v>
      </c>
      <c r="M2574" t="s">
        <v>3297</v>
      </c>
      <c r="N2574" t="s">
        <v>811</v>
      </c>
      <c r="O2574">
        <v>20774</v>
      </c>
      <c r="Q2574" t="s">
        <v>124</v>
      </c>
      <c r="R2574">
        <v>3</v>
      </c>
      <c r="S2574">
        <v>2.79</v>
      </c>
      <c r="T2574">
        <v>0</v>
      </c>
      <c r="U2574">
        <v>1</v>
      </c>
      <c r="V2574">
        <v>3</v>
      </c>
      <c r="W2574">
        <v>0</v>
      </c>
      <c r="X2574">
        <v>0</v>
      </c>
      <c r="Y2574">
        <v>0</v>
      </c>
      <c r="Z2574">
        <v>0</v>
      </c>
      <c r="AA2574">
        <v>0</v>
      </c>
      <c r="AB2574">
        <v>0</v>
      </c>
      <c r="AC2574">
        <v>0</v>
      </c>
      <c r="AD2574">
        <v>3</v>
      </c>
      <c r="AE2574">
        <v>0</v>
      </c>
      <c r="AF2574">
        <v>0</v>
      </c>
      <c r="AG2574">
        <v>0</v>
      </c>
      <c r="AH2574">
        <v>0</v>
      </c>
      <c r="AI2574">
        <v>0</v>
      </c>
      <c r="AJ2574">
        <v>0</v>
      </c>
      <c r="AK2574">
        <v>0</v>
      </c>
    </row>
    <row r="2575" spans="1:37" x14ac:dyDescent="0.3">
      <c r="A2575">
        <v>7134</v>
      </c>
      <c r="B2575" t="s">
        <v>28</v>
      </c>
      <c r="C2575">
        <v>499</v>
      </c>
      <c r="D2575" t="s">
        <v>251</v>
      </c>
      <c r="E2575">
        <v>99999999</v>
      </c>
      <c r="F2575">
        <v>11111111</v>
      </c>
      <c r="G2575">
        <v>1111111111</v>
      </c>
      <c r="H2575" t="s">
        <v>6144</v>
      </c>
      <c r="I2575">
        <v>99999999</v>
      </c>
      <c r="J2575" s="188">
        <v>45236</v>
      </c>
      <c r="K2575" t="s">
        <v>6144</v>
      </c>
      <c r="L2575" t="s">
        <v>6144</v>
      </c>
      <c r="M2575" t="s">
        <v>1349</v>
      </c>
      <c r="N2575" t="s">
        <v>99</v>
      </c>
      <c r="O2575">
        <v>94560</v>
      </c>
      <c r="Q2575" t="s">
        <v>124</v>
      </c>
      <c r="R2575">
        <v>2</v>
      </c>
      <c r="S2575">
        <v>2.0099999999999998</v>
      </c>
      <c r="T2575">
        <v>0</v>
      </c>
      <c r="U2575">
        <v>1</v>
      </c>
      <c r="V2575">
        <v>2</v>
      </c>
      <c r="W2575">
        <v>0</v>
      </c>
      <c r="X2575">
        <v>0</v>
      </c>
      <c r="Y2575">
        <v>0</v>
      </c>
      <c r="Z2575">
        <v>0</v>
      </c>
      <c r="AA2575">
        <v>0</v>
      </c>
      <c r="AB2575">
        <v>0</v>
      </c>
      <c r="AC2575">
        <v>0</v>
      </c>
      <c r="AD2575">
        <v>2</v>
      </c>
      <c r="AE2575">
        <v>0</v>
      </c>
      <c r="AF2575">
        <v>0</v>
      </c>
      <c r="AG2575">
        <v>0</v>
      </c>
      <c r="AH2575">
        <v>0</v>
      </c>
      <c r="AI2575">
        <v>0</v>
      </c>
      <c r="AJ2575">
        <v>0</v>
      </c>
      <c r="AK2575">
        <v>0</v>
      </c>
    </row>
    <row r="2576" spans="1:37" x14ac:dyDescent="0.3">
      <c r="A2576">
        <v>7134</v>
      </c>
      <c r="B2576" t="s">
        <v>28</v>
      </c>
      <c r="C2576">
        <v>399</v>
      </c>
      <c r="D2576" t="s">
        <v>251</v>
      </c>
      <c r="E2576">
        <v>99999999</v>
      </c>
      <c r="F2576">
        <v>11111111</v>
      </c>
      <c r="G2576">
        <v>1111111111</v>
      </c>
      <c r="H2576" t="s">
        <v>6145</v>
      </c>
      <c r="I2576">
        <v>99999999</v>
      </c>
      <c r="J2576" s="188">
        <v>45236</v>
      </c>
      <c r="K2576" t="s">
        <v>6145</v>
      </c>
      <c r="L2576" t="s">
        <v>6145</v>
      </c>
      <c r="M2576" t="s">
        <v>3298</v>
      </c>
      <c r="N2576" t="s">
        <v>99</v>
      </c>
      <c r="O2576">
        <v>91761</v>
      </c>
      <c r="Q2576" t="s">
        <v>124</v>
      </c>
      <c r="R2576">
        <v>2</v>
      </c>
      <c r="S2576">
        <v>1.97</v>
      </c>
      <c r="T2576">
        <v>0</v>
      </c>
      <c r="U2576">
        <v>1</v>
      </c>
      <c r="V2576">
        <v>2</v>
      </c>
      <c r="W2576">
        <v>0</v>
      </c>
      <c r="X2576">
        <v>0</v>
      </c>
      <c r="Y2576">
        <v>0</v>
      </c>
      <c r="Z2576">
        <v>0</v>
      </c>
      <c r="AA2576">
        <v>0</v>
      </c>
      <c r="AB2576">
        <v>0</v>
      </c>
      <c r="AC2576">
        <v>0</v>
      </c>
      <c r="AD2576">
        <v>2</v>
      </c>
      <c r="AE2576">
        <v>0</v>
      </c>
      <c r="AF2576">
        <v>0</v>
      </c>
      <c r="AG2576">
        <v>0</v>
      </c>
      <c r="AH2576">
        <v>0</v>
      </c>
      <c r="AI2576">
        <v>0</v>
      </c>
      <c r="AJ2576">
        <v>0</v>
      </c>
      <c r="AK2576">
        <v>0</v>
      </c>
    </row>
    <row r="2577" spans="1:37" x14ac:dyDescent="0.3">
      <c r="A2577">
        <v>7134</v>
      </c>
      <c r="B2577" t="s">
        <v>28</v>
      </c>
      <c r="C2577">
        <v>499</v>
      </c>
      <c r="D2577" t="s">
        <v>251</v>
      </c>
      <c r="E2577">
        <v>99999999</v>
      </c>
      <c r="F2577">
        <v>11111111</v>
      </c>
      <c r="G2577">
        <v>1111111111</v>
      </c>
      <c r="H2577" t="s">
        <v>6146</v>
      </c>
      <c r="I2577">
        <v>99999999</v>
      </c>
      <c r="J2577" s="188">
        <v>45236</v>
      </c>
      <c r="K2577" t="s">
        <v>6146</v>
      </c>
      <c r="L2577" t="s">
        <v>6146</v>
      </c>
      <c r="M2577" t="s">
        <v>1349</v>
      </c>
      <c r="N2577" t="s">
        <v>99</v>
      </c>
      <c r="O2577">
        <v>94560</v>
      </c>
      <c r="Q2577" t="s">
        <v>124</v>
      </c>
      <c r="R2577">
        <v>5</v>
      </c>
      <c r="S2577">
        <v>4.8</v>
      </c>
      <c r="T2577">
        <v>0</v>
      </c>
      <c r="U2577">
        <v>1</v>
      </c>
      <c r="V2577">
        <v>3</v>
      </c>
      <c r="W2577">
        <v>0</v>
      </c>
      <c r="X2577">
        <v>0</v>
      </c>
      <c r="Y2577">
        <v>0</v>
      </c>
      <c r="Z2577">
        <v>0</v>
      </c>
      <c r="AA2577">
        <v>0</v>
      </c>
      <c r="AB2577">
        <v>0</v>
      </c>
      <c r="AC2577">
        <v>0</v>
      </c>
      <c r="AD2577">
        <v>5</v>
      </c>
      <c r="AE2577">
        <v>0</v>
      </c>
      <c r="AF2577">
        <v>0</v>
      </c>
      <c r="AG2577">
        <v>0</v>
      </c>
      <c r="AH2577">
        <v>0</v>
      </c>
      <c r="AI2577">
        <v>0</v>
      </c>
      <c r="AJ2577">
        <v>0</v>
      </c>
      <c r="AK2577">
        <v>0</v>
      </c>
    </row>
    <row r="2578" spans="1:37" x14ac:dyDescent="0.3">
      <c r="A2578">
        <v>7134</v>
      </c>
      <c r="B2578" t="s">
        <v>28</v>
      </c>
      <c r="C2578">
        <v>399</v>
      </c>
      <c r="D2578" t="s">
        <v>251</v>
      </c>
      <c r="E2578">
        <v>99999999</v>
      </c>
      <c r="F2578">
        <v>11111111</v>
      </c>
      <c r="G2578">
        <v>1111111111</v>
      </c>
      <c r="H2578" t="s">
        <v>6147</v>
      </c>
      <c r="I2578">
        <v>99999999</v>
      </c>
      <c r="J2578" s="188">
        <v>45236</v>
      </c>
      <c r="K2578" t="s">
        <v>6147</v>
      </c>
      <c r="L2578" t="s">
        <v>6147</v>
      </c>
      <c r="M2578" t="s">
        <v>3298</v>
      </c>
      <c r="N2578" t="s">
        <v>99</v>
      </c>
      <c r="O2578">
        <v>91761</v>
      </c>
      <c r="Q2578" t="s">
        <v>124</v>
      </c>
      <c r="R2578">
        <v>4</v>
      </c>
      <c r="S2578">
        <v>3.93</v>
      </c>
      <c r="T2578">
        <v>0</v>
      </c>
      <c r="U2578">
        <v>1</v>
      </c>
      <c r="V2578">
        <v>3</v>
      </c>
      <c r="W2578">
        <v>0</v>
      </c>
      <c r="X2578">
        <v>0</v>
      </c>
      <c r="Y2578">
        <v>0</v>
      </c>
      <c r="Z2578">
        <v>0</v>
      </c>
      <c r="AA2578">
        <v>0</v>
      </c>
      <c r="AB2578">
        <v>0</v>
      </c>
      <c r="AC2578">
        <v>0</v>
      </c>
      <c r="AD2578">
        <v>4</v>
      </c>
      <c r="AE2578">
        <v>0</v>
      </c>
      <c r="AF2578">
        <v>0</v>
      </c>
      <c r="AG2578">
        <v>0</v>
      </c>
      <c r="AH2578">
        <v>0</v>
      </c>
      <c r="AI2578">
        <v>0</v>
      </c>
      <c r="AJ2578">
        <v>0</v>
      </c>
      <c r="AK2578">
        <v>0</v>
      </c>
    </row>
    <row r="2579" spans="1:37" x14ac:dyDescent="0.3">
      <c r="A2579">
        <v>7134</v>
      </c>
      <c r="B2579" t="s">
        <v>28</v>
      </c>
      <c r="C2579">
        <v>499</v>
      </c>
      <c r="D2579" t="s">
        <v>251</v>
      </c>
      <c r="E2579">
        <v>99999999</v>
      </c>
      <c r="F2579">
        <v>11111111</v>
      </c>
      <c r="G2579">
        <v>1111111111</v>
      </c>
      <c r="H2579" t="s">
        <v>6148</v>
      </c>
      <c r="I2579">
        <v>99999999</v>
      </c>
      <c r="J2579" s="188">
        <v>45236</v>
      </c>
      <c r="K2579" t="s">
        <v>6148</v>
      </c>
      <c r="L2579" t="s">
        <v>6148</v>
      </c>
      <c r="M2579" t="s">
        <v>1349</v>
      </c>
      <c r="N2579" t="s">
        <v>99</v>
      </c>
      <c r="O2579">
        <v>94560</v>
      </c>
      <c r="Q2579" t="s">
        <v>124</v>
      </c>
      <c r="R2579">
        <v>11</v>
      </c>
      <c r="S2579">
        <v>11.04</v>
      </c>
      <c r="T2579">
        <v>0</v>
      </c>
      <c r="U2579">
        <v>1</v>
      </c>
      <c r="V2579">
        <v>4</v>
      </c>
      <c r="W2579">
        <v>0</v>
      </c>
      <c r="X2579">
        <v>0</v>
      </c>
      <c r="Y2579">
        <v>0</v>
      </c>
      <c r="Z2579">
        <v>0</v>
      </c>
      <c r="AA2579">
        <v>0</v>
      </c>
      <c r="AB2579">
        <v>0</v>
      </c>
      <c r="AC2579">
        <v>0</v>
      </c>
      <c r="AD2579">
        <v>11</v>
      </c>
      <c r="AE2579">
        <v>0</v>
      </c>
      <c r="AF2579">
        <v>0</v>
      </c>
      <c r="AG2579">
        <v>0</v>
      </c>
      <c r="AH2579">
        <v>0</v>
      </c>
      <c r="AI2579">
        <v>0</v>
      </c>
      <c r="AJ2579">
        <v>0</v>
      </c>
      <c r="AK2579">
        <v>0</v>
      </c>
    </row>
    <row r="2580" spans="1:37" x14ac:dyDescent="0.3">
      <c r="A2580">
        <v>7134</v>
      </c>
      <c r="B2580" t="s">
        <v>28</v>
      </c>
      <c r="C2580">
        <v>399</v>
      </c>
      <c r="D2580" t="s">
        <v>251</v>
      </c>
      <c r="E2580">
        <v>99999999</v>
      </c>
      <c r="F2580">
        <v>11111111</v>
      </c>
      <c r="G2580">
        <v>1111111111</v>
      </c>
      <c r="H2580" t="s">
        <v>6149</v>
      </c>
      <c r="I2580">
        <v>99999999</v>
      </c>
      <c r="J2580" s="188">
        <v>45236</v>
      </c>
      <c r="K2580" t="s">
        <v>6149</v>
      </c>
      <c r="L2580" t="s">
        <v>6149</v>
      </c>
      <c r="M2580" t="s">
        <v>3298</v>
      </c>
      <c r="N2580" t="s">
        <v>99</v>
      </c>
      <c r="O2580">
        <v>91761</v>
      </c>
      <c r="Q2580" t="s">
        <v>124</v>
      </c>
      <c r="R2580">
        <v>1</v>
      </c>
      <c r="S2580">
        <v>1.19</v>
      </c>
      <c r="T2580">
        <v>0</v>
      </c>
      <c r="U2580">
        <v>1</v>
      </c>
      <c r="V2580">
        <v>1</v>
      </c>
      <c r="W2580">
        <v>0</v>
      </c>
      <c r="X2580">
        <v>0</v>
      </c>
      <c r="Y2580">
        <v>0</v>
      </c>
      <c r="Z2580">
        <v>0</v>
      </c>
      <c r="AA2580">
        <v>0</v>
      </c>
      <c r="AB2580">
        <v>0</v>
      </c>
      <c r="AC2580">
        <v>0</v>
      </c>
      <c r="AD2580">
        <v>1</v>
      </c>
      <c r="AE2580">
        <v>0</v>
      </c>
      <c r="AF2580">
        <v>0</v>
      </c>
      <c r="AG2580">
        <v>0</v>
      </c>
      <c r="AH2580">
        <v>0</v>
      </c>
      <c r="AI2580">
        <v>0</v>
      </c>
      <c r="AJ2580">
        <v>0</v>
      </c>
      <c r="AK2580">
        <v>0</v>
      </c>
    </row>
    <row r="2581" spans="1:37" x14ac:dyDescent="0.3">
      <c r="A2581">
        <v>7134</v>
      </c>
      <c r="B2581" t="s">
        <v>28</v>
      </c>
      <c r="C2581">
        <v>399</v>
      </c>
      <c r="D2581" t="s">
        <v>251</v>
      </c>
      <c r="E2581">
        <v>99999999</v>
      </c>
      <c r="F2581">
        <v>11111111</v>
      </c>
      <c r="G2581">
        <v>1111111111</v>
      </c>
      <c r="H2581" t="s">
        <v>6150</v>
      </c>
      <c r="I2581">
        <v>99999999</v>
      </c>
      <c r="J2581" s="188">
        <v>45236</v>
      </c>
      <c r="K2581" t="s">
        <v>6150</v>
      </c>
      <c r="L2581" t="s">
        <v>6150</v>
      </c>
      <c r="M2581" t="s">
        <v>3298</v>
      </c>
      <c r="N2581" t="s">
        <v>99</v>
      </c>
      <c r="O2581">
        <v>91761</v>
      </c>
      <c r="Q2581" t="s">
        <v>124</v>
      </c>
      <c r="R2581">
        <v>1</v>
      </c>
      <c r="S2581">
        <v>1.19</v>
      </c>
      <c r="T2581">
        <v>0</v>
      </c>
      <c r="U2581">
        <v>1</v>
      </c>
      <c r="V2581">
        <v>1</v>
      </c>
      <c r="W2581">
        <v>0</v>
      </c>
      <c r="X2581">
        <v>0</v>
      </c>
      <c r="Y2581">
        <v>0</v>
      </c>
      <c r="Z2581">
        <v>0</v>
      </c>
      <c r="AA2581">
        <v>0</v>
      </c>
      <c r="AB2581">
        <v>0</v>
      </c>
      <c r="AC2581">
        <v>0</v>
      </c>
      <c r="AD2581">
        <v>1</v>
      </c>
      <c r="AE2581">
        <v>0</v>
      </c>
      <c r="AF2581">
        <v>0</v>
      </c>
      <c r="AG2581">
        <v>0</v>
      </c>
      <c r="AH2581">
        <v>0</v>
      </c>
      <c r="AI2581">
        <v>0</v>
      </c>
      <c r="AJ2581">
        <v>0</v>
      </c>
      <c r="AK2581">
        <v>0</v>
      </c>
    </row>
    <row r="2582" spans="1:37" x14ac:dyDescent="0.3">
      <c r="A2582">
        <v>7134</v>
      </c>
      <c r="B2582" t="s">
        <v>28</v>
      </c>
      <c r="C2582">
        <v>799</v>
      </c>
      <c r="D2582" t="s">
        <v>251</v>
      </c>
      <c r="E2582">
        <v>99999999</v>
      </c>
      <c r="F2582">
        <v>11111111</v>
      </c>
      <c r="G2582">
        <v>1111111111</v>
      </c>
      <c r="H2582" t="s">
        <v>6151</v>
      </c>
      <c r="I2582">
        <v>99999999</v>
      </c>
      <c r="J2582" s="188">
        <v>45236</v>
      </c>
      <c r="K2582" t="s">
        <v>6151</v>
      </c>
      <c r="L2582" t="s">
        <v>6151</v>
      </c>
      <c r="M2582" t="s">
        <v>3300</v>
      </c>
      <c r="N2582" t="s">
        <v>141</v>
      </c>
      <c r="O2582">
        <v>32609</v>
      </c>
      <c r="Q2582" t="s">
        <v>124</v>
      </c>
      <c r="R2582">
        <v>4</v>
      </c>
      <c r="S2582">
        <v>3.98</v>
      </c>
      <c r="T2582">
        <v>0</v>
      </c>
      <c r="U2582">
        <v>1</v>
      </c>
      <c r="V2582">
        <v>4</v>
      </c>
      <c r="W2582">
        <v>0</v>
      </c>
      <c r="X2582">
        <v>0</v>
      </c>
      <c r="Y2582">
        <v>0</v>
      </c>
      <c r="Z2582">
        <v>0</v>
      </c>
      <c r="AA2582">
        <v>0</v>
      </c>
      <c r="AB2582">
        <v>0</v>
      </c>
      <c r="AC2582">
        <v>0</v>
      </c>
      <c r="AD2582">
        <v>4</v>
      </c>
      <c r="AE2582">
        <v>0</v>
      </c>
      <c r="AF2582">
        <v>0</v>
      </c>
      <c r="AG2582">
        <v>0</v>
      </c>
      <c r="AH2582">
        <v>0</v>
      </c>
      <c r="AI2582">
        <v>0</v>
      </c>
      <c r="AJ2582">
        <v>0</v>
      </c>
      <c r="AK2582">
        <v>0</v>
      </c>
    </row>
    <row r="2583" spans="1:37" x14ac:dyDescent="0.3">
      <c r="A2583">
        <v>7134</v>
      </c>
      <c r="B2583" t="s">
        <v>28</v>
      </c>
      <c r="C2583">
        <v>499</v>
      </c>
      <c r="D2583" t="s">
        <v>251</v>
      </c>
      <c r="E2583">
        <v>99999999</v>
      </c>
      <c r="F2583">
        <v>11111111</v>
      </c>
      <c r="G2583">
        <v>1111111111</v>
      </c>
      <c r="H2583" t="s">
        <v>6152</v>
      </c>
      <c r="I2583">
        <v>99999999</v>
      </c>
      <c r="J2583" s="188">
        <v>45236</v>
      </c>
      <c r="K2583" t="s">
        <v>6152</v>
      </c>
      <c r="L2583" t="s">
        <v>6152</v>
      </c>
      <c r="M2583" t="s">
        <v>1349</v>
      </c>
      <c r="N2583" t="s">
        <v>99</v>
      </c>
      <c r="O2583">
        <v>94560</v>
      </c>
      <c r="Q2583" t="s">
        <v>124</v>
      </c>
      <c r="R2583">
        <v>6</v>
      </c>
      <c r="S2583">
        <v>6.73</v>
      </c>
      <c r="T2583">
        <v>0</v>
      </c>
      <c r="U2583">
        <v>1</v>
      </c>
      <c r="V2583">
        <v>2</v>
      </c>
      <c r="W2583">
        <v>0</v>
      </c>
      <c r="X2583">
        <v>0</v>
      </c>
      <c r="Y2583">
        <v>0</v>
      </c>
      <c r="Z2583">
        <v>0</v>
      </c>
      <c r="AA2583">
        <v>0</v>
      </c>
      <c r="AB2583">
        <v>0</v>
      </c>
      <c r="AC2583">
        <v>0</v>
      </c>
      <c r="AD2583">
        <v>6</v>
      </c>
      <c r="AE2583">
        <v>0</v>
      </c>
      <c r="AF2583">
        <v>0</v>
      </c>
      <c r="AG2583">
        <v>0</v>
      </c>
      <c r="AH2583">
        <v>0</v>
      </c>
      <c r="AI2583">
        <v>0</v>
      </c>
      <c r="AJ2583">
        <v>0</v>
      </c>
      <c r="AK2583">
        <v>0</v>
      </c>
    </row>
    <row r="2584" spans="1:37" x14ac:dyDescent="0.3">
      <c r="A2584">
        <v>7134</v>
      </c>
      <c r="B2584" t="s">
        <v>28</v>
      </c>
      <c r="C2584">
        <v>499</v>
      </c>
      <c r="D2584" t="s">
        <v>251</v>
      </c>
      <c r="E2584">
        <v>99999999</v>
      </c>
      <c r="F2584">
        <v>11111111</v>
      </c>
      <c r="G2584">
        <v>1111111111</v>
      </c>
      <c r="H2584" t="s">
        <v>6153</v>
      </c>
      <c r="I2584">
        <v>99999999</v>
      </c>
      <c r="J2584" s="188">
        <v>45236</v>
      </c>
      <c r="K2584" t="s">
        <v>6153</v>
      </c>
      <c r="L2584" t="s">
        <v>6153</v>
      </c>
      <c r="M2584" t="s">
        <v>1349</v>
      </c>
      <c r="N2584" t="s">
        <v>99</v>
      </c>
      <c r="O2584">
        <v>94560</v>
      </c>
      <c r="Q2584" t="s">
        <v>124</v>
      </c>
      <c r="R2584">
        <v>3</v>
      </c>
      <c r="S2584">
        <v>3.14</v>
      </c>
      <c r="T2584">
        <v>0</v>
      </c>
      <c r="U2584">
        <v>1</v>
      </c>
      <c r="V2584">
        <v>2</v>
      </c>
      <c r="W2584">
        <v>0</v>
      </c>
      <c r="X2584">
        <v>0</v>
      </c>
      <c r="Y2584">
        <v>0</v>
      </c>
      <c r="Z2584">
        <v>0</v>
      </c>
      <c r="AA2584">
        <v>0</v>
      </c>
      <c r="AB2584">
        <v>0</v>
      </c>
      <c r="AC2584">
        <v>0</v>
      </c>
      <c r="AD2584">
        <v>3</v>
      </c>
      <c r="AE2584">
        <v>0</v>
      </c>
      <c r="AF2584">
        <v>0</v>
      </c>
      <c r="AG2584">
        <v>0</v>
      </c>
      <c r="AH2584">
        <v>0</v>
      </c>
      <c r="AI2584">
        <v>0</v>
      </c>
      <c r="AJ2584">
        <v>0</v>
      </c>
      <c r="AK2584">
        <v>0</v>
      </c>
    </row>
    <row r="2585" spans="1:37" x14ac:dyDescent="0.3">
      <c r="A2585">
        <v>7134</v>
      </c>
      <c r="B2585" t="s">
        <v>28</v>
      </c>
      <c r="C2585">
        <v>799</v>
      </c>
      <c r="D2585" t="s">
        <v>251</v>
      </c>
      <c r="E2585">
        <v>99999999</v>
      </c>
      <c r="F2585">
        <v>11111111</v>
      </c>
      <c r="G2585">
        <v>1111111111</v>
      </c>
      <c r="H2585" t="s">
        <v>6154</v>
      </c>
      <c r="I2585">
        <v>99999999</v>
      </c>
      <c r="J2585" s="188">
        <v>45236</v>
      </c>
      <c r="K2585" t="s">
        <v>6154</v>
      </c>
      <c r="L2585" t="s">
        <v>6154</v>
      </c>
      <c r="M2585" t="s">
        <v>3300</v>
      </c>
      <c r="N2585" t="s">
        <v>141</v>
      </c>
      <c r="O2585">
        <v>32609</v>
      </c>
      <c r="Q2585" t="s">
        <v>124</v>
      </c>
      <c r="R2585">
        <v>2</v>
      </c>
      <c r="S2585">
        <v>1.97</v>
      </c>
      <c r="T2585">
        <v>0</v>
      </c>
      <c r="U2585">
        <v>1</v>
      </c>
      <c r="V2585">
        <v>2</v>
      </c>
      <c r="W2585">
        <v>0</v>
      </c>
      <c r="X2585">
        <v>0</v>
      </c>
      <c r="Y2585">
        <v>0</v>
      </c>
      <c r="Z2585">
        <v>0</v>
      </c>
      <c r="AA2585">
        <v>0</v>
      </c>
      <c r="AB2585">
        <v>0</v>
      </c>
      <c r="AC2585">
        <v>0</v>
      </c>
      <c r="AD2585">
        <v>2</v>
      </c>
      <c r="AE2585">
        <v>0</v>
      </c>
      <c r="AF2585">
        <v>0</v>
      </c>
      <c r="AG2585">
        <v>0</v>
      </c>
      <c r="AH2585">
        <v>0</v>
      </c>
      <c r="AI2585">
        <v>0</v>
      </c>
      <c r="AJ2585">
        <v>0</v>
      </c>
      <c r="AK2585">
        <v>0</v>
      </c>
    </row>
    <row r="2586" spans="1:37" x14ac:dyDescent="0.3">
      <c r="A2586">
        <v>7134</v>
      </c>
      <c r="B2586" t="s">
        <v>28</v>
      </c>
      <c r="C2586">
        <v>799</v>
      </c>
      <c r="D2586" t="s">
        <v>251</v>
      </c>
      <c r="E2586">
        <v>99999999</v>
      </c>
      <c r="F2586">
        <v>11111111</v>
      </c>
      <c r="G2586">
        <v>1111111111</v>
      </c>
      <c r="H2586" t="s">
        <v>6155</v>
      </c>
      <c r="I2586">
        <v>99999999</v>
      </c>
      <c r="J2586" s="188">
        <v>45236</v>
      </c>
      <c r="K2586" t="s">
        <v>6155</v>
      </c>
      <c r="L2586" t="s">
        <v>6155</v>
      </c>
      <c r="M2586" t="s">
        <v>3300</v>
      </c>
      <c r="N2586" t="s">
        <v>141</v>
      </c>
      <c r="O2586">
        <v>32609</v>
      </c>
      <c r="Q2586" t="s">
        <v>124</v>
      </c>
      <c r="R2586">
        <v>4</v>
      </c>
      <c r="S2586">
        <v>3.62</v>
      </c>
      <c r="T2586">
        <v>0</v>
      </c>
      <c r="U2586">
        <v>1</v>
      </c>
      <c r="V2586">
        <v>3</v>
      </c>
      <c r="W2586">
        <v>0</v>
      </c>
      <c r="X2586">
        <v>0</v>
      </c>
      <c r="Y2586">
        <v>0</v>
      </c>
      <c r="Z2586">
        <v>0</v>
      </c>
      <c r="AA2586">
        <v>0</v>
      </c>
      <c r="AB2586">
        <v>0</v>
      </c>
      <c r="AC2586">
        <v>0</v>
      </c>
      <c r="AD2586">
        <v>4</v>
      </c>
      <c r="AE2586">
        <v>0</v>
      </c>
      <c r="AF2586">
        <v>0</v>
      </c>
      <c r="AG2586">
        <v>0</v>
      </c>
      <c r="AH2586">
        <v>0</v>
      </c>
      <c r="AI2586">
        <v>0</v>
      </c>
      <c r="AJ2586">
        <v>0</v>
      </c>
      <c r="AK2586">
        <v>0</v>
      </c>
    </row>
    <row r="2587" spans="1:37" x14ac:dyDescent="0.3">
      <c r="A2587">
        <v>7134</v>
      </c>
      <c r="B2587" t="s">
        <v>28</v>
      </c>
      <c r="C2587">
        <v>299</v>
      </c>
      <c r="D2587" t="s">
        <v>251</v>
      </c>
      <c r="E2587">
        <v>99999999</v>
      </c>
      <c r="F2587">
        <v>11111111</v>
      </c>
      <c r="G2587">
        <v>1111111111</v>
      </c>
      <c r="H2587" t="s">
        <v>6156</v>
      </c>
      <c r="I2587">
        <v>99999999</v>
      </c>
      <c r="J2587" s="188">
        <v>45236</v>
      </c>
      <c r="K2587" t="s">
        <v>6156</v>
      </c>
      <c r="L2587" t="s">
        <v>6156</v>
      </c>
      <c r="M2587" t="s">
        <v>3299</v>
      </c>
      <c r="N2587" t="s">
        <v>950</v>
      </c>
      <c r="O2587">
        <v>52002</v>
      </c>
      <c r="Q2587" t="s">
        <v>124</v>
      </c>
      <c r="R2587">
        <v>3</v>
      </c>
      <c r="S2587">
        <v>2.44</v>
      </c>
      <c r="T2587">
        <v>0</v>
      </c>
      <c r="U2587">
        <v>1</v>
      </c>
      <c r="V2587">
        <v>2</v>
      </c>
      <c r="W2587">
        <v>0</v>
      </c>
      <c r="X2587">
        <v>0</v>
      </c>
      <c r="Y2587">
        <v>0</v>
      </c>
      <c r="Z2587">
        <v>0</v>
      </c>
      <c r="AA2587">
        <v>0</v>
      </c>
      <c r="AB2587">
        <v>0</v>
      </c>
      <c r="AC2587">
        <v>0</v>
      </c>
      <c r="AD2587">
        <v>3</v>
      </c>
      <c r="AE2587">
        <v>0</v>
      </c>
      <c r="AF2587">
        <v>0</v>
      </c>
      <c r="AG2587">
        <v>0</v>
      </c>
      <c r="AH2587">
        <v>0</v>
      </c>
      <c r="AI2587">
        <v>0</v>
      </c>
      <c r="AJ2587">
        <v>0</v>
      </c>
      <c r="AK2587">
        <v>0</v>
      </c>
    </row>
    <row r="2588" spans="1:37" x14ac:dyDescent="0.3">
      <c r="A2588">
        <v>7134</v>
      </c>
      <c r="B2588" t="s">
        <v>28</v>
      </c>
      <c r="C2588">
        <v>299</v>
      </c>
      <c r="D2588" t="s">
        <v>251</v>
      </c>
      <c r="E2588">
        <v>99999999</v>
      </c>
      <c r="F2588">
        <v>11111111</v>
      </c>
      <c r="G2588">
        <v>1111111111</v>
      </c>
      <c r="H2588" t="s">
        <v>6157</v>
      </c>
      <c r="I2588">
        <v>99999999</v>
      </c>
      <c r="J2588" s="188">
        <v>45236</v>
      </c>
      <c r="K2588" t="s">
        <v>6157</v>
      </c>
      <c r="L2588" t="s">
        <v>6157</v>
      </c>
      <c r="M2588" t="s">
        <v>3299</v>
      </c>
      <c r="N2588" t="s">
        <v>950</v>
      </c>
      <c r="O2588">
        <v>52002</v>
      </c>
      <c r="Q2588" t="s">
        <v>124</v>
      </c>
      <c r="R2588">
        <v>3</v>
      </c>
      <c r="S2588">
        <v>2.39</v>
      </c>
      <c r="T2588">
        <v>0</v>
      </c>
      <c r="U2588">
        <v>1</v>
      </c>
      <c r="V2588">
        <v>2</v>
      </c>
      <c r="W2588">
        <v>0</v>
      </c>
      <c r="X2588">
        <v>0</v>
      </c>
      <c r="Y2588">
        <v>0</v>
      </c>
      <c r="Z2588">
        <v>0</v>
      </c>
      <c r="AA2588">
        <v>0</v>
      </c>
      <c r="AB2588">
        <v>0</v>
      </c>
      <c r="AC2588">
        <v>0</v>
      </c>
      <c r="AD2588">
        <v>3</v>
      </c>
      <c r="AE2588">
        <v>0</v>
      </c>
      <c r="AF2588">
        <v>0</v>
      </c>
      <c r="AG2588">
        <v>0</v>
      </c>
      <c r="AH2588">
        <v>0</v>
      </c>
      <c r="AI2588">
        <v>0</v>
      </c>
      <c r="AJ2588">
        <v>0</v>
      </c>
      <c r="AK2588">
        <v>0</v>
      </c>
    </row>
    <row r="2589" spans="1:37" x14ac:dyDescent="0.3">
      <c r="A2589">
        <v>7134</v>
      </c>
      <c r="B2589" t="s">
        <v>28</v>
      </c>
      <c r="C2589">
        <v>299</v>
      </c>
      <c r="D2589" t="s">
        <v>251</v>
      </c>
      <c r="E2589">
        <v>99999999</v>
      </c>
      <c r="F2589">
        <v>11111111</v>
      </c>
      <c r="G2589">
        <v>1111111111</v>
      </c>
      <c r="H2589" t="s">
        <v>6158</v>
      </c>
      <c r="I2589">
        <v>99999999</v>
      </c>
      <c r="J2589" s="188">
        <v>45236</v>
      </c>
      <c r="K2589" t="s">
        <v>6158</v>
      </c>
      <c r="L2589" t="s">
        <v>6158</v>
      </c>
      <c r="M2589" t="s">
        <v>3299</v>
      </c>
      <c r="N2589" t="s">
        <v>950</v>
      </c>
      <c r="O2589">
        <v>52002</v>
      </c>
      <c r="Q2589" t="s">
        <v>124</v>
      </c>
      <c r="R2589">
        <v>1</v>
      </c>
      <c r="S2589">
        <v>0.83</v>
      </c>
      <c r="T2589">
        <v>0</v>
      </c>
      <c r="U2589">
        <v>1</v>
      </c>
      <c r="V2589">
        <v>1</v>
      </c>
      <c r="W2589">
        <v>0</v>
      </c>
      <c r="X2589">
        <v>0</v>
      </c>
      <c r="Y2589">
        <v>0</v>
      </c>
      <c r="Z2589">
        <v>0</v>
      </c>
      <c r="AA2589">
        <v>0</v>
      </c>
      <c r="AB2589">
        <v>0</v>
      </c>
      <c r="AC2589">
        <v>0</v>
      </c>
      <c r="AD2589">
        <v>1</v>
      </c>
      <c r="AE2589">
        <v>0</v>
      </c>
      <c r="AF2589">
        <v>0</v>
      </c>
      <c r="AG2589">
        <v>0</v>
      </c>
      <c r="AH2589">
        <v>0</v>
      </c>
      <c r="AI2589">
        <v>0</v>
      </c>
      <c r="AJ2589">
        <v>0</v>
      </c>
      <c r="AK2589">
        <v>0</v>
      </c>
    </row>
    <row r="2590" spans="1:37" x14ac:dyDescent="0.3">
      <c r="A2590">
        <v>7134</v>
      </c>
      <c r="B2590" t="s">
        <v>28</v>
      </c>
      <c r="C2590">
        <v>799</v>
      </c>
      <c r="D2590" t="s">
        <v>251</v>
      </c>
      <c r="E2590">
        <v>99999999</v>
      </c>
      <c r="F2590">
        <v>11111111</v>
      </c>
      <c r="G2590">
        <v>1111111111</v>
      </c>
      <c r="H2590" t="s">
        <v>6159</v>
      </c>
      <c r="I2590">
        <v>99999999</v>
      </c>
      <c r="J2590" s="188">
        <v>45236</v>
      </c>
      <c r="K2590" t="s">
        <v>6159</v>
      </c>
      <c r="L2590" t="s">
        <v>6159</v>
      </c>
      <c r="M2590" t="s">
        <v>3300</v>
      </c>
      <c r="N2590" t="s">
        <v>141</v>
      </c>
      <c r="O2590">
        <v>32609</v>
      </c>
      <c r="Q2590" t="s">
        <v>124</v>
      </c>
      <c r="R2590">
        <v>1</v>
      </c>
      <c r="S2590">
        <v>0.83</v>
      </c>
      <c r="T2590">
        <v>0</v>
      </c>
      <c r="U2590">
        <v>1</v>
      </c>
      <c r="V2590">
        <v>1</v>
      </c>
      <c r="W2590">
        <v>0</v>
      </c>
      <c r="X2590">
        <v>0</v>
      </c>
      <c r="Y2590">
        <v>0</v>
      </c>
      <c r="Z2590">
        <v>0</v>
      </c>
      <c r="AA2590">
        <v>0</v>
      </c>
      <c r="AB2590">
        <v>0</v>
      </c>
      <c r="AC2590">
        <v>0</v>
      </c>
      <c r="AD2590">
        <v>1</v>
      </c>
      <c r="AE2590">
        <v>0</v>
      </c>
      <c r="AF2590">
        <v>0</v>
      </c>
      <c r="AG2590">
        <v>0</v>
      </c>
      <c r="AH2590">
        <v>0</v>
      </c>
      <c r="AI2590">
        <v>0</v>
      </c>
      <c r="AJ2590">
        <v>0</v>
      </c>
      <c r="AK2590">
        <v>0</v>
      </c>
    </row>
    <row r="2591" spans="1:37" x14ac:dyDescent="0.3">
      <c r="A2591">
        <v>7134</v>
      </c>
      <c r="B2591" t="s">
        <v>28</v>
      </c>
      <c r="C2591">
        <v>699</v>
      </c>
      <c r="D2591" t="s">
        <v>251</v>
      </c>
      <c r="E2591">
        <v>99999999</v>
      </c>
      <c r="F2591">
        <v>11111111</v>
      </c>
      <c r="G2591">
        <v>1111111111</v>
      </c>
      <c r="H2591" t="s">
        <v>6160</v>
      </c>
      <c r="I2591">
        <v>99999999</v>
      </c>
      <c r="J2591" s="188">
        <v>45236</v>
      </c>
      <c r="K2591" t="s">
        <v>6160</v>
      </c>
      <c r="L2591" t="s">
        <v>6160</v>
      </c>
      <c r="M2591" t="s">
        <v>3297</v>
      </c>
      <c r="N2591" t="s">
        <v>811</v>
      </c>
      <c r="O2591">
        <v>20774</v>
      </c>
      <c r="Q2591" t="s">
        <v>124</v>
      </c>
      <c r="R2591">
        <v>2</v>
      </c>
      <c r="S2591">
        <v>1.56</v>
      </c>
      <c r="T2591">
        <v>0</v>
      </c>
      <c r="U2591">
        <v>1</v>
      </c>
      <c r="V2591">
        <v>1</v>
      </c>
      <c r="W2591">
        <v>0</v>
      </c>
      <c r="X2591">
        <v>0</v>
      </c>
      <c r="Y2591">
        <v>0</v>
      </c>
      <c r="Z2591">
        <v>0</v>
      </c>
      <c r="AA2591">
        <v>0</v>
      </c>
      <c r="AB2591">
        <v>0</v>
      </c>
      <c r="AC2591">
        <v>0</v>
      </c>
      <c r="AD2591">
        <v>2</v>
      </c>
      <c r="AE2591">
        <v>0</v>
      </c>
      <c r="AF2591">
        <v>0</v>
      </c>
      <c r="AG2591">
        <v>0</v>
      </c>
      <c r="AH2591">
        <v>0</v>
      </c>
      <c r="AI2591">
        <v>0</v>
      </c>
      <c r="AJ2591">
        <v>0</v>
      </c>
      <c r="AK2591">
        <v>0</v>
      </c>
    </row>
    <row r="2592" spans="1:37" x14ac:dyDescent="0.3">
      <c r="A2592">
        <v>7134</v>
      </c>
      <c r="B2592" t="s">
        <v>28</v>
      </c>
      <c r="C2592">
        <v>89</v>
      </c>
      <c r="D2592" t="s">
        <v>251</v>
      </c>
      <c r="E2592">
        <v>99999999</v>
      </c>
      <c r="F2592">
        <v>11111111</v>
      </c>
      <c r="G2592">
        <v>1111111111</v>
      </c>
      <c r="H2592" t="s">
        <v>6161</v>
      </c>
      <c r="I2592">
        <v>99999999</v>
      </c>
      <c r="J2592" s="188">
        <v>45236</v>
      </c>
      <c r="K2592" t="s">
        <v>6161</v>
      </c>
      <c r="L2592" t="s">
        <v>6161</v>
      </c>
      <c r="M2592" t="s">
        <v>173</v>
      </c>
      <c r="N2592" t="s">
        <v>164</v>
      </c>
      <c r="O2592">
        <v>97203</v>
      </c>
      <c r="Q2592" t="s">
        <v>124</v>
      </c>
      <c r="R2592">
        <v>2</v>
      </c>
      <c r="S2592">
        <v>1.66</v>
      </c>
      <c r="T2592">
        <v>0</v>
      </c>
      <c r="U2592">
        <v>1</v>
      </c>
      <c r="V2592">
        <v>1</v>
      </c>
      <c r="W2592">
        <v>0</v>
      </c>
      <c r="X2592">
        <v>0</v>
      </c>
      <c r="Y2592">
        <v>0</v>
      </c>
      <c r="Z2592">
        <v>0</v>
      </c>
      <c r="AA2592">
        <v>0</v>
      </c>
      <c r="AB2592">
        <v>0</v>
      </c>
      <c r="AC2592">
        <v>0</v>
      </c>
      <c r="AD2592">
        <v>2</v>
      </c>
      <c r="AE2592">
        <v>0</v>
      </c>
      <c r="AF2592">
        <v>0</v>
      </c>
      <c r="AG2592">
        <v>0</v>
      </c>
      <c r="AH2592">
        <v>0</v>
      </c>
      <c r="AI2592">
        <v>0</v>
      </c>
      <c r="AJ2592">
        <v>0</v>
      </c>
      <c r="AK2592">
        <v>0</v>
      </c>
    </row>
    <row r="2593" spans="1:37" x14ac:dyDescent="0.3">
      <c r="A2593">
        <v>7134</v>
      </c>
      <c r="B2593" t="s">
        <v>28</v>
      </c>
      <c r="C2593">
        <v>89</v>
      </c>
      <c r="D2593" t="s">
        <v>251</v>
      </c>
      <c r="E2593">
        <v>99999999</v>
      </c>
      <c r="F2593">
        <v>11111111</v>
      </c>
      <c r="G2593">
        <v>1111111111</v>
      </c>
      <c r="H2593" t="s">
        <v>6162</v>
      </c>
      <c r="I2593">
        <v>99999999</v>
      </c>
      <c r="J2593" s="188">
        <v>45236</v>
      </c>
      <c r="K2593" t="s">
        <v>6162</v>
      </c>
      <c r="L2593" t="s">
        <v>6162</v>
      </c>
      <c r="M2593" t="s">
        <v>173</v>
      </c>
      <c r="N2593" t="s">
        <v>164</v>
      </c>
      <c r="O2593">
        <v>97203</v>
      </c>
      <c r="Q2593" t="s">
        <v>124</v>
      </c>
      <c r="R2593">
        <v>2</v>
      </c>
      <c r="S2593">
        <v>1.56</v>
      </c>
      <c r="T2593">
        <v>0</v>
      </c>
      <c r="U2593">
        <v>1</v>
      </c>
      <c r="V2593">
        <v>1</v>
      </c>
      <c r="W2593">
        <v>0</v>
      </c>
      <c r="X2593">
        <v>0</v>
      </c>
      <c r="Y2593">
        <v>0</v>
      </c>
      <c r="Z2593">
        <v>0</v>
      </c>
      <c r="AA2593">
        <v>0</v>
      </c>
      <c r="AB2593">
        <v>0</v>
      </c>
      <c r="AC2593">
        <v>0</v>
      </c>
      <c r="AD2593">
        <v>2</v>
      </c>
      <c r="AE2593">
        <v>0</v>
      </c>
      <c r="AF2593">
        <v>0</v>
      </c>
      <c r="AG2593">
        <v>0</v>
      </c>
      <c r="AH2593">
        <v>0</v>
      </c>
      <c r="AI2593">
        <v>0</v>
      </c>
      <c r="AJ2593">
        <v>0</v>
      </c>
      <c r="AK2593">
        <v>0</v>
      </c>
    </row>
    <row r="2594" spans="1:37" x14ac:dyDescent="0.3">
      <c r="A2594">
        <v>7134</v>
      </c>
      <c r="B2594" t="s">
        <v>28</v>
      </c>
      <c r="C2594">
        <v>89</v>
      </c>
      <c r="D2594" t="s">
        <v>251</v>
      </c>
      <c r="E2594">
        <v>99999999</v>
      </c>
      <c r="F2594">
        <v>11111111</v>
      </c>
      <c r="G2594">
        <v>1111111111</v>
      </c>
      <c r="H2594" t="s">
        <v>6163</v>
      </c>
      <c r="I2594">
        <v>99999999</v>
      </c>
      <c r="J2594" s="188">
        <v>45236</v>
      </c>
      <c r="K2594" t="s">
        <v>6163</v>
      </c>
      <c r="L2594" t="s">
        <v>6163</v>
      </c>
      <c r="M2594" t="s">
        <v>173</v>
      </c>
      <c r="N2594" t="s">
        <v>164</v>
      </c>
      <c r="O2594">
        <v>97203</v>
      </c>
      <c r="Q2594" t="s">
        <v>124</v>
      </c>
      <c r="R2594">
        <v>4</v>
      </c>
      <c r="S2594">
        <v>3.32</v>
      </c>
      <c r="T2594">
        <v>0</v>
      </c>
      <c r="U2594">
        <v>1</v>
      </c>
      <c r="V2594">
        <v>1</v>
      </c>
      <c r="W2594">
        <v>0</v>
      </c>
      <c r="X2594">
        <v>0</v>
      </c>
      <c r="Y2594">
        <v>0</v>
      </c>
      <c r="Z2594">
        <v>0</v>
      </c>
      <c r="AA2594">
        <v>0</v>
      </c>
      <c r="AB2594">
        <v>0</v>
      </c>
      <c r="AC2594">
        <v>0</v>
      </c>
      <c r="AD2594">
        <v>4</v>
      </c>
      <c r="AE2594">
        <v>0</v>
      </c>
      <c r="AF2594">
        <v>0</v>
      </c>
      <c r="AG2594">
        <v>0</v>
      </c>
      <c r="AH2594">
        <v>0</v>
      </c>
      <c r="AI2594">
        <v>0</v>
      </c>
      <c r="AJ2594">
        <v>0</v>
      </c>
      <c r="AK2594">
        <v>0</v>
      </c>
    </row>
    <row r="2595" spans="1:37" x14ac:dyDescent="0.3">
      <c r="A2595">
        <v>7134</v>
      </c>
      <c r="B2595" t="s">
        <v>28</v>
      </c>
      <c r="C2595">
        <v>699</v>
      </c>
      <c r="D2595" t="s">
        <v>251</v>
      </c>
      <c r="E2595">
        <v>99999999</v>
      </c>
      <c r="F2595">
        <v>11111111</v>
      </c>
      <c r="G2595">
        <v>1111111111</v>
      </c>
      <c r="H2595" t="s">
        <v>6164</v>
      </c>
      <c r="I2595">
        <v>99999999</v>
      </c>
      <c r="J2595" s="188">
        <v>45236</v>
      </c>
      <c r="K2595" t="s">
        <v>6164</v>
      </c>
      <c r="L2595" t="s">
        <v>6164</v>
      </c>
      <c r="M2595" t="s">
        <v>3297</v>
      </c>
      <c r="N2595" t="s">
        <v>811</v>
      </c>
      <c r="O2595">
        <v>20774</v>
      </c>
      <c r="Q2595" t="s">
        <v>124</v>
      </c>
      <c r="R2595">
        <v>3</v>
      </c>
      <c r="S2595">
        <v>2.4900000000000002</v>
      </c>
      <c r="T2595">
        <v>0</v>
      </c>
      <c r="U2595">
        <v>1</v>
      </c>
      <c r="V2595">
        <v>1</v>
      </c>
      <c r="W2595">
        <v>0</v>
      </c>
      <c r="X2595">
        <v>0</v>
      </c>
      <c r="Y2595">
        <v>0</v>
      </c>
      <c r="Z2595">
        <v>0</v>
      </c>
      <c r="AA2595">
        <v>0</v>
      </c>
      <c r="AB2595">
        <v>0</v>
      </c>
      <c r="AC2595">
        <v>0</v>
      </c>
      <c r="AD2595">
        <v>3</v>
      </c>
      <c r="AE2595">
        <v>0</v>
      </c>
      <c r="AF2595">
        <v>0</v>
      </c>
      <c r="AG2595">
        <v>0</v>
      </c>
      <c r="AH2595">
        <v>0</v>
      </c>
      <c r="AI2595">
        <v>0</v>
      </c>
      <c r="AJ2595">
        <v>0</v>
      </c>
      <c r="AK2595">
        <v>0</v>
      </c>
    </row>
    <row r="2596" spans="1:37" x14ac:dyDescent="0.3">
      <c r="A2596">
        <v>7134</v>
      </c>
      <c r="B2596" t="s">
        <v>28</v>
      </c>
      <c r="C2596">
        <v>799</v>
      </c>
      <c r="D2596" t="s">
        <v>251</v>
      </c>
      <c r="E2596">
        <v>99999999</v>
      </c>
      <c r="F2596">
        <v>11111111</v>
      </c>
      <c r="G2596">
        <v>1111111111</v>
      </c>
      <c r="H2596" t="s">
        <v>6165</v>
      </c>
      <c r="I2596">
        <v>99999999</v>
      </c>
      <c r="J2596" s="188">
        <v>45236</v>
      </c>
      <c r="K2596" t="s">
        <v>6165</v>
      </c>
      <c r="L2596" t="s">
        <v>6165</v>
      </c>
      <c r="M2596" t="s">
        <v>3300</v>
      </c>
      <c r="N2596" t="s">
        <v>141</v>
      </c>
      <c r="O2596">
        <v>32609</v>
      </c>
      <c r="Q2596" t="s">
        <v>124</v>
      </c>
      <c r="R2596">
        <v>1</v>
      </c>
      <c r="S2596">
        <v>0.83</v>
      </c>
      <c r="T2596">
        <v>0</v>
      </c>
      <c r="U2596">
        <v>1</v>
      </c>
      <c r="V2596">
        <v>1</v>
      </c>
      <c r="W2596">
        <v>0</v>
      </c>
      <c r="X2596">
        <v>0</v>
      </c>
      <c r="Y2596">
        <v>0</v>
      </c>
      <c r="Z2596">
        <v>0</v>
      </c>
      <c r="AA2596">
        <v>0</v>
      </c>
      <c r="AB2596">
        <v>0</v>
      </c>
      <c r="AC2596">
        <v>0</v>
      </c>
      <c r="AD2596">
        <v>1</v>
      </c>
      <c r="AE2596">
        <v>0</v>
      </c>
      <c r="AF2596">
        <v>0</v>
      </c>
      <c r="AG2596">
        <v>0</v>
      </c>
      <c r="AH2596">
        <v>0</v>
      </c>
      <c r="AI2596">
        <v>0</v>
      </c>
      <c r="AJ2596">
        <v>0</v>
      </c>
      <c r="AK2596">
        <v>0</v>
      </c>
    </row>
    <row r="2597" spans="1:37" x14ac:dyDescent="0.3">
      <c r="A2597">
        <v>7134</v>
      </c>
      <c r="B2597" t="s">
        <v>28</v>
      </c>
      <c r="C2597">
        <v>799</v>
      </c>
      <c r="D2597" t="s">
        <v>251</v>
      </c>
      <c r="E2597">
        <v>99999999</v>
      </c>
      <c r="F2597">
        <v>11111111</v>
      </c>
      <c r="G2597">
        <v>1111111111</v>
      </c>
      <c r="H2597" t="s">
        <v>6166</v>
      </c>
      <c r="I2597">
        <v>99999999</v>
      </c>
      <c r="J2597" s="188">
        <v>45236</v>
      </c>
      <c r="K2597" t="s">
        <v>6166</v>
      </c>
      <c r="L2597" t="s">
        <v>6166</v>
      </c>
      <c r="M2597" t="s">
        <v>3300</v>
      </c>
      <c r="N2597" t="s">
        <v>141</v>
      </c>
      <c r="O2597">
        <v>32609</v>
      </c>
      <c r="Q2597" t="s">
        <v>124</v>
      </c>
      <c r="R2597">
        <v>2</v>
      </c>
      <c r="S2597">
        <v>2.0099999999999998</v>
      </c>
      <c r="T2597">
        <v>0</v>
      </c>
      <c r="U2597">
        <v>1</v>
      </c>
      <c r="V2597">
        <v>2</v>
      </c>
      <c r="W2597">
        <v>0</v>
      </c>
      <c r="X2597">
        <v>0</v>
      </c>
      <c r="Y2597">
        <v>0</v>
      </c>
      <c r="Z2597">
        <v>0</v>
      </c>
      <c r="AA2597">
        <v>0</v>
      </c>
      <c r="AB2597">
        <v>0</v>
      </c>
      <c r="AC2597">
        <v>0</v>
      </c>
      <c r="AD2597">
        <v>2</v>
      </c>
      <c r="AE2597">
        <v>0</v>
      </c>
      <c r="AF2597">
        <v>0</v>
      </c>
      <c r="AG2597">
        <v>0</v>
      </c>
      <c r="AH2597">
        <v>0</v>
      </c>
      <c r="AI2597">
        <v>0</v>
      </c>
      <c r="AJ2597">
        <v>0</v>
      </c>
      <c r="AK2597">
        <v>0</v>
      </c>
    </row>
    <row r="2598" spans="1:37" x14ac:dyDescent="0.3">
      <c r="A2598">
        <v>7134</v>
      </c>
      <c r="B2598" t="s">
        <v>28</v>
      </c>
      <c r="C2598">
        <v>799</v>
      </c>
      <c r="D2598" t="s">
        <v>251</v>
      </c>
      <c r="E2598">
        <v>99999999</v>
      </c>
      <c r="F2598">
        <v>11111111</v>
      </c>
      <c r="G2598">
        <v>1111111111</v>
      </c>
      <c r="H2598" t="s">
        <v>6167</v>
      </c>
      <c r="I2598">
        <v>99999999</v>
      </c>
      <c r="J2598" s="188">
        <v>45236</v>
      </c>
      <c r="K2598" t="s">
        <v>6167</v>
      </c>
      <c r="L2598" t="s">
        <v>6167</v>
      </c>
      <c r="M2598" t="s">
        <v>3300</v>
      </c>
      <c r="N2598" t="s">
        <v>141</v>
      </c>
      <c r="O2598">
        <v>32609</v>
      </c>
      <c r="Q2598" t="s">
        <v>124</v>
      </c>
      <c r="R2598">
        <v>4</v>
      </c>
      <c r="S2598">
        <v>3.57</v>
      </c>
      <c r="T2598">
        <v>0</v>
      </c>
      <c r="U2598">
        <v>1</v>
      </c>
      <c r="V2598">
        <v>3</v>
      </c>
      <c r="W2598">
        <v>0</v>
      </c>
      <c r="X2598">
        <v>0</v>
      </c>
      <c r="Y2598">
        <v>0</v>
      </c>
      <c r="Z2598">
        <v>0</v>
      </c>
      <c r="AA2598">
        <v>0</v>
      </c>
      <c r="AB2598">
        <v>0</v>
      </c>
      <c r="AC2598">
        <v>0</v>
      </c>
      <c r="AD2598">
        <v>4</v>
      </c>
      <c r="AE2598">
        <v>0</v>
      </c>
      <c r="AF2598">
        <v>0</v>
      </c>
      <c r="AG2598">
        <v>0</v>
      </c>
      <c r="AH2598">
        <v>0</v>
      </c>
      <c r="AI2598">
        <v>0</v>
      </c>
      <c r="AJ2598">
        <v>0</v>
      </c>
      <c r="AK2598">
        <v>0</v>
      </c>
    </row>
    <row r="2599" spans="1:37" x14ac:dyDescent="0.3">
      <c r="A2599">
        <v>7134</v>
      </c>
      <c r="B2599" t="s">
        <v>28</v>
      </c>
      <c r="C2599">
        <v>799</v>
      </c>
      <c r="D2599" t="s">
        <v>251</v>
      </c>
      <c r="E2599">
        <v>99999999</v>
      </c>
      <c r="F2599">
        <v>11111111</v>
      </c>
      <c r="G2599">
        <v>1111111111</v>
      </c>
      <c r="H2599" t="s">
        <v>6168</v>
      </c>
      <c r="I2599">
        <v>99999999</v>
      </c>
      <c r="J2599" s="188">
        <v>45236</v>
      </c>
      <c r="K2599" t="s">
        <v>6168</v>
      </c>
      <c r="L2599" t="s">
        <v>6168</v>
      </c>
      <c r="M2599" t="s">
        <v>3300</v>
      </c>
      <c r="N2599" t="s">
        <v>141</v>
      </c>
      <c r="O2599">
        <v>32609</v>
      </c>
      <c r="Q2599" t="s">
        <v>124</v>
      </c>
      <c r="R2599">
        <v>6</v>
      </c>
      <c r="S2599">
        <v>5.94</v>
      </c>
      <c r="T2599">
        <v>0</v>
      </c>
      <c r="U2599">
        <v>1</v>
      </c>
      <c r="V2599">
        <v>4</v>
      </c>
      <c r="W2599">
        <v>0</v>
      </c>
      <c r="X2599">
        <v>0</v>
      </c>
      <c r="Y2599">
        <v>0</v>
      </c>
      <c r="Z2599">
        <v>0</v>
      </c>
      <c r="AA2599">
        <v>0</v>
      </c>
      <c r="AB2599">
        <v>0</v>
      </c>
      <c r="AC2599">
        <v>0</v>
      </c>
      <c r="AD2599">
        <v>6</v>
      </c>
      <c r="AE2599">
        <v>0</v>
      </c>
      <c r="AF2599">
        <v>0</v>
      </c>
      <c r="AG2599">
        <v>0</v>
      </c>
      <c r="AH2599">
        <v>0</v>
      </c>
      <c r="AI2599">
        <v>0</v>
      </c>
      <c r="AJ2599">
        <v>0</v>
      </c>
      <c r="AK2599">
        <v>0</v>
      </c>
    </row>
    <row r="2600" spans="1:37" x14ac:dyDescent="0.3">
      <c r="A2600">
        <v>7134</v>
      </c>
      <c r="B2600" t="s">
        <v>28</v>
      </c>
      <c r="C2600">
        <v>399</v>
      </c>
      <c r="D2600" t="s">
        <v>251</v>
      </c>
      <c r="E2600">
        <v>99999999</v>
      </c>
      <c r="F2600">
        <v>11111111</v>
      </c>
      <c r="G2600">
        <v>1111111111</v>
      </c>
      <c r="H2600" t="s">
        <v>6169</v>
      </c>
      <c r="I2600">
        <v>99999999</v>
      </c>
      <c r="J2600" s="188">
        <v>45236</v>
      </c>
      <c r="K2600" t="s">
        <v>6169</v>
      </c>
      <c r="L2600" t="s">
        <v>6169</v>
      </c>
      <c r="M2600" t="s">
        <v>3298</v>
      </c>
      <c r="N2600" t="s">
        <v>99</v>
      </c>
      <c r="O2600">
        <v>91761</v>
      </c>
      <c r="Q2600" t="s">
        <v>124</v>
      </c>
      <c r="R2600">
        <v>3</v>
      </c>
      <c r="S2600">
        <v>3.19</v>
      </c>
      <c r="T2600">
        <v>0</v>
      </c>
      <c r="U2600">
        <v>1</v>
      </c>
      <c r="V2600">
        <v>2</v>
      </c>
      <c r="W2600">
        <v>0</v>
      </c>
      <c r="X2600">
        <v>0</v>
      </c>
      <c r="Y2600">
        <v>0</v>
      </c>
      <c r="Z2600">
        <v>0</v>
      </c>
      <c r="AA2600">
        <v>0</v>
      </c>
      <c r="AB2600">
        <v>0</v>
      </c>
      <c r="AC2600">
        <v>0</v>
      </c>
      <c r="AD2600">
        <v>3</v>
      </c>
      <c r="AE2600">
        <v>0</v>
      </c>
      <c r="AF2600">
        <v>0</v>
      </c>
      <c r="AG2600">
        <v>0</v>
      </c>
      <c r="AH2600">
        <v>0</v>
      </c>
      <c r="AI2600">
        <v>0</v>
      </c>
      <c r="AJ2600">
        <v>0</v>
      </c>
      <c r="AK2600">
        <v>0</v>
      </c>
    </row>
    <row r="2601" spans="1:37" x14ac:dyDescent="0.3">
      <c r="A2601">
        <v>7134</v>
      </c>
      <c r="B2601" t="s">
        <v>28</v>
      </c>
      <c r="C2601">
        <v>799</v>
      </c>
      <c r="D2601" t="s">
        <v>251</v>
      </c>
      <c r="E2601">
        <v>99999999</v>
      </c>
      <c r="F2601">
        <v>11111111</v>
      </c>
      <c r="G2601">
        <v>1111111111</v>
      </c>
      <c r="H2601" t="s">
        <v>6170</v>
      </c>
      <c r="I2601">
        <v>99999999</v>
      </c>
      <c r="J2601" s="188">
        <v>45236</v>
      </c>
      <c r="K2601" t="s">
        <v>6170</v>
      </c>
      <c r="L2601" t="s">
        <v>6170</v>
      </c>
      <c r="M2601" t="s">
        <v>3300</v>
      </c>
      <c r="N2601" t="s">
        <v>141</v>
      </c>
      <c r="O2601">
        <v>32609</v>
      </c>
      <c r="Q2601" t="s">
        <v>124</v>
      </c>
      <c r="R2601">
        <v>3</v>
      </c>
      <c r="S2601">
        <v>3.19</v>
      </c>
      <c r="T2601">
        <v>0</v>
      </c>
      <c r="U2601">
        <v>1</v>
      </c>
      <c r="V2601">
        <v>2</v>
      </c>
      <c r="W2601">
        <v>0</v>
      </c>
      <c r="X2601">
        <v>0</v>
      </c>
      <c r="Y2601">
        <v>0</v>
      </c>
      <c r="Z2601">
        <v>0</v>
      </c>
      <c r="AA2601">
        <v>0</v>
      </c>
      <c r="AB2601">
        <v>0</v>
      </c>
      <c r="AC2601">
        <v>0</v>
      </c>
      <c r="AD2601">
        <v>3</v>
      </c>
      <c r="AE2601">
        <v>0</v>
      </c>
      <c r="AF2601">
        <v>0</v>
      </c>
      <c r="AG2601">
        <v>0</v>
      </c>
      <c r="AH2601">
        <v>0</v>
      </c>
      <c r="AI2601">
        <v>0</v>
      </c>
      <c r="AJ2601">
        <v>0</v>
      </c>
      <c r="AK2601">
        <v>0</v>
      </c>
    </row>
    <row r="2602" spans="1:37" x14ac:dyDescent="0.3">
      <c r="A2602">
        <v>7134</v>
      </c>
      <c r="B2602" t="s">
        <v>28</v>
      </c>
      <c r="C2602">
        <v>799</v>
      </c>
      <c r="D2602" t="s">
        <v>251</v>
      </c>
      <c r="E2602">
        <v>99999999</v>
      </c>
      <c r="F2602">
        <v>11111111</v>
      </c>
      <c r="G2602">
        <v>1111111111</v>
      </c>
      <c r="H2602" t="s">
        <v>6171</v>
      </c>
      <c r="I2602">
        <v>99999999</v>
      </c>
      <c r="J2602" s="188">
        <v>45236</v>
      </c>
      <c r="K2602" t="s">
        <v>6171</v>
      </c>
      <c r="L2602" t="s">
        <v>6171</v>
      </c>
      <c r="M2602" t="s">
        <v>3300</v>
      </c>
      <c r="N2602" t="s">
        <v>141</v>
      </c>
      <c r="O2602">
        <v>32609</v>
      </c>
      <c r="Q2602" t="s">
        <v>124</v>
      </c>
      <c r="R2602">
        <v>5</v>
      </c>
      <c r="S2602">
        <v>5.56</v>
      </c>
      <c r="T2602">
        <v>0</v>
      </c>
      <c r="U2602">
        <v>1</v>
      </c>
      <c r="V2602">
        <v>3</v>
      </c>
      <c r="W2602">
        <v>0</v>
      </c>
      <c r="X2602">
        <v>0</v>
      </c>
      <c r="Y2602">
        <v>0</v>
      </c>
      <c r="Z2602">
        <v>0</v>
      </c>
      <c r="AA2602">
        <v>0</v>
      </c>
      <c r="AB2602">
        <v>0</v>
      </c>
      <c r="AC2602">
        <v>0</v>
      </c>
      <c r="AD2602">
        <v>5</v>
      </c>
      <c r="AE2602">
        <v>0</v>
      </c>
      <c r="AF2602">
        <v>0</v>
      </c>
      <c r="AG2602">
        <v>0</v>
      </c>
      <c r="AH2602">
        <v>0</v>
      </c>
      <c r="AI2602">
        <v>0</v>
      </c>
      <c r="AJ2602">
        <v>0</v>
      </c>
      <c r="AK2602">
        <v>0</v>
      </c>
    </row>
    <row r="2603" spans="1:37" x14ac:dyDescent="0.3">
      <c r="A2603">
        <v>7134</v>
      </c>
      <c r="B2603" t="s">
        <v>28</v>
      </c>
      <c r="C2603">
        <v>299</v>
      </c>
      <c r="D2603" t="s">
        <v>251</v>
      </c>
      <c r="E2603">
        <v>99999999</v>
      </c>
      <c r="F2603">
        <v>11111111</v>
      </c>
      <c r="G2603">
        <v>1111111111</v>
      </c>
      <c r="H2603" t="s">
        <v>6172</v>
      </c>
      <c r="I2603">
        <v>99999999</v>
      </c>
      <c r="J2603" s="188">
        <v>45236</v>
      </c>
      <c r="K2603" t="s">
        <v>6172</v>
      </c>
      <c r="L2603" t="s">
        <v>6172</v>
      </c>
      <c r="M2603" t="s">
        <v>3299</v>
      </c>
      <c r="N2603" t="s">
        <v>950</v>
      </c>
      <c r="O2603">
        <v>52002</v>
      </c>
      <c r="Q2603" t="s">
        <v>124</v>
      </c>
      <c r="R2603">
        <v>1</v>
      </c>
      <c r="S2603">
        <v>0.78</v>
      </c>
      <c r="T2603">
        <v>0</v>
      </c>
      <c r="U2603">
        <v>1</v>
      </c>
      <c r="V2603">
        <v>1</v>
      </c>
      <c r="W2603">
        <v>0</v>
      </c>
      <c r="X2603">
        <v>0</v>
      </c>
      <c r="Y2603">
        <v>0</v>
      </c>
      <c r="Z2603">
        <v>0</v>
      </c>
      <c r="AA2603">
        <v>0</v>
      </c>
      <c r="AB2603">
        <v>0</v>
      </c>
      <c r="AC2603">
        <v>0</v>
      </c>
      <c r="AD2603">
        <v>1</v>
      </c>
      <c r="AE2603">
        <v>0</v>
      </c>
      <c r="AF2603">
        <v>0</v>
      </c>
      <c r="AG2603">
        <v>0</v>
      </c>
      <c r="AH2603">
        <v>0</v>
      </c>
      <c r="AI2603">
        <v>0</v>
      </c>
      <c r="AJ2603">
        <v>0</v>
      </c>
      <c r="AK2603">
        <v>0</v>
      </c>
    </row>
    <row r="2604" spans="1:37" x14ac:dyDescent="0.3">
      <c r="A2604">
        <v>7134</v>
      </c>
      <c r="B2604" t="s">
        <v>28</v>
      </c>
      <c r="C2604">
        <v>299</v>
      </c>
      <c r="D2604" t="s">
        <v>251</v>
      </c>
      <c r="E2604">
        <v>99999999</v>
      </c>
      <c r="F2604">
        <v>11111111</v>
      </c>
      <c r="G2604">
        <v>1111111111</v>
      </c>
      <c r="H2604" t="s">
        <v>6173</v>
      </c>
      <c r="I2604">
        <v>99999999</v>
      </c>
      <c r="J2604" s="188">
        <v>45236</v>
      </c>
      <c r="K2604" t="s">
        <v>6173</v>
      </c>
      <c r="L2604" t="s">
        <v>6173</v>
      </c>
      <c r="M2604" t="s">
        <v>3299</v>
      </c>
      <c r="N2604" t="s">
        <v>950</v>
      </c>
      <c r="O2604">
        <v>52002</v>
      </c>
      <c r="Q2604" t="s">
        <v>124</v>
      </c>
      <c r="R2604">
        <v>3</v>
      </c>
      <c r="S2604">
        <v>2.4900000000000002</v>
      </c>
      <c r="T2604">
        <v>0</v>
      </c>
      <c r="U2604">
        <v>1</v>
      </c>
      <c r="V2604">
        <v>1</v>
      </c>
      <c r="W2604">
        <v>0</v>
      </c>
      <c r="X2604">
        <v>0</v>
      </c>
      <c r="Y2604">
        <v>0</v>
      </c>
      <c r="Z2604">
        <v>0</v>
      </c>
      <c r="AA2604">
        <v>0</v>
      </c>
      <c r="AB2604">
        <v>0</v>
      </c>
      <c r="AC2604">
        <v>0</v>
      </c>
      <c r="AD2604">
        <v>3</v>
      </c>
      <c r="AE2604">
        <v>0</v>
      </c>
      <c r="AF2604">
        <v>0</v>
      </c>
      <c r="AG2604">
        <v>0</v>
      </c>
      <c r="AH2604">
        <v>0</v>
      </c>
      <c r="AI2604">
        <v>0</v>
      </c>
      <c r="AJ2604">
        <v>0</v>
      </c>
      <c r="AK2604">
        <v>0</v>
      </c>
    </row>
    <row r="2605" spans="1:37" x14ac:dyDescent="0.3">
      <c r="A2605">
        <v>7134</v>
      </c>
      <c r="B2605" t="s">
        <v>28</v>
      </c>
      <c r="C2605">
        <v>799</v>
      </c>
      <c r="D2605" t="s">
        <v>251</v>
      </c>
      <c r="E2605">
        <v>99999999</v>
      </c>
      <c r="F2605">
        <v>11111111</v>
      </c>
      <c r="G2605">
        <v>1111111111</v>
      </c>
      <c r="H2605" t="s">
        <v>6174</v>
      </c>
      <c r="I2605">
        <v>99999999</v>
      </c>
      <c r="J2605" s="188">
        <v>45236</v>
      </c>
      <c r="K2605" t="s">
        <v>6174</v>
      </c>
      <c r="L2605" t="s">
        <v>6174</v>
      </c>
      <c r="M2605" t="s">
        <v>3300</v>
      </c>
      <c r="N2605" t="s">
        <v>141</v>
      </c>
      <c r="O2605">
        <v>32609</v>
      </c>
      <c r="Q2605" t="s">
        <v>124</v>
      </c>
      <c r="R2605">
        <v>11</v>
      </c>
      <c r="S2605">
        <v>10.69</v>
      </c>
      <c r="T2605">
        <v>0</v>
      </c>
      <c r="U2605">
        <v>1</v>
      </c>
      <c r="V2605">
        <v>4</v>
      </c>
      <c r="W2605">
        <v>0</v>
      </c>
      <c r="X2605">
        <v>0</v>
      </c>
      <c r="Y2605">
        <v>0</v>
      </c>
      <c r="Z2605">
        <v>0</v>
      </c>
      <c r="AA2605">
        <v>0</v>
      </c>
      <c r="AB2605">
        <v>0</v>
      </c>
      <c r="AC2605">
        <v>0</v>
      </c>
      <c r="AD2605">
        <v>11</v>
      </c>
      <c r="AE2605">
        <v>0</v>
      </c>
      <c r="AF2605">
        <v>0</v>
      </c>
      <c r="AG2605">
        <v>0</v>
      </c>
      <c r="AH2605">
        <v>0</v>
      </c>
      <c r="AI2605">
        <v>0</v>
      </c>
      <c r="AJ2605">
        <v>0</v>
      </c>
      <c r="AK2605">
        <v>0</v>
      </c>
    </row>
    <row r="2606" spans="1:37" x14ac:dyDescent="0.3">
      <c r="A2606">
        <v>7134</v>
      </c>
      <c r="B2606" t="s">
        <v>28</v>
      </c>
      <c r="C2606">
        <v>499</v>
      </c>
      <c r="D2606" t="s">
        <v>251</v>
      </c>
      <c r="E2606">
        <v>99999999</v>
      </c>
      <c r="F2606">
        <v>11111111</v>
      </c>
      <c r="G2606">
        <v>1111111111</v>
      </c>
      <c r="H2606" t="s">
        <v>6175</v>
      </c>
      <c r="I2606">
        <v>99999999</v>
      </c>
      <c r="J2606" s="188">
        <v>45236</v>
      </c>
      <c r="K2606" t="s">
        <v>6175</v>
      </c>
      <c r="L2606" t="s">
        <v>6175</v>
      </c>
      <c r="M2606" t="s">
        <v>1349</v>
      </c>
      <c r="N2606" t="s">
        <v>99</v>
      </c>
      <c r="O2606">
        <v>94560</v>
      </c>
      <c r="Q2606" t="s">
        <v>124</v>
      </c>
      <c r="R2606">
        <v>11</v>
      </c>
      <c r="S2606">
        <v>11.14</v>
      </c>
      <c r="T2606">
        <v>0</v>
      </c>
      <c r="U2606">
        <v>1</v>
      </c>
      <c r="V2606">
        <v>4</v>
      </c>
      <c r="W2606">
        <v>0</v>
      </c>
      <c r="X2606">
        <v>0</v>
      </c>
      <c r="Y2606">
        <v>0</v>
      </c>
      <c r="Z2606">
        <v>0</v>
      </c>
      <c r="AA2606">
        <v>0</v>
      </c>
      <c r="AB2606">
        <v>0</v>
      </c>
      <c r="AC2606">
        <v>0</v>
      </c>
      <c r="AD2606">
        <v>11</v>
      </c>
      <c r="AE2606">
        <v>0</v>
      </c>
      <c r="AF2606">
        <v>0</v>
      </c>
      <c r="AG2606">
        <v>0</v>
      </c>
      <c r="AH2606">
        <v>0</v>
      </c>
      <c r="AI2606">
        <v>0</v>
      </c>
      <c r="AJ2606">
        <v>0</v>
      </c>
      <c r="AK2606">
        <v>0</v>
      </c>
    </row>
    <row r="2607" spans="1:37" x14ac:dyDescent="0.3">
      <c r="A2607">
        <v>7134</v>
      </c>
      <c r="B2607" t="s">
        <v>28</v>
      </c>
      <c r="C2607">
        <v>299</v>
      </c>
      <c r="D2607" t="s">
        <v>251</v>
      </c>
      <c r="E2607">
        <v>99999999</v>
      </c>
      <c r="F2607">
        <v>11111111</v>
      </c>
      <c r="G2607">
        <v>1111111111</v>
      </c>
      <c r="H2607" t="s">
        <v>6176</v>
      </c>
      <c r="I2607">
        <v>99999999</v>
      </c>
      <c r="J2607" s="188">
        <v>45236</v>
      </c>
      <c r="K2607" t="s">
        <v>6176</v>
      </c>
      <c r="L2607" t="s">
        <v>6176</v>
      </c>
      <c r="M2607" t="s">
        <v>3299</v>
      </c>
      <c r="N2607" t="s">
        <v>950</v>
      </c>
      <c r="O2607">
        <v>52002</v>
      </c>
      <c r="Q2607" t="s">
        <v>124</v>
      </c>
      <c r="R2607">
        <v>3</v>
      </c>
      <c r="S2607">
        <v>3.19</v>
      </c>
      <c r="T2607">
        <v>0</v>
      </c>
      <c r="U2607">
        <v>1</v>
      </c>
      <c r="V2607">
        <v>2</v>
      </c>
      <c r="W2607">
        <v>0</v>
      </c>
      <c r="X2607">
        <v>0</v>
      </c>
      <c r="Y2607">
        <v>0</v>
      </c>
      <c r="Z2607">
        <v>0</v>
      </c>
      <c r="AA2607">
        <v>0</v>
      </c>
      <c r="AB2607">
        <v>0</v>
      </c>
      <c r="AC2607">
        <v>0</v>
      </c>
      <c r="AD2607">
        <v>3</v>
      </c>
      <c r="AE2607">
        <v>0</v>
      </c>
      <c r="AF2607">
        <v>0</v>
      </c>
      <c r="AG2607">
        <v>0</v>
      </c>
      <c r="AH2607">
        <v>0</v>
      </c>
      <c r="AI2607">
        <v>0</v>
      </c>
      <c r="AJ2607">
        <v>0</v>
      </c>
      <c r="AK2607">
        <v>0</v>
      </c>
    </row>
    <row r="2608" spans="1:37" x14ac:dyDescent="0.3">
      <c r="A2608">
        <v>7134</v>
      </c>
      <c r="B2608" t="s">
        <v>28</v>
      </c>
      <c r="C2608">
        <v>299</v>
      </c>
      <c r="D2608" t="s">
        <v>251</v>
      </c>
      <c r="E2608">
        <v>99999999</v>
      </c>
      <c r="F2608">
        <v>11111111</v>
      </c>
      <c r="G2608">
        <v>1111111111</v>
      </c>
      <c r="H2608" t="s">
        <v>6177</v>
      </c>
      <c r="I2608">
        <v>99999999</v>
      </c>
      <c r="J2608" s="188">
        <v>45236</v>
      </c>
      <c r="K2608" t="s">
        <v>6177</v>
      </c>
      <c r="L2608" t="s">
        <v>6177</v>
      </c>
      <c r="M2608" t="s">
        <v>3299</v>
      </c>
      <c r="N2608" t="s">
        <v>950</v>
      </c>
      <c r="O2608">
        <v>52002</v>
      </c>
      <c r="Q2608" t="s">
        <v>124</v>
      </c>
      <c r="R2608">
        <v>2</v>
      </c>
      <c r="S2608">
        <v>2.36</v>
      </c>
      <c r="T2608">
        <v>0</v>
      </c>
      <c r="U2608">
        <v>1</v>
      </c>
      <c r="V2608">
        <v>1</v>
      </c>
      <c r="W2608">
        <v>0</v>
      </c>
      <c r="X2608">
        <v>0</v>
      </c>
      <c r="Y2608">
        <v>0</v>
      </c>
      <c r="Z2608">
        <v>0</v>
      </c>
      <c r="AA2608">
        <v>0</v>
      </c>
      <c r="AB2608">
        <v>0</v>
      </c>
      <c r="AC2608">
        <v>0</v>
      </c>
      <c r="AD2608">
        <v>2</v>
      </c>
      <c r="AE2608">
        <v>0</v>
      </c>
      <c r="AF2608">
        <v>0</v>
      </c>
      <c r="AG2608">
        <v>0</v>
      </c>
      <c r="AH2608">
        <v>0</v>
      </c>
      <c r="AI2608">
        <v>0</v>
      </c>
      <c r="AJ2608">
        <v>0</v>
      </c>
      <c r="AK2608">
        <v>0</v>
      </c>
    </row>
    <row r="2609" spans="1:37" x14ac:dyDescent="0.3">
      <c r="A2609">
        <v>7134</v>
      </c>
      <c r="B2609" t="s">
        <v>28</v>
      </c>
      <c r="C2609">
        <v>89</v>
      </c>
      <c r="D2609" t="s">
        <v>251</v>
      </c>
      <c r="E2609">
        <v>99999999</v>
      </c>
      <c r="F2609">
        <v>11111111</v>
      </c>
      <c r="G2609">
        <v>1111111111</v>
      </c>
      <c r="H2609" t="s">
        <v>6178</v>
      </c>
      <c r="I2609">
        <v>99999999</v>
      </c>
      <c r="J2609" s="188">
        <v>45236</v>
      </c>
      <c r="K2609" t="s">
        <v>6178</v>
      </c>
      <c r="L2609" t="s">
        <v>6178</v>
      </c>
      <c r="M2609" t="s">
        <v>173</v>
      </c>
      <c r="N2609" t="s">
        <v>164</v>
      </c>
      <c r="O2609">
        <v>97203</v>
      </c>
      <c r="Q2609" t="s">
        <v>124</v>
      </c>
      <c r="R2609">
        <v>4</v>
      </c>
      <c r="S2609">
        <v>4.37</v>
      </c>
      <c r="T2609">
        <v>0</v>
      </c>
      <c r="U2609">
        <v>1</v>
      </c>
      <c r="V2609">
        <v>2</v>
      </c>
      <c r="W2609">
        <v>0</v>
      </c>
      <c r="X2609">
        <v>0</v>
      </c>
      <c r="Y2609">
        <v>0</v>
      </c>
      <c r="Z2609">
        <v>0</v>
      </c>
      <c r="AA2609">
        <v>0</v>
      </c>
      <c r="AB2609">
        <v>0</v>
      </c>
      <c r="AC2609">
        <v>0</v>
      </c>
      <c r="AD2609">
        <v>4</v>
      </c>
      <c r="AE2609">
        <v>0</v>
      </c>
      <c r="AF2609">
        <v>0</v>
      </c>
      <c r="AG2609">
        <v>0</v>
      </c>
      <c r="AH2609">
        <v>0</v>
      </c>
      <c r="AI2609">
        <v>0</v>
      </c>
      <c r="AJ2609">
        <v>0</v>
      </c>
      <c r="AK2609">
        <v>0</v>
      </c>
    </row>
    <row r="2610" spans="1:37" x14ac:dyDescent="0.3">
      <c r="A2610">
        <v>7134</v>
      </c>
      <c r="B2610" t="s">
        <v>28</v>
      </c>
      <c r="C2610">
        <v>699</v>
      </c>
      <c r="D2610" t="s">
        <v>251</v>
      </c>
      <c r="E2610">
        <v>99999999</v>
      </c>
      <c r="F2610">
        <v>11111111</v>
      </c>
      <c r="G2610">
        <v>1111111111</v>
      </c>
      <c r="H2610" t="s">
        <v>6179</v>
      </c>
      <c r="I2610">
        <v>99999999</v>
      </c>
      <c r="J2610" s="188">
        <v>45236</v>
      </c>
      <c r="K2610" t="s">
        <v>6179</v>
      </c>
      <c r="L2610" t="s">
        <v>6179</v>
      </c>
      <c r="M2610" t="s">
        <v>3297</v>
      </c>
      <c r="N2610" t="s">
        <v>811</v>
      </c>
      <c r="O2610">
        <v>20774</v>
      </c>
      <c r="Q2610" t="s">
        <v>124</v>
      </c>
      <c r="R2610">
        <v>4</v>
      </c>
      <c r="S2610">
        <v>4.0199999999999996</v>
      </c>
      <c r="T2610">
        <v>0</v>
      </c>
      <c r="U2610">
        <v>1</v>
      </c>
      <c r="V2610">
        <v>2</v>
      </c>
      <c r="W2610">
        <v>0</v>
      </c>
      <c r="X2610">
        <v>0</v>
      </c>
      <c r="Y2610">
        <v>0</v>
      </c>
      <c r="Z2610">
        <v>0</v>
      </c>
      <c r="AA2610">
        <v>0</v>
      </c>
      <c r="AB2610">
        <v>0</v>
      </c>
      <c r="AC2610">
        <v>0</v>
      </c>
      <c r="AD2610">
        <v>4</v>
      </c>
      <c r="AE2610">
        <v>0</v>
      </c>
      <c r="AF2610">
        <v>0</v>
      </c>
      <c r="AG2610">
        <v>0</v>
      </c>
      <c r="AH2610">
        <v>0</v>
      </c>
      <c r="AI2610">
        <v>0</v>
      </c>
      <c r="AJ2610">
        <v>0</v>
      </c>
      <c r="AK2610">
        <v>0</v>
      </c>
    </row>
    <row r="2611" spans="1:37" x14ac:dyDescent="0.3">
      <c r="A2611">
        <v>7134</v>
      </c>
      <c r="B2611" t="s">
        <v>28</v>
      </c>
      <c r="C2611">
        <v>699</v>
      </c>
      <c r="D2611" t="s">
        <v>251</v>
      </c>
      <c r="E2611">
        <v>99999999</v>
      </c>
      <c r="F2611">
        <v>11111111</v>
      </c>
      <c r="G2611">
        <v>1111111111</v>
      </c>
      <c r="H2611" t="s">
        <v>6180</v>
      </c>
      <c r="I2611">
        <v>99999999</v>
      </c>
      <c r="J2611" s="188">
        <v>45236</v>
      </c>
      <c r="K2611" t="s">
        <v>6180</v>
      </c>
      <c r="L2611" t="s">
        <v>6180</v>
      </c>
      <c r="M2611" t="s">
        <v>3297</v>
      </c>
      <c r="N2611" t="s">
        <v>811</v>
      </c>
      <c r="O2611">
        <v>20774</v>
      </c>
      <c r="Q2611" t="s">
        <v>124</v>
      </c>
      <c r="R2611">
        <v>2</v>
      </c>
      <c r="S2611">
        <v>2.36</v>
      </c>
      <c r="T2611">
        <v>0</v>
      </c>
      <c r="U2611">
        <v>1</v>
      </c>
      <c r="V2611">
        <v>1</v>
      </c>
      <c r="W2611">
        <v>0</v>
      </c>
      <c r="X2611">
        <v>0</v>
      </c>
      <c r="Y2611">
        <v>0</v>
      </c>
      <c r="Z2611">
        <v>0</v>
      </c>
      <c r="AA2611">
        <v>0</v>
      </c>
      <c r="AB2611">
        <v>0</v>
      </c>
      <c r="AC2611">
        <v>0</v>
      </c>
      <c r="AD2611">
        <v>2</v>
      </c>
      <c r="AE2611">
        <v>0</v>
      </c>
      <c r="AF2611">
        <v>0</v>
      </c>
      <c r="AG2611">
        <v>0</v>
      </c>
      <c r="AH2611">
        <v>0</v>
      </c>
      <c r="AI2611">
        <v>0</v>
      </c>
      <c r="AJ2611">
        <v>0</v>
      </c>
      <c r="AK2611">
        <v>0</v>
      </c>
    </row>
    <row r="2612" spans="1:37" x14ac:dyDescent="0.3">
      <c r="A2612">
        <v>7134</v>
      </c>
      <c r="B2612" t="s">
        <v>28</v>
      </c>
      <c r="C2612">
        <v>299</v>
      </c>
      <c r="D2612" t="s">
        <v>251</v>
      </c>
      <c r="E2612">
        <v>99999999</v>
      </c>
      <c r="F2612">
        <v>11111111</v>
      </c>
      <c r="G2612">
        <v>1111111111</v>
      </c>
      <c r="H2612" t="s">
        <v>6181</v>
      </c>
      <c r="I2612">
        <v>99999999</v>
      </c>
      <c r="J2612" s="188">
        <v>45236</v>
      </c>
      <c r="K2612" t="s">
        <v>6181</v>
      </c>
      <c r="L2612" t="s">
        <v>6181</v>
      </c>
      <c r="M2612" t="s">
        <v>3299</v>
      </c>
      <c r="N2612" t="s">
        <v>950</v>
      </c>
      <c r="O2612">
        <v>52002</v>
      </c>
      <c r="Q2612" t="s">
        <v>124</v>
      </c>
      <c r="R2612">
        <v>2</v>
      </c>
      <c r="S2612">
        <v>2.02</v>
      </c>
      <c r="T2612">
        <v>0</v>
      </c>
      <c r="U2612">
        <v>1</v>
      </c>
      <c r="V2612">
        <v>2</v>
      </c>
      <c r="W2612">
        <v>0</v>
      </c>
      <c r="X2612">
        <v>0</v>
      </c>
      <c r="Y2612">
        <v>0</v>
      </c>
      <c r="Z2612">
        <v>0</v>
      </c>
      <c r="AA2612">
        <v>0</v>
      </c>
      <c r="AB2612">
        <v>0</v>
      </c>
      <c r="AC2612">
        <v>0</v>
      </c>
      <c r="AD2612">
        <v>2</v>
      </c>
      <c r="AE2612">
        <v>0</v>
      </c>
      <c r="AF2612">
        <v>0</v>
      </c>
      <c r="AG2612">
        <v>0</v>
      </c>
      <c r="AH2612">
        <v>0</v>
      </c>
      <c r="AI2612">
        <v>0</v>
      </c>
      <c r="AJ2612">
        <v>0</v>
      </c>
      <c r="AK2612">
        <v>0</v>
      </c>
    </row>
    <row r="2613" spans="1:37" x14ac:dyDescent="0.3">
      <c r="A2613">
        <v>7134</v>
      </c>
      <c r="B2613" t="s">
        <v>28</v>
      </c>
      <c r="C2613">
        <v>89</v>
      </c>
      <c r="D2613" t="s">
        <v>251</v>
      </c>
      <c r="E2613">
        <v>99999999</v>
      </c>
      <c r="F2613">
        <v>11111111</v>
      </c>
      <c r="G2613">
        <v>1111111111</v>
      </c>
      <c r="H2613" t="s">
        <v>6182</v>
      </c>
      <c r="I2613">
        <v>99999999</v>
      </c>
      <c r="J2613" s="188">
        <v>45236</v>
      </c>
      <c r="K2613" t="s">
        <v>6182</v>
      </c>
      <c r="L2613" t="s">
        <v>6182</v>
      </c>
      <c r="M2613" t="s">
        <v>173</v>
      </c>
      <c r="N2613" t="s">
        <v>164</v>
      </c>
      <c r="O2613">
        <v>97203</v>
      </c>
      <c r="Q2613" t="s">
        <v>124</v>
      </c>
      <c r="R2613">
        <v>5</v>
      </c>
      <c r="S2613">
        <v>4.45</v>
      </c>
      <c r="T2613">
        <v>0</v>
      </c>
      <c r="U2613">
        <v>1</v>
      </c>
      <c r="V2613">
        <v>3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5</v>
      </c>
      <c r="AE2613">
        <v>0</v>
      </c>
      <c r="AF2613">
        <v>0</v>
      </c>
      <c r="AG2613">
        <v>0</v>
      </c>
      <c r="AH2613">
        <v>0</v>
      </c>
      <c r="AI2613">
        <v>0</v>
      </c>
      <c r="AJ2613">
        <v>0</v>
      </c>
      <c r="AK2613">
        <v>0</v>
      </c>
    </row>
    <row r="2614" spans="1:37" x14ac:dyDescent="0.3">
      <c r="A2614">
        <v>7134</v>
      </c>
      <c r="B2614" t="s">
        <v>28</v>
      </c>
      <c r="C2614">
        <v>89</v>
      </c>
      <c r="D2614" t="s">
        <v>251</v>
      </c>
      <c r="E2614">
        <v>99999999</v>
      </c>
      <c r="F2614">
        <v>11111111</v>
      </c>
      <c r="G2614">
        <v>1111111111</v>
      </c>
      <c r="H2614" t="s">
        <v>6183</v>
      </c>
      <c r="I2614">
        <v>99999999</v>
      </c>
      <c r="J2614" s="188">
        <v>45236</v>
      </c>
      <c r="K2614" t="s">
        <v>6183</v>
      </c>
      <c r="L2614" t="s">
        <v>6183</v>
      </c>
      <c r="M2614" t="s">
        <v>173</v>
      </c>
      <c r="N2614" t="s">
        <v>164</v>
      </c>
      <c r="O2614">
        <v>97203</v>
      </c>
      <c r="Q2614" t="s">
        <v>124</v>
      </c>
      <c r="R2614">
        <v>9</v>
      </c>
      <c r="S2614">
        <v>9.15</v>
      </c>
      <c r="T2614">
        <v>0</v>
      </c>
      <c r="U2614">
        <v>1</v>
      </c>
      <c r="V2614">
        <v>4</v>
      </c>
      <c r="W2614">
        <v>0</v>
      </c>
      <c r="X2614">
        <v>0</v>
      </c>
      <c r="Y2614">
        <v>0</v>
      </c>
      <c r="Z2614">
        <v>0</v>
      </c>
      <c r="AA2614">
        <v>0</v>
      </c>
      <c r="AB2614">
        <v>0</v>
      </c>
      <c r="AC2614">
        <v>0</v>
      </c>
      <c r="AD2614">
        <v>9</v>
      </c>
      <c r="AE2614">
        <v>0</v>
      </c>
      <c r="AF2614">
        <v>0</v>
      </c>
      <c r="AG2614">
        <v>0</v>
      </c>
      <c r="AH2614">
        <v>0</v>
      </c>
      <c r="AI2614">
        <v>0</v>
      </c>
      <c r="AJ2614">
        <v>0</v>
      </c>
      <c r="AK2614">
        <v>0</v>
      </c>
    </row>
    <row r="2615" spans="1:37" x14ac:dyDescent="0.3">
      <c r="A2615">
        <v>7134</v>
      </c>
      <c r="B2615" t="s">
        <v>28</v>
      </c>
      <c r="C2615">
        <v>699</v>
      </c>
      <c r="D2615" t="s">
        <v>251</v>
      </c>
      <c r="E2615">
        <v>99999999</v>
      </c>
      <c r="F2615">
        <v>11111111</v>
      </c>
      <c r="G2615">
        <v>1111111111</v>
      </c>
      <c r="H2615" t="s">
        <v>6184</v>
      </c>
      <c r="I2615">
        <v>99999999</v>
      </c>
      <c r="J2615" s="188">
        <v>45236</v>
      </c>
      <c r="K2615" t="s">
        <v>6184</v>
      </c>
      <c r="L2615" t="s">
        <v>6184</v>
      </c>
      <c r="M2615" t="s">
        <v>3297</v>
      </c>
      <c r="N2615" t="s">
        <v>811</v>
      </c>
      <c r="O2615">
        <v>20774</v>
      </c>
      <c r="Q2615" t="s">
        <v>124</v>
      </c>
      <c r="R2615">
        <v>3</v>
      </c>
      <c r="S2615">
        <v>3.19</v>
      </c>
      <c r="T2615">
        <v>0</v>
      </c>
      <c r="U2615">
        <v>1</v>
      </c>
      <c r="V2615">
        <v>2</v>
      </c>
      <c r="W2615">
        <v>0</v>
      </c>
      <c r="X2615">
        <v>0</v>
      </c>
      <c r="Y2615">
        <v>0</v>
      </c>
      <c r="Z2615">
        <v>0</v>
      </c>
      <c r="AA2615">
        <v>0</v>
      </c>
      <c r="AB2615">
        <v>0</v>
      </c>
      <c r="AC2615">
        <v>0</v>
      </c>
      <c r="AD2615">
        <v>3</v>
      </c>
      <c r="AE2615">
        <v>0</v>
      </c>
      <c r="AF2615">
        <v>0</v>
      </c>
      <c r="AG2615">
        <v>0</v>
      </c>
      <c r="AH2615">
        <v>0</v>
      </c>
      <c r="AI2615">
        <v>0</v>
      </c>
      <c r="AJ2615">
        <v>0</v>
      </c>
      <c r="AK2615">
        <v>0</v>
      </c>
    </row>
    <row r="2616" spans="1:37" x14ac:dyDescent="0.3">
      <c r="A2616">
        <v>7134</v>
      </c>
      <c r="B2616" t="s">
        <v>28</v>
      </c>
      <c r="C2616">
        <v>699</v>
      </c>
      <c r="D2616" t="s">
        <v>251</v>
      </c>
      <c r="E2616">
        <v>99999999</v>
      </c>
      <c r="F2616">
        <v>11111111</v>
      </c>
      <c r="G2616">
        <v>1111111111</v>
      </c>
      <c r="H2616" t="s">
        <v>6185</v>
      </c>
      <c r="I2616">
        <v>99999999</v>
      </c>
      <c r="J2616" s="188">
        <v>45236</v>
      </c>
      <c r="K2616" t="s">
        <v>6185</v>
      </c>
      <c r="L2616" t="s">
        <v>6185</v>
      </c>
      <c r="M2616" t="s">
        <v>3297</v>
      </c>
      <c r="N2616" t="s">
        <v>811</v>
      </c>
      <c r="O2616">
        <v>20774</v>
      </c>
      <c r="Q2616" t="s">
        <v>124</v>
      </c>
      <c r="R2616">
        <v>1</v>
      </c>
      <c r="S2616">
        <v>1.18</v>
      </c>
      <c r="T2616">
        <v>0</v>
      </c>
      <c r="U2616">
        <v>1</v>
      </c>
      <c r="V2616">
        <v>1</v>
      </c>
      <c r="W2616">
        <v>0</v>
      </c>
      <c r="X2616">
        <v>0</v>
      </c>
      <c r="Y2616">
        <v>0</v>
      </c>
      <c r="Z2616">
        <v>0</v>
      </c>
      <c r="AA2616">
        <v>0</v>
      </c>
      <c r="AB2616">
        <v>0</v>
      </c>
      <c r="AC2616">
        <v>0</v>
      </c>
      <c r="AD2616">
        <v>1</v>
      </c>
      <c r="AE2616">
        <v>0</v>
      </c>
      <c r="AF2616">
        <v>0</v>
      </c>
      <c r="AG2616">
        <v>0</v>
      </c>
      <c r="AH2616">
        <v>0</v>
      </c>
      <c r="AI2616">
        <v>0</v>
      </c>
      <c r="AJ2616">
        <v>0</v>
      </c>
      <c r="AK2616">
        <v>0</v>
      </c>
    </row>
    <row r="2617" spans="1:37" x14ac:dyDescent="0.3">
      <c r="A2617">
        <v>7134</v>
      </c>
      <c r="B2617" t="s">
        <v>28</v>
      </c>
      <c r="C2617">
        <v>299</v>
      </c>
      <c r="D2617" t="s">
        <v>251</v>
      </c>
      <c r="E2617">
        <v>99999999</v>
      </c>
      <c r="F2617">
        <v>11111111</v>
      </c>
      <c r="G2617">
        <v>1111111111</v>
      </c>
      <c r="H2617" t="s">
        <v>6186</v>
      </c>
      <c r="I2617">
        <v>99999999</v>
      </c>
      <c r="J2617" s="188">
        <v>45236</v>
      </c>
      <c r="K2617" t="s">
        <v>6186</v>
      </c>
      <c r="L2617" t="s">
        <v>6186</v>
      </c>
      <c r="M2617" t="s">
        <v>3299</v>
      </c>
      <c r="N2617" t="s">
        <v>950</v>
      </c>
      <c r="O2617">
        <v>52002</v>
      </c>
      <c r="Q2617" t="s">
        <v>124</v>
      </c>
      <c r="R2617">
        <v>2</v>
      </c>
      <c r="S2617">
        <v>2.36</v>
      </c>
      <c r="T2617">
        <v>0</v>
      </c>
      <c r="U2617">
        <v>1</v>
      </c>
      <c r="V2617">
        <v>1</v>
      </c>
      <c r="W2617">
        <v>0</v>
      </c>
      <c r="X2617">
        <v>0</v>
      </c>
      <c r="Y2617">
        <v>0</v>
      </c>
      <c r="Z2617">
        <v>0</v>
      </c>
      <c r="AA2617">
        <v>0</v>
      </c>
      <c r="AB2617">
        <v>0</v>
      </c>
      <c r="AC2617">
        <v>0</v>
      </c>
      <c r="AD2617">
        <v>2</v>
      </c>
      <c r="AE2617">
        <v>0</v>
      </c>
      <c r="AF2617">
        <v>0</v>
      </c>
      <c r="AG2617">
        <v>0</v>
      </c>
      <c r="AH2617">
        <v>0</v>
      </c>
      <c r="AI2617">
        <v>0</v>
      </c>
      <c r="AJ2617">
        <v>0</v>
      </c>
      <c r="AK2617">
        <v>0</v>
      </c>
    </row>
    <row r="2618" spans="1:37" x14ac:dyDescent="0.3">
      <c r="A2618">
        <v>7134</v>
      </c>
      <c r="B2618" t="s">
        <v>28</v>
      </c>
      <c r="C2618">
        <v>89</v>
      </c>
      <c r="D2618" t="s">
        <v>251</v>
      </c>
      <c r="E2618">
        <v>99999999</v>
      </c>
      <c r="F2618">
        <v>11111111</v>
      </c>
      <c r="G2618">
        <v>1111111111</v>
      </c>
      <c r="H2618" t="s">
        <v>6187</v>
      </c>
      <c r="I2618">
        <v>99999999</v>
      </c>
      <c r="J2618" s="188">
        <v>45236</v>
      </c>
      <c r="K2618" t="s">
        <v>6187</v>
      </c>
      <c r="L2618" t="s">
        <v>6187</v>
      </c>
      <c r="M2618" t="s">
        <v>173</v>
      </c>
      <c r="N2618" t="s">
        <v>164</v>
      </c>
      <c r="O2618">
        <v>97203</v>
      </c>
      <c r="Q2618" t="s">
        <v>124</v>
      </c>
      <c r="R2618">
        <v>2</v>
      </c>
      <c r="S2618">
        <v>2.36</v>
      </c>
      <c r="T2618">
        <v>0</v>
      </c>
      <c r="U2618">
        <v>1</v>
      </c>
      <c r="V2618">
        <v>1</v>
      </c>
      <c r="W2618">
        <v>0</v>
      </c>
      <c r="X2618">
        <v>0</v>
      </c>
      <c r="Y2618">
        <v>0</v>
      </c>
      <c r="Z2618">
        <v>0</v>
      </c>
      <c r="AA2618">
        <v>0</v>
      </c>
      <c r="AB2618">
        <v>0</v>
      </c>
      <c r="AC2618">
        <v>0</v>
      </c>
      <c r="AD2618">
        <v>2</v>
      </c>
      <c r="AE2618">
        <v>0</v>
      </c>
      <c r="AF2618">
        <v>0</v>
      </c>
      <c r="AG2618">
        <v>0</v>
      </c>
      <c r="AH2618">
        <v>0</v>
      </c>
      <c r="AI2618">
        <v>0</v>
      </c>
      <c r="AJ2618">
        <v>0</v>
      </c>
      <c r="AK2618">
        <v>0</v>
      </c>
    </row>
    <row r="2619" spans="1:37" x14ac:dyDescent="0.3">
      <c r="A2619">
        <v>7134</v>
      </c>
      <c r="B2619" t="s">
        <v>28</v>
      </c>
      <c r="C2619">
        <v>89</v>
      </c>
      <c r="D2619" t="s">
        <v>251</v>
      </c>
      <c r="E2619">
        <v>99999999</v>
      </c>
      <c r="F2619">
        <v>11111111</v>
      </c>
      <c r="G2619">
        <v>1111111111</v>
      </c>
      <c r="H2619" t="s">
        <v>6188</v>
      </c>
      <c r="I2619">
        <v>99999999</v>
      </c>
      <c r="J2619" s="188">
        <v>45236</v>
      </c>
      <c r="K2619" t="s">
        <v>6188</v>
      </c>
      <c r="L2619" t="s">
        <v>6188</v>
      </c>
      <c r="M2619" t="s">
        <v>173</v>
      </c>
      <c r="N2619" t="s">
        <v>164</v>
      </c>
      <c r="O2619">
        <v>97203</v>
      </c>
      <c r="Q2619" t="s">
        <v>124</v>
      </c>
      <c r="R2619">
        <v>4</v>
      </c>
      <c r="S2619">
        <v>4.0199999999999996</v>
      </c>
      <c r="T2619">
        <v>0</v>
      </c>
      <c r="U2619">
        <v>1</v>
      </c>
      <c r="V2619">
        <v>2</v>
      </c>
      <c r="W2619">
        <v>0</v>
      </c>
      <c r="X2619">
        <v>0</v>
      </c>
      <c r="Y2619">
        <v>0</v>
      </c>
      <c r="Z2619">
        <v>0</v>
      </c>
      <c r="AA2619">
        <v>0</v>
      </c>
      <c r="AB2619">
        <v>0</v>
      </c>
      <c r="AC2619">
        <v>0</v>
      </c>
      <c r="AD2619">
        <v>4</v>
      </c>
      <c r="AE2619">
        <v>0</v>
      </c>
      <c r="AF2619">
        <v>0</v>
      </c>
      <c r="AG2619">
        <v>0</v>
      </c>
      <c r="AH2619">
        <v>0</v>
      </c>
      <c r="AI2619">
        <v>0</v>
      </c>
      <c r="AJ2619">
        <v>0</v>
      </c>
      <c r="AK2619">
        <v>0</v>
      </c>
    </row>
    <row r="2620" spans="1:37" x14ac:dyDescent="0.3">
      <c r="A2620">
        <v>7134</v>
      </c>
      <c r="B2620" t="s">
        <v>28</v>
      </c>
      <c r="C2620">
        <v>699</v>
      </c>
      <c r="D2620" t="s">
        <v>251</v>
      </c>
      <c r="E2620">
        <v>99999999</v>
      </c>
      <c r="F2620">
        <v>11111111</v>
      </c>
      <c r="G2620">
        <v>1111111111</v>
      </c>
      <c r="H2620" t="s">
        <v>6189</v>
      </c>
      <c r="I2620">
        <v>99999999</v>
      </c>
      <c r="J2620" s="188">
        <v>45236</v>
      </c>
      <c r="K2620" t="s">
        <v>6189</v>
      </c>
      <c r="L2620" t="s">
        <v>6189</v>
      </c>
      <c r="M2620" t="s">
        <v>3297</v>
      </c>
      <c r="N2620" t="s">
        <v>811</v>
      </c>
      <c r="O2620">
        <v>20774</v>
      </c>
      <c r="Q2620" t="s">
        <v>124</v>
      </c>
      <c r="R2620">
        <v>3</v>
      </c>
      <c r="S2620">
        <v>2.84</v>
      </c>
      <c r="T2620">
        <v>0</v>
      </c>
      <c r="U2620">
        <v>1</v>
      </c>
      <c r="V2620">
        <v>2</v>
      </c>
      <c r="W2620">
        <v>0</v>
      </c>
      <c r="X2620">
        <v>0</v>
      </c>
      <c r="Y2620">
        <v>0</v>
      </c>
      <c r="Z2620">
        <v>0</v>
      </c>
      <c r="AA2620">
        <v>0</v>
      </c>
      <c r="AB2620">
        <v>0</v>
      </c>
      <c r="AC2620">
        <v>0</v>
      </c>
      <c r="AD2620">
        <v>3</v>
      </c>
      <c r="AE2620">
        <v>0</v>
      </c>
      <c r="AF2620">
        <v>0</v>
      </c>
      <c r="AG2620">
        <v>0</v>
      </c>
      <c r="AH2620">
        <v>0</v>
      </c>
      <c r="AI2620">
        <v>0</v>
      </c>
      <c r="AJ2620">
        <v>0</v>
      </c>
      <c r="AK2620">
        <v>0</v>
      </c>
    </row>
    <row r="2621" spans="1:37" x14ac:dyDescent="0.3">
      <c r="A2621">
        <v>7134</v>
      </c>
      <c r="B2621" t="s">
        <v>28</v>
      </c>
      <c r="C2621">
        <v>89</v>
      </c>
      <c r="D2621" t="s">
        <v>251</v>
      </c>
      <c r="E2621">
        <v>99999999</v>
      </c>
      <c r="F2621">
        <v>11111111</v>
      </c>
      <c r="G2621">
        <v>1111111111</v>
      </c>
      <c r="H2621" t="s">
        <v>6190</v>
      </c>
      <c r="I2621">
        <v>99999999</v>
      </c>
      <c r="J2621" s="188">
        <v>45236</v>
      </c>
      <c r="K2621" t="s">
        <v>6190</v>
      </c>
      <c r="L2621" t="s">
        <v>6190</v>
      </c>
      <c r="M2621" t="s">
        <v>173</v>
      </c>
      <c r="N2621" t="s">
        <v>164</v>
      </c>
      <c r="O2621">
        <v>97203</v>
      </c>
      <c r="Q2621" t="s">
        <v>124</v>
      </c>
      <c r="R2621">
        <v>8</v>
      </c>
      <c r="S2621">
        <v>7.25</v>
      </c>
      <c r="T2621">
        <v>0</v>
      </c>
      <c r="U2621">
        <v>1</v>
      </c>
      <c r="V2621">
        <v>4</v>
      </c>
      <c r="W2621">
        <v>0</v>
      </c>
      <c r="X2621">
        <v>0</v>
      </c>
      <c r="Y2621">
        <v>0</v>
      </c>
      <c r="Z2621">
        <v>0</v>
      </c>
      <c r="AA2621">
        <v>0</v>
      </c>
      <c r="AB2621">
        <v>0</v>
      </c>
      <c r="AC2621">
        <v>0</v>
      </c>
      <c r="AD2621">
        <v>8</v>
      </c>
      <c r="AE2621">
        <v>0</v>
      </c>
      <c r="AF2621">
        <v>0</v>
      </c>
      <c r="AG2621">
        <v>0</v>
      </c>
      <c r="AH2621">
        <v>0</v>
      </c>
      <c r="AI2621">
        <v>0</v>
      </c>
      <c r="AJ2621">
        <v>0</v>
      </c>
      <c r="AK2621">
        <v>0</v>
      </c>
    </row>
    <row r="2622" spans="1:37" x14ac:dyDescent="0.3">
      <c r="A2622">
        <v>7134</v>
      </c>
      <c r="B2622" t="s">
        <v>28</v>
      </c>
      <c r="C2622">
        <v>699</v>
      </c>
      <c r="D2622" t="s">
        <v>251</v>
      </c>
      <c r="E2622">
        <v>99999999</v>
      </c>
      <c r="F2622">
        <v>11111111</v>
      </c>
      <c r="G2622">
        <v>1111111111</v>
      </c>
      <c r="H2622" t="s">
        <v>6191</v>
      </c>
      <c r="I2622">
        <v>99999999</v>
      </c>
      <c r="J2622" s="188">
        <v>45236</v>
      </c>
      <c r="K2622" t="s">
        <v>6191</v>
      </c>
      <c r="L2622" t="s">
        <v>6191</v>
      </c>
      <c r="M2622" t="s">
        <v>3297</v>
      </c>
      <c r="N2622" t="s">
        <v>811</v>
      </c>
      <c r="O2622">
        <v>20774</v>
      </c>
      <c r="Q2622" t="s">
        <v>124</v>
      </c>
      <c r="R2622">
        <v>38</v>
      </c>
      <c r="S2622">
        <v>39.94</v>
      </c>
      <c r="T2622">
        <v>0</v>
      </c>
      <c r="U2622">
        <v>1</v>
      </c>
      <c r="V2622">
        <v>3</v>
      </c>
      <c r="W2622">
        <v>0</v>
      </c>
      <c r="X2622">
        <v>0</v>
      </c>
      <c r="Y2622">
        <v>0</v>
      </c>
      <c r="Z2622">
        <v>0</v>
      </c>
      <c r="AA2622">
        <v>1</v>
      </c>
      <c r="AB2622">
        <v>0</v>
      </c>
      <c r="AC2622">
        <v>0</v>
      </c>
      <c r="AD2622">
        <v>14</v>
      </c>
      <c r="AE2622">
        <v>0</v>
      </c>
      <c r="AF2622">
        <v>0</v>
      </c>
      <c r="AG2622">
        <v>0</v>
      </c>
      <c r="AH2622">
        <v>0</v>
      </c>
      <c r="AI2622">
        <v>0</v>
      </c>
      <c r="AJ2622">
        <v>0</v>
      </c>
      <c r="AK2622">
        <v>0</v>
      </c>
    </row>
    <row r="2623" spans="1:37" x14ac:dyDescent="0.3">
      <c r="A2623">
        <v>7134</v>
      </c>
      <c r="B2623" t="s">
        <v>28</v>
      </c>
      <c r="C2623">
        <v>699</v>
      </c>
      <c r="D2623" t="s">
        <v>251</v>
      </c>
      <c r="E2623">
        <v>99999999</v>
      </c>
      <c r="F2623">
        <v>11111111</v>
      </c>
      <c r="G2623">
        <v>1111111111</v>
      </c>
      <c r="H2623" t="s">
        <v>6192</v>
      </c>
      <c r="I2623">
        <v>99999999</v>
      </c>
      <c r="J2623" s="188">
        <v>45236</v>
      </c>
      <c r="K2623" t="s">
        <v>6192</v>
      </c>
      <c r="L2623" t="s">
        <v>6192</v>
      </c>
      <c r="M2623" t="s">
        <v>3297</v>
      </c>
      <c r="N2623" t="s">
        <v>811</v>
      </c>
      <c r="O2623">
        <v>20774</v>
      </c>
      <c r="Q2623" t="s">
        <v>124</v>
      </c>
      <c r="R2623">
        <v>4</v>
      </c>
      <c r="S2623">
        <v>4.38</v>
      </c>
      <c r="T2623">
        <v>0</v>
      </c>
      <c r="U2623">
        <v>1</v>
      </c>
      <c r="V2623">
        <v>3</v>
      </c>
      <c r="W2623">
        <v>0</v>
      </c>
      <c r="X2623">
        <v>0</v>
      </c>
      <c r="Y2623">
        <v>0</v>
      </c>
      <c r="Z2623">
        <v>0</v>
      </c>
      <c r="AA2623">
        <v>0</v>
      </c>
      <c r="AB2623">
        <v>0</v>
      </c>
      <c r="AC2623">
        <v>0</v>
      </c>
      <c r="AD2623">
        <v>4</v>
      </c>
      <c r="AE2623">
        <v>0</v>
      </c>
      <c r="AF2623">
        <v>0</v>
      </c>
      <c r="AG2623">
        <v>0</v>
      </c>
      <c r="AH2623">
        <v>0</v>
      </c>
      <c r="AI2623">
        <v>0</v>
      </c>
      <c r="AJ2623">
        <v>0</v>
      </c>
      <c r="AK2623">
        <v>0</v>
      </c>
    </row>
    <row r="2624" spans="1:37" x14ac:dyDescent="0.3">
      <c r="A2624">
        <v>7134</v>
      </c>
      <c r="B2624" t="s">
        <v>28</v>
      </c>
      <c r="C2624">
        <v>699</v>
      </c>
      <c r="D2624" t="s">
        <v>251</v>
      </c>
      <c r="E2624">
        <v>99999999</v>
      </c>
      <c r="F2624">
        <v>11111111</v>
      </c>
      <c r="G2624">
        <v>1111111111</v>
      </c>
      <c r="H2624" t="s">
        <v>6193</v>
      </c>
      <c r="I2624">
        <v>99999999</v>
      </c>
      <c r="J2624" s="188">
        <v>45236</v>
      </c>
      <c r="K2624" t="s">
        <v>6193</v>
      </c>
      <c r="L2624" t="s">
        <v>6193</v>
      </c>
      <c r="M2624" t="s">
        <v>3297</v>
      </c>
      <c r="N2624" t="s">
        <v>811</v>
      </c>
      <c r="O2624">
        <v>20774</v>
      </c>
      <c r="Q2624" t="s">
        <v>124</v>
      </c>
      <c r="R2624">
        <v>3</v>
      </c>
      <c r="S2624">
        <v>3.19</v>
      </c>
      <c r="T2624">
        <v>0</v>
      </c>
      <c r="U2624">
        <v>1</v>
      </c>
      <c r="V2624">
        <v>2</v>
      </c>
      <c r="W2624">
        <v>0</v>
      </c>
      <c r="X2624">
        <v>0</v>
      </c>
      <c r="Y2624">
        <v>0</v>
      </c>
      <c r="Z2624">
        <v>0</v>
      </c>
      <c r="AA2624">
        <v>0</v>
      </c>
      <c r="AB2624">
        <v>0</v>
      </c>
      <c r="AC2624">
        <v>0</v>
      </c>
      <c r="AD2624">
        <v>3</v>
      </c>
      <c r="AE2624">
        <v>0</v>
      </c>
      <c r="AF2624">
        <v>0</v>
      </c>
      <c r="AG2624">
        <v>0</v>
      </c>
      <c r="AH2624">
        <v>0</v>
      </c>
      <c r="AI2624">
        <v>0</v>
      </c>
      <c r="AJ2624">
        <v>0</v>
      </c>
      <c r="AK2624">
        <v>0</v>
      </c>
    </row>
    <row r="2625" spans="1:37" x14ac:dyDescent="0.3">
      <c r="A2625">
        <v>7134</v>
      </c>
      <c r="B2625" t="s">
        <v>28</v>
      </c>
      <c r="C2625">
        <v>299</v>
      </c>
      <c r="D2625" t="s">
        <v>251</v>
      </c>
      <c r="E2625">
        <v>99999999</v>
      </c>
      <c r="F2625">
        <v>11111111</v>
      </c>
      <c r="G2625">
        <v>1111111111</v>
      </c>
      <c r="H2625" t="s">
        <v>6194</v>
      </c>
      <c r="I2625">
        <v>99999999</v>
      </c>
      <c r="J2625" s="188">
        <v>45236</v>
      </c>
      <c r="K2625" t="s">
        <v>6194</v>
      </c>
      <c r="L2625" t="s">
        <v>6194</v>
      </c>
      <c r="M2625" t="s">
        <v>3299</v>
      </c>
      <c r="N2625" t="s">
        <v>950</v>
      </c>
      <c r="O2625">
        <v>52002</v>
      </c>
      <c r="Q2625" t="s">
        <v>124</v>
      </c>
      <c r="R2625">
        <v>2</v>
      </c>
      <c r="S2625">
        <v>2.0099999999999998</v>
      </c>
      <c r="T2625">
        <v>0</v>
      </c>
      <c r="U2625">
        <v>1</v>
      </c>
      <c r="V2625">
        <v>2</v>
      </c>
      <c r="W2625">
        <v>0</v>
      </c>
      <c r="X2625">
        <v>0</v>
      </c>
      <c r="Y2625">
        <v>0</v>
      </c>
      <c r="Z2625">
        <v>0</v>
      </c>
      <c r="AA2625">
        <v>0</v>
      </c>
      <c r="AB2625">
        <v>0</v>
      </c>
      <c r="AC2625">
        <v>0</v>
      </c>
      <c r="AD2625">
        <v>2</v>
      </c>
      <c r="AE2625">
        <v>0</v>
      </c>
      <c r="AF2625">
        <v>0</v>
      </c>
      <c r="AG2625">
        <v>0</v>
      </c>
      <c r="AH2625">
        <v>0</v>
      </c>
      <c r="AI2625">
        <v>0</v>
      </c>
      <c r="AJ2625">
        <v>0</v>
      </c>
      <c r="AK2625">
        <v>0</v>
      </c>
    </row>
    <row r="2626" spans="1:37" x14ac:dyDescent="0.3">
      <c r="A2626">
        <v>7134</v>
      </c>
      <c r="B2626" t="s">
        <v>28</v>
      </c>
      <c r="C2626">
        <v>699</v>
      </c>
      <c r="D2626" t="s">
        <v>251</v>
      </c>
      <c r="E2626">
        <v>99999999</v>
      </c>
      <c r="F2626">
        <v>11111111</v>
      </c>
      <c r="G2626">
        <v>1111111111</v>
      </c>
      <c r="H2626" t="s">
        <v>6195</v>
      </c>
      <c r="I2626">
        <v>99999999</v>
      </c>
      <c r="J2626" s="188">
        <v>45236</v>
      </c>
      <c r="K2626" t="s">
        <v>6195</v>
      </c>
      <c r="L2626" t="s">
        <v>6195</v>
      </c>
      <c r="M2626" t="s">
        <v>3297</v>
      </c>
      <c r="N2626" t="s">
        <v>811</v>
      </c>
      <c r="O2626">
        <v>20774</v>
      </c>
      <c r="Q2626" t="s">
        <v>124</v>
      </c>
      <c r="R2626">
        <v>4</v>
      </c>
      <c r="S2626">
        <v>3.99</v>
      </c>
      <c r="T2626">
        <v>0</v>
      </c>
      <c r="U2626">
        <v>1</v>
      </c>
      <c r="V2626">
        <v>3</v>
      </c>
      <c r="W2626">
        <v>0</v>
      </c>
      <c r="X2626">
        <v>0</v>
      </c>
      <c r="Y2626">
        <v>0</v>
      </c>
      <c r="Z2626">
        <v>0</v>
      </c>
      <c r="AA2626">
        <v>0</v>
      </c>
      <c r="AB2626">
        <v>0</v>
      </c>
      <c r="AC2626">
        <v>0</v>
      </c>
      <c r="AD2626">
        <v>4</v>
      </c>
      <c r="AE2626">
        <v>0</v>
      </c>
      <c r="AF2626">
        <v>0</v>
      </c>
      <c r="AG2626">
        <v>0</v>
      </c>
      <c r="AH2626">
        <v>0</v>
      </c>
      <c r="AI2626">
        <v>0</v>
      </c>
      <c r="AJ2626">
        <v>0</v>
      </c>
      <c r="AK2626">
        <v>0</v>
      </c>
    </row>
    <row r="2627" spans="1:37" x14ac:dyDescent="0.3">
      <c r="A2627">
        <v>7134</v>
      </c>
      <c r="B2627" t="s">
        <v>28</v>
      </c>
      <c r="C2627">
        <v>299</v>
      </c>
      <c r="D2627" t="s">
        <v>251</v>
      </c>
      <c r="E2627">
        <v>99999999</v>
      </c>
      <c r="F2627">
        <v>11111111</v>
      </c>
      <c r="G2627">
        <v>1111111111</v>
      </c>
      <c r="H2627" t="s">
        <v>6196</v>
      </c>
      <c r="I2627">
        <v>99999999</v>
      </c>
      <c r="J2627" s="188">
        <v>45236</v>
      </c>
      <c r="K2627" t="s">
        <v>6196</v>
      </c>
      <c r="L2627" t="s">
        <v>6196</v>
      </c>
      <c r="M2627" t="s">
        <v>3299</v>
      </c>
      <c r="N2627" t="s">
        <v>950</v>
      </c>
      <c r="O2627">
        <v>52002</v>
      </c>
      <c r="Q2627" t="s">
        <v>124</v>
      </c>
      <c r="R2627">
        <v>4</v>
      </c>
      <c r="S2627">
        <v>3.58</v>
      </c>
      <c r="T2627">
        <v>0</v>
      </c>
      <c r="U2627">
        <v>1</v>
      </c>
      <c r="V2627">
        <v>3</v>
      </c>
      <c r="W2627">
        <v>0</v>
      </c>
      <c r="X2627">
        <v>0</v>
      </c>
      <c r="Y2627">
        <v>0</v>
      </c>
      <c r="Z2627">
        <v>0</v>
      </c>
      <c r="AA2627">
        <v>0</v>
      </c>
      <c r="AB2627">
        <v>0</v>
      </c>
      <c r="AC2627">
        <v>0</v>
      </c>
      <c r="AD2627">
        <v>4</v>
      </c>
      <c r="AE2627">
        <v>0</v>
      </c>
      <c r="AF2627">
        <v>0</v>
      </c>
      <c r="AG2627">
        <v>0</v>
      </c>
      <c r="AH2627">
        <v>0</v>
      </c>
      <c r="AI2627">
        <v>0</v>
      </c>
      <c r="AJ2627">
        <v>0</v>
      </c>
      <c r="AK2627">
        <v>0</v>
      </c>
    </row>
    <row r="2628" spans="1:37" x14ac:dyDescent="0.3">
      <c r="A2628">
        <v>7134</v>
      </c>
      <c r="B2628" t="s">
        <v>28</v>
      </c>
      <c r="C2628">
        <v>699</v>
      </c>
      <c r="D2628" t="s">
        <v>251</v>
      </c>
      <c r="E2628">
        <v>99999999</v>
      </c>
      <c r="F2628">
        <v>11111111</v>
      </c>
      <c r="G2628">
        <v>1111111111</v>
      </c>
      <c r="H2628" t="s">
        <v>6197</v>
      </c>
      <c r="I2628">
        <v>99999999</v>
      </c>
      <c r="J2628" s="188">
        <v>45236</v>
      </c>
      <c r="K2628" t="s">
        <v>6197</v>
      </c>
      <c r="L2628" t="s">
        <v>6197</v>
      </c>
      <c r="M2628" t="s">
        <v>3297</v>
      </c>
      <c r="N2628" t="s">
        <v>811</v>
      </c>
      <c r="O2628">
        <v>20774</v>
      </c>
      <c r="Q2628" t="s">
        <v>124</v>
      </c>
      <c r="R2628">
        <v>4</v>
      </c>
      <c r="S2628">
        <v>3.97</v>
      </c>
      <c r="T2628">
        <v>0</v>
      </c>
      <c r="U2628">
        <v>1</v>
      </c>
      <c r="V2628">
        <v>3</v>
      </c>
      <c r="W2628">
        <v>0</v>
      </c>
      <c r="X2628">
        <v>0</v>
      </c>
      <c r="Y2628">
        <v>0</v>
      </c>
      <c r="Z2628">
        <v>0</v>
      </c>
      <c r="AA2628">
        <v>0</v>
      </c>
      <c r="AB2628">
        <v>0</v>
      </c>
      <c r="AC2628">
        <v>0</v>
      </c>
      <c r="AD2628">
        <v>4</v>
      </c>
      <c r="AE2628">
        <v>0</v>
      </c>
      <c r="AF2628">
        <v>0</v>
      </c>
      <c r="AG2628">
        <v>0</v>
      </c>
      <c r="AH2628">
        <v>0</v>
      </c>
      <c r="AI2628">
        <v>0</v>
      </c>
      <c r="AJ2628">
        <v>0</v>
      </c>
      <c r="AK2628">
        <v>0</v>
      </c>
    </row>
    <row r="2629" spans="1:37" x14ac:dyDescent="0.3">
      <c r="A2629">
        <v>7134</v>
      </c>
      <c r="B2629" t="s">
        <v>28</v>
      </c>
      <c r="C2629">
        <v>699</v>
      </c>
      <c r="D2629" t="s">
        <v>251</v>
      </c>
      <c r="E2629">
        <v>99999999</v>
      </c>
      <c r="F2629">
        <v>11111111</v>
      </c>
      <c r="G2629">
        <v>1111111111</v>
      </c>
      <c r="H2629" t="s">
        <v>6198</v>
      </c>
      <c r="I2629">
        <v>99999999</v>
      </c>
      <c r="J2629" s="188">
        <v>45236</v>
      </c>
      <c r="K2629" t="s">
        <v>6198</v>
      </c>
      <c r="L2629" t="s">
        <v>6198</v>
      </c>
      <c r="M2629" t="s">
        <v>3297</v>
      </c>
      <c r="N2629" t="s">
        <v>811</v>
      </c>
      <c r="O2629">
        <v>20774</v>
      </c>
      <c r="Q2629" t="s">
        <v>124</v>
      </c>
      <c r="R2629">
        <v>2</v>
      </c>
      <c r="S2629">
        <v>2.0099999999999998</v>
      </c>
      <c r="T2629">
        <v>0</v>
      </c>
      <c r="U2629">
        <v>1</v>
      </c>
      <c r="V2629">
        <v>2</v>
      </c>
      <c r="W2629">
        <v>0</v>
      </c>
      <c r="X2629">
        <v>0</v>
      </c>
      <c r="Y2629">
        <v>0</v>
      </c>
      <c r="Z2629">
        <v>0</v>
      </c>
      <c r="AA2629">
        <v>0</v>
      </c>
      <c r="AB2629">
        <v>0</v>
      </c>
      <c r="AC2629">
        <v>0</v>
      </c>
      <c r="AD2629">
        <v>2</v>
      </c>
      <c r="AE2629">
        <v>0</v>
      </c>
      <c r="AF2629">
        <v>0</v>
      </c>
      <c r="AG2629">
        <v>0</v>
      </c>
      <c r="AH2629">
        <v>0</v>
      </c>
      <c r="AI2629">
        <v>0</v>
      </c>
      <c r="AJ2629">
        <v>0</v>
      </c>
      <c r="AK2629">
        <v>0</v>
      </c>
    </row>
    <row r="2630" spans="1:37" x14ac:dyDescent="0.3">
      <c r="A2630">
        <v>7134</v>
      </c>
      <c r="B2630" t="s">
        <v>28</v>
      </c>
      <c r="C2630">
        <v>699</v>
      </c>
      <c r="D2630" t="s">
        <v>251</v>
      </c>
      <c r="E2630">
        <v>99999999</v>
      </c>
      <c r="F2630">
        <v>11111111</v>
      </c>
      <c r="G2630">
        <v>1111111111</v>
      </c>
      <c r="H2630" t="s">
        <v>6199</v>
      </c>
      <c r="I2630">
        <v>99999999</v>
      </c>
      <c r="J2630" s="188">
        <v>45236</v>
      </c>
      <c r="K2630" t="s">
        <v>6199</v>
      </c>
      <c r="L2630" t="s">
        <v>6199</v>
      </c>
      <c r="M2630" t="s">
        <v>3297</v>
      </c>
      <c r="N2630" t="s">
        <v>811</v>
      </c>
      <c r="O2630">
        <v>20774</v>
      </c>
      <c r="Q2630" t="s">
        <v>124</v>
      </c>
      <c r="R2630">
        <v>2</v>
      </c>
      <c r="S2630">
        <v>2.02</v>
      </c>
      <c r="T2630">
        <v>0</v>
      </c>
      <c r="U2630">
        <v>1</v>
      </c>
      <c r="V2630">
        <v>2</v>
      </c>
      <c r="W2630">
        <v>0</v>
      </c>
      <c r="X2630">
        <v>0</v>
      </c>
      <c r="Y2630">
        <v>0</v>
      </c>
      <c r="Z2630">
        <v>0</v>
      </c>
      <c r="AA2630">
        <v>0</v>
      </c>
      <c r="AB2630">
        <v>0</v>
      </c>
      <c r="AC2630">
        <v>0</v>
      </c>
      <c r="AD2630">
        <v>2</v>
      </c>
      <c r="AE2630">
        <v>0</v>
      </c>
      <c r="AF2630">
        <v>0</v>
      </c>
      <c r="AG2630">
        <v>0</v>
      </c>
      <c r="AH2630">
        <v>0</v>
      </c>
      <c r="AI2630">
        <v>0</v>
      </c>
      <c r="AJ2630">
        <v>0</v>
      </c>
      <c r="AK2630">
        <v>0</v>
      </c>
    </row>
    <row r="2631" spans="1:37" x14ac:dyDescent="0.3">
      <c r="A2631">
        <v>7134</v>
      </c>
      <c r="B2631" t="s">
        <v>28</v>
      </c>
      <c r="C2631">
        <v>299</v>
      </c>
      <c r="D2631" t="s">
        <v>251</v>
      </c>
      <c r="E2631">
        <v>99999999</v>
      </c>
      <c r="F2631">
        <v>11111111</v>
      </c>
      <c r="G2631">
        <v>1111111111</v>
      </c>
      <c r="H2631" t="s">
        <v>6200</v>
      </c>
      <c r="I2631">
        <v>99999999</v>
      </c>
      <c r="J2631" s="188">
        <v>45236</v>
      </c>
      <c r="K2631" t="s">
        <v>6200</v>
      </c>
      <c r="L2631" t="s">
        <v>6200</v>
      </c>
      <c r="M2631" t="s">
        <v>3299</v>
      </c>
      <c r="N2631" t="s">
        <v>950</v>
      </c>
      <c r="O2631">
        <v>52002</v>
      </c>
      <c r="Q2631" t="s">
        <v>124</v>
      </c>
      <c r="R2631">
        <v>3</v>
      </c>
      <c r="S2631">
        <v>2.84</v>
      </c>
      <c r="T2631">
        <v>0</v>
      </c>
      <c r="U2631">
        <v>1</v>
      </c>
      <c r="V2631">
        <v>2</v>
      </c>
      <c r="W2631">
        <v>0</v>
      </c>
      <c r="X2631">
        <v>0</v>
      </c>
      <c r="Y2631">
        <v>0</v>
      </c>
      <c r="Z2631">
        <v>0</v>
      </c>
      <c r="AA2631">
        <v>0</v>
      </c>
      <c r="AB2631">
        <v>0</v>
      </c>
      <c r="AC2631">
        <v>0</v>
      </c>
      <c r="AD2631">
        <v>3</v>
      </c>
      <c r="AE2631">
        <v>0</v>
      </c>
      <c r="AF2631">
        <v>0</v>
      </c>
      <c r="AG2631">
        <v>0</v>
      </c>
      <c r="AH2631">
        <v>0</v>
      </c>
      <c r="AI2631">
        <v>0</v>
      </c>
      <c r="AJ2631">
        <v>0</v>
      </c>
      <c r="AK2631">
        <v>0</v>
      </c>
    </row>
    <row r="2632" spans="1:37" x14ac:dyDescent="0.3">
      <c r="A2632">
        <v>7134</v>
      </c>
      <c r="B2632" t="s">
        <v>28</v>
      </c>
      <c r="C2632">
        <v>299</v>
      </c>
      <c r="D2632" t="s">
        <v>251</v>
      </c>
      <c r="E2632">
        <v>99999999</v>
      </c>
      <c r="F2632">
        <v>11111111</v>
      </c>
      <c r="G2632">
        <v>1111111111</v>
      </c>
      <c r="H2632" t="s">
        <v>6201</v>
      </c>
      <c r="I2632">
        <v>99999999</v>
      </c>
      <c r="J2632" s="188">
        <v>45236</v>
      </c>
      <c r="K2632" t="s">
        <v>6201</v>
      </c>
      <c r="L2632" t="s">
        <v>6201</v>
      </c>
      <c r="M2632" t="s">
        <v>3299</v>
      </c>
      <c r="N2632" t="s">
        <v>950</v>
      </c>
      <c r="O2632">
        <v>52002</v>
      </c>
      <c r="Q2632" t="s">
        <v>124</v>
      </c>
      <c r="R2632">
        <v>3</v>
      </c>
      <c r="S2632">
        <v>2.8</v>
      </c>
      <c r="T2632">
        <v>0</v>
      </c>
      <c r="U2632">
        <v>1</v>
      </c>
      <c r="V2632">
        <v>3</v>
      </c>
      <c r="W2632">
        <v>0</v>
      </c>
      <c r="X2632">
        <v>0</v>
      </c>
      <c r="Y2632">
        <v>0</v>
      </c>
      <c r="Z2632">
        <v>0</v>
      </c>
      <c r="AA2632">
        <v>0</v>
      </c>
      <c r="AB2632">
        <v>0</v>
      </c>
      <c r="AC2632">
        <v>0</v>
      </c>
      <c r="AD2632">
        <v>3</v>
      </c>
      <c r="AE2632">
        <v>0</v>
      </c>
      <c r="AF2632">
        <v>0</v>
      </c>
      <c r="AG2632">
        <v>0</v>
      </c>
      <c r="AH2632">
        <v>0</v>
      </c>
      <c r="AI2632">
        <v>0</v>
      </c>
      <c r="AJ2632">
        <v>0</v>
      </c>
      <c r="AK2632">
        <v>0</v>
      </c>
    </row>
    <row r="2633" spans="1:37" x14ac:dyDescent="0.3">
      <c r="A2633">
        <v>7134</v>
      </c>
      <c r="B2633" t="s">
        <v>28</v>
      </c>
      <c r="C2633">
        <v>299</v>
      </c>
      <c r="D2633" t="s">
        <v>251</v>
      </c>
      <c r="E2633">
        <v>99999999</v>
      </c>
      <c r="F2633">
        <v>11111111</v>
      </c>
      <c r="G2633">
        <v>1111111111</v>
      </c>
      <c r="H2633" t="s">
        <v>6202</v>
      </c>
      <c r="I2633">
        <v>99999999</v>
      </c>
      <c r="J2633" s="188">
        <v>45236</v>
      </c>
      <c r="K2633" t="s">
        <v>6202</v>
      </c>
      <c r="L2633" t="s">
        <v>6202</v>
      </c>
      <c r="M2633" t="s">
        <v>3299</v>
      </c>
      <c r="N2633" t="s">
        <v>950</v>
      </c>
      <c r="O2633">
        <v>52002</v>
      </c>
      <c r="Q2633" t="s">
        <v>124</v>
      </c>
      <c r="R2633">
        <v>2</v>
      </c>
      <c r="S2633">
        <v>1.96</v>
      </c>
      <c r="T2633">
        <v>0</v>
      </c>
      <c r="U2633">
        <v>1</v>
      </c>
      <c r="V2633">
        <v>2</v>
      </c>
      <c r="W2633">
        <v>0</v>
      </c>
      <c r="X2633">
        <v>0</v>
      </c>
      <c r="Y2633">
        <v>0</v>
      </c>
      <c r="Z2633">
        <v>0</v>
      </c>
      <c r="AA2633">
        <v>0</v>
      </c>
      <c r="AB2633">
        <v>0</v>
      </c>
      <c r="AC2633">
        <v>0</v>
      </c>
      <c r="AD2633">
        <v>2</v>
      </c>
      <c r="AE2633">
        <v>0</v>
      </c>
      <c r="AF2633">
        <v>0</v>
      </c>
      <c r="AG2633">
        <v>0</v>
      </c>
      <c r="AH2633">
        <v>0</v>
      </c>
      <c r="AI2633">
        <v>0</v>
      </c>
      <c r="AJ2633">
        <v>0</v>
      </c>
      <c r="AK2633">
        <v>0</v>
      </c>
    </row>
    <row r="2634" spans="1:37" x14ac:dyDescent="0.3">
      <c r="A2634">
        <v>7134</v>
      </c>
      <c r="B2634" t="s">
        <v>28</v>
      </c>
      <c r="C2634">
        <v>699</v>
      </c>
      <c r="D2634" t="s">
        <v>251</v>
      </c>
      <c r="E2634">
        <v>99999999</v>
      </c>
      <c r="F2634">
        <v>11111111</v>
      </c>
      <c r="G2634">
        <v>1111111111</v>
      </c>
      <c r="H2634" t="s">
        <v>6203</v>
      </c>
      <c r="I2634">
        <v>99999999</v>
      </c>
      <c r="J2634" s="188">
        <v>45236</v>
      </c>
      <c r="K2634" t="s">
        <v>6203</v>
      </c>
      <c r="L2634" t="s">
        <v>6203</v>
      </c>
      <c r="M2634" t="s">
        <v>3297</v>
      </c>
      <c r="N2634" t="s">
        <v>811</v>
      </c>
      <c r="O2634">
        <v>20774</v>
      </c>
      <c r="Q2634" t="s">
        <v>124</v>
      </c>
      <c r="R2634">
        <v>3</v>
      </c>
      <c r="S2634">
        <v>2.84</v>
      </c>
      <c r="T2634">
        <v>0</v>
      </c>
      <c r="U2634">
        <v>1</v>
      </c>
      <c r="V2634">
        <v>2</v>
      </c>
      <c r="W2634">
        <v>0</v>
      </c>
      <c r="X2634">
        <v>0</v>
      </c>
      <c r="Y2634">
        <v>0</v>
      </c>
      <c r="Z2634">
        <v>0</v>
      </c>
      <c r="AA2634">
        <v>0</v>
      </c>
      <c r="AB2634">
        <v>0</v>
      </c>
      <c r="AC2634">
        <v>0</v>
      </c>
      <c r="AD2634">
        <v>3</v>
      </c>
      <c r="AE2634">
        <v>0</v>
      </c>
      <c r="AF2634">
        <v>0</v>
      </c>
      <c r="AG2634">
        <v>0</v>
      </c>
      <c r="AH2634">
        <v>0</v>
      </c>
      <c r="AI2634">
        <v>0</v>
      </c>
      <c r="AJ2634">
        <v>0</v>
      </c>
      <c r="AK2634">
        <v>0</v>
      </c>
    </row>
    <row r="2635" spans="1:37" x14ac:dyDescent="0.3">
      <c r="A2635">
        <v>7134</v>
      </c>
      <c r="B2635" t="s">
        <v>28</v>
      </c>
      <c r="C2635">
        <v>699</v>
      </c>
      <c r="D2635" t="s">
        <v>251</v>
      </c>
      <c r="E2635">
        <v>99999999</v>
      </c>
      <c r="F2635">
        <v>11111111</v>
      </c>
      <c r="G2635">
        <v>1111111111</v>
      </c>
      <c r="H2635" t="s">
        <v>6204</v>
      </c>
      <c r="I2635">
        <v>99999999</v>
      </c>
      <c r="J2635" s="188">
        <v>45236</v>
      </c>
      <c r="K2635" t="s">
        <v>6204</v>
      </c>
      <c r="L2635" t="s">
        <v>6204</v>
      </c>
      <c r="M2635" t="s">
        <v>3297</v>
      </c>
      <c r="N2635" t="s">
        <v>811</v>
      </c>
      <c r="O2635">
        <v>20774</v>
      </c>
      <c r="Q2635" t="s">
        <v>124</v>
      </c>
      <c r="R2635">
        <v>2</v>
      </c>
      <c r="S2635">
        <v>2.02</v>
      </c>
      <c r="T2635">
        <v>0</v>
      </c>
      <c r="U2635">
        <v>1</v>
      </c>
      <c r="V2635">
        <v>2</v>
      </c>
      <c r="W2635">
        <v>0</v>
      </c>
      <c r="X2635">
        <v>0</v>
      </c>
      <c r="Y2635">
        <v>0</v>
      </c>
      <c r="Z2635">
        <v>0</v>
      </c>
      <c r="AA2635">
        <v>0</v>
      </c>
      <c r="AB2635">
        <v>0</v>
      </c>
      <c r="AC2635">
        <v>0</v>
      </c>
      <c r="AD2635">
        <v>2</v>
      </c>
      <c r="AE2635">
        <v>0</v>
      </c>
      <c r="AF2635">
        <v>0</v>
      </c>
      <c r="AG2635">
        <v>0</v>
      </c>
      <c r="AH2635">
        <v>0</v>
      </c>
      <c r="AI2635">
        <v>0</v>
      </c>
      <c r="AJ2635">
        <v>0</v>
      </c>
      <c r="AK2635">
        <v>0</v>
      </c>
    </row>
    <row r="2636" spans="1:37" x14ac:dyDescent="0.3">
      <c r="A2636">
        <v>7134</v>
      </c>
      <c r="B2636" t="s">
        <v>28</v>
      </c>
      <c r="C2636">
        <v>699</v>
      </c>
      <c r="D2636" t="s">
        <v>251</v>
      </c>
      <c r="E2636">
        <v>99999999</v>
      </c>
      <c r="F2636">
        <v>11111111</v>
      </c>
      <c r="G2636">
        <v>1111111111</v>
      </c>
      <c r="H2636" t="s">
        <v>6205</v>
      </c>
      <c r="I2636">
        <v>99999999</v>
      </c>
      <c r="J2636" s="188">
        <v>45236</v>
      </c>
      <c r="K2636" t="s">
        <v>6205</v>
      </c>
      <c r="L2636" t="s">
        <v>6205</v>
      </c>
      <c r="M2636" t="s">
        <v>3297</v>
      </c>
      <c r="N2636" t="s">
        <v>811</v>
      </c>
      <c r="O2636">
        <v>20774</v>
      </c>
      <c r="Q2636" t="s">
        <v>124</v>
      </c>
      <c r="R2636">
        <v>3</v>
      </c>
      <c r="S2636">
        <v>3.19</v>
      </c>
      <c r="T2636">
        <v>0</v>
      </c>
      <c r="U2636">
        <v>1</v>
      </c>
      <c r="V2636">
        <v>2</v>
      </c>
      <c r="W2636">
        <v>0</v>
      </c>
      <c r="X2636">
        <v>0</v>
      </c>
      <c r="Y2636">
        <v>0</v>
      </c>
      <c r="Z2636">
        <v>0</v>
      </c>
      <c r="AA2636">
        <v>0</v>
      </c>
      <c r="AB2636">
        <v>0</v>
      </c>
      <c r="AC2636">
        <v>0</v>
      </c>
      <c r="AD2636">
        <v>3</v>
      </c>
      <c r="AE2636">
        <v>0</v>
      </c>
      <c r="AF2636">
        <v>0</v>
      </c>
      <c r="AG2636">
        <v>0</v>
      </c>
      <c r="AH2636">
        <v>0</v>
      </c>
      <c r="AI2636">
        <v>0</v>
      </c>
      <c r="AJ2636">
        <v>0</v>
      </c>
      <c r="AK2636">
        <v>0</v>
      </c>
    </row>
    <row r="2637" spans="1:37" x14ac:dyDescent="0.3">
      <c r="A2637">
        <v>7134</v>
      </c>
      <c r="B2637" t="s">
        <v>28</v>
      </c>
      <c r="C2637">
        <v>699</v>
      </c>
      <c r="D2637" t="s">
        <v>251</v>
      </c>
      <c r="E2637">
        <v>99999999</v>
      </c>
      <c r="F2637">
        <v>11111111</v>
      </c>
      <c r="G2637">
        <v>1111111111</v>
      </c>
      <c r="H2637" t="s">
        <v>6206</v>
      </c>
      <c r="I2637">
        <v>99999999</v>
      </c>
      <c r="J2637" s="188">
        <v>45236</v>
      </c>
      <c r="K2637" t="s">
        <v>6206</v>
      </c>
      <c r="L2637" t="s">
        <v>6206</v>
      </c>
      <c r="M2637" t="s">
        <v>3297</v>
      </c>
      <c r="N2637" t="s">
        <v>811</v>
      </c>
      <c r="O2637">
        <v>20774</v>
      </c>
      <c r="Q2637" t="s">
        <v>124</v>
      </c>
      <c r="R2637">
        <v>3</v>
      </c>
      <c r="S2637">
        <v>3.54</v>
      </c>
      <c r="T2637">
        <v>0</v>
      </c>
      <c r="U2637">
        <v>1</v>
      </c>
      <c r="V2637">
        <v>1</v>
      </c>
      <c r="W2637">
        <v>0</v>
      </c>
      <c r="X2637">
        <v>0</v>
      </c>
      <c r="Y2637">
        <v>0</v>
      </c>
      <c r="Z2637">
        <v>0</v>
      </c>
      <c r="AA2637">
        <v>0</v>
      </c>
      <c r="AB2637">
        <v>0</v>
      </c>
      <c r="AC2637">
        <v>0</v>
      </c>
      <c r="AD2637">
        <v>3</v>
      </c>
      <c r="AE2637">
        <v>0</v>
      </c>
      <c r="AF2637">
        <v>0</v>
      </c>
      <c r="AG2637">
        <v>0</v>
      </c>
      <c r="AH2637">
        <v>0</v>
      </c>
      <c r="AI2637">
        <v>0</v>
      </c>
      <c r="AJ2637">
        <v>0</v>
      </c>
      <c r="AK2637">
        <v>0</v>
      </c>
    </row>
    <row r="2638" spans="1:37" x14ac:dyDescent="0.3">
      <c r="A2638">
        <v>7134</v>
      </c>
      <c r="B2638" t="s">
        <v>28</v>
      </c>
      <c r="C2638">
        <v>569</v>
      </c>
      <c r="D2638" t="s">
        <v>251</v>
      </c>
      <c r="E2638">
        <v>99999999</v>
      </c>
      <c r="F2638">
        <v>11111111</v>
      </c>
      <c r="G2638">
        <v>1111111111</v>
      </c>
      <c r="H2638" t="s">
        <v>6207</v>
      </c>
      <c r="I2638">
        <v>99999999</v>
      </c>
      <c r="J2638" s="188">
        <v>45237</v>
      </c>
      <c r="K2638" t="s">
        <v>6207</v>
      </c>
      <c r="L2638" t="s">
        <v>6207</v>
      </c>
      <c r="M2638" t="s">
        <v>3301</v>
      </c>
      <c r="N2638" t="s">
        <v>118</v>
      </c>
      <c r="O2638">
        <v>17022</v>
      </c>
      <c r="Q2638" t="s">
        <v>124</v>
      </c>
      <c r="R2638">
        <v>8</v>
      </c>
      <c r="S2638">
        <v>6.64</v>
      </c>
      <c r="T2638">
        <v>0</v>
      </c>
      <c r="U2638">
        <v>1</v>
      </c>
      <c r="V2638">
        <v>1</v>
      </c>
      <c r="W2638">
        <v>0</v>
      </c>
      <c r="X2638">
        <v>0</v>
      </c>
      <c r="Y2638">
        <v>0</v>
      </c>
      <c r="Z2638">
        <v>0</v>
      </c>
      <c r="AA2638">
        <v>0</v>
      </c>
      <c r="AB2638">
        <v>0</v>
      </c>
      <c r="AC2638">
        <v>0</v>
      </c>
      <c r="AD2638">
        <v>8</v>
      </c>
      <c r="AE2638">
        <v>0</v>
      </c>
      <c r="AF2638">
        <v>0</v>
      </c>
      <c r="AG2638">
        <v>0</v>
      </c>
      <c r="AH2638">
        <v>0</v>
      </c>
      <c r="AI2638">
        <v>0</v>
      </c>
      <c r="AJ2638">
        <v>0</v>
      </c>
      <c r="AK2638">
        <v>0</v>
      </c>
    </row>
    <row r="2639" spans="1:37" x14ac:dyDescent="0.3">
      <c r="A2639">
        <v>7134</v>
      </c>
      <c r="B2639" t="s">
        <v>28</v>
      </c>
      <c r="C2639">
        <v>599</v>
      </c>
      <c r="D2639" t="s">
        <v>251</v>
      </c>
      <c r="E2639">
        <v>99999999</v>
      </c>
      <c r="F2639">
        <v>11111111</v>
      </c>
      <c r="G2639">
        <v>1111111111</v>
      </c>
      <c r="H2639" t="s">
        <v>6208</v>
      </c>
      <c r="I2639">
        <v>99999999</v>
      </c>
      <c r="J2639" s="188">
        <v>45237</v>
      </c>
      <c r="K2639" t="s">
        <v>6208</v>
      </c>
      <c r="L2639" t="s">
        <v>6208</v>
      </c>
      <c r="M2639" t="s">
        <v>3302</v>
      </c>
      <c r="N2639" t="s">
        <v>950</v>
      </c>
      <c r="O2639">
        <v>52404</v>
      </c>
      <c r="Q2639" t="s">
        <v>124</v>
      </c>
      <c r="R2639">
        <v>10</v>
      </c>
      <c r="S2639">
        <v>10.1</v>
      </c>
      <c r="T2639">
        <v>0</v>
      </c>
      <c r="U2639">
        <v>1</v>
      </c>
      <c r="V2639">
        <v>2</v>
      </c>
      <c r="W2639">
        <v>0</v>
      </c>
      <c r="X2639">
        <v>0</v>
      </c>
      <c r="Y2639">
        <v>0</v>
      </c>
      <c r="Z2639">
        <v>0</v>
      </c>
      <c r="AA2639">
        <v>0</v>
      </c>
      <c r="AB2639">
        <v>0</v>
      </c>
      <c r="AC2639">
        <v>0</v>
      </c>
      <c r="AD2639">
        <v>10</v>
      </c>
      <c r="AE2639">
        <v>0</v>
      </c>
      <c r="AF2639">
        <v>0</v>
      </c>
      <c r="AG2639">
        <v>0</v>
      </c>
      <c r="AH2639">
        <v>0</v>
      </c>
      <c r="AI2639">
        <v>0</v>
      </c>
      <c r="AJ2639">
        <v>0</v>
      </c>
      <c r="AK2639">
        <v>0</v>
      </c>
    </row>
    <row r="2640" spans="1:37" x14ac:dyDescent="0.3">
      <c r="A2640">
        <v>7134</v>
      </c>
      <c r="B2640" t="s">
        <v>28</v>
      </c>
      <c r="C2640">
        <v>584</v>
      </c>
      <c r="D2640" t="s">
        <v>251</v>
      </c>
      <c r="E2640">
        <v>99999999</v>
      </c>
      <c r="F2640">
        <v>11111111</v>
      </c>
      <c r="G2640">
        <v>1111111111</v>
      </c>
      <c r="H2640" t="s">
        <v>6209</v>
      </c>
      <c r="I2640">
        <v>99999999</v>
      </c>
      <c r="J2640" s="188">
        <v>45237</v>
      </c>
      <c r="K2640" t="s">
        <v>6209</v>
      </c>
      <c r="L2640" t="s">
        <v>6209</v>
      </c>
      <c r="M2640" t="s">
        <v>387</v>
      </c>
      <c r="N2640" t="s">
        <v>99</v>
      </c>
      <c r="O2640">
        <v>92507</v>
      </c>
      <c r="Q2640" t="s">
        <v>124</v>
      </c>
      <c r="R2640">
        <v>18</v>
      </c>
      <c r="S2640">
        <v>18.54</v>
      </c>
      <c r="T2640">
        <v>0</v>
      </c>
      <c r="U2640">
        <v>1</v>
      </c>
      <c r="V2640">
        <v>2</v>
      </c>
      <c r="W2640">
        <v>0</v>
      </c>
      <c r="X2640">
        <v>0</v>
      </c>
      <c r="Y2640">
        <v>0</v>
      </c>
      <c r="Z2640">
        <v>0</v>
      </c>
      <c r="AA2640">
        <v>0</v>
      </c>
      <c r="AB2640">
        <v>0</v>
      </c>
      <c r="AC2640">
        <v>0</v>
      </c>
      <c r="AD2640">
        <v>18</v>
      </c>
      <c r="AE2640">
        <v>0</v>
      </c>
      <c r="AF2640">
        <v>0</v>
      </c>
      <c r="AG2640">
        <v>0</v>
      </c>
      <c r="AH2640">
        <v>0</v>
      </c>
      <c r="AI2640">
        <v>0</v>
      </c>
      <c r="AJ2640">
        <v>0</v>
      </c>
      <c r="AK2640">
        <v>0</v>
      </c>
    </row>
    <row r="2641" spans="1:37" x14ac:dyDescent="0.3">
      <c r="A2641">
        <v>7134</v>
      </c>
      <c r="B2641" t="s">
        <v>28</v>
      </c>
      <c r="C2641">
        <v>879</v>
      </c>
      <c r="D2641" t="s">
        <v>251</v>
      </c>
      <c r="E2641">
        <v>99999999</v>
      </c>
      <c r="F2641">
        <v>11111111</v>
      </c>
      <c r="G2641">
        <v>1111111111</v>
      </c>
      <c r="H2641" t="s">
        <v>6210</v>
      </c>
      <c r="I2641">
        <v>99999999</v>
      </c>
      <c r="J2641" s="188">
        <v>45238</v>
      </c>
      <c r="K2641" t="s">
        <v>6210</v>
      </c>
      <c r="L2641" t="s">
        <v>6210</v>
      </c>
      <c r="M2641" t="s">
        <v>2002</v>
      </c>
      <c r="N2641" t="s">
        <v>99</v>
      </c>
      <c r="O2641">
        <v>92407</v>
      </c>
      <c r="Q2641" t="s">
        <v>124</v>
      </c>
      <c r="R2641">
        <v>22</v>
      </c>
      <c r="S2641">
        <v>27.332000000000001</v>
      </c>
      <c r="T2641">
        <v>0</v>
      </c>
      <c r="U2641">
        <v>1</v>
      </c>
      <c r="V2641">
        <v>3</v>
      </c>
      <c r="W2641">
        <v>0</v>
      </c>
      <c r="X2641">
        <v>0</v>
      </c>
      <c r="Y2641">
        <v>0</v>
      </c>
      <c r="Z2641">
        <v>0</v>
      </c>
      <c r="AA2641">
        <v>0</v>
      </c>
      <c r="AB2641">
        <v>0</v>
      </c>
      <c r="AC2641">
        <v>0</v>
      </c>
      <c r="AD2641">
        <v>22</v>
      </c>
      <c r="AE2641">
        <v>0</v>
      </c>
      <c r="AF2641">
        <v>0</v>
      </c>
      <c r="AG2641">
        <v>0</v>
      </c>
      <c r="AH2641">
        <v>0</v>
      </c>
      <c r="AI2641">
        <v>0</v>
      </c>
      <c r="AJ2641">
        <v>0</v>
      </c>
      <c r="AK2641">
        <v>0</v>
      </c>
    </row>
    <row r="2642" spans="1:37" x14ac:dyDescent="0.3">
      <c r="A2642">
        <v>7134</v>
      </c>
      <c r="B2642" t="s">
        <v>28</v>
      </c>
      <c r="C2642">
        <v>562</v>
      </c>
      <c r="D2642" t="s">
        <v>251</v>
      </c>
      <c r="E2642">
        <v>99999999</v>
      </c>
      <c r="F2642">
        <v>11111111</v>
      </c>
      <c r="G2642">
        <v>1111111111</v>
      </c>
      <c r="H2642" t="s">
        <v>6211</v>
      </c>
      <c r="I2642">
        <v>99999999</v>
      </c>
      <c r="J2642" s="188">
        <v>45238</v>
      </c>
      <c r="K2642" t="s">
        <v>6211</v>
      </c>
      <c r="L2642" t="s">
        <v>6211</v>
      </c>
      <c r="M2642" t="s">
        <v>3301</v>
      </c>
      <c r="N2642" t="s">
        <v>118</v>
      </c>
      <c r="O2642">
        <v>17022</v>
      </c>
      <c r="Q2642" t="s">
        <v>124</v>
      </c>
      <c r="R2642">
        <v>84</v>
      </c>
      <c r="S2642">
        <v>101.956</v>
      </c>
      <c r="T2642">
        <v>0</v>
      </c>
      <c r="U2642">
        <v>3</v>
      </c>
      <c r="V2642">
        <v>4</v>
      </c>
      <c r="W2642">
        <v>0</v>
      </c>
      <c r="X2642">
        <v>0</v>
      </c>
      <c r="Y2642">
        <v>0</v>
      </c>
      <c r="Z2642">
        <v>0</v>
      </c>
      <c r="AA2642">
        <v>2</v>
      </c>
      <c r="AB2642">
        <v>0</v>
      </c>
      <c r="AC2642">
        <v>0</v>
      </c>
      <c r="AD2642">
        <v>36</v>
      </c>
      <c r="AE2642">
        <v>0</v>
      </c>
      <c r="AF2642">
        <v>0</v>
      </c>
      <c r="AG2642">
        <v>0</v>
      </c>
      <c r="AH2642">
        <v>0</v>
      </c>
      <c r="AI2642">
        <v>0</v>
      </c>
      <c r="AJ2642">
        <v>0</v>
      </c>
      <c r="AK2642">
        <v>0</v>
      </c>
    </row>
    <row r="2643" spans="1:37" x14ac:dyDescent="0.3">
      <c r="A2643">
        <v>7134</v>
      </c>
      <c r="B2643" t="s">
        <v>28</v>
      </c>
      <c r="D2643" t="s">
        <v>251</v>
      </c>
      <c r="E2643">
        <v>99999999</v>
      </c>
      <c r="F2643">
        <v>11111111</v>
      </c>
      <c r="G2643">
        <v>1111111111</v>
      </c>
      <c r="H2643" t="s">
        <v>6212</v>
      </c>
      <c r="I2643">
        <v>99999999</v>
      </c>
      <c r="J2643" s="188">
        <v>45238</v>
      </c>
      <c r="K2643" t="s">
        <v>6212</v>
      </c>
      <c r="L2643" t="s">
        <v>6212</v>
      </c>
      <c r="M2643" t="s">
        <v>3303</v>
      </c>
      <c r="N2643" t="s">
        <v>256</v>
      </c>
      <c r="O2643">
        <v>96706</v>
      </c>
      <c r="P2643" t="s">
        <v>214</v>
      </c>
      <c r="Q2643" t="s">
        <v>82</v>
      </c>
      <c r="R2643">
        <v>1</v>
      </c>
      <c r="S2643">
        <v>0.89</v>
      </c>
      <c r="T2643">
        <v>0</v>
      </c>
      <c r="U2643">
        <v>1</v>
      </c>
      <c r="V2643">
        <v>1</v>
      </c>
      <c r="W2643">
        <v>41.96</v>
      </c>
      <c r="X2643">
        <v>0</v>
      </c>
      <c r="Y2643">
        <v>0</v>
      </c>
      <c r="Z2643">
        <v>0</v>
      </c>
      <c r="AA2643">
        <v>0</v>
      </c>
      <c r="AB2643">
        <v>0</v>
      </c>
      <c r="AC2643">
        <v>0</v>
      </c>
      <c r="AD2643">
        <v>1</v>
      </c>
      <c r="AE2643">
        <v>0</v>
      </c>
      <c r="AF2643">
        <v>0</v>
      </c>
      <c r="AG2643">
        <v>0</v>
      </c>
      <c r="AH2643">
        <v>0</v>
      </c>
      <c r="AI2643">
        <v>0</v>
      </c>
      <c r="AJ2643">
        <v>0</v>
      </c>
      <c r="AK2643">
        <v>0</v>
      </c>
    </row>
    <row r="2644" spans="1:37" x14ac:dyDescent="0.3">
      <c r="A2644">
        <v>7134</v>
      </c>
      <c r="B2644" t="s">
        <v>28</v>
      </c>
      <c r="C2644" t="s">
        <v>3304</v>
      </c>
      <c r="D2644" t="s">
        <v>3305</v>
      </c>
      <c r="E2644">
        <v>99999999</v>
      </c>
      <c r="F2644">
        <v>11111111</v>
      </c>
      <c r="G2644">
        <v>1111111111</v>
      </c>
      <c r="H2644" t="s">
        <v>6213</v>
      </c>
      <c r="I2644">
        <v>99999999</v>
      </c>
      <c r="J2644" s="188">
        <v>45236</v>
      </c>
      <c r="K2644" t="s">
        <v>6213</v>
      </c>
      <c r="L2644" t="s">
        <v>6213</v>
      </c>
      <c r="M2644" t="s">
        <v>779</v>
      </c>
      <c r="N2644" t="s">
        <v>233</v>
      </c>
      <c r="O2644">
        <v>10018</v>
      </c>
      <c r="Q2644" t="s">
        <v>82</v>
      </c>
      <c r="R2644">
        <v>3</v>
      </c>
      <c r="S2644">
        <v>1.87</v>
      </c>
      <c r="T2644">
        <v>0</v>
      </c>
      <c r="U2644">
        <v>1</v>
      </c>
      <c r="V2644">
        <v>3</v>
      </c>
      <c r="W2644">
        <v>164.3</v>
      </c>
      <c r="X2644">
        <v>0</v>
      </c>
      <c r="Y2644">
        <v>0</v>
      </c>
      <c r="Z2644">
        <v>0</v>
      </c>
      <c r="AA2644">
        <v>0</v>
      </c>
      <c r="AB2644">
        <v>0</v>
      </c>
      <c r="AC2644">
        <v>0</v>
      </c>
      <c r="AD2644">
        <v>3</v>
      </c>
      <c r="AE2644">
        <v>0</v>
      </c>
      <c r="AF2644">
        <v>0</v>
      </c>
      <c r="AG2644">
        <v>0</v>
      </c>
      <c r="AH2644">
        <v>0</v>
      </c>
      <c r="AI2644">
        <v>0</v>
      </c>
      <c r="AJ2644">
        <v>0</v>
      </c>
      <c r="AK2644">
        <v>0</v>
      </c>
    </row>
    <row r="2645" spans="1:37" x14ac:dyDescent="0.3">
      <c r="A2645">
        <v>7451</v>
      </c>
      <c r="B2645" t="s">
        <v>3306</v>
      </c>
      <c r="D2645" t="s">
        <v>251</v>
      </c>
      <c r="E2645">
        <v>99999999</v>
      </c>
      <c r="F2645">
        <v>11111111</v>
      </c>
      <c r="G2645">
        <v>1111111111</v>
      </c>
      <c r="H2645" t="s">
        <v>6214</v>
      </c>
      <c r="I2645">
        <v>99999999</v>
      </c>
      <c r="J2645" s="188">
        <v>45236</v>
      </c>
      <c r="K2645" t="s">
        <v>6214</v>
      </c>
      <c r="L2645" t="s">
        <v>6214</v>
      </c>
      <c r="M2645" t="s">
        <v>2118</v>
      </c>
      <c r="N2645" t="s">
        <v>130</v>
      </c>
      <c r="O2645">
        <v>80860</v>
      </c>
      <c r="P2645" t="s">
        <v>221</v>
      </c>
      <c r="Q2645" t="s">
        <v>82</v>
      </c>
      <c r="R2645">
        <v>6</v>
      </c>
      <c r="S2645">
        <v>60</v>
      </c>
      <c r="T2645">
        <v>0</v>
      </c>
      <c r="U2645">
        <v>2</v>
      </c>
      <c r="V2645">
        <v>1</v>
      </c>
      <c r="W2645">
        <v>86.58</v>
      </c>
      <c r="X2645">
        <v>0</v>
      </c>
      <c r="Y2645">
        <v>0</v>
      </c>
      <c r="Z2645">
        <v>0</v>
      </c>
      <c r="AA2645">
        <v>1</v>
      </c>
      <c r="AB2645">
        <v>0</v>
      </c>
      <c r="AC2645">
        <v>0</v>
      </c>
      <c r="AD2645">
        <v>2</v>
      </c>
      <c r="AE2645">
        <v>0</v>
      </c>
      <c r="AF2645">
        <v>0</v>
      </c>
      <c r="AG2645">
        <v>0</v>
      </c>
      <c r="AH2645">
        <v>0</v>
      </c>
      <c r="AI2645">
        <v>0</v>
      </c>
      <c r="AJ2645">
        <v>0</v>
      </c>
      <c r="AK2645">
        <v>0</v>
      </c>
    </row>
    <row r="2646" spans="1:37" x14ac:dyDescent="0.3">
      <c r="A2646">
        <v>7451</v>
      </c>
      <c r="B2646" t="s">
        <v>3306</v>
      </c>
      <c r="D2646" t="s">
        <v>251</v>
      </c>
      <c r="E2646">
        <v>99999999</v>
      </c>
      <c r="F2646">
        <v>11111111</v>
      </c>
      <c r="G2646">
        <v>1111111111</v>
      </c>
      <c r="H2646" t="s">
        <v>6215</v>
      </c>
      <c r="I2646">
        <v>99999999</v>
      </c>
      <c r="J2646" s="188">
        <v>45237</v>
      </c>
      <c r="K2646" t="s">
        <v>6215</v>
      </c>
      <c r="L2646" t="s">
        <v>6215</v>
      </c>
      <c r="M2646" t="s">
        <v>101</v>
      </c>
      <c r="N2646" t="s">
        <v>97</v>
      </c>
      <c r="O2646">
        <v>98109</v>
      </c>
      <c r="P2646" t="s">
        <v>221</v>
      </c>
      <c r="Q2646" t="s">
        <v>82</v>
      </c>
      <c r="R2646">
        <v>4</v>
      </c>
      <c r="S2646">
        <v>32</v>
      </c>
      <c r="T2646">
        <v>0</v>
      </c>
      <c r="U2646">
        <v>1</v>
      </c>
      <c r="V2646">
        <v>1</v>
      </c>
      <c r="W2646">
        <v>29.71</v>
      </c>
      <c r="X2646">
        <v>0</v>
      </c>
      <c r="Y2646">
        <v>0</v>
      </c>
      <c r="Z2646">
        <v>0</v>
      </c>
      <c r="AA2646">
        <v>0</v>
      </c>
      <c r="AB2646">
        <v>0</v>
      </c>
      <c r="AC2646">
        <v>0</v>
      </c>
      <c r="AD2646">
        <v>4</v>
      </c>
      <c r="AE2646">
        <v>0</v>
      </c>
      <c r="AF2646">
        <v>0</v>
      </c>
      <c r="AG2646">
        <v>0</v>
      </c>
      <c r="AH2646">
        <v>0</v>
      </c>
      <c r="AI2646">
        <v>0</v>
      </c>
      <c r="AJ2646">
        <v>0</v>
      </c>
      <c r="AK2646">
        <v>0</v>
      </c>
    </row>
    <row r="2647" spans="1:37" x14ac:dyDescent="0.3">
      <c r="A2647">
        <v>7451</v>
      </c>
      <c r="B2647" t="s">
        <v>3306</v>
      </c>
      <c r="D2647" t="s">
        <v>251</v>
      </c>
      <c r="E2647">
        <v>99999999</v>
      </c>
      <c r="F2647">
        <v>11111111</v>
      </c>
      <c r="G2647">
        <v>1111111111</v>
      </c>
      <c r="H2647" t="s">
        <v>6216</v>
      </c>
      <c r="I2647">
        <v>99999999</v>
      </c>
      <c r="J2647" s="188">
        <v>45238</v>
      </c>
      <c r="K2647" t="s">
        <v>6216</v>
      </c>
      <c r="L2647" t="s">
        <v>6216</v>
      </c>
      <c r="M2647" t="s">
        <v>510</v>
      </c>
      <c r="N2647" t="s">
        <v>97</v>
      </c>
      <c r="O2647">
        <v>98065</v>
      </c>
      <c r="P2647" t="s">
        <v>221</v>
      </c>
      <c r="Q2647" t="s">
        <v>82</v>
      </c>
      <c r="R2647">
        <v>1</v>
      </c>
      <c r="S2647">
        <v>6.6</v>
      </c>
      <c r="T2647">
        <v>0</v>
      </c>
      <c r="U2647">
        <v>1</v>
      </c>
      <c r="V2647">
        <v>1</v>
      </c>
      <c r="W2647">
        <v>22.31</v>
      </c>
      <c r="X2647">
        <v>0</v>
      </c>
      <c r="Y2647">
        <v>0</v>
      </c>
      <c r="Z2647">
        <v>0</v>
      </c>
      <c r="AA2647">
        <v>0</v>
      </c>
      <c r="AB2647">
        <v>0</v>
      </c>
      <c r="AC2647">
        <v>0</v>
      </c>
      <c r="AD2647">
        <v>1</v>
      </c>
      <c r="AE2647">
        <v>0</v>
      </c>
      <c r="AF2647">
        <v>0</v>
      </c>
      <c r="AG2647">
        <v>0</v>
      </c>
      <c r="AH2647">
        <v>0</v>
      </c>
      <c r="AI2647">
        <v>0</v>
      </c>
      <c r="AJ2647">
        <v>0</v>
      </c>
      <c r="AK2647">
        <v>0</v>
      </c>
    </row>
    <row r="2648" spans="1:37" x14ac:dyDescent="0.3">
      <c r="A2648">
        <v>7451</v>
      </c>
      <c r="B2648" t="s">
        <v>3306</v>
      </c>
      <c r="D2648" t="s">
        <v>251</v>
      </c>
      <c r="E2648">
        <v>99999999</v>
      </c>
      <c r="F2648">
        <v>11111111</v>
      </c>
      <c r="G2648">
        <v>1111111111</v>
      </c>
      <c r="H2648" t="s">
        <v>6217</v>
      </c>
      <c r="I2648">
        <v>99999999</v>
      </c>
      <c r="J2648" s="188">
        <v>45238</v>
      </c>
      <c r="K2648" t="s">
        <v>6217</v>
      </c>
      <c r="L2648" t="s">
        <v>6217</v>
      </c>
      <c r="M2648" t="s">
        <v>202</v>
      </c>
      <c r="N2648" t="s">
        <v>135</v>
      </c>
      <c r="O2648">
        <v>84115</v>
      </c>
      <c r="P2648" t="s">
        <v>221</v>
      </c>
      <c r="Q2648" t="s">
        <v>130</v>
      </c>
      <c r="R2648">
        <v>6</v>
      </c>
      <c r="S2648">
        <v>99</v>
      </c>
      <c r="T2648">
        <v>0</v>
      </c>
      <c r="U2648">
        <v>3</v>
      </c>
      <c r="V2648">
        <v>1</v>
      </c>
      <c r="W2648">
        <v>0</v>
      </c>
      <c r="X2648">
        <v>0</v>
      </c>
      <c r="Y2648">
        <v>0</v>
      </c>
      <c r="Z2648">
        <v>0</v>
      </c>
      <c r="AA2648">
        <v>3</v>
      </c>
      <c r="AB2648">
        <v>0</v>
      </c>
      <c r="AC2648">
        <v>0</v>
      </c>
      <c r="AD2648">
        <v>0</v>
      </c>
      <c r="AE2648">
        <v>0</v>
      </c>
      <c r="AF2648">
        <v>0</v>
      </c>
      <c r="AG2648">
        <v>0</v>
      </c>
      <c r="AH2648">
        <v>0</v>
      </c>
      <c r="AI2648">
        <v>0</v>
      </c>
      <c r="AJ2648">
        <v>0</v>
      </c>
      <c r="AK2648">
        <v>0</v>
      </c>
    </row>
    <row r="2649" spans="1:37" x14ac:dyDescent="0.3">
      <c r="A2649">
        <v>7864</v>
      </c>
      <c r="B2649" t="s">
        <v>234</v>
      </c>
      <c r="D2649" t="s">
        <v>251</v>
      </c>
      <c r="E2649">
        <v>99999999</v>
      </c>
      <c r="F2649">
        <v>11111111</v>
      </c>
      <c r="G2649">
        <v>1111111111</v>
      </c>
      <c r="H2649" t="s">
        <v>6218</v>
      </c>
      <c r="I2649">
        <v>99999999</v>
      </c>
      <c r="J2649" s="188">
        <v>45236</v>
      </c>
      <c r="K2649" t="s">
        <v>6218</v>
      </c>
      <c r="L2649" t="s">
        <v>6218</v>
      </c>
      <c r="M2649" t="s">
        <v>3307</v>
      </c>
      <c r="N2649" t="s">
        <v>231</v>
      </c>
      <c r="O2649">
        <v>2537</v>
      </c>
      <c r="P2649" t="s">
        <v>221</v>
      </c>
      <c r="Q2649" t="s">
        <v>82</v>
      </c>
      <c r="R2649">
        <v>14</v>
      </c>
      <c r="S2649">
        <v>13.125999999999999</v>
      </c>
      <c r="T2649">
        <v>0</v>
      </c>
      <c r="U2649">
        <v>1</v>
      </c>
      <c r="V2649">
        <v>7</v>
      </c>
      <c r="W2649">
        <v>0</v>
      </c>
      <c r="X2649">
        <v>0</v>
      </c>
      <c r="Y2649">
        <v>0</v>
      </c>
      <c r="Z2649">
        <v>0</v>
      </c>
      <c r="AA2649">
        <v>0</v>
      </c>
      <c r="AB2649">
        <v>0</v>
      </c>
      <c r="AC2649">
        <v>0</v>
      </c>
      <c r="AD2649">
        <v>14</v>
      </c>
      <c r="AE2649">
        <v>0</v>
      </c>
      <c r="AF2649">
        <v>0</v>
      </c>
      <c r="AG2649">
        <v>0</v>
      </c>
      <c r="AH2649">
        <v>0</v>
      </c>
      <c r="AI2649">
        <v>0</v>
      </c>
      <c r="AJ2649">
        <v>0</v>
      </c>
      <c r="AK2649">
        <v>0</v>
      </c>
    </row>
    <row r="2650" spans="1:37" x14ac:dyDescent="0.3">
      <c r="A2650">
        <v>7864</v>
      </c>
      <c r="B2650" t="s">
        <v>234</v>
      </c>
      <c r="D2650" t="s">
        <v>251</v>
      </c>
      <c r="E2650">
        <v>99999999</v>
      </c>
      <c r="F2650">
        <v>11111111</v>
      </c>
      <c r="G2650">
        <v>1111111111</v>
      </c>
      <c r="H2650" t="s">
        <v>6219</v>
      </c>
      <c r="I2650">
        <v>99999999</v>
      </c>
      <c r="J2650" s="188">
        <v>45236</v>
      </c>
      <c r="K2650" t="s">
        <v>6219</v>
      </c>
      <c r="L2650" t="s">
        <v>6219</v>
      </c>
      <c r="M2650" t="s">
        <v>2957</v>
      </c>
      <c r="N2650" t="s">
        <v>551</v>
      </c>
      <c r="O2650">
        <v>82001</v>
      </c>
      <c r="P2650" t="s">
        <v>221</v>
      </c>
      <c r="Q2650" t="s">
        <v>82</v>
      </c>
      <c r="R2650">
        <v>52</v>
      </c>
      <c r="S2650">
        <v>55.893000000000001</v>
      </c>
      <c r="T2650">
        <v>0</v>
      </c>
      <c r="U2650">
        <v>3</v>
      </c>
      <c r="V2650">
        <v>26</v>
      </c>
      <c r="W2650">
        <v>88.97</v>
      </c>
      <c r="X2650">
        <v>0</v>
      </c>
      <c r="Y2650">
        <v>0</v>
      </c>
      <c r="Z2650">
        <v>0</v>
      </c>
      <c r="AA2650">
        <v>0</v>
      </c>
      <c r="AB2650">
        <v>0</v>
      </c>
      <c r="AC2650">
        <v>0</v>
      </c>
      <c r="AD2650">
        <v>52</v>
      </c>
      <c r="AE2650">
        <v>0</v>
      </c>
      <c r="AF2650">
        <v>0</v>
      </c>
      <c r="AG2650">
        <v>0</v>
      </c>
      <c r="AH2650">
        <v>0</v>
      </c>
      <c r="AI2650">
        <v>0</v>
      </c>
      <c r="AJ2650">
        <v>0</v>
      </c>
      <c r="AK2650">
        <v>0</v>
      </c>
    </row>
    <row r="2651" spans="1:37" x14ac:dyDescent="0.3">
      <c r="A2651">
        <v>7864</v>
      </c>
      <c r="B2651" t="s">
        <v>234</v>
      </c>
      <c r="D2651" t="s">
        <v>251</v>
      </c>
      <c r="E2651">
        <v>99999999</v>
      </c>
      <c r="F2651">
        <v>11111111</v>
      </c>
      <c r="G2651">
        <v>1111111111</v>
      </c>
      <c r="H2651" t="s">
        <v>6220</v>
      </c>
      <c r="I2651">
        <v>99999999</v>
      </c>
      <c r="J2651" s="188">
        <v>45236</v>
      </c>
      <c r="K2651" t="s">
        <v>6220</v>
      </c>
      <c r="L2651" t="s">
        <v>6220</v>
      </c>
      <c r="M2651" t="s">
        <v>3308</v>
      </c>
      <c r="N2651" t="s">
        <v>125</v>
      </c>
      <c r="O2651">
        <v>49938</v>
      </c>
      <c r="P2651" t="s">
        <v>221</v>
      </c>
      <c r="Q2651" t="s">
        <v>82</v>
      </c>
      <c r="R2651">
        <v>45</v>
      </c>
      <c r="S2651">
        <v>28.161999999999999</v>
      </c>
      <c r="T2651">
        <v>0</v>
      </c>
      <c r="U2651">
        <v>2</v>
      </c>
      <c r="V2651">
        <v>18</v>
      </c>
      <c r="W2651">
        <v>112.04</v>
      </c>
      <c r="X2651">
        <v>0</v>
      </c>
      <c r="Y2651">
        <v>0</v>
      </c>
      <c r="Z2651">
        <v>0</v>
      </c>
      <c r="AA2651">
        <v>0</v>
      </c>
      <c r="AB2651">
        <v>0</v>
      </c>
      <c r="AC2651">
        <v>0</v>
      </c>
      <c r="AD2651">
        <v>45</v>
      </c>
      <c r="AE2651">
        <v>0</v>
      </c>
      <c r="AF2651">
        <v>0</v>
      </c>
      <c r="AG2651">
        <v>0</v>
      </c>
      <c r="AH2651">
        <v>0</v>
      </c>
      <c r="AI2651">
        <v>0</v>
      </c>
      <c r="AJ2651">
        <v>0</v>
      </c>
      <c r="AK2651">
        <v>0</v>
      </c>
    </row>
    <row r="2652" spans="1:37" x14ac:dyDescent="0.3">
      <c r="A2652">
        <v>7864</v>
      </c>
      <c r="B2652" t="s">
        <v>234</v>
      </c>
      <c r="D2652" t="s">
        <v>251</v>
      </c>
      <c r="E2652">
        <v>99999999</v>
      </c>
      <c r="F2652">
        <v>11111111</v>
      </c>
      <c r="G2652">
        <v>1111111111</v>
      </c>
      <c r="H2652" t="s">
        <v>6221</v>
      </c>
      <c r="I2652">
        <v>99999999</v>
      </c>
      <c r="J2652" s="188">
        <v>45236</v>
      </c>
      <c r="K2652" t="s">
        <v>6221</v>
      </c>
      <c r="L2652" t="s">
        <v>6221</v>
      </c>
      <c r="M2652" t="s">
        <v>258</v>
      </c>
      <c r="N2652" t="s">
        <v>91</v>
      </c>
      <c r="O2652">
        <v>85704</v>
      </c>
      <c r="P2652" t="s">
        <v>221</v>
      </c>
      <c r="Q2652" t="s">
        <v>124</v>
      </c>
      <c r="R2652">
        <v>22</v>
      </c>
      <c r="S2652">
        <v>15.818</v>
      </c>
      <c r="T2652">
        <v>0</v>
      </c>
      <c r="U2652">
        <v>1</v>
      </c>
      <c r="V2652">
        <v>6</v>
      </c>
      <c r="W2652">
        <v>0</v>
      </c>
      <c r="X2652">
        <v>0</v>
      </c>
      <c r="Y2652">
        <v>0</v>
      </c>
      <c r="Z2652">
        <v>0</v>
      </c>
      <c r="AA2652">
        <v>0</v>
      </c>
      <c r="AB2652">
        <v>0</v>
      </c>
      <c r="AC2652">
        <v>0</v>
      </c>
      <c r="AD2652">
        <v>22</v>
      </c>
      <c r="AE2652">
        <v>0</v>
      </c>
      <c r="AF2652">
        <v>0</v>
      </c>
      <c r="AG2652">
        <v>0</v>
      </c>
      <c r="AH2652">
        <v>0</v>
      </c>
      <c r="AI2652">
        <v>0</v>
      </c>
      <c r="AJ2652">
        <v>0</v>
      </c>
      <c r="AK2652">
        <v>0</v>
      </c>
    </row>
    <row r="2653" spans="1:37" x14ac:dyDescent="0.3">
      <c r="A2653">
        <v>7864</v>
      </c>
      <c r="B2653" t="s">
        <v>234</v>
      </c>
      <c r="D2653" t="s">
        <v>251</v>
      </c>
      <c r="E2653">
        <v>99999999</v>
      </c>
      <c r="F2653">
        <v>11111111</v>
      </c>
      <c r="G2653">
        <v>1111111111</v>
      </c>
      <c r="H2653" t="s">
        <v>6222</v>
      </c>
      <c r="I2653">
        <v>99999999</v>
      </c>
      <c r="J2653" s="188">
        <v>45236</v>
      </c>
      <c r="K2653" t="s">
        <v>6222</v>
      </c>
      <c r="L2653" t="s">
        <v>6222</v>
      </c>
      <c r="M2653" t="s">
        <v>1935</v>
      </c>
      <c r="N2653" t="s">
        <v>522</v>
      </c>
      <c r="O2653">
        <v>31410</v>
      </c>
      <c r="P2653" t="s">
        <v>221</v>
      </c>
      <c r="Q2653" t="s">
        <v>82</v>
      </c>
      <c r="R2653">
        <v>16</v>
      </c>
      <c r="S2653">
        <v>11.504</v>
      </c>
      <c r="T2653">
        <v>0</v>
      </c>
      <c r="U2653">
        <v>1</v>
      </c>
      <c r="V2653">
        <v>5</v>
      </c>
      <c r="W2653">
        <v>59.86</v>
      </c>
      <c r="X2653">
        <v>0</v>
      </c>
      <c r="Y2653">
        <v>0</v>
      </c>
      <c r="Z2653">
        <v>0</v>
      </c>
      <c r="AA2653">
        <v>0</v>
      </c>
      <c r="AB2653">
        <v>0</v>
      </c>
      <c r="AC2653">
        <v>0</v>
      </c>
      <c r="AD2653">
        <v>16</v>
      </c>
      <c r="AE2653">
        <v>0</v>
      </c>
      <c r="AF2653">
        <v>0</v>
      </c>
      <c r="AG2653">
        <v>0</v>
      </c>
      <c r="AH2653">
        <v>0</v>
      </c>
      <c r="AI2653">
        <v>0</v>
      </c>
      <c r="AJ2653">
        <v>0</v>
      </c>
      <c r="AK2653">
        <v>0</v>
      </c>
    </row>
    <row r="2654" spans="1:37" x14ac:dyDescent="0.3">
      <c r="A2654">
        <v>7864</v>
      </c>
      <c r="B2654" t="s">
        <v>234</v>
      </c>
      <c r="D2654" t="s">
        <v>251</v>
      </c>
      <c r="E2654">
        <v>99999999</v>
      </c>
      <c r="F2654">
        <v>11111111</v>
      </c>
      <c r="G2654">
        <v>1111111111</v>
      </c>
      <c r="H2654" t="s">
        <v>6223</v>
      </c>
      <c r="I2654">
        <v>99999999</v>
      </c>
      <c r="J2654" s="188">
        <v>45236</v>
      </c>
      <c r="K2654" t="s">
        <v>6223</v>
      </c>
      <c r="L2654" t="s">
        <v>6223</v>
      </c>
      <c r="M2654" t="s">
        <v>3309</v>
      </c>
      <c r="N2654" t="s">
        <v>80</v>
      </c>
      <c r="O2654">
        <v>40351</v>
      </c>
      <c r="P2654" t="s">
        <v>221</v>
      </c>
      <c r="Q2654" t="s">
        <v>124</v>
      </c>
      <c r="R2654">
        <v>27</v>
      </c>
      <c r="S2654">
        <v>18.943999999999999</v>
      </c>
      <c r="T2654">
        <v>0</v>
      </c>
      <c r="U2654">
        <v>1</v>
      </c>
      <c r="V2654">
        <v>14</v>
      </c>
      <c r="W2654">
        <v>0</v>
      </c>
      <c r="X2654">
        <v>0</v>
      </c>
      <c r="Y2654">
        <v>0</v>
      </c>
      <c r="Z2654">
        <v>0</v>
      </c>
      <c r="AA2654">
        <v>0</v>
      </c>
      <c r="AB2654">
        <v>0</v>
      </c>
      <c r="AC2654">
        <v>0</v>
      </c>
      <c r="AD2654">
        <v>27</v>
      </c>
      <c r="AE2654">
        <v>0</v>
      </c>
      <c r="AF2654">
        <v>0</v>
      </c>
      <c r="AG2654">
        <v>0</v>
      </c>
      <c r="AH2654">
        <v>0</v>
      </c>
      <c r="AI2654">
        <v>0</v>
      </c>
      <c r="AJ2654">
        <v>0</v>
      </c>
      <c r="AK2654">
        <v>0</v>
      </c>
    </row>
    <row r="2655" spans="1:37" x14ac:dyDescent="0.3">
      <c r="A2655">
        <v>7864</v>
      </c>
      <c r="B2655" t="s">
        <v>234</v>
      </c>
      <c r="D2655" t="s">
        <v>251</v>
      </c>
      <c r="E2655">
        <v>99999999</v>
      </c>
      <c r="F2655">
        <v>11111111</v>
      </c>
      <c r="G2655">
        <v>1111111111</v>
      </c>
      <c r="H2655" t="s">
        <v>6224</v>
      </c>
      <c r="I2655">
        <v>99999999</v>
      </c>
      <c r="J2655" s="188">
        <v>45236</v>
      </c>
      <c r="K2655" t="s">
        <v>6224</v>
      </c>
      <c r="L2655" t="s">
        <v>6224</v>
      </c>
      <c r="M2655" t="s">
        <v>258</v>
      </c>
      <c r="N2655" t="s">
        <v>91</v>
      </c>
      <c r="O2655">
        <v>85712</v>
      </c>
      <c r="P2655" t="s">
        <v>221</v>
      </c>
      <c r="Q2655" t="s">
        <v>124</v>
      </c>
      <c r="R2655">
        <v>25</v>
      </c>
      <c r="S2655">
        <v>17.975000000000001</v>
      </c>
      <c r="T2655">
        <v>0</v>
      </c>
      <c r="U2655">
        <v>1</v>
      </c>
      <c r="V2655">
        <v>6</v>
      </c>
      <c r="W2655">
        <v>0</v>
      </c>
      <c r="X2655">
        <v>0</v>
      </c>
      <c r="Y2655">
        <v>0</v>
      </c>
      <c r="Z2655">
        <v>0</v>
      </c>
      <c r="AA2655">
        <v>0</v>
      </c>
      <c r="AB2655">
        <v>0</v>
      </c>
      <c r="AC2655">
        <v>0</v>
      </c>
      <c r="AD2655">
        <v>25</v>
      </c>
      <c r="AE2655">
        <v>0</v>
      </c>
      <c r="AF2655">
        <v>0</v>
      </c>
      <c r="AG2655">
        <v>0</v>
      </c>
      <c r="AH2655">
        <v>0</v>
      </c>
      <c r="AI2655">
        <v>0</v>
      </c>
      <c r="AJ2655">
        <v>0</v>
      </c>
      <c r="AK2655">
        <v>0</v>
      </c>
    </row>
    <row r="2656" spans="1:37" x14ac:dyDescent="0.3">
      <c r="A2656">
        <v>7864</v>
      </c>
      <c r="B2656" t="s">
        <v>234</v>
      </c>
      <c r="D2656" t="s">
        <v>251</v>
      </c>
      <c r="E2656">
        <v>99999999</v>
      </c>
      <c r="F2656">
        <v>11111111</v>
      </c>
      <c r="G2656">
        <v>1111111111</v>
      </c>
      <c r="H2656" t="s">
        <v>6225</v>
      </c>
      <c r="I2656">
        <v>99999999</v>
      </c>
      <c r="J2656" s="188">
        <v>45237</v>
      </c>
      <c r="K2656" t="s">
        <v>6225</v>
      </c>
      <c r="L2656" t="s">
        <v>6225</v>
      </c>
      <c r="M2656" t="s">
        <v>3310</v>
      </c>
      <c r="N2656" t="s">
        <v>141</v>
      </c>
      <c r="O2656">
        <v>34236</v>
      </c>
      <c r="P2656" t="s">
        <v>221</v>
      </c>
      <c r="Q2656" t="s">
        <v>82</v>
      </c>
      <c r="R2656">
        <v>69</v>
      </c>
      <c r="S2656">
        <v>56.183999999999997</v>
      </c>
      <c r="T2656">
        <v>0</v>
      </c>
      <c r="U2656">
        <v>3</v>
      </c>
      <c r="V2656">
        <v>27</v>
      </c>
      <c r="W2656">
        <v>196.78</v>
      </c>
      <c r="X2656">
        <v>0</v>
      </c>
      <c r="Y2656">
        <v>0</v>
      </c>
      <c r="Z2656">
        <v>0</v>
      </c>
      <c r="AA2656">
        <v>0</v>
      </c>
      <c r="AB2656">
        <v>0</v>
      </c>
      <c r="AC2656">
        <v>0</v>
      </c>
      <c r="AD2656">
        <v>69</v>
      </c>
      <c r="AE2656">
        <v>0</v>
      </c>
      <c r="AF2656">
        <v>0</v>
      </c>
      <c r="AG2656">
        <v>0</v>
      </c>
      <c r="AH2656">
        <v>0</v>
      </c>
      <c r="AI2656">
        <v>0</v>
      </c>
      <c r="AJ2656">
        <v>0</v>
      </c>
      <c r="AK2656">
        <v>0</v>
      </c>
    </row>
    <row r="2657" spans="1:37" x14ac:dyDescent="0.3">
      <c r="A2657">
        <v>7864</v>
      </c>
      <c r="B2657" t="s">
        <v>234</v>
      </c>
      <c r="D2657" t="s">
        <v>251</v>
      </c>
      <c r="E2657">
        <v>99999999</v>
      </c>
      <c r="F2657">
        <v>11111111</v>
      </c>
      <c r="G2657">
        <v>1111111111</v>
      </c>
      <c r="H2657" t="s">
        <v>6226</v>
      </c>
      <c r="I2657">
        <v>99999999</v>
      </c>
      <c r="J2657" s="188">
        <v>45237</v>
      </c>
      <c r="K2657" t="s">
        <v>6226</v>
      </c>
      <c r="L2657" t="s">
        <v>6226</v>
      </c>
      <c r="M2657" t="s">
        <v>229</v>
      </c>
      <c r="N2657" t="s">
        <v>141</v>
      </c>
      <c r="O2657">
        <v>33928</v>
      </c>
      <c r="P2657" t="s">
        <v>221</v>
      </c>
      <c r="Q2657" t="s">
        <v>82</v>
      </c>
      <c r="R2657">
        <v>73</v>
      </c>
      <c r="S2657">
        <v>61.625999999999998</v>
      </c>
      <c r="T2657">
        <v>0</v>
      </c>
      <c r="U2657">
        <v>3</v>
      </c>
      <c r="V2657">
        <v>34</v>
      </c>
      <c r="W2657">
        <v>192.9</v>
      </c>
      <c r="X2657">
        <v>0</v>
      </c>
      <c r="Y2657">
        <v>0</v>
      </c>
      <c r="Z2657">
        <v>0</v>
      </c>
      <c r="AA2657">
        <v>0</v>
      </c>
      <c r="AB2657">
        <v>0</v>
      </c>
      <c r="AC2657">
        <v>0</v>
      </c>
      <c r="AD2657">
        <v>73</v>
      </c>
      <c r="AE2657">
        <v>0</v>
      </c>
      <c r="AF2657">
        <v>0</v>
      </c>
      <c r="AG2657">
        <v>0</v>
      </c>
      <c r="AH2657">
        <v>0</v>
      </c>
      <c r="AI2657">
        <v>0</v>
      </c>
      <c r="AJ2657">
        <v>0</v>
      </c>
      <c r="AK2657">
        <v>0</v>
      </c>
    </row>
    <row r="2658" spans="1:37" x14ac:dyDescent="0.3">
      <c r="A2658">
        <v>7864</v>
      </c>
      <c r="B2658" t="s">
        <v>234</v>
      </c>
      <c r="D2658" t="s">
        <v>251</v>
      </c>
      <c r="E2658">
        <v>99999999</v>
      </c>
      <c r="F2658">
        <v>11111111</v>
      </c>
      <c r="G2658">
        <v>1111111111</v>
      </c>
      <c r="H2658" t="s">
        <v>6227</v>
      </c>
      <c r="I2658">
        <v>99999999</v>
      </c>
      <c r="J2658" s="188">
        <v>45237</v>
      </c>
      <c r="K2658" t="s">
        <v>6227</v>
      </c>
      <c r="L2658" t="s">
        <v>6227</v>
      </c>
      <c r="M2658" t="s">
        <v>3311</v>
      </c>
      <c r="N2658" t="s">
        <v>983</v>
      </c>
      <c r="O2658">
        <v>8876</v>
      </c>
      <c r="P2658" t="s">
        <v>221</v>
      </c>
      <c r="Q2658" t="s">
        <v>82</v>
      </c>
      <c r="R2658">
        <v>58</v>
      </c>
      <c r="S2658">
        <v>38.076999999999998</v>
      </c>
      <c r="T2658">
        <v>0</v>
      </c>
      <c r="U2658">
        <v>2</v>
      </c>
      <c r="V2658">
        <v>14</v>
      </c>
      <c r="W2658">
        <v>136.91</v>
      </c>
      <c r="X2658">
        <v>0</v>
      </c>
      <c r="Y2658">
        <v>0</v>
      </c>
      <c r="Z2658">
        <v>0</v>
      </c>
      <c r="AA2658">
        <v>0</v>
      </c>
      <c r="AB2658">
        <v>0</v>
      </c>
      <c r="AC2658">
        <v>0</v>
      </c>
      <c r="AD2658">
        <v>58</v>
      </c>
      <c r="AE2658">
        <v>0</v>
      </c>
      <c r="AF2658">
        <v>0</v>
      </c>
      <c r="AG2658">
        <v>0</v>
      </c>
      <c r="AH2658">
        <v>0</v>
      </c>
      <c r="AI2658">
        <v>0</v>
      </c>
      <c r="AJ2658">
        <v>0</v>
      </c>
      <c r="AK2658">
        <v>0</v>
      </c>
    </row>
    <row r="2659" spans="1:37" x14ac:dyDescent="0.3">
      <c r="A2659">
        <v>7864</v>
      </c>
      <c r="B2659" t="s">
        <v>234</v>
      </c>
      <c r="D2659" t="s">
        <v>251</v>
      </c>
      <c r="E2659">
        <v>99999999</v>
      </c>
      <c r="F2659">
        <v>11111111</v>
      </c>
      <c r="G2659">
        <v>1111111111</v>
      </c>
      <c r="H2659" t="s">
        <v>6228</v>
      </c>
      <c r="I2659">
        <v>99999999</v>
      </c>
      <c r="J2659" s="188">
        <v>45237</v>
      </c>
      <c r="K2659" t="s">
        <v>6228</v>
      </c>
      <c r="L2659" t="s">
        <v>6228</v>
      </c>
      <c r="M2659" t="s">
        <v>3312</v>
      </c>
      <c r="N2659" t="s">
        <v>317</v>
      </c>
      <c r="O2659">
        <v>64776</v>
      </c>
      <c r="P2659" t="s">
        <v>221</v>
      </c>
      <c r="Q2659" t="s">
        <v>82</v>
      </c>
      <c r="R2659">
        <v>25</v>
      </c>
      <c r="S2659">
        <v>17.350000000000001</v>
      </c>
      <c r="T2659">
        <v>0</v>
      </c>
      <c r="U2659">
        <v>1</v>
      </c>
      <c r="V2659">
        <v>13</v>
      </c>
      <c r="W2659">
        <v>48.94</v>
      </c>
      <c r="X2659">
        <v>0</v>
      </c>
      <c r="Y2659">
        <v>0</v>
      </c>
      <c r="Z2659">
        <v>0</v>
      </c>
      <c r="AA2659">
        <v>0</v>
      </c>
      <c r="AB2659">
        <v>0</v>
      </c>
      <c r="AC2659">
        <v>0</v>
      </c>
      <c r="AD2659">
        <v>25</v>
      </c>
      <c r="AE2659">
        <v>0</v>
      </c>
      <c r="AF2659">
        <v>0</v>
      </c>
      <c r="AG2659">
        <v>0</v>
      </c>
      <c r="AH2659">
        <v>0</v>
      </c>
      <c r="AI2659">
        <v>0</v>
      </c>
      <c r="AJ2659">
        <v>0</v>
      </c>
      <c r="AK2659">
        <v>0</v>
      </c>
    </row>
    <row r="2660" spans="1:37" x14ac:dyDescent="0.3">
      <c r="A2660">
        <v>7864</v>
      </c>
      <c r="B2660" t="s">
        <v>234</v>
      </c>
      <c r="D2660" t="s">
        <v>248</v>
      </c>
      <c r="E2660">
        <v>99999999</v>
      </c>
      <c r="F2660">
        <v>11111111</v>
      </c>
      <c r="G2660">
        <v>1111111111</v>
      </c>
      <c r="H2660" t="s">
        <v>6229</v>
      </c>
      <c r="I2660">
        <v>99999999</v>
      </c>
      <c r="J2660" s="188">
        <v>45238</v>
      </c>
      <c r="K2660" t="s">
        <v>6229</v>
      </c>
      <c r="L2660" t="s">
        <v>6229</v>
      </c>
      <c r="M2660" t="s">
        <v>3313</v>
      </c>
      <c r="N2660" t="s">
        <v>183</v>
      </c>
      <c r="O2660" t="s">
        <v>3314</v>
      </c>
      <c r="P2660" t="s">
        <v>221</v>
      </c>
      <c r="Q2660" t="s">
        <v>124</v>
      </c>
      <c r="R2660">
        <v>1</v>
      </c>
      <c r="S2660">
        <v>1.3129999999999999</v>
      </c>
      <c r="T2660">
        <v>0</v>
      </c>
      <c r="U2660">
        <v>1</v>
      </c>
      <c r="V2660">
        <v>1</v>
      </c>
      <c r="W2660">
        <v>0</v>
      </c>
      <c r="X2660">
        <v>0</v>
      </c>
      <c r="Y2660">
        <v>0</v>
      </c>
      <c r="Z2660">
        <v>0</v>
      </c>
      <c r="AA2660">
        <v>0</v>
      </c>
      <c r="AB2660">
        <v>0</v>
      </c>
      <c r="AC2660">
        <v>0</v>
      </c>
      <c r="AD2660">
        <v>1</v>
      </c>
      <c r="AE2660">
        <v>0</v>
      </c>
      <c r="AF2660">
        <v>0</v>
      </c>
      <c r="AG2660">
        <v>0</v>
      </c>
      <c r="AH2660">
        <v>0</v>
      </c>
      <c r="AI2660">
        <v>0</v>
      </c>
      <c r="AJ2660">
        <v>0</v>
      </c>
      <c r="AK2660">
        <v>0</v>
      </c>
    </row>
    <row r="2661" spans="1:37" x14ac:dyDescent="0.3">
      <c r="A2661">
        <v>7864</v>
      </c>
      <c r="B2661" t="s">
        <v>234</v>
      </c>
      <c r="D2661" t="s">
        <v>248</v>
      </c>
      <c r="E2661">
        <v>99999999</v>
      </c>
      <c r="F2661">
        <v>11111111</v>
      </c>
      <c r="G2661">
        <v>1111111111</v>
      </c>
      <c r="H2661" t="s">
        <v>6230</v>
      </c>
      <c r="I2661">
        <v>99999999</v>
      </c>
      <c r="J2661" s="188">
        <v>45238</v>
      </c>
      <c r="K2661" t="s">
        <v>6230</v>
      </c>
      <c r="L2661" t="s">
        <v>6230</v>
      </c>
      <c r="M2661" t="s">
        <v>3315</v>
      </c>
      <c r="N2661" t="s">
        <v>186</v>
      </c>
      <c r="O2661" t="s">
        <v>3316</v>
      </c>
      <c r="P2661" t="s">
        <v>221</v>
      </c>
      <c r="Q2661" t="s">
        <v>124</v>
      </c>
      <c r="R2661">
        <v>3</v>
      </c>
      <c r="S2661">
        <v>3.9390000000000001</v>
      </c>
      <c r="T2661">
        <v>0</v>
      </c>
      <c r="U2661">
        <v>1</v>
      </c>
      <c r="V2661">
        <v>1</v>
      </c>
      <c r="W2661">
        <v>0</v>
      </c>
      <c r="X2661">
        <v>0</v>
      </c>
      <c r="Y2661">
        <v>0</v>
      </c>
      <c r="Z2661">
        <v>0</v>
      </c>
      <c r="AA2661">
        <v>0</v>
      </c>
      <c r="AB2661">
        <v>0</v>
      </c>
      <c r="AC2661">
        <v>0</v>
      </c>
      <c r="AD2661">
        <v>3</v>
      </c>
      <c r="AE2661">
        <v>0</v>
      </c>
      <c r="AF2661">
        <v>0</v>
      </c>
      <c r="AG2661">
        <v>0</v>
      </c>
      <c r="AH2661">
        <v>0</v>
      </c>
      <c r="AI2661">
        <v>0</v>
      </c>
      <c r="AJ2661">
        <v>0</v>
      </c>
      <c r="AK2661">
        <v>0</v>
      </c>
    </row>
    <row r="2662" spans="1:37" x14ac:dyDescent="0.3">
      <c r="A2662">
        <v>7864</v>
      </c>
      <c r="B2662" t="s">
        <v>234</v>
      </c>
      <c r="D2662" t="s">
        <v>248</v>
      </c>
      <c r="E2662">
        <v>99999999</v>
      </c>
      <c r="F2662">
        <v>11111111</v>
      </c>
      <c r="G2662">
        <v>1111111111</v>
      </c>
      <c r="H2662" t="s">
        <v>6231</v>
      </c>
      <c r="I2662">
        <v>99999999</v>
      </c>
      <c r="J2662" s="188">
        <v>45238</v>
      </c>
      <c r="K2662" t="s">
        <v>6231</v>
      </c>
      <c r="L2662" t="s">
        <v>6231</v>
      </c>
      <c r="M2662" t="s">
        <v>3317</v>
      </c>
      <c r="N2662" t="s">
        <v>231</v>
      </c>
      <c r="O2662">
        <v>2720</v>
      </c>
      <c r="P2662" t="s">
        <v>221</v>
      </c>
      <c r="Q2662" t="s">
        <v>124</v>
      </c>
      <c r="R2662">
        <v>5</v>
      </c>
      <c r="S2662">
        <v>6.1139999999999999</v>
      </c>
      <c r="T2662">
        <v>0</v>
      </c>
      <c r="U2662">
        <v>1</v>
      </c>
      <c r="V2662">
        <v>3</v>
      </c>
      <c r="W2662">
        <v>0</v>
      </c>
      <c r="X2662">
        <v>0</v>
      </c>
      <c r="Y2662">
        <v>0</v>
      </c>
      <c r="Z2662">
        <v>0</v>
      </c>
      <c r="AA2662">
        <v>0</v>
      </c>
      <c r="AB2662">
        <v>0</v>
      </c>
      <c r="AC2662">
        <v>0</v>
      </c>
      <c r="AD2662">
        <v>5</v>
      </c>
      <c r="AE2662">
        <v>0</v>
      </c>
      <c r="AF2662">
        <v>0</v>
      </c>
      <c r="AG2662">
        <v>0</v>
      </c>
      <c r="AH2662">
        <v>0</v>
      </c>
      <c r="AI2662">
        <v>0</v>
      </c>
      <c r="AJ2662">
        <v>0</v>
      </c>
      <c r="AK2662">
        <v>0</v>
      </c>
    </row>
    <row r="2663" spans="1:37" x14ac:dyDescent="0.3">
      <c r="A2663">
        <v>7864</v>
      </c>
      <c r="B2663" t="s">
        <v>234</v>
      </c>
      <c r="D2663" t="s">
        <v>248</v>
      </c>
      <c r="E2663">
        <v>99999999</v>
      </c>
      <c r="F2663">
        <v>11111111</v>
      </c>
      <c r="G2663">
        <v>1111111111</v>
      </c>
      <c r="H2663" t="s">
        <v>6232</v>
      </c>
      <c r="I2663">
        <v>99999999</v>
      </c>
      <c r="J2663" s="188">
        <v>45238</v>
      </c>
      <c r="K2663" t="s">
        <v>6232</v>
      </c>
      <c r="L2663" t="s">
        <v>6232</v>
      </c>
      <c r="M2663" t="s">
        <v>264</v>
      </c>
      <c r="N2663" t="s">
        <v>88</v>
      </c>
      <c r="O2663">
        <v>37310</v>
      </c>
      <c r="P2663" t="s">
        <v>221</v>
      </c>
      <c r="Q2663" t="s">
        <v>124</v>
      </c>
      <c r="R2663">
        <v>2</v>
      </c>
      <c r="S2663">
        <v>2.6259999999999999</v>
      </c>
      <c r="T2663">
        <v>0</v>
      </c>
      <c r="U2663">
        <v>1</v>
      </c>
      <c r="V2663">
        <v>2</v>
      </c>
      <c r="W2663">
        <v>0</v>
      </c>
      <c r="X2663">
        <v>0</v>
      </c>
      <c r="Y2663">
        <v>0</v>
      </c>
      <c r="Z2663">
        <v>0</v>
      </c>
      <c r="AA2663">
        <v>0</v>
      </c>
      <c r="AB2663">
        <v>0</v>
      </c>
      <c r="AC2663">
        <v>0</v>
      </c>
      <c r="AD2663">
        <v>2</v>
      </c>
      <c r="AE2663">
        <v>0</v>
      </c>
      <c r="AF2663">
        <v>0</v>
      </c>
      <c r="AG2663">
        <v>0</v>
      </c>
      <c r="AH2663">
        <v>0</v>
      </c>
      <c r="AI2663">
        <v>0</v>
      </c>
      <c r="AJ2663">
        <v>0</v>
      </c>
      <c r="AK2663">
        <v>0</v>
      </c>
    </row>
    <row r="2664" spans="1:37" x14ac:dyDescent="0.3">
      <c r="A2664">
        <v>7864</v>
      </c>
      <c r="B2664" t="s">
        <v>234</v>
      </c>
      <c r="D2664" t="s">
        <v>248</v>
      </c>
      <c r="E2664">
        <v>99999999</v>
      </c>
      <c r="F2664">
        <v>11111111</v>
      </c>
      <c r="G2664">
        <v>1111111111</v>
      </c>
      <c r="H2664" t="s">
        <v>6233</v>
      </c>
      <c r="I2664">
        <v>99999999</v>
      </c>
      <c r="J2664" s="188">
        <v>45238</v>
      </c>
      <c r="K2664" t="s">
        <v>6233</v>
      </c>
      <c r="L2664" t="s">
        <v>6233</v>
      </c>
      <c r="M2664" t="s">
        <v>3318</v>
      </c>
      <c r="N2664" t="s">
        <v>97</v>
      </c>
      <c r="O2664" t="s">
        <v>3319</v>
      </c>
      <c r="P2664" t="s">
        <v>221</v>
      </c>
      <c r="Q2664" t="s">
        <v>124</v>
      </c>
      <c r="R2664">
        <v>1</v>
      </c>
      <c r="S2664">
        <v>1.3129999999999999</v>
      </c>
      <c r="T2664">
        <v>0</v>
      </c>
      <c r="U2664">
        <v>1</v>
      </c>
      <c r="V2664">
        <v>1</v>
      </c>
      <c r="W2664">
        <v>0</v>
      </c>
      <c r="X2664">
        <v>0</v>
      </c>
      <c r="Y2664">
        <v>0</v>
      </c>
      <c r="Z2664">
        <v>0</v>
      </c>
      <c r="AA2664">
        <v>0</v>
      </c>
      <c r="AB2664">
        <v>0</v>
      </c>
      <c r="AC2664">
        <v>0</v>
      </c>
      <c r="AD2664">
        <v>1</v>
      </c>
      <c r="AE2664">
        <v>0</v>
      </c>
      <c r="AF2664">
        <v>0</v>
      </c>
      <c r="AG2664">
        <v>0</v>
      </c>
      <c r="AH2664">
        <v>0</v>
      </c>
      <c r="AI2664">
        <v>0</v>
      </c>
      <c r="AJ2664">
        <v>0</v>
      </c>
      <c r="AK2664">
        <v>0</v>
      </c>
    </row>
    <row r="2665" spans="1:37" x14ac:dyDescent="0.3">
      <c r="A2665">
        <v>7864</v>
      </c>
      <c r="B2665" t="s">
        <v>234</v>
      </c>
      <c r="D2665" t="s">
        <v>248</v>
      </c>
      <c r="E2665">
        <v>99999999</v>
      </c>
      <c r="F2665">
        <v>11111111</v>
      </c>
      <c r="G2665">
        <v>1111111111</v>
      </c>
      <c r="H2665" t="s">
        <v>6234</v>
      </c>
      <c r="I2665">
        <v>99999999</v>
      </c>
      <c r="J2665" s="188">
        <v>45238</v>
      </c>
      <c r="K2665" t="s">
        <v>6234</v>
      </c>
      <c r="L2665" t="s">
        <v>6234</v>
      </c>
      <c r="M2665" t="s">
        <v>3320</v>
      </c>
      <c r="N2665" t="s">
        <v>183</v>
      </c>
      <c r="O2665" t="s">
        <v>3321</v>
      </c>
      <c r="P2665" t="s">
        <v>221</v>
      </c>
      <c r="Q2665" t="s">
        <v>124</v>
      </c>
      <c r="R2665">
        <v>12</v>
      </c>
      <c r="S2665">
        <v>1.6559999999999999</v>
      </c>
      <c r="T2665">
        <v>0</v>
      </c>
      <c r="U2665">
        <v>1</v>
      </c>
      <c r="V2665">
        <v>1</v>
      </c>
      <c r="W2665">
        <v>0</v>
      </c>
      <c r="X2665">
        <v>0</v>
      </c>
      <c r="Y2665">
        <v>0</v>
      </c>
      <c r="Z2665">
        <v>0</v>
      </c>
      <c r="AA2665">
        <v>0</v>
      </c>
      <c r="AB2665">
        <v>0</v>
      </c>
      <c r="AC2665">
        <v>0</v>
      </c>
      <c r="AD2665">
        <v>12</v>
      </c>
      <c r="AE2665">
        <v>0</v>
      </c>
      <c r="AF2665">
        <v>0</v>
      </c>
      <c r="AG2665">
        <v>0</v>
      </c>
      <c r="AH2665">
        <v>0</v>
      </c>
      <c r="AI2665">
        <v>0</v>
      </c>
      <c r="AJ2665">
        <v>0</v>
      </c>
      <c r="AK2665">
        <v>0</v>
      </c>
    </row>
    <row r="2666" spans="1:37" x14ac:dyDescent="0.3">
      <c r="A2666">
        <v>7864</v>
      </c>
      <c r="B2666" t="s">
        <v>234</v>
      </c>
      <c r="D2666" t="s">
        <v>248</v>
      </c>
      <c r="E2666">
        <v>99999999</v>
      </c>
      <c r="F2666">
        <v>11111111</v>
      </c>
      <c r="G2666">
        <v>1111111111</v>
      </c>
      <c r="H2666" t="s">
        <v>6235</v>
      </c>
      <c r="I2666">
        <v>99999999</v>
      </c>
      <c r="J2666" s="188">
        <v>45238</v>
      </c>
      <c r="K2666" t="s">
        <v>6235</v>
      </c>
      <c r="L2666" t="s">
        <v>6235</v>
      </c>
      <c r="M2666" t="s">
        <v>3322</v>
      </c>
      <c r="N2666" t="s">
        <v>983</v>
      </c>
      <c r="O2666">
        <v>8873</v>
      </c>
      <c r="P2666" t="s">
        <v>221</v>
      </c>
      <c r="Q2666" t="s">
        <v>124</v>
      </c>
      <c r="R2666">
        <v>4</v>
      </c>
      <c r="S2666">
        <v>0.55200000000000005</v>
      </c>
      <c r="T2666">
        <v>0</v>
      </c>
      <c r="U2666">
        <v>1</v>
      </c>
      <c r="V2666">
        <v>1</v>
      </c>
      <c r="W2666">
        <v>0</v>
      </c>
      <c r="X2666">
        <v>0</v>
      </c>
      <c r="Y2666">
        <v>0</v>
      </c>
      <c r="Z2666">
        <v>0</v>
      </c>
      <c r="AA2666">
        <v>0</v>
      </c>
      <c r="AB2666">
        <v>0</v>
      </c>
      <c r="AC2666">
        <v>0</v>
      </c>
      <c r="AD2666">
        <v>4</v>
      </c>
      <c r="AE2666">
        <v>0</v>
      </c>
      <c r="AF2666">
        <v>0</v>
      </c>
      <c r="AG2666">
        <v>0</v>
      </c>
      <c r="AH2666">
        <v>0</v>
      </c>
      <c r="AI2666">
        <v>0</v>
      </c>
      <c r="AJ2666">
        <v>0</v>
      </c>
      <c r="AK2666">
        <v>0</v>
      </c>
    </row>
    <row r="2667" spans="1:37" x14ac:dyDescent="0.3">
      <c r="A2667">
        <v>7864</v>
      </c>
      <c r="B2667" t="s">
        <v>234</v>
      </c>
      <c r="D2667" t="s">
        <v>248</v>
      </c>
      <c r="E2667">
        <v>99999999</v>
      </c>
      <c r="F2667">
        <v>11111111</v>
      </c>
      <c r="G2667">
        <v>1111111111</v>
      </c>
      <c r="H2667" t="s">
        <v>6236</v>
      </c>
      <c r="I2667">
        <v>99999999</v>
      </c>
      <c r="J2667" s="188">
        <v>45238</v>
      </c>
      <c r="K2667" t="s">
        <v>6236</v>
      </c>
      <c r="L2667" t="s">
        <v>6236</v>
      </c>
      <c r="M2667" t="s">
        <v>131</v>
      </c>
      <c r="N2667" t="s">
        <v>99</v>
      </c>
      <c r="O2667" t="s">
        <v>3323</v>
      </c>
      <c r="P2667" t="s">
        <v>221</v>
      </c>
      <c r="Q2667" t="s">
        <v>124</v>
      </c>
      <c r="R2667">
        <v>21</v>
      </c>
      <c r="S2667">
        <v>3.5162499999999999</v>
      </c>
      <c r="T2667">
        <v>0</v>
      </c>
      <c r="U2667">
        <v>1</v>
      </c>
      <c r="V2667">
        <v>13</v>
      </c>
      <c r="W2667">
        <v>0</v>
      </c>
      <c r="X2667">
        <v>0</v>
      </c>
      <c r="Y2667">
        <v>0</v>
      </c>
      <c r="Z2667">
        <v>0</v>
      </c>
      <c r="AA2667">
        <v>0</v>
      </c>
      <c r="AB2667">
        <v>0</v>
      </c>
      <c r="AC2667">
        <v>0</v>
      </c>
      <c r="AD2667">
        <v>21</v>
      </c>
      <c r="AE2667">
        <v>0</v>
      </c>
      <c r="AF2667">
        <v>0</v>
      </c>
      <c r="AG2667">
        <v>0</v>
      </c>
      <c r="AH2667">
        <v>0</v>
      </c>
      <c r="AI2667">
        <v>0</v>
      </c>
      <c r="AJ2667">
        <v>0</v>
      </c>
      <c r="AK2667">
        <v>0</v>
      </c>
    </row>
    <row r="2668" spans="1:37" x14ac:dyDescent="0.3">
      <c r="A2668">
        <v>7864</v>
      </c>
      <c r="B2668" t="s">
        <v>234</v>
      </c>
      <c r="D2668" t="s">
        <v>251</v>
      </c>
      <c r="E2668">
        <v>99999999</v>
      </c>
      <c r="F2668">
        <v>11111111</v>
      </c>
      <c r="G2668">
        <v>1111111111</v>
      </c>
      <c r="H2668" t="s">
        <v>6237</v>
      </c>
      <c r="I2668">
        <v>99999999</v>
      </c>
      <c r="J2668" s="188">
        <v>45238</v>
      </c>
      <c r="K2668" t="s">
        <v>6237</v>
      </c>
      <c r="L2668" t="s">
        <v>6237</v>
      </c>
      <c r="M2668" t="s">
        <v>797</v>
      </c>
      <c r="N2668" t="s">
        <v>99</v>
      </c>
      <c r="O2668">
        <v>92008</v>
      </c>
      <c r="P2668" t="s">
        <v>221</v>
      </c>
      <c r="Q2668" t="s">
        <v>82</v>
      </c>
      <c r="R2668">
        <v>13</v>
      </c>
      <c r="S2668">
        <v>6.9580000000000002</v>
      </c>
      <c r="T2668">
        <v>0</v>
      </c>
      <c r="U2668">
        <v>1</v>
      </c>
      <c r="V2668">
        <v>6</v>
      </c>
      <c r="W2668">
        <v>21.32</v>
      </c>
      <c r="X2668">
        <v>0</v>
      </c>
      <c r="Y2668">
        <v>0</v>
      </c>
      <c r="Z2668">
        <v>0</v>
      </c>
      <c r="AA2668">
        <v>0</v>
      </c>
      <c r="AB2668">
        <v>0</v>
      </c>
      <c r="AC2668">
        <v>0</v>
      </c>
      <c r="AD2668">
        <v>13</v>
      </c>
      <c r="AE2668">
        <v>0</v>
      </c>
      <c r="AF2668">
        <v>0</v>
      </c>
      <c r="AG2668">
        <v>0</v>
      </c>
      <c r="AH2668">
        <v>0</v>
      </c>
      <c r="AI2668">
        <v>0</v>
      </c>
      <c r="AJ2668">
        <v>0</v>
      </c>
      <c r="AK2668">
        <v>0</v>
      </c>
    </row>
    <row r="2669" spans="1:37" x14ac:dyDescent="0.3">
      <c r="A2669">
        <v>7864</v>
      </c>
      <c r="B2669" t="s">
        <v>234</v>
      </c>
      <c r="D2669" t="s">
        <v>251</v>
      </c>
      <c r="E2669">
        <v>99999999</v>
      </c>
      <c r="F2669">
        <v>11111111</v>
      </c>
      <c r="G2669">
        <v>1111111111</v>
      </c>
      <c r="H2669" t="s">
        <v>6238</v>
      </c>
      <c r="I2669">
        <v>99999999</v>
      </c>
      <c r="J2669" s="188">
        <v>45238</v>
      </c>
      <c r="K2669" t="s">
        <v>6238</v>
      </c>
      <c r="L2669" t="s">
        <v>6238</v>
      </c>
      <c r="M2669" t="s">
        <v>3324</v>
      </c>
      <c r="N2669" t="s">
        <v>402</v>
      </c>
      <c r="O2669">
        <v>24171</v>
      </c>
      <c r="P2669" t="s">
        <v>221</v>
      </c>
      <c r="Q2669" t="s">
        <v>82</v>
      </c>
      <c r="R2669">
        <v>9</v>
      </c>
      <c r="S2669">
        <v>4.1130000000000004</v>
      </c>
      <c r="T2669">
        <v>0</v>
      </c>
      <c r="U2669">
        <v>1</v>
      </c>
      <c r="V2669">
        <v>5</v>
      </c>
      <c r="W2669">
        <v>56.73</v>
      </c>
      <c r="X2669">
        <v>0</v>
      </c>
      <c r="Y2669">
        <v>0</v>
      </c>
      <c r="Z2669">
        <v>0</v>
      </c>
      <c r="AA2669">
        <v>0</v>
      </c>
      <c r="AB2669">
        <v>0</v>
      </c>
      <c r="AC2669">
        <v>0</v>
      </c>
      <c r="AD2669">
        <v>9</v>
      </c>
      <c r="AE2669">
        <v>0</v>
      </c>
      <c r="AF2669">
        <v>0</v>
      </c>
      <c r="AG2669">
        <v>0</v>
      </c>
      <c r="AH2669">
        <v>0</v>
      </c>
      <c r="AI2669">
        <v>0</v>
      </c>
      <c r="AJ2669">
        <v>0</v>
      </c>
      <c r="AK2669">
        <v>0</v>
      </c>
    </row>
    <row r="2670" spans="1:37" x14ac:dyDescent="0.3">
      <c r="A2670">
        <v>7864</v>
      </c>
      <c r="B2670" t="s">
        <v>234</v>
      </c>
      <c r="D2670" t="s">
        <v>251</v>
      </c>
      <c r="E2670">
        <v>99999999</v>
      </c>
      <c r="F2670">
        <v>11111111</v>
      </c>
      <c r="G2670">
        <v>1111111111</v>
      </c>
      <c r="H2670" t="s">
        <v>6239</v>
      </c>
      <c r="I2670">
        <v>99999999</v>
      </c>
      <c r="J2670" s="188">
        <v>45238</v>
      </c>
      <c r="K2670" t="s">
        <v>6239</v>
      </c>
      <c r="L2670" t="s">
        <v>6239</v>
      </c>
      <c r="M2670" t="s">
        <v>3325</v>
      </c>
      <c r="N2670" t="s">
        <v>197</v>
      </c>
      <c r="O2670">
        <v>76691</v>
      </c>
      <c r="P2670" t="s">
        <v>221</v>
      </c>
      <c r="Q2670" t="s">
        <v>82</v>
      </c>
      <c r="R2670">
        <v>1</v>
      </c>
      <c r="S2670">
        <v>12</v>
      </c>
      <c r="T2670">
        <v>0</v>
      </c>
      <c r="U2670">
        <v>1</v>
      </c>
      <c r="V2670">
        <v>1</v>
      </c>
      <c r="W2670">
        <v>46.94</v>
      </c>
      <c r="X2670">
        <v>0</v>
      </c>
      <c r="Y2670">
        <v>0</v>
      </c>
      <c r="Z2670">
        <v>0</v>
      </c>
      <c r="AA2670">
        <v>0</v>
      </c>
      <c r="AB2670">
        <v>0</v>
      </c>
      <c r="AC2670">
        <v>0</v>
      </c>
      <c r="AD2670">
        <v>1</v>
      </c>
      <c r="AE2670">
        <v>0</v>
      </c>
      <c r="AF2670">
        <v>0</v>
      </c>
      <c r="AG2670">
        <v>0</v>
      </c>
      <c r="AH2670">
        <v>0</v>
      </c>
      <c r="AI2670">
        <v>0</v>
      </c>
      <c r="AJ2670">
        <v>0</v>
      </c>
      <c r="AK2670">
        <v>0</v>
      </c>
    </row>
    <row r="2671" spans="1:37" x14ac:dyDescent="0.3">
      <c r="A2671">
        <v>7864</v>
      </c>
      <c r="B2671" t="s">
        <v>234</v>
      </c>
      <c r="D2671" t="s">
        <v>248</v>
      </c>
      <c r="E2671">
        <v>99999999</v>
      </c>
      <c r="F2671">
        <v>11111111</v>
      </c>
      <c r="G2671">
        <v>1111111111</v>
      </c>
      <c r="H2671" t="s">
        <v>6240</v>
      </c>
      <c r="I2671">
        <v>99999999</v>
      </c>
      <c r="J2671" s="188">
        <v>45238</v>
      </c>
      <c r="K2671" t="s">
        <v>6240</v>
      </c>
      <c r="L2671" t="s">
        <v>6240</v>
      </c>
      <c r="M2671" t="s">
        <v>3326</v>
      </c>
      <c r="N2671" t="s">
        <v>151</v>
      </c>
      <c r="O2671" t="s">
        <v>3327</v>
      </c>
      <c r="P2671" t="s">
        <v>221</v>
      </c>
      <c r="Q2671" t="s">
        <v>124</v>
      </c>
      <c r="R2671">
        <v>4</v>
      </c>
      <c r="S2671">
        <v>0.55200000000000005</v>
      </c>
      <c r="T2671">
        <v>0</v>
      </c>
      <c r="U2671">
        <v>1</v>
      </c>
      <c r="V2671">
        <v>1</v>
      </c>
      <c r="W2671">
        <v>0</v>
      </c>
      <c r="X2671">
        <v>0</v>
      </c>
      <c r="Y2671">
        <v>0</v>
      </c>
      <c r="Z2671">
        <v>0</v>
      </c>
      <c r="AA2671">
        <v>0</v>
      </c>
      <c r="AB2671">
        <v>0</v>
      </c>
      <c r="AC2671">
        <v>0</v>
      </c>
      <c r="AD2671">
        <v>4</v>
      </c>
      <c r="AE2671">
        <v>0</v>
      </c>
      <c r="AF2671">
        <v>0</v>
      </c>
      <c r="AG2671">
        <v>0</v>
      </c>
      <c r="AH2671">
        <v>0</v>
      </c>
      <c r="AI2671">
        <v>0</v>
      </c>
      <c r="AJ2671">
        <v>0</v>
      </c>
      <c r="AK2671">
        <v>0</v>
      </c>
    </row>
    <row r="2672" spans="1:37" x14ac:dyDescent="0.3">
      <c r="A2672">
        <v>7864</v>
      </c>
      <c r="B2672" t="s">
        <v>234</v>
      </c>
      <c r="D2672" t="s">
        <v>248</v>
      </c>
      <c r="E2672">
        <v>99999999</v>
      </c>
      <c r="F2672">
        <v>11111111</v>
      </c>
      <c r="G2672">
        <v>1111111111</v>
      </c>
      <c r="H2672" t="s">
        <v>6241</v>
      </c>
      <c r="I2672">
        <v>99999999</v>
      </c>
      <c r="J2672" s="188">
        <v>45238</v>
      </c>
      <c r="K2672" t="s">
        <v>6241</v>
      </c>
      <c r="L2672" t="s">
        <v>6241</v>
      </c>
      <c r="M2672" t="s">
        <v>207</v>
      </c>
      <c r="N2672" t="s">
        <v>99</v>
      </c>
      <c r="O2672" t="s">
        <v>3328</v>
      </c>
      <c r="P2672" t="s">
        <v>221</v>
      </c>
      <c r="Q2672" t="s">
        <v>124</v>
      </c>
      <c r="R2672">
        <v>1</v>
      </c>
      <c r="S2672">
        <v>0.13100000000000001</v>
      </c>
      <c r="T2672">
        <v>0</v>
      </c>
      <c r="U2672">
        <v>1</v>
      </c>
      <c r="V2672">
        <v>1</v>
      </c>
      <c r="W2672">
        <v>0</v>
      </c>
      <c r="X2672">
        <v>0</v>
      </c>
      <c r="Y2672">
        <v>0</v>
      </c>
      <c r="Z2672">
        <v>0</v>
      </c>
      <c r="AA2672">
        <v>0</v>
      </c>
      <c r="AB2672">
        <v>0</v>
      </c>
      <c r="AC2672">
        <v>0</v>
      </c>
      <c r="AD2672">
        <v>1</v>
      </c>
      <c r="AE2672">
        <v>0</v>
      </c>
      <c r="AF2672">
        <v>0</v>
      </c>
      <c r="AG2672">
        <v>0</v>
      </c>
      <c r="AH2672">
        <v>0</v>
      </c>
      <c r="AI2672">
        <v>0</v>
      </c>
      <c r="AJ2672">
        <v>0</v>
      </c>
      <c r="AK2672">
        <v>0</v>
      </c>
    </row>
    <row r="2673" spans="1:37" x14ac:dyDescent="0.3">
      <c r="A2673">
        <v>7864</v>
      </c>
      <c r="B2673" t="s">
        <v>234</v>
      </c>
      <c r="D2673" t="s">
        <v>251</v>
      </c>
      <c r="E2673">
        <v>99999999</v>
      </c>
      <c r="F2673">
        <v>11111111</v>
      </c>
      <c r="G2673">
        <v>1111111111</v>
      </c>
      <c r="H2673" t="s">
        <v>6242</v>
      </c>
      <c r="I2673">
        <v>99999999</v>
      </c>
      <c r="J2673" s="188">
        <v>45238</v>
      </c>
      <c r="K2673" t="s">
        <v>6242</v>
      </c>
      <c r="L2673" t="s">
        <v>6242</v>
      </c>
      <c r="M2673" t="s">
        <v>1572</v>
      </c>
      <c r="N2673" t="s">
        <v>99</v>
      </c>
      <c r="O2673">
        <v>95472</v>
      </c>
      <c r="P2673" t="s">
        <v>221</v>
      </c>
      <c r="Q2673" t="s">
        <v>82</v>
      </c>
      <c r="R2673">
        <v>26</v>
      </c>
      <c r="S2673">
        <v>16.443999999999999</v>
      </c>
      <c r="T2673">
        <v>0</v>
      </c>
      <c r="U2673">
        <v>1</v>
      </c>
      <c r="V2673">
        <v>7</v>
      </c>
      <c r="W2673">
        <v>30.65</v>
      </c>
      <c r="X2673">
        <v>0</v>
      </c>
      <c r="Y2673">
        <v>0</v>
      </c>
      <c r="Z2673">
        <v>0</v>
      </c>
      <c r="AA2673">
        <v>0</v>
      </c>
      <c r="AB2673">
        <v>0</v>
      </c>
      <c r="AC2673">
        <v>0</v>
      </c>
      <c r="AD2673">
        <v>26</v>
      </c>
      <c r="AE2673">
        <v>0</v>
      </c>
      <c r="AF2673">
        <v>0</v>
      </c>
      <c r="AG2673">
        <v>0</v>
      </c>
      <c r="AH2673">
        <v>0</v>
      </c>
      <c r="AI2673">
        <v>0</v>
      </c>
      <c r="AJ2673">
        <v>0</v>
      </c>
      <c r="AK2673">
        <v>0</v>
      </c>
    </row>
    <row r="2674" spans="1:37" x14ac:dyDescent="0.3">
      <c r="A2674">
        <v>7864</v>
      </c>
      <c r="B2674" t="s">
        <v>234</v>
      </c>
      <c r="D2674" t="s">
        <v>251</v>
      </c>
      <c r="E2674">
        <v>99999999</v>
      </c>
      <c r="F2674">
        <v>11111111</v>
      </c>
      <c r="G2674">
        <v>1111111111</v>
      </c>
      <c r="H2674" t="s">
        <v>6243</v>
      </c>
      <c r="I2674">
        <v>99999999</v>
      </c>
      <c r="J2674" s="188">
        <v>45238</v>
      </c>
      <c r="K2674" t="s">
        <v>6243</v>
      </c>
      <c r="L2674" t="s">
        <v>6243</v>
      </c>
      <c r="M2674" t="s">
        <v>632</v>
      </c>
      <c r="N2674" t="s">
        <v>97</v>
      </c>
      <c r="O2674">
        <v>98225</v>
      </c>
      <c r="P2674" t="s">
        <v>221</v>
      </c>
      <c r="Q2674" t="s">
        <v>82</v>
      </c>
      <c r="R2674">
        <v>65</v>
      </c>
      <c r="S2674">
        <v>42.223999999999997</v>
      </c>
      <c r="T2674">
        <v>0</v>
      </c>
      <c r="U2674">
        <v>2</v>
      </c>
      <c r="V2674">
        <v>20</v>
      </c>
      <c r="W2674">
        <v>60</v>
      </c>
      <c r="X2674">
        <v>0</v>
      </c>
      <c r="Y2674">
        <v>0</v>
      </c>
      <c r="Z2674">
        <v>0</v>
      </c>
      <c r="AA2674">
        <v>0</v>
      </c>
      <c r="AB2674">
        <v>0</v>
      </c>
      <c r="AC2674">
        <v>0</v>
      </c>
      <c r="AD2674">
        <v>65</v>
      </c>
      <c r="AE2674">
        <v>0</v>
      </c>
      <c r="AF2674">
        <v>0</v>
      </c>
      <c r="AG2674">
        <v>0</v>
      </c>
      <c r="AH2674">
        <v>0</v>
      </c>
      <c r="AI2674">
        <v>0</v>
      </c>
      <c r="AJ2674">
        <v>0</v>
      </c>
      <c r="AK2674">
        <v>0</v>
      </c>
    </row>
    <row r="2675" spans="1:37" x14ac:dyDescent="0.3">
      <c r="A2675">
        <v>7864</v>
      </c>
      <c r="B2675" t="s">
        <v>234</v>
      </c>
      <c r="D2675" t="s">
        <v>248</v>
      </c>
      <c r="E2675">
        <v>99999999</v>
      </c>
      <c r="F2675">
        <v>11111111</v>
      </c>
      <c r="G2675">
        <v>1111111111</v>
      </c>
      <c r="H2675" t="s">
        <v>6244</v>
      </c>
      <c r="I2675">
        <v>99999999</v>
      </c>
      <c r="J2675" s="188">
        <v>45238</v>
      </c>
      <c r="K2675" t="s">
        <v>6244</v>
      </c>
      <c r="L2675" t="s">
        <v>6244</v>
      </c>
      <c r="M2675" t="s">
        <v>677</v>
      </c>
      <c r="N2675" t="s">
        <v>85</v>
      </c>
      <c r="O2675">
        <v>89115</v>
      </c>
      <c r="P2675" t="s">
        <v>221</v>
      </c>
      <c r="Q2675" t="s">
        <v>124</v>
      </c>
      <c r="R2675">
        <v>5</v>
      </c>
      <c r="S2675">
        <v>1.145</v>
      </c>
      <c r="T2675">
        <v>0</v>
      </c>
      <c r="U2675">
        <v>1</v>
      </c>
      <c r="V2675">
        <v>3</v>
      </c>
      <c r="W2675">
        <v>0</v>
      </c>
      <c r="X2675">
        <v>0</v>
      </c>
      <c r="Y2675">
        <v>0</v>
      </c>
      <c r="Z2675">
        <v>0</v>
      </c>
      <c r="AA2675">
        <v>0</v>
      </c>
      <c r="AB2675">
        <v>0</v>
      </c>
      <c r="AC2675">
        <v>0</v>
      </c>
      <c r="AD2675">
        <v>5</v>
      </c>
      <c r="AE2675">
        <v>0</v>
      </c>
      <c r="AF2675">
        <v>0</v>
      </c>
      <c r="AG2675">
        <v>0</v>
      </c>
      <c r="AH2675">
        <v>0</v>
      </c>
      <c r="AI2675">
        <v>0</v>
      </c>
      <c r="AJ2675">
        <v>0</v>
      </c>
      <c r="AK2675">
        <v>0</v>
      </c>
    </row>
    <row r="2676" spans="1:37" x14ac:dyDescent="0.3">
      <c r="A2676">
        <v>7864</v>
      </c>
      <c r="B2676" t="s">
        <v>234</v>
      </c>
      <c r="D2676" t="s">
        <v>248</v>
      </c>
      <c r="E2676">
        <v>99999999</v>
      </c>
      <c r="F2676">
        <v>11111111</v>
      </c>
      <c r="G2676">
        <v>1111111111</v>
      </c>
      <c r="H2676" t="s">
        <v>6245</v>
      </c>
      <c r="I2676">
        <v>99999999</v>
      </c>
      <c r="J2676" s="188">
        <v>45238</v>
      </c>
      <c r="K2676" t="s">
        <v>6245</v>
      </c>
      <c r="L2676" t="s">
        <v>6245</v>
      </c>
      <c r="M2676" t="s">
        <v>131</v>
      </c>
      <c r="N2676" t="s">
        <v>99</v>
      </c>
      <c r="O2676" t="s">
        <v>3323</v>
      </c>
      <c r="P2676" t="s">
        <v>221</v>
      </c>
      <c r="Q2676" t="s">
        <v>124</v>
      </c>
      <c r="R2676">
        <v>3</v>
      </c>
      <c r="S2676">
        <v>0.35649999999999998</v>
      </c>
      <c r="T2676">
        <v>0</v>
      </c>
      <c r="U2676">
        <v>1</v>
      </c>
      <c r="V2676">
        <v>3</v>
      </c>
      <c r="W2676">
        <v>0</v>
      </c>
      <c r="X2676">
        <v>0</v>
      </c>
      <c r="Y2676">
        <v>0</v>
      </c>
      <c r="Z2676">
        <v>0</v>
      </c>
      <c r="AA2676">
        <v>0</v>
      </c>
      <c r="AB2676">
        <v>0</v>
      </c>
      <c r="AC2676">
        <v>0</v>
      </c>
      <c r="AD2676">
        <v>3</v>
      </c>
      <c r="AE2676">
        <v>0</v>
      </c>
      <c r="AF2676">
        <v>0</v>
      </c>
      <c r="AG2676">
        <v>0</v>
      </c>
      <c r="AH2676">
        <v>0</v>
      </c>
      <c r="AI2676">
        <v>0</v>
      </c>
      <c r="AJ2676">
        <v>0</v>
      </c>
      <c r="AK2676">
        <v>0</v>
      </c>
    </row>
    <row r="2677" spans="1:37" x14ac:dyDescent="0.3">
      <c r="A2677">
        <v>7864</v>
      </c>
      <c r="B2677" t="s">
        <v>234</v>
      </c>
      <c r="D2677" t="s">
        <v>251</v>
      </c>
      <c r="E2677">
        <v>99999999</v>
      </c>
      <c r="F2677">
        <v>11111111</v>
      </c>
      <c r="G2677">
        <v>1111111111</v>
      </c>
      <c r="H2677" t="s">
        <v>6246</v>
      </c>
      <c r="I2677">
        <v>99999999</v>
      </c>
      <c r="J2677" s="188">
        <v>45238</v>
      </c>
      <c r="K2677" t="s">
        <v>6246</v>
      </c>
      <c r="L2677" t="s">
        <v>6246</v>
      </c>
      <c r="M2677" t="s">
        <v>962</v>
      </c>
      <c r="N2677" t="s">
        <v>183</v>
      </c>
      <c r="O2677">
        <v>46350</v>
      </c>
      <c r="P2677" t="s">
        <v>221</v>
      </c>
      <c r="Q2677" t="s">
        <v>82</v>
      </c>
      <c r="R2677">
        <v>12</v>
      </c>
      <c r="S2677">
        <v>9.7050000000000001</v>
      </c>
      <c r="T2677">
        <v>0</v>
      </c>
      <c r="U2677">
        <v>1</v>
      </c>
      <c r="V2677">
        <v>8</v>
      </c>
      <c r="W2677">
        <v>37.17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12</v>
      </c>
      <c r="AE2677">
        <v>0</v>
      </c>
      <c r="AF2677">
        <v>0</v>
      </c>
      <c r="AG2677">
        <v>0</v>
      </c>
      <c r="AH2677">
        <v>0</v>
      </c>
      <c r="AI2677">
        <v>0</v>
      </c>
      <c r="AJ2677">
        <v>0</v>
      </c>
      <c r="AK2677">
        <v>0</v>
      </c>
    </row>
    <row r="2678" spans="1:37" x14ac:dyDescent="0.3">
      <c r="A2678">
        <v>7864</v>
      </c>
      <c r="B2678" t="s">
        <v>234</v>
      </c>
      <c r="D2678" t="s">
        <v>248</v>
      </c>
      <c r="E2678">
        <v>99999999</v>
      </c>
      <c r="F2678">
        <v>11111111</v>
      </c>
      <c r="G2678">
        <v>1111111111</v>
      </c>
      <c r="H2678" t="s">
        <v>6247</v>
      </c>
      <c r="I2678">
        <v>99999999</v>
      </c>
      <c r="J2678" s="188">
        <v>45238</v>
      </c>
      <c r="K2678" t="s">
        <v>6247</v>
      </c>
      <c r="L2678" t="s">
        <v>6247</v>
      </c>
      <c r="M2678" t="s">
        <v>1935</v>
      </c>
      <c r="N2678" t="s">
        <v>522</v>
      </c>
      <c r="O2678">
        <v>31408</v>
      </c>
      <c r="P2678" t="s">
        <v>221</v>
      </c>
      <c r="Q2678" t="s">
        <v>124</v>
      </c>
      <c r="R2678">
        <v>5</v>
      </c>
      <c r="S2678">
        <v>2.125</v>
      </c>
      <c r="T2678">
        <v>0</v>
      </c>
      <c r="U2678">
        <v>1</v>
      </c>
      <c r="V2678">
        <v>1</v>
      </c>
      <c r="W2678">
        <v>0</v>
      </c>
      <c r="X2678">
        <v>0</v>
      </c>
      <c r="Y2678">
        <v>0</v>
      </c>
      <c r="Z2678">
        <v>0</v>
      </c>
      <c r="AA2678">
        <v>0</v>
      </c>
      <c r="AB2678">
        <v>0</v>
      </c>
      <c r="AC2678">
        <v>0</v>
      </c>
      <c r="AD2678">
        <v>5</v>
      </c>
      <c r="AE2678">
        <v>0</v>
      </c>
      <c r="AF2678">
        <v>0</v>
      </c>
      <c r="AG2678">
        <v>0</v>
      </c>
      <c r="AH2678">
        <v>0</v>
      </c>
      <c r="AI2678">
        <v>0</v>
      </c>
      <c r="AJ2678">
        <v>0</v>
      </c>
      <c r="AK2678">
        <v>0</v>
      </c>
    </row>
    <row r="2679" spans="1:37" x14ac:dyDescent="0.3">
      <c r="A2679">
        <v>7864</v>
      </c>
      <c r="B2679" t="s">
        <v>234</v>
      </c>
      <c r="D2679" t="s">
        <v>248</v>
      </c>
      <c r="E2679">
        <v>99999999</v>
      </c>
      <c r="F2679">
        <v>11111111</v>
      </c>
      <c r="G2679">
        <v>1111111111</v>
      </c>
      <c r="H2679" t="s">
        <v>6248</v>
      </c>
      <c r="I2679">
        <v>99999999</v>
      </c>
      <c r="J2679" s="188">
        <v>45238</v>
      </c>
      <c r="K2679" t="s">
        <v>6248</v>
      </c>
      <c r="L2679" t="s">
        <v>6248</v>
      </c>
      <c r="M2679" t="s">
        <v>3329</v>
      </c>
      <c r="N2679" t="s">
        <v>231</v>
      </c>
      <c r="O2679">
        <v>1845</v>
      </c>
      <c r="P2679" t="s">
        <v>221</v>
      </c>
      <c r="Q2679" t="s">
        <v>124</v>
      </c>
      <c r="R2679">
        <v>2</v>
      </c>
      <c r="S2679">
        <v>1.71</v>
      </c>
      <c r="T2679">
        <v>0</v>
      </c>
      <c r="U2679">
        <v>1</v>
      </c>
      <c r="V2679">
        <v>2</v>
      </c>
      <c r="W2679">
        <v>0</v>
      </c>
      <c r="X2679">
        <v>0</v>
      </c>
      <c r="Y2679">
        <v>0</v>
      </c>
      <c r="Z2679">
        <v>0</v>
      </c>
      <c r="AA2679">
        <v>0</v>
      </c>
      <c r="AB2679">
        <v>0</v>
      </c>
      <c r="AC2679">
        <v>0</v>
      </c>
      <c r="AD2679">
        <v>2</v>
      </c>
      <c r="AE2679">
        <v>0</v>
      </c>
      <c r="AF2679">
        <v>0</v>
      </c>
      <c r="AG2679">
        <v>0</v>
      </c>
      <c r="AH2679">
        <v>0</v>
      </c>
      <c r="AI2679">
        <v>0</v>
      </c>
      <c r="AJ2679">
        <v>0</v>
      </c>
      <c r="AK2679">
        <v>0</v>
      </c>
    </row>
    <row r="2680" spans="1:37" x14ac:dyDescent="0.3">
      <c r="A2680">
        <v>7864</v>
      </c>
      <c r="B2680" t="s">
        <v>234</v>
      </c>
      <c r="D2680" t="s">
        <v>251</v>
      </c>
      <c r="E2680">
        <v>99999999</v>
      </c>
      <c r="F2680">
        <v>11111111</v>
      </c>
      <c r="G2680">
        <v>1111111111</v>
      </c>
      <c r="H2680" t="s">
        <v>6249</v>
      </c>
      <c r="I2680">
        <v>99999999</v>
      </c>
      <c r="J2680" s="188">
        <v>45238</v>
      </c>
      <c r="K2680" t="s">
        <v>6249</v>
      </c>
      <c r="L2680" t="s">
        <v>6249</v>
      </c>
      <c r="M2680" t="s">
        <v>3330</v>
      </c>
      <c r="N2680" t="s">
        <v>241</v>
      </c>
      <c r="O2680">
        <v>61350</v>
      </c>
      <c r="P2680" t="s">
        <v>221</v>
      </c>
      <c r="Q2680" t="s">
        <v>82</v>
      </c>
      <c r="R2680">
        <v>1</v>
      </c>
      <c r="S2680">
        <v>0.67100000000000004</v>
      </c>
      <c r="T2680">
        <v>0</v>
      </c>
      <c r="U2680">
        <v>1</v>
      </c>
      <c r="V2680">
        <v>1</v>
      </c>
      <c r="W2680">
        <v>0</v>
      </c>
      <c r="X2680">
        <v>0</v>
      </c>
      <c r="Y2680">
        <v>0</v>
      </c>
      <c r="Z2680">
        <v>0</v>
      </c>
      <c r="AA2680">
        <v>0</v>
      </c>
      <c r="AB2680">
        <v>0</v>
      </c>
      <c r="AC2680">
        <v>0</v>
      </c>
      <c r="AD2680">
        <v>1</v>
      </c>
      <c r="AE2680">
        <v>0</v>
      </c>
      <c r="AF2680">
        <v>0</v>
      </c>
      <c r="AG2680">
        <v>0</v>
      </c>
      <c r="AH2680">
        <v>0</v>
      </c>
      <c r="AI2680">
        <v>0</v>
      </c>
      <c r="AJ2680">
        <v>0</v>
      </c>
      <c r="AK2680">
        <v>0</v>
      </c>
    </row>
    <row r="2681" spans="1:37" x14ac:dyDescent="0.3">
      <c r="A2681">
        <v>7864</v>
      </c>
      <c r="B2681" t="s">
        <v>234</v>
      </c>
      <c r="D2681" t="s">
        <v>248</v>
      </c>
      <c r="E2681">
        <v>99999999</v>
      </c>
      <c r="F2681">
        <v>11111111</v>
      </c>
      <c r="G2681">
        <v>1111111111</v>
      </c>
      <c r="H2681" t="s">
        <v>6250</v>
      </c>
      <c r="I2681">
        <v>99999999</v>
      </c>
      <c r="J2681" s="188">
        <v>45238</v>
      </c>
      <c r="K2681" t="s">
        <v>6250</v>
      </c>
      <c r="L2681" t="s">
        <v>6250</v>
      </c>
      <c r="M2681" t="s">
        <v>328</v>
      </c>
      <c r="N2681" t="s">
        <v>99</v>
      </c>
      <c r="O2681">
        <v>92551</v>
      </c>
      <c r="P2681" t="s">
        <v>221</v>
      </c>
      <c r="Q2681" t="s">
        <v>124</v>
      </c>
      <c r="R2681">
        <v>1</v>
      </c>
      <c r="S2681">
        <v>0.92</v>
      </c>
      <c r="T2681">
        <v>0</v>
      </c>
      <c r="U2681">
        <v>1</v>
      </c>
      <c r="V2681">
        <v>1</v>
      </c>
      <c r="W2681">
        <v>0</v>
      </c>
      <c r="X2681">
        <v>0</v>
      </c>
      <c r="Y2681">
        <v>0</v>
      </c>
      <c r="Z2681">
        <v>0</v>
      </c>
      <c r="AA2681">
        <v>0</v>
      </c>
      <c r="AB2681">
        <v>0</v>
      </c>
      <c r="AC2681">
        <v>0</v>
      </c>
      <c r="AD2681">
        <v>1</v>
      </c>
      <c r="AE2681">
        <v>0</v>
      </c>
      <c r="AF2681">
        <v>0</v>
      </c>
      <c r="AG2681">
        <v>0</v>
      </c>
      <c r="AH2681">
        <v>0</v>
      </c>
      <c r="AI2681">
        <v>0</v>
      </c>
      <c r="AJ2681">
        <v>0</v>
      </c>
      <c r="AK2681">
        <v>0</v>
      </c>
    </row>
    <row r="2682" spans="1:37" x14ac:dyDescent="0.3">
      <c r="A2682">
        <v>7864</v>
      </c>
      <c r="B2682" t="s">
        <v>234</v>
      </c>
      <c r="D2682" t="s">
        <v>251</v>
      </c>
      <c r="E2682">
        <v>99999999</v>
      </c>
      <c r="F2682">
        <v>11111111</v>
      </c>
      <c r="G2682">
        <v>1111111111</v>
      </c>
      <c r="H2682" t="s">
        <v>6251</v>
      </c>
      <c r="I2682">
        <v>99999999</v>
      </c>
      <c r="J2682" s="188">
        <v>45238</v>
      </c>
      <c r="K2682" t="s">
        <v>6251</v>
      </c>
      <c r="L2682" t="s">
        <v>6251</v>
      </c>
      <c r="M2682" t="s">
        <v>1574</v>
      </c>
      <c r="N2682" t="s">
        <v>99</v>
      </c>
      <c r="O2682">
        <v>94506</v>
      </c>
      <c r="P2682" t="s">
        <v>221</v>
      </c>
      <c r="Q2682" t="s">
        <v>82</v>
      </c>
      <c r="R2682">
        <v>160</v>
      </c>
      <c r="S2682">
        <v>98.4</v>
      </c>
      <c r="T2682">
        <v>0</v>
      </c>
      <c r="U2682">
        <v>4</v>
      </c>
      <c r="V2682">
        <v>7</v>
      </c>
      <c r="W2682">
        <v>120.34</v>
      </c>
      <c r="X2682">
        <v>0</v>
      </c>
      <c r="Y2682">
        <v>0</v>
      </c>
      <c r="Z2682">
        <v>0</v>
      </c>
      <c r="AA2682">
        <v>0</v>
      </c>
      <c r="AB2682">
        <v>0</v>
      </c>
      <c r="AC2682">
        <v>0</v>
      </c>
      <c r="AD2682">
        <v>160</v>
      </c>
      <c r="AE2682">
        <v>0</v>
      </c>
      <c r="AF2682">
        <v>0</v>
      </c>
      <c r="AG2682">
        <v>0</v>
      </c>
      <c r="AH2682">
        <v>0</v>
      </c>
      <c r="AI2682">
        <v>0</v>
      </c>
      <c r="AJ2682">
        <v>0</v>
      </c>
      <c r="AK2682">
        <v>0</v>
      </c>
    </row>
    <row r="2683" spans="1:37" x14ac:dyDescent="0.3">
      <c r="A2683">
        <v>7864</v>
      </c>
      <c r="B2683" t="s">
        <v>234</v>
      </c>
      <c r="D2683" t="s">
        <v>251</v>
      </c>
      <c r="E2683">
        <v>99999999</v>
      </c>
      <c r="F2683">
        <v>11111111</v>
      </c>
      <c r="G2683">
        <v>1111111111</v>
      </c>
      <c r="H2683" t="s">
        <v>6252</v>
      </c>
      <c r="I2683">
        <v>99999999</v>
      </c>
      <c r="J2683" s="188">
        <v>45238</v>
      </c>
      <c r="K2683" t="s">
        <v>6252</v>
      </c>
      <c r="L2683" t="s">
        <v>6252</v>
      </c>
      <c r="M2683" t="s">
        <v>3331</v>
      </c>
      <c r="N2683" t="s">
        <v>950</v>
      </c>
      <c r="O2683">
        <v>50644</v>
      </c>
      <c r="P2683" t="s">
        <v>221</v>
      </c>
      <c r="Q2683" t="s">
        <v>82</v>
      </c>
      <c r="R2683">
        <v>20</v>
      </c>
      <c r="S2683">
        <v>11.162000000000001</v>
      </c>
      <c r="T2683">
        <v>0</v>
      </c>
      <c r="U2683">
        <v>1</v>
      </c>
      <c r="V2683">
        <v>11</v>
      </c>
      <c r="W2683">
        <v>54.97</v>
      </c>
      <c r="X2683">
        <v>0</v>
      </c>
      <c r="Y2683">
        <v>0</v>
      </c>
      <c r="Z2683">
        <v>0</v>
      </c>
      <c r="AA2683">
        <v>0</v>
      </c>
      <c r="AB2683">
        <v>0</v>
      </c>
      <c r="AC2683">
        <v>0</v>
      </c>
      <c r="AD2683">
        <v>20</v>
      </c>
      <c r="AE2683">
        <v>0</v>
      </c>
      <c r="AF2683">
        <v>0</v>
      </c>
      <c r="AG2683">
        <v>0</v>
      </c>
      <c r="AH2683">
        <v>0</v>
      </c>
      <c r="AI2683">
        <v>0</v>
      </c>
      <c r="AJ2683">
        <v>0</v>
      </c>
      <c r="AK2683">
        <v>0</v>
      </c>
    </row>
    <row r="2684" spans="1:37" x14ac:dyDescent="0.3">
      <c r="A2684">
        <v>7903</v>
      </c>
      <c r="B2684" t="s">
        <v>3332</v>
      </c>
      <c r="D2684" t="s">
        <v>251</v>
      </c>
      <c r="E2684">
        <v>99999999</v>
      </c>
      <c r="F2684">
        <v>11111111</v>
      </c>
      <c r="G2684">
        <v>1111111111</v>
      </c>
      <c r="H2684" t="s">
        <v>6253</v>
      </c>
      <c r="I2684">
        <v>99999999</v>
      </c>
      <c r="J2684" s="188">
        <v>45236</v>
      </c>
      <c r="K2684" t="s">
        <v>6253</v>
      </c>
      <c r="L2684" t="s">
        <v>6253</v>
      </c>
      <c r="M2684" t="s">
        <v>3333</v>
      </c>
      <c r="N2684" t="s">
        <v>99</v>
      </c>
      <c r="O2684">
        <v>95482</v>
      </c>
      <c r="P2684" t="s">
        <v>221</v>
      </c>
      <c r="Q2684" t="s">
        <v>93</v>
      </c>
      <c r="R2684">
        <v>2</v>
      </c>
      <c r="S2684">
        <v>2.4900000000000002</v>
      </c>
      <c r="T2684">
        <v>0</v>
      </c>
      <c r="U2684">
        <v>2</v>
      </c>
      <c r="V2684">
        <v>2</v>
      </c>
      <c r="W2684">
        <v>0</v>
      </c>
      <c r="X2684">
        <v>0</v>
      </c>
      <c r="Y2684">
        <v>0</v>
      </c>
      <c r="Z2684">
        <v>0</v>
      </c>
      <c r="AA2684">
        <v>0</v>
      </c>
      <c r="AB2684">
        <v>0</v>
      </c>
      <c r="AC2684">
        <v>0</v>
      </c>
      <c r="AD2684">
        <v>2</v>
      </c>
      <c r="AE2684">
        <v>0</v>
      </c>
      <c r="AF2684">
        <v>0</v>
      </c>
      <c r="AG2684">
        <v>0</v>
      </c>
      <c r="AH2684">
        <v>0</v>
      </c>
      <c r="AI2684">
        <v>0</v>
      </c>
      <c r="AJ2684">
        <v>0</v>
      </c>
      <c r="AK2684">
        <v>0</v>
      </c>
    </row>
    <row r="2685" spans="1:37" x14ac:dyDescent="0.3">
      <c r="A2685">
        <v>7903</v>
      </c>
      <c r="B2685" t="s">
        <v>3332</v>
      </c>
      <c r="D2685" t="s">
        <v>251</v>
      </c>
      <c r="E2685">
        <v>99999999</v>
      </c>
      <c r="F2685">
        <v>11111111</v>
      </c>
      <c r="G2685">
        <v>1111111111</v>
      </c>
      <c r="H2685" t="s">
        <v>6254</v>
      </c>
      <c r="I2685">
        <v>99999999</v>
      </c>
      <c r="J2685" s="188">
        <v>45236</v>
      </c>
      <c r="K2685" t="s">
        <v>6254</v>
      </c>
      <c r="L2685" t="s">
        <v>6254</v>
      </c>
      <c r="M2685" t="s">
        <v>297</v>
      </c>
      <c r="N2685" t="s">
        <v>197</v>
      </c>
      <c r="O2685">
        <v>75235</v>
      </c>
      <c r="P2685" t="s">
        <v>221</v>
      </c>
      <c r="Q2685" t="s">
        <v>93</v>
      </c>
      <c r="R2685">
        <v>17</v>
      </c>
      <c r="S2685">
        <v>6.01</v>
      </c>
      <c r="T2685">
        <v>0</v>
      </c>
      <c r="U2685">
        <v>1</v>
      </c>
      <c r="V2685">
        <v>2</v>
      </c>
      <c r="W2685">
        <v>0</v>
      </c>
      <c r="X2685">
        <v>0</v>
      </c>
      <c r="Y2685">
        <v>0</v>
      </c>
      <c r="Z2685">
        <v>0</v>
      </c>
      <c r="AA2685">
        <v>0</v>
      </c>
      <c r="AB2685">
        <v>0</v>
      </c>
      <c r="AC2685">
        <v>0</v>
      </c>
      <c r="AD2685">
        <v>17</v>
      </c>
      <c r="AE2685">
        <v>0</v>
      </c>
      <c r="AF2685">
        <v>0</v>
      </c>
      <c r="AG2685">
        <v>0</v>
      </c>
      <c r="AH2685">
        <v>0</v>
      </c>
      <c r="AI2685">
        <v>0</v>
      </c>
      <c r="AJ2685">
        <v>0</v>
      </c>
      <c r="AK2685">
        <v>0</v>
      </c>
    </row>
    <row r="2686" spans="1:37" x14ac:dyDescent="0.3">
      <c r="A2686">
        <v>7903</v>
      </c>
      <c r="B2686" t="s">
        <v>3332</v>
      </c>
      <c r="D2686" t="s">
        <v>251</v>
      </c>
      <c r="E2686">
        <v>99999999</v>
      </c>
      <c r="F2686">
        <v>11111111</v>
      </c>
      <c r="G2686">
        <v>1111111111</v>
      </c>
      <c r="H2686" t="s">
        <v>6255</v>
      </c>
      <c r="I2686">
        <v>99999999</v>
      </c>
      <c r="J2686" s="188">
        <v>45236</v>
      </c>
      <c r="K2686" t="s">
        <v>6255</v>
      </c>
      <c r="L2686" t="s">
        <v>6255</v>
      </c>
      <c r="M2686" t="s">
        <v>3334</v>
      </c>
      <c r="N2686" t="s">
        <v>265</v>
      </c>
      <c r="O2686" t="s">
        <v>3335</v>
      </c>
      <c r="P2686" t="s">
        <v>221</v>
      </c>
      <c r="Q2686" t="s">
        <v>82</v>
      </c>
      <c r="R2686">
        <v>19</v>
      </c>
      <c r="S2686">
        <v>18.48</v>
      </c>
      <c r="T2686">
        <v>0</v>
      </c>
      <c r="U2686">
        <v>1</v>
      </c>
      <c r="V2686">
        <v>3</v>
      </c>
      <c r="W2686">
        <v>38.46</v>
      </c>
      <c r="X2686">
        <v>0</v>
      </c>
      <c r="Y2686">
        <v>0</v>
      </c>
      <c r="Z2686">
        <v>0</v>
      </c>
      <c r="AA2686">
        <v>0</v>
      </c>
      <c r="AB2686">
        <v>0</v>
      </c>
      <c r="AC2686">
        <v>0</v>
      </c>
      <c r="AD2686">
        <v>19</v>
      </c>
      <c r="AE2686">
        <v>0</v>
      </c>
      <c r="AF2686">
        <v>0</v>
      </c>
      <c r="AG2686">
        <v>0</v>
      </c>
      <c r="AH2686">
        <v>0</v>
      </c>
      <c r="AI2686">
        <v>0</v>
      </c>
      <c r="AJ2686">
        <v>0</v>
      </c>
      <c r="AK2686">
        <v>0</v>
      </c>
    </row>
    <row r="2687" spans="1:37" x14ac:dyDescent="0.3">
      <c r="A2687">
        <v>7903</v>
      </c>
      <c r="B2687" t="s">
        <v>3332</v>
      </c>
      <c r="D2687" t="s">
        <v>251</v>
      </c>
      <c r="E2687">
        <v>99999999</v>
      </c>
      <c r="F2687">
        <v>11111111</v>
      </c>
      <c r="G2687">
        <v>1111111111</v>
      </c>
      <c r="H2687" t="s">
        <v>6256</v>
      </c>
      <c r="I2687">
        <v>99999999</v>
      </c>
      <c r="J2687" s="188">
        <v>45237</v>
      </c>
      <c r="K2687" t="s">
        <v>6256</v>
      </c>
      <c r="L2687" t="s">
        <v>6256</v>
      </c>
      <c r="M2687" t="s">
        <v>173</v>
      </c>
      <c r="N2687" t="s">
        <v>164</v>
      </c>
      <c r="O2687">
        <v>97214</v>
      </c>
      <c r="P2687" t="s">
        <v>221</v>
      </c>
      <c r="Q2687" t="s">
        <v>82</v>
      </c>
      <c r="R2687">
        <v>23</v>
      </c>
      <c r="S2687">
        <v>9.1999999999999993</v>
      </c>
      <c r="T2687">
        <v>0</v>
      </c>
      <c r="U2687">
        <v>1</v>
      </c>
      <c r="V2687">
        <v>1</v>
      </c>
      <c r="W2687">
        <v>18.579999999999998</v>
      </c>
      <c r="X2687">
        <v>0</v>
      </c>
      <c r="Y2687">
        <v>0</v>
      </c>
      <c r="Z2687">
        <v>0</v>
      </c>
      <c r="AA2687">
        <v>0</v>
      </c>
      <c r="AB2687">
        <v>0</v>
      </c>
      <c r="AC2687">
        <v>0</v>
      </c>
      <c r="AD2687">
        <v>23</v>
      </c>
      <c r="AE2687">
        <v>0</v>
      </c>
      <c r="AF2687">
        <v>0</v>
      </c>
      <c r="AG2687">
        <v>0</v>
      </c>
      <c r="AH2687">
        <v>0</v>
      </c>
      <c r="AI2687">
        <v>0</v>
      </c>
      <c r="AJ2687">
        <v>0</v>
      </c>
      <c r="AK2687">
        <v>0</v>
      </c>
    </row>
    <row r="2688" spans="1:37" x14ac:dyDescent="0.3">
      <c r="A2688">
        <v>7903</v>
      </c>
      <c r="B2688" t="s">
        <v>3332</v>
      </c>
      <c r="D2688" t="s">
        <v>251</v>
      </c>
      <c r="E2688">
        <v>99999999</v>
      </c>
      <c r="F2688">
        <v>11111111</v>
      </c>
      <c r="G2688">
        <v>1111111111</v>
      </c>
      <c r="H2688" t="s">
        <v>6257</v>
      </c>
      <c r="I2688">
        <v>99999999</v>
      </c>
      <c r="J2688" s="188">
        <v>45238</v>
      </c>
      <c r="K2688" t="s">
        <v>6257</v>
      </c>
      <c r="L2688" t="s">
        <v>6257</v>
      </c>
      <c r="M2688" t="s">
        <v>3336</v>
      </c>
      <c r="N2688" t="s">
        <v>118</v>
      </c>
      <c r="O2688">
        <v>17019</v>
      </c>
      <c r="P2688" t="s">
        <v>221</v>
      </c>
      <c r="Q2688" t="s">
        <v>82</v>
      </c>
      <c r="R2688">
        <v>75</v>
      </c>
      <c r="S2688">
        <v>82.5</v>
      </c>
      <c r="T2688">
        <v>0</v>
      </c>
      <c r="U2688">
        <v>3</v>
      </c>
      <c r="V2688">
        <v>1</v>
      </c>
      <c r="W2688">
        <v>161.4</v>
      </c>
      <c r="X2688">
        <v>0</v>
      </c>
      <c r="Y2688">
        <v>0</v>
      </c>
      <c r="Z2688">
        <v>0</v>
      </c>
      <c r="AA2688">
        <v>3</v>
      </c>
      <c r="AB2688">
        <v>0</v>
      </c>
      <c r="AC2688">
        <v>0</v>
      </c>
      <c r="AD2688">
        <v>0</v>
      </c>
      <c r="AE2688">
        <v>0</v>
      </c>
      <c r="AF2688">
        <v>0</v>
      </c>
      <c r="AG2688">
        <v>0</v>
      </c>
      <c r="AH2688">
        <v>0</v>
      </c>
      <c r="AI2688">
        <v>0</v>
      </c>
      <c r="AJ2688">
        <v>0</v>
      </c>
      <c r="AK2688">
        <v>0</v>
      </c>
    </row>
    <row r="2689" spans="1:37" x14ac:dyDescent="0.3">
      <c r="A2689">
        <v>7903</v>
      </c>
      <c r="B2689" t="s">
        <v>3332</v>
      </c>
      <c r="D2689" t="s">
        <v>3337</v>
      </c>
      <c r="E2689">
        <v>99999999</v>
      </c>
      <c r="F2689">
        <v>11111111</v>
      </c>
      <c r="G2689">
        <v>1111111111</v>
      </c>
      <c r="H2689" t="s">
        <v>6258</v>
      </c>
      <c r="I2689">
        <v>99999999</v>
      </c>
      <c r="J2689" s="188">
        <v>45238</v>
      </c>
      <c r="K2689" t="s">
        <v>6258</v>
      </c>
      <c r="L2689" t="s">
        <v>6258</v>
      </c>
      <c r="M2689" t="s">
        <v>3336</v>
      </c>
      <c r="N2689" t="s">
        <v>118</v>
      </c>
      <c r="O2689">
        <v>17019</v>
      </c>
      <c r="P2689" t="s">
        <v>221</v>
      </c>
      <c r="Q2689" t="s">
        <v>82</v>
      </c>
      <c r="R2689">
        <v>150</v>
      </c>
      <c r="S2689">
        <v>165</v>
      </c>
      <c r="T2689">
        <v>0</v>
      </c>
      <c r="U2689">
        <v>6</v>
      </c>
      <c r="V2689">
        <v>1</v>
      </c>
      <c r="W2689">
        <v>0</v>
      </c>
      <c r="X2689">
        <v>0</v>
      </c>
      <c r="Y2689">
        <v>0</v>
      </c>
      <c r="Z2689">
        <v>0</v>
      </c>
      <c r="AA2689">
        <v>6</v>
      </c>
      <c r="AB2689">
        <v>0</v>
      </c>
      <c r="AC2689">
        <v>0</v>
      </c>
      <c r="AD2689">
        <v>0</v>
      </c>
      <c r="AE2689">
        <v>0</v>
      </c>
      <c r="AF2689">
        <v>0</v>
      </c>
      <c r="AG2689">
        <v>0</v>
      </c>
      <c r="AH2689">
        <v>0</v>
      </c>
      <c r="AI2689">
        <v>0</v>
      </c>
      <c r="AJ2689">
        <v>0</v>
      </c>
      <c r="AK2689">
        <v>0</v>
      </c>
    </row>
    <row r="2690" spans="1:37" x14ac:dyDescent="0.3">
      <c r="A2690">
        <v>7903</v>
      </c>
      <c r="B2690" t="s">
        <v>3332</v>
      </c>
      <c r="D2690" t="s">
        <v>251</v>
      </c>
      <c r="E2690">
        <v>99999999</v>
      </c>
      <c r="F2690">
        <v>11111111</v>
      </c>
      <c r="G2690">
        <v>1111111111</v>
      </c>
      <c r="H2690" t="s">
        <v>6259</v>
      </c>
      <c r="I2690">
        <v>99999999</v>
      </c>
      <c r="J2690" s="188">
        <v>45238</v>
      </c>
      <c r="K2690" t="s">
        <v>6259</v>
      </c>
      <c r="L2690" t="s">
        <v>6259</v>
      </c>
      <c r="M2690" t="s">
        <v>3338</v>
      </c>
      <c r="N2690" t="s">
        <v>197</v>
      </c>
      <c r="O2690">
        <v>79602</v>
      </c>
      <c r="P2690" t="s">
        <v>221</v>
      </c>
      <c r="Q2690" t="s">
        <v>82</v>
      </c>
      <c r="R2690">
        <v>8</v>
      </c>
      <c r="S2690">
        <v>14.08</v>
      </c>
      <c r="T2690">
        <v>0</v>
      </c>
      <c r="U2690">
        <v>1</v>
      </c>
      <c r="V2690">
        <v>1</v>
      </c>
      <c r="W2690">
        <v>28.8</v>
      </c>
      <c r="X2690">
        <v>0</v>
      </c>
      <c r="Y2690">
        <v>0</v>
      </c>
      <c r="Z2690">
        <v>0</v>
      </c>
      <c r="AA2690">
        <v>0</v>
      </c>
      <c r="AB2690">
        <v>0</v>
      </c>
      <c r="AC2690">
        <v>0</v>
      </c>
      <c r="AD2690">
        <v>8</v>
      </c>
      <c r="AE2690">
        <v>0</v>
      </c>
      <c r="AF2690">
        <v>0</v>
      </c>
      <c r="AG2690">
        <v>0</v>
      </c>
      <c r="AH2690">
        <v>0</v>
      </c>
      <c r="AI2690">
        <v>0</v>
      </c>
      <c r="AJ2690">
        <v>0</v>
      </c>
      <c r="AK2690">
        <v>0</v>
      </c>
    </row>
    <row r="2691" spans="1:37" x14ac:dyDescent="0.3">
      <c r="A2691">
        <v>7903</v>
      </c>
      <c r="B2691" t="s">
        <v>3332</v>
      </c>
      <c r="D2691" t="s">
        <v>251</v>
      </c>
      <c r="E2691">
        <v>99999999</v>
      </c>
      <c r="F2691">
        <v>11111111</v>
      </c>
      <c r="G2691">
        <v>1111111111</v>
      </c>
      <c r="H2691" t="s">
        <v>6260</v>
      </c>
      <c r="I2691">
        <v>99999999</v>
      </c>
      <c r="J2691" s="188">
        <v>45238</v>
      </c>
      <c r="K2691" t="s">
        <v>6260</v>
      </c>
      <c r="L2691" t="s">
        <v>6260</v>
      </c>
      <c r="M2691" t="s">
        <v>448</v>
      </c>
      <c r="N2691" t="s">
        <v>197</v>
      </c>
      <c r="O2691">
        <v>77071</v>
      </c>
      <c r="P2691" t="s">
        <v>221</v>
      </c>
      <c r="Q2691" t="s">
        <v>93</v>
      </c>
      <c r="R2691">
        <v>42</v>
      </c>
      <c r="S2691">
        <v>63.84</v>
      </c>
      <c r="T2691">
        <v>0</v>
      </c>
      <c r="U2691">
        <v>2</v>
      </c>
      <c r="V2691">
        <v>4</v>
      </c>
      <c r="W2691">
        <v>0</v>
      </c>
      <c r="X2691">
        <v>0</v>
      </c>
      <c r="Y2691">
        <v>0</v>
      </c>
      <c r="Z2691">
        <v>0</v>
      </c>
      <c r="AA2691">
        <v>0</v>
      </c>
      <c r="AB2691">
        <v>0</v>
      </c>
      <c r="AC2691">
        <v>0</v>
      </c>
      <c r="AD2691">
        <v>42</v>
      </c>
      <c r="AE2691">
        <v>0</v>
      </c>
      <c r="AF2691">
        <v>0</v>
      </c>
      <c r="AG2691">
        <v>0</v>
      </c>
      <c r="AH2691">
        <v>0</v>
      </c>
      <c r="AI2691">
        <v>0</v>
      </c>
      <c r="AJ2691">
        <v>0</v>
      </c>
      <c r="AK2691">
        <v>0</v>
      </c>
    </row>
    <row r="2692" spans="1:37" x14ac:dyDescent="0.3">
      <c r="A2692">
        <v>7903</v>
      </c>
      <c r="B2692" t="s">
        <v>3332</v>
      </c>
      <c r="D2692" t="s">
        <v>251</v>
      </c>
      <c r="E2692">
        <v>99999999</v>
      </c>
      <c r="F2692">
        <v>11111111</v>
      </c>
      <c r="G2692">
        <v>1111111111</v>
      </c>
      <c r="H2692" t="s">
        <v>6261</v>
      </c>
      <c r="I2692">
        <v>99999999</v>
      </c>
      <c r="J2692" s="188">
        <v>45238</v>
      </c>
      <c r="K2692" t="s">
        <v>6261</v>
      </c>
      <c r="L2692" t="s">
        <v>6261</v>
      </c>
      <c r="M2692" t="s">
        <v>3339</v>
      </c>
      <c r="N2692" t="s">
        <v>164</v>
      </c>
      <c r="O2692">
        <v>97224</v>
      </c>
      <c r="P2692" t="s">
        <v>221</v>
      </c>
      <c r="Q2692" t="s">
        <v>93</v>
      </c>
      <c r="R2692">
        <v>16</v>
      </c>
      <c r="S2692">
        <v>21.68</v>
      </c>
      <c r="T2692">
        <v>0</v>
      </c>
      <c r="U2692">
        <v>1</v>
      </c>
      <c r="V2692">
        <v>3</v>
      </c>
      <c r="W2692">
        <v>0</v>
      </c>
      <c r="X2692">
        <v>0</v>
      </c>
      <c r="Y2692">
        <v>0</v>
      </c>
      <c r="Z2692">
        <v>0</v>
      </c>
      <c r="AA2692">
        <v>0</v>
      </c>
      <c r="AB2692">
        <v>0</v>
      </c>
      <c r="AC2692">
        <v>0</v>
      </c>
      <c r="AD2692">
        <v>16</v>
      </c>
      <c r="AE2692">
        <v>0</v>
      </c>
      <c r="AF2692">
        <v>0</v>
      </c>
      <c r="AG2692">
        <v>0</v>
      </c>
      <c r="AH2692">
        <v>0</v>
      </c>
      <c r="AI2692">
        <v>0</v>
      </c>
      <c r="AJ2692">
        <v>0</v>
      </c>
      <c r="AK2692">
        <v>0</v>
      </c>
    </row>
    <row r="2693" spans="1:37" x14ac:dyDescent="0.3">
      <c r="A2693">
        <v>7903</v>
      </c>
      <c r="B2693" t="s">
        <v>3332</v>
      </c>
      <c r="D2693" t="s">
        <v>251</v>
      </c>
      <c r="E2693">
        <v>99999999</v>
      </c>
      <c r="F2693">
        <v>11111111</v>
      </c>
      <c r="G2693">
        <v>1111111111</v>
      </c>
      <c r="H2693" t="s">
        <v>6262</v>
      </c>
      <c r="I2693">
        <v>99999999</v>
      </c>
      <c r="J2693" s="188">
        <v>45238</v>
      </c>
      <c r="K2693" t="s">
        <v>6262</v>
      </c>
      <c r="L2693" t="s">
        <v>6262</v>
      </c>
      <c r="M2693" t="s">
        <v>178</v>
      </c>
      <c r="N2693" t="s">
        <v>97</v>
      </c>
      <c r="O2693">
        <v>98409</v>
      </c>
      <c r="P2693" t="s">
        <v>221</v>
      </c>
      <c r="Q2693" t="s">
        <v>82</v>
      </c>
      <c r="R2693">
        <v>66</v>
      </c>
      <c r="S2693">
        <v>97.68</v>
      </c>
      <c r="T2693">
        <v>0</v>
      </c>
      <c r="U2693">
        <v>3</v>
      </c>
      <c r="V2693">
        <v>1</v>
      </c>
      <c r="W2693">
        <v>93.55</v>
      </c>
      <c r="X2693">
        <v>0</v>
      </c>
      <c r="Y2693">
        <v>0</v>
      </c>
      <c r="Z2693">
        <v>0</v>
      </c>
      <c r="AA2693">
        <v>2</v>
      </c>
      <c r="AB2693">
        <v>0</v>
      </c>
      <c r="AC2693">
        <v>0</v>
      </c>
      <c r="AD2693">
        <v>16</v>
      </c>
      <c r="AE2693">
        <v>0</v>
      </c>
      <c r="AF2693">
        <v>0</v>
      </c>
      <c r="AG2693">
        <v>0</v>
      </c>
      <c r="AH2693">
        <v>0</v>
      </c>
      <c r="AI2693">
        <v>0</v>
      </c>
      <c r="AJ2693">
        <v>0</v>
      </c>
      <c r="AK2693">
        <v>0</v>
      </c>
    </row>
    <row r="2694" spans="1:37" x14ac:dyDescent="0.3">
      <c r="A2694">
        <v>7134</v>
      </c>
      <c r="B2694" t="s">
        <v>28</v>
      </c>
      <c r="C2694">
        <v>11</v>
      </c>
      <c r="D2694" t="s">
        <v>3340</v>
      </c>
      <c r="E2694">
        <v>99999999</v>
      </c>
      <c r="F2694">
        <v>11111111</v>
      </c>
      <c r="G2694">
        <v>1111111111</v>
      </c>
      <c r="H2694" t="s">
        <v>6263</v>
      </c>
      <c r="I2694">
        <v>99999999</v>
      </c>
      <c r="J2694" s="188">
        <v>45236</v>
      </c>
      <c r="K2694" t="s">
        <v>6263</v>
      </c>
      <c r="L2694" t="s">
        <v>6263</v>
      </c>
      <c r="M2694" t="s">
        <v>1275</v>
      </c>
      <c r="N2694" t="s">
        <v>1276</v>
      </c>
      <c r="O2694">
        <v>554102006</v>
      </c>
      <c r="P2694" t="s">
        <v>221</v>
      </c>
      <c r="Q2694" t="s">
        <v>82</v>
      </c>
      <c r="R2694">
        <v>1</v>
      </c>
      <c r="S2694">
        <v>2.74</v>
      </c>
      <c r="T2694">
        <v>0</v>
      </c>
      <c r="U2694">
        <v>1</v>
      </c>
      <c r="V2694">
        <v>1</v>
      </c>
      <c r="W2694">
        <v>49.24</v>
      </c>
      <c r="X2694">
        <v>0</v>
      </c>
      <c r="Y2694">
        <v>0</v>
      </c>
      <c r="Z2694">
        <v>0</v>
      </c>
      <c r="AA2694">
        <v>0</v>
      </c>
      <c r="AB2694">
        <v>1</v>
      </c>
      <c r="AC2694">
        <v>0</v>
      </c>
      <c r="AD2694">
        <v>0</v>
      </c>
      <c r="AE2694">
        <v>0</v>
      </c>
      <c r="AF2694">
        <v>0</v>
      </c>
      <c r="AG2694">
        <v>0</v>
      </c>
      <c r="AH2694">
        <v>0</v>
      </c>
      <c r="AI2694">
        <v>0</v>
      </c>
      <c r="AJ2694">
        <v>0</v>
      </c>
      <c r="AK2694">
        <v>0</v>
      </c>
    </row>
    <row r="2695" spans="1:37" x14ac:dyDescent="0.3">
      <c r="A2695">
        <v>7134</v>
      </c>
      <c r="B2695" t="s">
        <v>28</v>
      </c>
      <c r="C2695">
        <v>11</v>
      </c>
      <c r="D2695" t="s">
        <v>3340</v>
      </c>
      <c r="E2695">
        <v>99999999</v>
      </c>
      <c r="F2695">
        <v>11111111</v>
      </c>
      <c r="G2695">
        <v>1111111111</v>
      </c>
      <c r="H2695" t="s">
        <v>6264</v>
      </c>
      <c r="I2695">
        <v>99999999</v>
      </c>
      <c r="J2695" s="188">
        <v>45236</v>
      </c>
      <c r="K2695" t="s">
        <v>6264</v>
      </c>
      <c r="L2695" t="s">
        <v>6264</v>
      </c>
      <c r="M2695" t="s">
        <v>2998</v>
      </c>
      <c r="N2695" t="s">
        <v>99</v>
      </c>
      <c r="O2695">
        <v>953709707</v>
      </c>
      <c r="P2695" t="s">
        <v>221</v>
      </c>
      <c r="Q2695" t="s">
        <v>82</v>
      </c>
      <c r="R2695">
        <v>1</v>
      </c>
      <c r="S2695">
        <v>2.74</v>
      </c>
      <c r="T2695">
        <v>0</v>
      </c>
      <c r="U2695">
        <v>1</v>
      </c>
      <c r="V2695">
        <v>1</v>
      </c>
      <c r="W2695">
        <v>32.78</v>
      </c>
      <c r="X2695">
        <v>0</v>
      </c>
      <c r="Y2695">
        <v>0</v>
      </c>
      <c r="Z2695">
        <v>0</v>
      </c>
      <c r="AA2695">
        <v>0</v>
      </c>
      <c r="AB2695">
        <v>1</v>
      </c>
      <c r="AC2695">
        <v>0</v>
      </c>
      <c r="AD2695">
        <v>0</v>
      </c>
      <c r="AE2695">
        <v>0</v>
      </c>
      <c r="AF2695">
        <v>0</v>
      </c>
      <c r="AG2695">
        <v>0</v>
      </c>
      <c r="AH2695">
        <v>0</v>
      </c>
      <c r="AI2695">
        <v>0</v>
      </c>
      <c r="AJ2695">
        <v>0</v>
      </c>
      <c r="AK2695">
        <v>0</v>
      </c>
    </row>
    <row r="2696" spans="1:37" x14ac:dyDescent="0.3">
      <c r="A2696">
        <v>7134</v>
      </c>
      <c r="B2696" t="s">
        <v>28</v>
      </c>
      <c r="C2696">
        <v>11</v>
      </c>
      <c r="D2696" t="s">
        <v>3340</v>
      </c>
      <c r="E2696">
        <v>99999999</v>
      </c>
      <c r="F2696">
        <v>11111111</v>
      </c>
      <c r="G2696">
        <v>1111111111</v>
      </c>
      <c r="H2696" t="s">
        <v>6265</v>
      </c>
      <c r="I2696">
        <v>99999999</v>
      </c>
      <c r="J2696" s="188">
        <v>45236</v>
      </c>
      <c r="K2696" t="s">
        <v>6265</v>
      </c>
      <c r="L2696" t="s">
        <v>6265</v>
      </c>
      <c r="M2696" t="s">
        <v>1653</v>
      </c>
      <c r="N2696" t="s">
        <v>97</v>
      </c>
      <c r="O2696">
        <v>983755001</v>
      </c>
      <c r="P2696" t="s">
        <v>221</v>
      </c>
      <c r="Q2696" t="s">
        <v>82</v>
      </c>
      <c r="R2696">
        <v>1</v>
      </c>
      <c r="S2696">
        <v>2.74</v>
      </c>
      <c r="T2696">
        <v>0</v>
      </c>
      <c r="U2696">
        <v>1</v>
      </c>
      <c r="V2696">
        <v>1</v>
      </c>
      <c r="W2696">
        <v>32.14</v>
      </c>
      <c r="X2696">
        <v>0</v>
      </c>
      <c r="Y2696">
        <v>0</v>
      </c>
      <c r="Z2696">
        <v>0</v>
      </c>
      <c r="AA2696">
        <v>0</v>
      </c>
      <c r="AB2696">
        <v>1</v>
      </c>
      <c r="AC2696">
        <v>0</v>
      </c>
      <c r="AD2696">
        <v>0</v>
      </c>
      <c r="AE2696">
        <v>0</v>
      </c>
      <c r="AF2696">
        <v>0</v>
      </c>
      <c r="AG2696">
        <v>0</v>
      </c>
      <c r="AH2696">
        <v>0</v>
      </c>
      <c r="AI2696">
        <v>0</v>
      </c>
      <c r="AJ2696">
        <v>0</v>
      </c>
      <c r="AK2696">
        <v>0</v>
      </c>
    </row>
    <row r="2697" spans="1:37" x14ac:dyDescent="0.3">
      <c r="A2697">
        <v>7134</v>
      </c>
      <c r="B2697" t="s">
        <v>28</v>
      </c>
      <c r="C2697">
        <v>11</v>
      </c>
      <c r="D2697" t="s">
        <v>3340</v>
      </c>
      <c r="E2697">
        <v>99999999</v>
      </c>
      <c r="F2697">
        <v>11111111</v>
      </c>
      <c r="G2697">
        <v>1111111111</v>
      </c>
      <c r="H2697" t="s">
        <v>6266</v>
      </c>
      <c r="I2697">
        <v>99999999</v>
      </c>
      <c r="J2697" s="188">
        <v>45236</v>
      </c>
      <c r="K2697" t="s">
        <v>6266</v>
      </c>
      <c r="L2697" t="s">
        <v>6266</v>
      </c>
      <c r="M2697" t="s">
        <v>2027</v>
      </c>
      <c r="N2697" t="s">
        <v>983</v>
      </c>
      <c r="O2697">
        <v>75063237</v>
      </c>
      <c r="P2697" t="s">
        <v>221</v>
      </c>
      <c r="Q2697" t="s">
        <v>82</v>
      </c>
      <c r="R2697">
        <v>1</v>
      </c>
      <c r="S2697">
        <v>2.74</v>
      </c>
      <c r="T2697">
        <v>0</v>
      </c>
      <c r="U2697">
        <v>1</v>
      </c>
      <c r="V2697">
        <v>1</v>
      </c>
      <c r="W2697">
        <v>59.38</v>
      </c>
      <c r="X2697">
        <v>0</v>
      </c>
      <c r="Y2697">
        <v>0</v>
      </c>
      <c r="Z2697">
        <v>0</v>
      </c>
      <c r="AA2697">
        <v>0</v>
      </c>
      <c r="AB2697">
        <v>1</v>
      </c>
      <c r="AC2697">
        <v>0</v>
      </c>
      <c r="AD2697">
        <v>0</v>
      </c>
      <c r="AE2697">
        <v>0</v>
      </c>
      <c r="AF2697">
        <v>0</v>
      </c>
      <c r="AG2697">
        <v>0</v>
      </c>
      <c r="AH2697">
        <v>0</v>
      </c>
      <c r="AI2697">
        <v>0</v>
      </c>
      <c r="AJ2697">
        <v>0</v>
      </c>
      <c r="AK2697">
        <v>0</v>
      </c>
    </row>
    <row r="2698" spans="1:37" x14ac:dyDescent="0.3">
      <c r="A2698">
        <v>7134</v>
      </c>
      <c r="B2698" t="s">
        <v>28</v>
      </c>
      <c r="C2698">
        <v>11</v>
      </c>
      <c r="D2698" t="s">
        <v>3340</v>
      </c>
      <c r="E2698">
        <v>99999999</v>
      </c>
      <c r="F2698">
        <v>11111111</v>
      </c>
      <c r="G2698">
        <v>1111111111</v>
      </c>
      <c r="H2698" t="s">
        <v>6267</v>
      </c>
      <c r="I2698">
        <v>99999999</v>
      </c>
      <c r="J2698" s="188">
        <v>45236</v>
      </c>
      <c r="K2698" t="s">
        <v>6267</v>
      </c>
      <c r="L2698" t="s">
        <v>6267</v>
      </c>
      <c r="M2698" t="s">
        <v>3341</v>
      </c>
      <c r="N2698" t="s">
        <v>233</v>
      </c>
      <c r="O2698">
        <v>110201104</v>
      </c>
      <c r="P2698" t="s">
        <v>221</v>
      </c>
      <c r="Q2698" t="s">
        <v>82</v>
      </c>
      <c r="R2698">
        <v>1</v>
      </c>
      <c r="S2698">
        <v>2.74</v>
      </c>
      <c r="T2698">
        <v>0</v>
      </c>
      <c r="U2698">
        <v>1</v>
      </c>
      <c r="V2698">
        <v>1</v>
      </c>
      <c r="W2698">
        <v>59.38</v>
      </c>
      <c r="X2698">
        <v>0</v>
      </c>
      <c r="Y2698">
        <v>0</v>
      </c>
      <c r="Z2698">
        <v>0</v>
      </c>
      <c r="AA2698">
        <v>0</v>
      </c>
      <c r="AB2698">
        <v>1</v>
      </c>
      <c r="AC2698">
        <v>0</v>
      </c>
      <c r="AD2698">
        <v>0</v>
      </c>
      <c r="AE2698">
        <v>0</v>
      </c>
      <c r="AF2698">
        <v>0</v>
      </c>
      <c r="AG2698">
        <v>0</v>
      </c>
      <c r="AH2698">
        <v>0</v>
      </c>
      <c r="AI2698">
        <v>0</v>
      </c>
      <c r="AJ2698">
        <v>0</v>
      </c>
      <c r="AK2698">
        <v>0</v>
      </c>
    </row>
    <row r="2699" spans="1:37" x14ac:dyDescent="0.3">
      <c r="A2699">
        <v>7134</v>
      </c>
      <c r="B2699" t="s">
        <v>28</v>
      </c>
      <c r="C2699">
        <v>11</v>
      </c>
      <c r="D2699" t="s">
        <v>3340</v>
      </c>
      <c r="E2699">
        <v>99999999</v>
      </c>
      <c r="F2699">
        <v>11111111</v>
      </c>
      <c r="G2699">
        <v>1111111111</v>
      </c>
      <c r="H2699" t="s">
        <v>6268</v>
      </c>
      <c r="I2699">
        <v>99999999</v>
      </c>
      <c r="J2699" s="188">
        <v>45236</v>
      </c>
      <c r="K2699" t="s">
        <v>6268</v>
      </c>
      <c r="L2699" t="s">
        <v>6268</v>
      </c>
      <c r="M2699" t="s">
        <v>3342</v>
      </c>
      <c r="N2699" t="s">
        <v>125</v>
      </c>
      <c r="O2699">
        <v>495129571</v>
      </c>
      <c r="P2699" t="s">
        <v>221</v>
      </c>
      <c r="Q2699" t="s">
        <v>82</v>
      </c>
      <c r="R2699">
        <v>1</v>
      </c>
      <c r="S2699">
        <v>2.74</v>
      </c>
      <c r="T2699">
        <v>0</v>
      </c>
      <c r="U2699">
        <v>1</v>
      </c>
      <c r="V2699">
        <v>1</v>
      </c>
      <c r="W2699">
        <v>52.17</v>
      </c>
      <c r="X2699">
        <v>0</v>
      </c>
      <c r="Y2699">
        <v>0</v>
      </c>
      <c r="Z2699">
        <v>0</v>
      </c>
      <c r="AA2699">
        <v>0</v>
      </c>
      <c r="AB2699">
        <v>1</v>
      </c>
      <c r="AC2699">
        <v>0</v>
      </c>
      <c r="AD2699">
        <v>0</v>
      </c>
      <c r="AE2699">
        <v>0</v>
      </c>
      <c r="AF2699">
        <v>0</v>
      </c>
      <c r="AG2699">
        <v>0</v>
      </c>
      <c r="AH2699">
        <v>0</v>
      </c>
      <c r="AI2699">
        <v>0</v>
      </c>
      <c r="AJ2699">
        <v>0</v>
      </c>
      <c r="AK2699">
        <v>0</v>
      </c>
    </row>
    <row r="2700" spans="1:37" x14ac:dyDescent="0.3">
      <c r="A2700">
        <v>7134</v>
      </c>
      <c r="B2700" t="s">
        <v>28</v>
      </c>
      <c r="C2700">
        <v>11</v>
      </c>
      <c r="D2700" t="s">
        <v>3340</v>
      </c>
      <c r="E2700">
        <v>99999999</v>
      </c>
      <c r="F2700">
        <v>11111111</v>
      </c>
      <c r="G2700">
        <v>1111111111</v>
      </c>
      <c r="H2700" t="s">
        <v>6269</v>
      </c>
      <c r="I2700">
        <v>99999999</v>
      </c>
      <c r="J2700" s="188">
        <v>45236</v>
      </c>
      <c r="K2700" t="s">
        <v>6269</v>
      </c>
      <c r="L2700" t="s">
        <v>6269</v>
      </c>
      <c r="M2700" t="s">
        <v>3343</v>
      </c>
      <c r="N2700" t="s">
        <v>99</v>
      </c>
      <c r="O2700">
        <v>955218206</v>
      </c>
      <c r="P2700" t="s">
        <v>221</v>
      </c>
      <c r="Q2700" t="s">
        <v>82</v>
      </c>
      <c r="R2700">
        <v>1</v>
      </c>
      <c r="S2700">
        <v>2.74</v>
      </c>
      <c r="T2700">
        <v>0</v>
      </c>
      <c r="U2700">
        <v>1</v>
      </c>
      <c r="V2700">
        <v>1</v>
      </c>
      <c r="W2700">
        <v>29</v>
      </c>
      <c r="X2700">
        <v>0</v>
      </c>
      <c r="Y2700">
        <v>0</v>
      </c>
      <c r="Z2700">
        <v>0</v>
      </c>
      <c r="AA2700">
        <v>0</v>
      </c>
      <c r="AB2700">
        <v>1</v>
      </c>
      <c r="AC2700">
        <v>0</v>
      </c>
      <c r="AD2700">
        <v>0</v>
      </c>
      <c r="AE2700">
        <v>0</v>
      </c>
      <c r="AF2700">
        <v>0</v>
      </c>
      <c r="AG2700">
        <v>0</v>
      </c>
      <c r="AH2700">
        <v>0</v>
      </c>
      <c r="AI2700">
        <v>0</v>
      </c>
      <c r="AJ2700">
        <v>0</v>
      </c>
      <c r="AK2700">
        <v>0</v>
      </c>
    </row>
    <row r="2701" spans="1:37" x14ac:dyDescent="0.3">
      <c r="A2701">
        <v>7134</v>
      </c>
      <c r="B2701" t="s">
        <v>28</v>
      </c>
      <c r="C2701">
        <v>11</v>
      </c>
      <c r="D2701" t="s">
        <v>3340</v>
      </c>
      <c r="E2701">
        <v>99999999</v>
      </c>
      <c r="F2701">
        <v>11111111</v>
      </c>
      <c r="G2701">
        <v>1111111111</v>
      </c>
      <c r="H2701" t="s">
        <v>6270</v>
      </c>
      <c r="I2701">
        <v>99999999</v>
      </c>
      <c r="J2701" s="188">
        <v>45236</v>
      </c>
      <c r="K2701" t="s">
        <v>6270</v>
      </c>
      <c r="L2701" t="s">
        <v>6270</v>
      </c>
      <c r="M2701" t="s">
        <v>3344</v>
      </c>
      <c r="N2701" t="s">
        <v>141</v>
      </c>
      <c r="O2701">
        <v>334121114</v>
      </c>
      <c r="P2701" t="s">
        <v>221</v>
      </c>
      <c r="Q2701" t="s">
        <v>82</v>
      </c>
      <c r="R2701">
        <v>1</v>
      </c>
      <c r="S2701">
        <v>2.74</v>
      </c>
      <c r="T2701">
        <v>0</v>
      </c>
      <c r="U2701">
        <v>1</v>
      </c>
      <c r="V2701">
        <v>1</v>
      </c>
      <c r="W2701">
        <v>59.38</v>
      </c>
      <c r="X2701">
        <v>0</v>
      </c>
      <c r="Y2701">
        <v>0</v>
      </c>
      <c r="Z2701">
        <v>0</v>
      </c>
      <c r="AA2701">
        <v>0</v>
      </c>
      <c r="AB2701">
        <v>1</v>
      </c>
      <c r="AC2701">
        <v>0</v>
      </c>
      <c r="AD2701">
        <v>0</v>
      </c>
      <c r="AE2701">
        <v>0</v>
      </c>
      <c r="AF2701">
        <v>0</v>
      </c>
      <c r="AG2701">
        <v>0</v>
      </c>
      <c r="AH2701">
        <v>0</v>
      </c>
      <c r="AI2701">
        <v>0</v>
      </c>
      <c r="AJ2701">
        <v>0</v>
      </c>
      <c r="AK2701">
        <v>0</v>
      </c>
    </row>
    <row r="2702" spans="1:37" x14ac:dyDescent="0.3">
      <c r="A2702">
        <v>7134</v>
      </c>
      <c r="B2702" t="s">
        <v>28</v>
      </c>
      <c r="C2702">
        <v>11</v>
      </c>
      <c r="D2702" t="s">
        <v>3340</v>
      </c>
      <c r="E2702">
        <v>99999999</v>
      </c>
      <c r="F2702">
        <v>11111111</v>
      </c>
      <c r="G2702">
        <v>1111111111</v>
      </c>
      <c r="H2702" t="s">
        <v>6271</v>
      </c>
      <c r="I2702">
        <v>99999999</v>
      </c>
      <c r="J2702" s="188">
        <v>45236</v>
      </c>
      <c r="K2702" t="s">
        <v>6271</v>
      </c>
      <c r="L2702" t="s">
        <v>6271</v>
      </c>
      <c r="M2702" t="s">
        <v>3345</v>
      </c>
      <c r="N2702" t="s">
        <v>99</v>
      </c>
      <c r="O2702">
        <v>926294122</v>
      </c>
      <c r="P2702" t="s">
        <v>221</v>
      </c>
      <c r="Q2702" t="s">
        <v>82</v>
      </c>
      <c r="R2702">
        <v>1</v>
      </c>
      <c r="S2702">
        <v>2.74</v>
      </c>
      <c r="T2702">
        <v>0</v>
      </c>
      <c r="U2702">
        <v>1</v>
      </c>
      <c r="V2702">
        <v>1</v>
      </c>
      <c r="W2702">
        <v>32.14</v>
      </c>
      <c r="X2702">
        <v>0</v>
      </c>
      <c r="Y2702">
        <v>0</v>
      </c>
      <c r="Z2702">
        <v>0</v>
      </c>
      <c r="AA2702">
        <v>0</v>
      </c>
      <c r="AB2702">
        <v>1</v>
      </c>
      <c r="AC2702">
        <v>0</v>
      </c>
      <c r="AD2702">
        <v>0</v>
      </c>
      <c r="AE2702">
        <v>0</v>
      </c>
      <c r="AF2702">
        <v>0</v>
      </c>
      <c r="AG2702">
        <v>0</v>
      </c>
      <c r="AH2702">
        <v>0</v>
      </c>
      <c r="AI2702">
        <v>0</v>
      </c>
      <c r="AJ2702">
        <v>0</v>
      </c>
      <c r="AK2702">
        <v>0</v>
      </c>
    </row>
    <row r="2703" spans="1:37" x14ac:dyDescent="0.3">
      <c r="A2703">
        <v>7134</v>
      </c>
      <c r="B2703" t="s">
        <v>28</v>
      </c>
      <c r="C2703">
        <v>11</v>
      </c>
      <c r="D2703" t="s">
        <v>3340</v>
      </c>
      <c r="E2703">
        <v>99999999</v>
      </c>
      <c r="F2703">
        <v>11111111</v>
      </c>
      <c r="G2703">
        <v>1111111111</v>
      </c>
      <c r="H2703" t="s">
        <v>6272</v>
      </c>
      <c r="I2703">
        <v>99999999</v>
      </c>
      <c r="J2703" s="188">
        <v>45236</v>
      </c>
      <c r="K2703" t="s">
        <v>6272</v>
      </c>
      <c r="L2703" t="s">
        <v>6272</v>
      </c>
      <c r="M2703" t="s">
        <v>101</v>
      </c>
      <c r="N2703" t="s">
        <v>97</v>
      </c>
      <c r="O2703">
        <v>981054032</v>
      </c>
      <c r="P2703" t="s">
        <v>221</v>
      </c>
      <c r="Q2703" t="s">
        <v>82</v>
      </c>
      <c r="R2703">
        <v>1</v>
      </c>
      <c r="S2703">
        <v>2.74</v>
      </c>
      <c r="T2703">
        <v>0</v>
      </c>
      <c r="U2703">
        <v>1</v>
      </c>
      <c r="V2703">
        <v>1</v>
      </c>
      <c r="W2703">
        <v>32.14</v>
      </c>
      <c r="X2703">
        <v>0</v>
      </c>
      <c r="Y2703">
        <v>0</v>
      </c>
      <c r="Z2703">
        <v>0</v>
      </c>
      <c r="AA2703">
        <v>0</v>
      </c>
      <c r="AB2703">
        <v>1</v>
      </c>
      <c r="AC2703">
        <v>0</v>
      </c>
      <c r="AD2703">
        <v>0</v>
      </c>
      <c r="AE2703">
        <v>0</v>
      </c>
      <c r="AF2703">
        <v>0</v>
      </c>
      <c r="AG2703">
        <v>0</v>
      </c>
      <c r="AH2703">
        <v>0</v>
      </c>
      <c r="AI2703">
        <v>0</v>
      </c>
      <c r="AJ2703">
        <v>0</v>
      </c>
      <c r="AK2703">
        <v>0</v>
      </c>
    </row>
    <row r="2704" spans="1:37" x14ac:dyDescent="0.3">
      <c r="A2704">
        <v>7134</v>
      </c>
      <c r="B2704" t="s">
        <v>28</v>
      </c>
      <c r="C2704">
        <v>11</v>
      </c>
      <c r="D2704" t="s">
        <v>3340</v>
      </c>
      <c r="E2704">
        <v>99999999</v>
      </c>
      <c r="F2704">
        <v>11111111</v>
      </c>
      <c r="G2704">
        <v>1111111111</v>
      </c>
      <c r="H2704" t="s">
        <v>6273</v>
      </c>
      <c r="I2704">
        <v>99999999</v>
      </c>
      <c r="J2704" s="188">
        <v>45236</v>
      </c>
      <c r="K2704" t="s">
        <v>6273</v>
      </c>
      <c r="L2704" t="s">
        <v>6273</v>
      </c>
      <c r="M2704" t="s">
        <v>3346</v>
      </c>
      <c r="N2704" t="s">
        <v>118</v>
      </c>
      <c r="O2704">
        <v>191062028</v>
      </c>
      <c r="P2704" t="s">
        <v>221</v>
      </c>
      <c r="Q2704" t="s">
        <v>82</v>
      </c>
      <c r="R2704">
        <v>1</v>
      </c>
      <c r="S2704">
        <v>2.74</v>
      </c>
      <c r="T2704">
        <v>0</v>
      </c>
      <c r="U2704">
        <v>1</v>
      </c>
      <c r="V2704">
        <v>1</v>
      </c>
      <c r="W2704">
        <v>59.38</v>
      </c>
      <c r="X2704">
        <v>0</v>
      </c>
      <c r="Y2704">
        <v>0</v>
      </c>
      <c r="Z2704">
        <v>0</v>
      </c>
      <c r="AA2704">
        <v>0</v>
      </c>
      <c r="AB2704">
        <v>1</v>
      </c>
      <c r="AC2704">
        <v>0</v>
      </c>
      <c r="AD2704">
        <v>0</v>
      </c>
      <c r="AE2704">
        <v>0</v>
      </c>
      <c r="AF2704">
        <v>0</v>
      </c>
      <c r="AG2704">
        <v>0</v>
      </c>
      <c r="AH2704">
        <v>0</v>
      </c>
      <c r="AI2704">
        <v>0</v>
      </c>
      <c r="AJ2704">
        <v>0</v>
      </c>
      <c r="AK2704">
        <v>0</v>
      </c>
    </row>
    <row r="2705" spans="1:37" x14ac:dyDescent="0.3">
      <c r="A2705">
        <v>7134</v>
      </c>
      <c r="B2705" t="s">
        <v>28</v>
      </c>
      <c r="C2705">
        <v>11</v>
      </c>
      <c r="D2705" t="s">
        <v>3340</v>
      </c>
      <c r="E2705">
        <v>99999999</v>
      </c>
      <c r="F2705">
        <v>11111111</v>
      </c>
      <c r="G2705">
        <v>1111111111</v>
      </c>
      <c r="H2705" t="s">
        <v>6274</v>
      </c>
      <c r="I2705">
        <v>99999999</v>
      </c>
      <c r="J2705" s="188">
        <v>45236</v>
      </c>
      <c r="K2705" t="s">
        <v>6274</v>
      </c>
      <c r="L2705" t="s">
        <v>6274</v>
      </c>
      <c r="M2705" t="s">
        <v>779</v>
      </c>
      <c r="N2705" t="s">
        <v>233</v>
      </c>
      <c r="O2705">
        <v>100365208</v>
      </c>
      <c r="P2705" t="s">
        <v>221</v>
      </c>
      <c r="Q2705" t="s">
        <v>82</v>
      </c>
      <c r="R2705">
        <v>1</v>
      </c>
      <c r="S2705">
        <v>2.74</v>
      </c>
      <c r="T2705">
        <v>0</v>
      </c>
      <c r="U2705">
        <v>1</v>
      </c>
      <c r="V2705">
        <v>1</v>
      </c>
      <c r="W2705">
        <v>59.38</v>
      </c>
      <c r="X2705">
        <v>0</v>
      </c>
      <c r="Y2705">
        <v>0</v>
      </c>
      <c r="Z2705">
        <v>0</v>
      </c>
      <c r="AA2705">
        <v>0</v>
      </c>
      <c r="AB2705">
        <v>1</v>
      </c>
      <c r="AC2705">
        <v>0</v>
      </c>
      <c r="AD2705">
        <v>0</v>
      </c>
      <c r="AE2705">
        <v>0</v>
      </c>
      <c r="AF2705">
        <v>0</v>
      </c>
      <c r="AG2705">
        <v>0</v>
      </c>
      <c r="AH2705">
        <v>0</v>
      </c>
      <c r="AI2705">
        <v>0</v>
      </c>
      <c r="AJ2705">
        <v>0</v>
      </c>
      <c r="AK2705">
        <v>0</v>
      </c>
    </row>
    <row r="2706" spans="1:37" x14ac:dyDescent="0.3">
      <c r="A2706">
        <v>7134</v>
      </c>
      <c r="B2706" t="s">
        <v>28</v>
      </c>
      <c r="C2706">
        <v>11</v>
      </c>
      <c r="D2706" t="s">
        <v>3340</v>
      </c>
      <c r="E2706">
        <v>99999999</v>
      </c>
      <c r="F2706">
        <v>11111111</v>
      </c>
      <c r="G2706">
        <v>1111111111</v>
      </c>
      <c r="H2706" t="s">
        <v>6275</v>
      </c>
      <c r="I2706">
        <v>99999999</v>
      </c>
      <c r="J2706" s="188">
        <v>45236</v>
      </c>
      <c r="K2706" t="s">
        <v>6275</v>
      </c>
      <c r="L2706" t="s">
        <v>6275</v>
      </c>
      <c r="M2706" t="s">
        <v>779</v>
      </c>
      <c r="N2706" t="s">
        <v>233</v>
      </c>
      <c r="O2706">
        <v>100181207</v>
      </c>
      <c r="P2706" t="s">
        <v>221</v>
      </c>
      <c r="Q2706" t="s">
        <v>82</v>
      </c>
      <c r="R2706">
        <v>1</v>
      </c>
      <c r="S2706">
        <v>2.74</v>
      </c>
      <c r="T2706">
        <v>0</v>
      </c>
      <c r="U2706">
        <v>1</v>
      </c>
      <c r="V2706">
        <v>1</v>
      </c>
      <c r="W2706">
        <v>59.38</v>
      </c>
      <c r="X2706">
        <v>0</v>
      </c>
      <c r="Y2706">
        <v>0</v>
      </c>
      <c r="Z2706">
        <v>0</v>
      </c>
      <c r="AA2706">
        <v>0</v>
      </c>
      <c r="AB2706">
        <v>1</v>
      </c>
      <c r="AC2706">
        <v>0</v>
      </c>
      <c r="AD2706">
        <v>0</v>
      </c>
      <c r="AE2706">
        <v>0</v>
      </c>
      <c r="AF2706">
        <v>0</v>
      </c>
      <c r="AG2706">
        <v>0</v>
      </c>
      <c r="AH2706">
        <v>0</v>
      </c>
      <c r="AI2706">
        <v>0</v>
      </c>
      <c r="AJ2706">
        <v>0</v>
      </c>
      <c r="AK2706">
        <v>0</v>
      </c>
    </row>
    <row r="2707" spans="1:37" x14ac:dyDescent="0.3">
      <c r="A2707">
        <v>7134</v>
      </c>
      <c r="B2707" t="s">
        <v>28</v>
      </c>
      <c r="C2707">
        <v>11</v>
      </c>
      <c r="D2707" t="s">
        <v>3340</v>
      </c>
      <c r="E2707">
        <v>99999999</v>
      </c>
      <c r="F2707">
        <v>11111111</v>
      </c>
      <c r="G2707">
        <v>1111111111</v>
      </c>
      <c r="H2707" t="s">
        <v>6276</v>
      </c>
      <c r="I2707">
        <v>99999999</v>
      </c>
      <c r="J2707" s="188">
        <v>45236</v>
      </c>
      <c r="K2707" t="s">
        <v>6276</v>
      </c>
      <c r="L2707" t="s">
        <v>6276</v>
      </c>
      <c r="M2707" t="s">
        <v>1202</v>
      </c>
      <c r="N2707" t="s">
        <v>233</v>
      </c>
      <c r="O2707">
        <v>122021675</v>
      </c>
      <c r="P2707" t="s">
        <v>221</v>
      </c>
      <c r="Q2707" t="s">
        <v>82</v>
      </c>
      <c r="R2707">
        <v>1</v>
      </c>
      <c r="S2707">
        <v>2.74</v>
      </c>
      <c r="T2707">
        <v>0</v>
      </c>
      <c r="U2707">
        <v>1</v>
      </c>
      <c r="V2707">
        <v>1</v>
      </c>
      <c r="W2707">
        <v>59.38</v>
      </c>
      <c r="X2707">
        <v>0</v>
      </c>
      <c r="Y2707">
        <v>0</v>
      </c>
      <c r="Z2707">
        <v>0</v>
      </c>
      <c r="AA2707">
        <v>0</v>
      </c>
      <c r="AB2707">
        <v>1</v>
      </c>
      <c r="AC2707">
        <v>0</v>
      </c>
      <c r="AD2707">
        <v>0</v>
      </c>
      <c r="AE2707">
        <v>0</v>
      </c>
      <c r="AF2707">
        <v>0</v>
      </c>
      <c r="AG2707">
        <v>0</v>
      </c>
      <c r="AH2707">
        <v>0</v>
      </c>
      <c r="AI2707">
        <v>0</v>
      </c>
      <c r="AJ2707">
        <v>0</v>
      </c>
      <c r="AK2707">
        <v>0</v>
      </c>
    </row>
    <row r="2708" spans="1:37" x14ac:dyDescent="0.3">
      <c r="A2708">
        <v>7134</v>
      </c>
      <c r="B2708" t="s">
        <v>28</v>
      </c>
      <c r="C2708">
        <v>11</v>
      </c>
      <c r="D2708" t="s">
        <v>3340</v>
      </c>
      <c r="E2708">
        <v>99999999</v>
      </c>
      <c r="F2708">
        <v>11111111</v>
      </c>
      <c r="G2708">
        <v>1111111111</v>
      </c>
      <c r="H2708" t="s">
        <v>6277</v>
      </c>
      <c r="I2708">
        <v>99999999</v>
      </c>
      <c r="J2708" s="188">
        <v>45236</v>
      </c>
      <c r="K2708" t="s">
        <v>6277</v>
      </c>
      <c r="L2708" t="s">
        <v>6277</v>
      </c>
      <c r="M2708" t="s">
        <v>3347</v>
      </c>
      <c r="N2708" t="s">
        <v>88</v>
      </c>
      <c r="O2708">
        <v>377716869</v>
      </c>
      <c r="P2708" t="s">
        <v>221</v>
      </c>
      <c r="Q2708" t="s">
        <v>82</v>
      </c>
      <c r="R2708">
        <v>1</v>
      </c>
      <c r="S2708">
        <v>2.74</v>
      </c>
      <c r="T2708">
        <v>0</v>
      </c>
      <c r="U2708">
        <v>1</v>
      </c>
      <c r="V2708">
        <v>1</v>
      </c>
      <c r="W2708">
        <v>59.38</v>
      </c>
      <c r="X2708">
        <v>0</v>
      </c>
      <c r="Y2708">
        <v>0</v>
      </c>
      <c r="Z2708">
        <v>0</v>
      </c>
      <c r="AA2708">
        <v>0</v>
      </c>
      <c r="AB2708">
        <v>1</v>
      </c>
      <c r="AC2708">
        <v>0</v>
      </c>
      <c r="AD2708">
        <v>0</v>
      </c>
      <c r="AE2708">
        <v>0</v>
      </c>
      <c r="AF2708">
        <v>0</v>
      </c>
      <c r="AG2708">
        <v>0</v>
      </c>
      <c r="AH2708">
        <v>0</v>
      </c>
      <c r="AI2708">
        <v>0</v>
      </c>
      <c r="AJ2708">
        <v>0</v>
      </c>
      <c r="AK2708">
        <v>0</v>
      </c>
    </row>
    <row r="2709" spans="1:37" x14ac:dyDescent="0.3">
      <c r="A2709">
        <v>7134</v>
      </c>
      <c r="B2709" t="s">
        <v>28</v>
      </c>
      <c r="C2709">
        <v>11</v>
      </c>
      <c r="D2709" t="s">
        <v>3340</v>
      </c>
      <c r="E2709">
        <v>99999999</v>
      </c>
      <c r="F2709">
        <v>11111111</v>
      </c>
      <c r="G2709">
        <v>1111111111</v>
      </c>
      <c r="H2709" t="s">
        <v>6278</v>
      </c>
      <c r="I2709">
        <v>99999999</v>
      </c>
      <c r="J2709" s="188">
        <v>45236</v>
      </c>
      <c r="K2709" t="s">
        <v>6278</v>
      </c>
      <c r="L2709" t="s">
        <v>6278</v>
      </c>
      <c r="M2709" t="s">
        <v>1741</v>
      </c>
      <c r="N2709" t="s">
        <v>164</v>
      </c>
      <c r="O2709">
        <v>970582715</v>
      </c>
      <c r="P2709" t="s">
        <v>221</v>
      </c>
      <c r="Q2709" t="s">
        <v>82</v>
      </c>
      <c r="R2709">
        <v>1</v>
      </c>
      <c r="S2709">
        <v>2.74</v>
      </c>
      <c r="T2709">
        <v>0</v>
      </c>
      <c r="U2709">
        <v>1</v>
      </c>
      <c r="V2709">
        <v>1</v>
      </c>
      <c r="W2709">
        <v>38.659999999999997</v>
      </c>
      <c r="X2709">
        <v>0</v>
      </c>
      <c r="Y2709">
        <v>0</v>
      </c>
      <c r="Z2709">
        <v>0</v>
      </c>
      <c r="AA2709">
        <v>0</v>
      </c>
      <c r="AB2709">
        <v>1</v>
      </c>
      <c r="AC2709">
        <v>0</v>
      </c>
      <c r="AD2709">
        <v>0</v>
      </c>
      <c r="AE2709">
        <v>0</v>
      </c>
      <c r="AF2709">
        <v>0</v>
      </c>
      <c r="AG2709">
        <v>0</v>
      </c>
      <c r="AH2709">
        <v>0</v>
      </c>
      <c r="AI2709">
        <v>0</v>
      </c>
      <c r="AJ2709">
        <v>0</v>
      </c>
      <c r="AK2709">
        <v>0</v>
      </c>
    </row>
    <row r="2710" spans="1:37" x14ac:dyDescent="0.3">
      <c r="A2710">
        <v>7134</v>
      </c>
      <c r="B2710" t="s">
        <v>28</v>
      </c>
      <c r="C2710">
        <v>11</v>
      </c>
      <c r="D2710" t="s">
        <v>3340</v>
      </c>
      <c r="E2710">
        <v>99999999</v>
      </c>
      <c r="F2710">
        <v>11111111</v>
      </c>
      <c r="G2710">
        <v>1111111111</v>
      </c>
      <c r="H2710" t="s">
        <v>6279</v>
      </c>
      <c r="I2710">
        <v>99999999</v>
      </c>
      <c r="J2710" s="188">
        <v>45236</v>
      </c>
      <c r="K2710" t="s">
        <v>6279</v>
      </c>
      <c r="L2710" t="s">
        <v>6279</v>
      </c>
      <c r="M2710" t="s">
        <v>3348</v>
      </c>
      <c r="N2710" t="s">
        <v>231</v>
      </c>
      <c r="O2710">
        <v>11061667</v>
      </c>
      <c r="P2710" t="s">
        <v>221</v>
      </c>
      <c r="Q2710" t="s">
        <v>82</v>
      </c>
      <c r="R2710">
        <v>1</v>
      </c>
      <c r="S2710">
        <v>2.74</v>
      </c>
      <c r="T2710">
        <v>0</v>
      </c>
      <c r="U2710">
        <v>1</v>
      </c>
      <c r="V2710">
        <v>1</v>
      </c>
      <c r="W2710">
        <v>59.38</v>
      </c>
      <c r="X2710">
        <v>0</v>
      </c>
      <c r="Y2710">
        <v>0</v>
      </c>
      <c r="Z2710">
        <v>0</v>
      </c>
      <c r="AA2710">
        <v>0</v>
      </c>
      <c r="AB2710">
        <v>1</v>
      </c>
      <c r="AC2710">
        <v>0</v>
      </c>
      <c r="AD2710">
        <v>0</v>
      </c>
      <c r="AE2710">
        <v>0</v>
      </c>
      <c r="AF2710">
        <v>0</v>
      </c>
      <c r="AG2710">
        <v>0</v>
      </c>
      <c r="AH2710">
        <v>0</v>
      </c>
      <c r="AI2710">
        <v>0</v>
      </c>
      <c r="AJ2710">
        <v>0</v>
      </c>
      <c r="AK2710">
        <v>0</v>
      </c>
    </row>
    <row r="2711" spans="1:37" x14ac:dyDescent="0.3">
      <c r="A2711">
        <v>7134</v>
      </c>
      <c r="B2711" t="s">
        <v>28</v>
      </c>
      <c r="C2711">
        <v>11</v>
      </c>
      <c r="D2711" t="s">
        <v>3340</v>
      </c>
      <c r="E2711">
        <v>99999999</v>
      </c>
      <c r="F2711">
        <v>11111111</v>
      </c>
      <c r="G2711">
        <v>1111111111</v>
      </c>
      <c r="H2711" t="s">
        <v>6280</v>
      </c>
      <c r="I2711">
        <v>99999999</v>
      </c>
      <c r="J2711" s="188">
        <v>45236</v>
      </c>
      <c r="K2711" t="s">
        <v>6280</v>
      </c>
      <c r="L2711" t="s">
        <v>6280</v>
      </c>
      <c r="M2711" t="s">
        <v>2317</v>
      </c>
      <c r="N2711" t="s">
        <v>99</v>
      </c>
      <c r="O2711">
        <v>945026434</v>
      </c>
      <c r="P2711" t="s">
        <v>221</v>
      </c>
      <c r="Q2711" t="s">
        <v>82</v>
      </c>
      <c r="R2711">
        <v>1</v>
      </c>
      <c r="S2711">
        <v>2.74</v>
      </c>
      <c r="T2711">
        <v>0</v>
      </c>
      <c r="U2711">
        <v>1</v>
      </c>
      <c r="V2711">
        <v>1</v>
      </c>
      <c r="W2711">
        <v>29</v>
      </c>
      <c r="X2711">
        <v>0</v>
      </c>
      <c r="Y2711">
        <v>0</v>
      </c>
      <c r="Z2711">
        <v>0</v>
      </c>
      <c r="AA2711">
        <v>0</v>
      </c>
      <c r="AB2711">
        <v>1</v>
      </c>
      <c r="AC2711">
        <v>0</v>
      </c>
      <c r="AD2711">
        <v>0</v>
      </c>
      <c r="AE2711">
        <v>0</v>
      </c>
      <c r="AF2711">
        <v>0</v>
      </c>
      <c r="AG2711">
        <v>0</v>
      </c>
      <c r="AH2711">
        <v>0</v>
      </c>
      <c r="AI2711">
        <v>0</v>
      </c>
      <c r="AJ2711">
        <v>0</v>
      </c>
      <c r="AK2711">
        <v>0</v>
      </c>
    </row>
    <row r="2712" spans="1:37" x14ac:dyDescent="0.3">
      <c r="A2712">
        <v>7134</v>
      </c>
      <c r="B2712" t="s">
        <v>28</v>
      </c>
      <c r="C2712">
        <v>11</v>
      </c>
      <c r="D2712" t="s">
        <v>3340</v>
      </c>
      <c r="E2712">
        <v>99999999</v>
      </c>
      <c r="F2712">
        <v>11111111</v>
      </c>
      <c r="G2712">
        <v>1111111111</v>
      </c>
      <c r="H2712" t="s">
        <v>6281</v>
      </c>
      <c r="I2712">
        <v>99999999</v>
      </c>
      <c r="J2712" s="188">
        <v>45236</v>
      </c>
      <c r="K2712" t="s">
        <v>6281</v>
      </c>
      <c r="L2712" t="s">
        <v>6281</v>
      </c>
      <c r="M2712" t="s">
        <v>358</v>
      </c>
      <c r="N2712" t="s">
        <v>197</v>
      </c>
      <c r="O2712">
        <v>787313715</v>
      </c>
      <c r="P2712" t="s">
        <v>221</v>
      </c>
      <c r="Q2712" t="s">
        <v>82</v>
      </c>
      <c r="R2712">
        <v>1</v>
      </c>
      <c r="S2712">
        <v>2.74</v>
      </c>
      <c r="T2712">
        <v>0</v>
      </c>
      <c r="U2712">
        <v>1</v>
      </c>
      <c r="V2712">
        <v>1</v>
      </c>
      <c r="W2712">
        <v>49.24</v>
      </c>
      <c r="X2712">
        <v>0</v>
      </c>
      <c r="Y2712">
        <v>0</v>
      </c>
      <c r="Z2712">
        <v>0</v>
      </c>
      <c r="AA2712">
        <v>0</v>
      </c>
      <c r="AB2712">
        <v>1</v>
      </c>
      <c r="AC2712">
        <v>0</v>
      </c>
      <c r="AD2712">
        <v>0</v>
      </c>
      <c r="AE2712">
        <v>0</v>
      </c>
      <c r="AF2712">
        <v>0</v>
      </c>
      <c r="AG2712">
        <v>0</v>
      </c>
      <c r="AH2712">
        <v>0</v>
      </c>
      <c r="AI2712">
        <v>0</v>
      </c>
      <c r="AJ2712">
        <v>0</v>
      </c>
      <c r="AK2712">
        <v>0</v>
      </c>
    </row>
    <row r="2713" spans="1:37" x14ac:dyDescent="0.3">
      <c r="A2713">
        <v>7134</v>
      </c>
      <c r="B2713" t="s">
        <v>28</v>
      </c>
      <c r="C2713">
        <v>11</v>
      </c>
      <c r="D2713" t="s">
        <v>3340</v>
      </c>
      <c r="E2713">
        <v>99999999</v>
      </c>
      <c r="F2713">
        <v>11111111</v>
      </c>
      <c r="G2713">
        <v>1111111111</v>
      </c>
      <c r="H2713" t="s">
        <v>6282</v>
      </c>
      <c r="I2713">
        <v>99999999</v>
      </c>
      <c r="J2713" s="188">
        <v>45236</v>
      </c>
      <c r="K2713" t="s">
        <v>6282</v>
      </c>
      <c r="L2713" t="s">
        <v>6282</v>
      </c>
      <c r="M2713" t="s">
        <v>3349</v>
      </c>
      <c r="N2713" t="s">
        <v>99</v>
      </c>
      <c r="O2713">
        <v>954484258</v>
      </c>
      <c r="P2713" t="s">
        <v>221</v>
      </c>
      <c r="Q2713" t="s">
        <v>82</v>
      </c>
      <c r="R2713">
        <v>1</v>
      </c>
      <c r="S2713">
        <v>2.74</v>
      </c>
      <c r="T2713">
        <v>0</v>
      </c>
      <c r="U2713">
        <v>1</v>
      </c>
      <c r="V2713">
        <v>1</v>
      </c>
      <c r="W2713">
        <v>35.520000000000003</v>
      </c>
      <c r="X2713">
        <v>0</v>
      </c>
      <c r="Y2713">
        <v>0</v>
      </c>
      <c r="Z2713">
        <v>0</v>
      </c>
      <c r="AA2713">
        <v>0</v>
      </c>
      <c r="AB2713">
        <v>1</v>
      </c>
      <c r="AC2713">
        <v>0</v>
      </c>
      <c r="AD2713">
        <v>0</v>
      </c>
      <c r="AE2713">
        <v>0</v>
      </c>
      <c r="AF2713">
        <v>0</v>
      </c>
      <c r="AG2713">
        <v>0</v>
      </c>
      <c r="AH2713">
        <v>0</v>
      </c>
      <c r="AI2713">
        <v>0</v>
      </c>
      <c r="AJ2713">
        <v>0</v>
      </c>
      <c r="AK2713">
        <v>0</v>
      </c>
    </row>
    <row r="2714" spans="1:37" x14ac:dyDescent="0.3">
      <c r="A2714">
        <v>7134</v>
      </c>
      <c r="B2714" t="s">
        <v>28</v>
      </c>
      <c r="C2714">
        <v>11</v>
      </c>
      <c r="D2714" t="s">
        <v>3340</v>
      </c>
      <c r="E2714">
        <v>99999999</v>
      </c>
      <c r="F2714">
        <v>11111111</v>
      </c>
      <c r="G2714">
        <v>1111111111</v>
      </c>
      <c r="H2714" t="s">
        <v>6283</v>
      </c>
      <c r="I2714">
        <v>99999999</v>
      </c>
      <c r="J2714" s="188">
        <v>45236</v>
      </c>
      <c r="K2714" t="s">
        <v>6283</v>
      </c>
      <c r="L2714" t="s">
        <v>6283</v>
      </c>
      <c r="M2714" t="s">
        <v>3350</v>
      </c>
      <c r="N2714" t="s">
        <v>233</v>
      </c>
      <c r="O2714">
        <v>111054265</v>
      </c>
      <c r="P2714" t="s">
        <v>221</v>
      </c>
      <c r="Q2714" t="s">
        <v>82</v>
      </c>
      <c r="R2714">
        <v>1</v>
      </c>
      <c r="S2714">
        <v>2.74</v>
      </c>
      <c r="T2714">
        <v>0</v>
      </c>
      <c r="U2714">
        <v>1</v>
      </c>
      <c r="V2714">
        <v>1</v>
      </c>
      <c r="W2714">
        <v>59.38</v>
      </c>
      <c r="X2714">
        <v>0</v>
      </c>
      <c r="Y2714">
        <v>0</v>
      </c>
      <c r="Z2714">
        <v>0</v>
      </c>
      <c r="AA2714">
        <v>0</v>
      </c>
      <c r="AB2714">
        <v>1</v>
      </c>
      <c r="AC2714">
        <v>0</v>
      </c>
      <c r="AD2714">
        <v>0</v>
      </c>
      <c r="AE2714">
        <v>0</v>
      </c>
      <c r="AF2714">
        <v>0</v>
      </c>
      <c r="AG2714">
        <v>0</v>
      </c>
      <c r="AH2714">
        <v>0</v>
      </c>
      <c r="AI2714">
        <v>0</v>
      </c>
      <c r="AJ2714">
        <v>0</v>
      </c>
      <c r="AK2714">
        <v>0</v>
      </c>
    </row>
    <row r="2715" spans="1:37" x14ac:dyDescent="0.3">
      <c r="A2715">
        <v>7134</v>
      </c>
      <c r="B2715" t="s">
        <v>28</v>
      </c>
      <c r="C2715">
        <v>11</v>
      </c>
      <c r="D2715" t="s">
        <v>3340</v>
      </c>
      <c r="E2715">
        <v>99999999</v>
      </c>
      <c r="F2715">
        <v>11111111</v>
      </c>
      <c r="G2715">
        <v>1111111111</v>
      </c>
      <c r="H2715" t="s">
        <v>6284</v>
      </c>
      <c r="I2715">
        <v>99999999</v>
      </c>
      <c r="J2715" s="188">
        <v>45236</v>
      </c>
      <c r="K2715" t="s">
        <v>6284</v>
      </c>
      <c r="L2715" t="s">
        <v>6284</v>
      </c>
      <c r="M2715" t="s">
        <v>1026</v>
      </c>
      <c r="N2715" t="s">
        <v>99</v>
      </c>
      <c r="O2715">
        <v>949011048</v>
      </c>
      <c r="P2715" t="s">
        <v>221</v>
      </c>
      <c r="Q2715" t="s">
        <v>82</v>
      </c>
      <c r="R2715">
        <v>1</v>
      </c>
      <c r="S2715">
        <v>2.74</v>
      </c>
      <c r="T2715">
        <v>0</v>
      </c>
      <c r="U2715">
        <v>1</v>
      </c>
      <c r="V2715">
        <v>1</v>
      </c>
      <c r="W2715">
        <v>29</v>
      </c>
      <c r="X2715">
        <v>0</v>
      </c>
      <c r="Y2715">
        <v>0</v>
      </c>
      <c r="Z2715">
        <v>0</v>
      </c>
      <c r="AA2715">
        <v>0</v>
      </c>
      <c r="AB2715">
        <v>1</v>
      </c>
      <c r="AC2715">
        <v>0</v>
      </c>
      <c r="AD2715">
        <v>0</v>
      </c>
      <c r="AE2715">
        <v>0</v>
      </c>
      <c r="AF2715">
        <v>0</v>
      </c>
      <c r="AG2715">
        <v>0</v>
      </c>
      <c r="AH2715">
        <v>0</v>
      </c>
      <c r="AI2715">
        <v>0</v>
      </c>
      <c r="AJ2715">
        <v>0</v>
      </c>
      <c r="AK2715">
        <v>0</v>
      </c>
    </row>
    <row r="2716" spans="1:37" x14ac:dyDescent="0.3">
      <c r="A2716">
        <v>7134</v>
      </c>
      <c r="B2716" t="s">
        <v>28</v>
      </c>
      <c r="C2716">
        <v>11</v>
      </c>
      <c r="D2716" t="s">
        <v>3340</v>
      </c>
      <c r="E2716">
        <v>99999999</v>
      </c>
      <c r="F2716">
        <v>11111111</v>
      </c>
      <c r="G2716">
        <v>1111111111</v>
      </c>
      <c r="H2716" t="s">
        <v>6285</v>
      </c>
      <c r="I2716">
        <v>99999999</v>
      </c>
      <c r="J2716" s="188">
        <v>45236</v>
      </c>
      <c r="K2716" t="s">
        <v>6285</v>
      </c>
      <c r="L2716" t="s">
        <v>6285</v>
      </c>
      <c r="M2716" t="s">
        <v>396</v>
      </c>
      <c r="N2716" t="s">
        <v>99</v>
      </c>
      <c r="O2716">
        <v>945667824</v>
      </c>
      <c r="P2716" t="s">
        <v>221</v>
      </c>
      <c r="Q2716" t="s">
        <v>82</v>
      </c>
      <c r="R2716">
        <v>1</v>
      </c>
      <c r="S2716">
        <v>2.74</v>
      </c>
      <c r="T2716">
        <v>0</v>
      </c>
      <c r="U2716">
        <v>1</v>
      </c>
      <c r="V2716">
        <v>1</v>
      </c>
      <c r="W2716">
        <v>29</v>
      </c>
      <c r="X2716">
        <v>0</v>
      </c>
      <c r="Y2716">
        <v>0</v>
      </c>
      <c r="Z2716">
        <v>0</v>
      </c>
      <c r="AA2716">
        <v>0</v>
      </c>
      <c r="AB2716">
        <v>1</v>
      </c>
      <c r="AC2716">
        <v>0</v>
      </c>
      <c r="AD2716">
        <v>0</v>
      </c>
      <c r="AE2716">
        <v>0</v>
      </c>
      <c r="AF2716">
        <v>0</v>
      </c>
      <c r="AG2716">
        <v>0</v>
      </c>
      <c r="AH2716">
        <v>0</v>
      </c>
      <c r="AI2716">
        <v>0</v>
      </c>
      <c r="AJ2716">
        <v>0</v>
      </c>
      <c r="AK2716">
        <v>0</v>
      </c>
    </row>
    <row r="2717" spans="1:37" x14ac:dyDescent="0.3">
      <c r="A2717">
        <v>7134</v>
      </c>
      <c r="B2717" t="s">
        <v>28</v>
      </c>
      <c r="C2717">
        <v>11</v>
      </c>
      <c r="D2717" t="s">
        <v>3340</v>
      </c>
      <c r="E2717">
        <v>99999999</v>
      </c>
      <c r="F2717">
        <v>11111111</v>
      </c>
      <c r="G2717">
        <v>1111111111</v>
      </c>
      <c r="H2717" t="s">
        <v>6286</v>
      </c>
      <c r="I2717">
        <v>99999999</v>
      </c>
      <c r="J2717" s="188">
        <v>45236</v>
      </c>
      <c r="K2717" t="s">
        <v>6286</v>
      </c>
      <c r="L2717" t="s">
        <v>6286</v>
      </c>
      <c r="M2717" t="s">
        <v>159</v>
      </c>
      <c r="N2717" t="s">
        <v>99</v>
      </c>
      <c r="O2717">
        <v>953778959</v>
      </c>
      <c r="P2717" t="s">
        <v>221</v>
      </c>
      <c r="Q2717" t="s">
        <v>82</v>
      </c>
      <c r="R2717">
        <v>1</v>
      </c>
      <c r="S2717">
        <v>2.74</v>
      </c>
      <c r="T2717">
        <v>0</v>
      </c>
      <c r="U2717">
        <v>1</v>
      </c>
      <c r="V2717">
        <v>1</v>
      </c>
      <c r="W2717">
        <v>26.26</v>
      </c>
      <c r="X2717">
        <v>0</v>
      </c>
      <c r="Y2717">
        <v>0</v>
      </c>
      <c r="Z2717">
        <v>0</v>
      </c>
      <c r="AA2717">
        <v>0</v>
      </c>
      <c r="AB2717">
        <v>1</v>
      </c>
      <c r="AC2717">
        <v>0</v>
      </c>
      <c r="AD2717">
        <v>0</v>
      </c>
      <c r="AE2717">
        <v>0</v>
      </c>
      <c r="AF2717">
        <v>0</v>
      </c>
      <c r="AG2717">
        <v>0</v>
      </c>
      <c r="AH2717">
        <v>0</v>
      </c>
      <c r="AI2717">
        <v>0</v>
      </c>
      <c r="AJ2717">
        <v>0</v>
      </c>
      <c r="AK2717">
        <v>0</v>
      </c>
    </row>
    <row r="2718" spans="1:37" x14ac:dyDescent="0.3">
      <c r="A2718">
        <v>7134</v>
      </c>
      <c r="B2718" t="s">
        <v>28</v>
      </c>
      <c r="C2718">
        <v>11</v>
      </c>
      <c r="D2718" t="s">
        <v>3340</v>
      </c>
      <c r="E2718">
        <v>99999999</v>
      </c>
      <c r="F2718">
        <v>11111111</v>
      </c>
      <c r="G2718">
        <v>1111111111</v>
      </c>
      <c r="H2718" t="s">
        <v>6287</v>
      </c>
      <c r="I2718">
        <v>99999999</v>
      </c>
      <c r="J2718" s="188">
        <v>45236</v>
      </c>
      <c r="K2718" t="s">
        <v>6287</v>
      </c>
      <c r="L2718" t="s">
        <v>6287</v>
      </c>
      <c r="M2718" t="s">
        <v>1790</v>
      </c>
      <c r="N2718" t="s">
        <v>164</v>
      </c>
      <c r="O2718">
        <v>970348503</v>
      </c>
      <c r="P2718" t="s">
        <v>221</v>
      </c>
      <c r="Q2718" t="s">
        <v>82</v>
      </c>
      <c r="R2718">
        <v>1</v>
      </c>
      <c r="S2718">
        <v>2.74</v>
      </c>
      <c r="T2718">
        <v>0</v>
      </c>
      <c r="U2718">
        <v>1</v>
      </c>
      <c r="V2718">
        <v>1</v>
      </c>
      <c r="W2718">
        <v>32.14</v>
      </c>
      <c r="X2718">
        <v>0</v>
      </c>
      <c r="Y2718">
        <v>0</v>
      </c>
      <c r="Z2718">
        <v>0</v>
      </c>
      <c r="AA2718">
        <v>0</v>
      </c>
      <c r="AB2718">
        <v>1</v>
      </c>
      <c r="AC2718">
        <v>0</v>
      </c>
      <c r="AD2718">
        <v>0</v>
      </c>
      <c r="AE2718">
        <v>0</v>
      </c>
      <c r="AF2718">
        <v>0</v>
      </c>
      <c r="AG2718">
        <v>0</v>
      </c>
      <c r="AH2718">
        <v>0</v>
      </c>
      <c r="AI2718">
        <v>0</v>
      </c>
      <c r="AJ2718">
        <v>0</v>
      </c>
      <c r="AK2718">
        <v>0</v>
      </c>
    </row>
    <row r="2719" spans="1:37" x14ac:dyDescent="0.3">
      <c r="A2719">
        <v>7134</v>
      </c>
      <c r="B2719" t="s">
        <v>28</v>
      </c>
      <c r="C2719">
        <v>11</v>
      </c>
      <c r="D2719" t="s">
        <v>3340</v>
      </c>
      <c r="E2719">
        <v>99999999</v>
      </c>
      <c r="F2719">
        <v>11111111</v>
      </c>
      <c r="G2719">
        <v>1111111111</v>
      </c>
      <c r="H2719" t="s">
        <v>6288</v>
      </c>
      <c r="I2719">
        <v>99999999</v>
      </c>
      <c r="J2719" s="188">
        <v>45236</v>
      </c>
      <c r="K2719" t="s">
        <v>6288</v>
      </c>
      <c r="L2719" t="s">
        <v>6288</v>
      </c>
      <c r="M2719" t="s">
        <v>253</v>
      </c>
      <c r="N2719" t="s">
        <v>292</v>
      </c>
      <c r="O2719">
        <v>200242722</v>
      </c>
      <c r="P2719" t="s">
        <v>221</v>
      </c>
      <c r="Q2719" t="s">
        <v>82</v>
      </c>
      <c r="R2719">
        <v>1</v>
      </c>
      <c r="S2719">
        <v>2.74</v>
      </c>
      <c r="T2719">
        <v>0</v>
      </c>
      <c r="U2719">
        <v>1</v>
      </c>
      <c r="V2719">
        <v>1</v>
      </c>
      <c r="W2719">
        <v>59.38</v>
      </c>
      <c r="X2719">
        <v>0</v>
      </c>
      <c r="Y2719">
        <v>0</v>
      </c>
      <c r="Z2719">
        <v>0</v>
      </c>
      <c r="AA2719">
        <v>0</v>
      </c>
      <c r="AB2719">
        <v>1</v>
      </c>
      <c r="AC2719">
        <v>0</v>
      </c>
      <c r="AD2719">
        <v>0</v>
      </c>
      <c r="AE2719">
        <v>0</v>
      </c>
      <c r="AF2719">
        <v>0</v>
      </c>
      <c r="AG2719">
        <v>0</v>
      </c>
      <c r="AH2719">
        <v>0</v>
      </c>
      <c r="AI2719">
        <v>0</v>
      </c>
      <c r="AJ2719">
        <v>0</v>
      </c>
      <c r="AK2719">
        <v>0</v>
      </c>
    </row>
    <row r="2720" spans="1:37" x14ac:dyDescent="0.3">
      <c r="A2720">
        <v>7134</v>
      </c>
      <c r="B2720" t="s">
        <v>28</v>
      </c>
      <c r="C2720">
        <v>11</v>
      </c>
      <c r="D2720" t="s">
        <v>3340</v>
      </c>
      <c r="E2720">
        <v>99999999</v>
      </c>
      <c r="F2720">
        <v>11111111</v>
      </c>
      <c r="G2720">
        <v>1111111111</v>
      </c>
      <c r="H2720" t="s">
        <v>6289</v>
      </c>
      <c r="I2720">
        <v>99999999</v>
      </c>
      <c r="J2720" s="188">
        <v>45236</v>
      </c>
      <c r="K2720" t="s">
        <v>6289</v>
      </c>
      <c r="L2720" t="s">
        <v>6289</v>
      </c>
      <c r="M2720" t="s">
        <v>3351</v>
      </c>
      <c r="N2720" t="s">
        <v>99</v>
      </c>
      <c r="O2720">
        <v>923926106</v>
      </c>
      <c r="P2720" t="s">
        <v>221</v>
      </c>
      <c r="Q2720" t="s">
        <v>82</v>
      </c>
      <c r="R2720">
        <v>1</v>
      </c>
      <c r="S2720">
        <v>2.74</v>
      </c>
      <c r="T2720">
        <v>0</v>
      </c>
      <c r="U2720">
        <v>1</v>
      </c>
      <c r="V2720">
        <v>1</v>
      </c>
      <c r="W2720">
        <v>32.14</v>
      </c>
      <c r="X2720">
        <v>0</v>
      </c>
      <c r="Y2720">
        <v>0</v>
      </c>
      <c r="Z2720">
        <v>0</v>
      </c>
      <c r="AA2720">
        <v>0</v>
      </c>
      <c r="AB2720">
        <v>1</v>
      </c>
      <c r="AC2720">
        <v>0</v>
      </c>
      <c r="AD2720">
        <v>0</v>
      </c>
      <c r="AE2720">
        <v>0</v>
      </c>
      <c r="AF2720">
        <v>0</v>
      </c>
      <c r="AG2720">
        <v>0</v>
      </c>
      <c r="AH2720">
        <v>0</v>
      </c>
      <c r="AI2720">
        <v>0</v>
      </c>
      <c r="AJ2720">
        <v>0</v>
      </c>
      <c r="AK2720">
        <v>0</v>
      </c>
    </row>
    <row r="2721" spans="1:37" x14ac:dyDescent="0.3">
      <c r="A2721">
        <v>7134</v>
      </c>
      <c r="B2721" t="s">
        <v>28</v>
      </c>
      <c r="C2721">
        <v>11</v>
      </c>
      <c r="D2721" t="s">
        <v>3340</v>
      </c>
      <c r="E2721">
        <v>99999999</v>
      </c>
      <c r="F2721">
        <v>11111111</v>
      </c>
      <c r="G2721">
        <v>1111111111</v>
      </c>
      <c r="H2721" t="s">
        <v>6290</v>
      </c>
      <c r="I2721">
        <v>99999999</v>
      </c>
      <c r="J2721" s="188">
        <v>45236</v>
      </c>
      <c r="K2721" t="s">
        <v>6290</v>
      </c>
      <c r="L2721" t="s">
        <v>6290</v>
      </c>
      <c r="M2721" t="s">
        <v>514</v>
      </c>
      <c r="N2721" t="s">
        <v>99</v>
      </c>
      <c r="O2721">
        <v>956160607</v>
      </c>
      <c r="P2721" t="s">
        <v>221</v>
      </c>
      <c r="Q2721" t="s">
        <v>82</v>
      </c>
      <c r="R2721">
        <v>1</v>
      </c>
      <c r="S2721">
        <v>2.74</v>
      </c>
      <c r="T2721">
        <v>0</v>
      </c>
      <c r="U2721">
        <v>1</v>
      </c>
      <c r="V2721">
        <v>1</v>
      </c>
      <c r="W2721">
        <v>26.26</v>
      </c>
      <c r="X2721">
        <v>0</v>
      </c>
      <c r="Y2721">
        <v>0</v>
      </c>
      <c r="Z2721">
        <v>0</v>
      </c>
      <c r="AA2721">
        <v>0</v>
      </c>
      <c r="AB2721">
        <v>1</v>
      </c>
      <c r="AC2721">
        <v>0</v>
      </c>
      <c r="AD2721">
        <v>0</v>
      </c>
      <c r="AE2721">
        <v>0</v>
      </c>
      <c r="AF2721">
        <v>0</v>
      </c>
      <c r="AG2721">
        <v>0</v>
      </c>
      <c r="AH2721">
        <v>0</v>
      </c>
      <c r="AI2721">
        <v>0</v>
      </c>
      <c r="AJ2721">
        <v>0</v>
      </c>
      <c r="AK2721">
        <v>0</v>
      </c>
    </row>
    <row r="2722" spans="1:37" x14ac:dyDescent="0.3">
      <c r="A2722">
        <v>7134</v>
      </c>
      <c r="B2722" t="s">
        <v>28</v>
      </c>
      <c r="C2722">
        <v>11</v>
      </c>
      <c r="D2722" t="s">
        <v>3340</v>
      </c>
      <c r="E2722">
        <v>99999999</v>
      </c>
      <c r="F2722">
        <v>11111111</v>
      </c>
      <c r="G2722">
        <v>1111111111</v>
      </c>
      <c r="H2722" t="s">
        <v>6291</v>
      </c>
      <c r="I2722">
        <v>99999999</v>
      </c>
      <c r="J2722" s="188">
        <v>45236</v>
      </c>
      <c r="K2722" t="s">
        <v>6291</v>
      </c>
      <c r="L2722" t="s">
        <v>6291</v>
      </c>
      <c r="M2722" t="s">
        <v>3352</v>
      </c>
      <c r="N2722" t="s">
        <v>97</v>
      </c>
      <c r="O2722">
        <v>981554207</v>
      </c>
      <c r="P2722" t="s">
        <v>221</v>
      </c>
      <c r="Q2722" t="s">
        <v>82</v>
      </c>
      <c r="R2722">
        <v>2</v>
      </c>
      <c r="S2722">
        <v>5.48</v>
      </c>
      <c r="T2722">
        <v>0</v>
      </c>
      <c r="U2722">
        <v>1</v>
      </c>
      <c r="V2722">
        <v>1</v>
      </c>
      <c r="W2722">
        <v>38.549999999999997</v>
      </c>
      <c r="X2722">
        <v>0</v>
      </c>
      <c r="Y2722">
        <v>0</v>
      </c>
      <c r="Z2722">
        <v>0</v>
      </c>
      <c r="AA2722">
        <v>0</v>
      </c>
      <c r="AB2722">
        <v>2</v>
      </c>
      <c r="AC2722">
        <v>0</v>
      </c>
      <c r="AD2722">
        <v>0</v>
      </c>
      <c r="AE2722">
        <v>0</v>
      </c>
      <c r="AF2722">
        <v>0</v>
      </c>
      <c r="AG2722">
        <v>0</v>
      </c>
      <c r="AH2722">
        <v>0</v>
      </c>
      <c r="AI2722">
        <v>0</v>
      </c>
      <c r="AJ2722">
        <v>0</v>
      </c>
      <c r="AK2722">
        <v>0</v>
      </c>
    </row>
    <row r="2723" spans="1:37" x14ac:dyDescent="0.3">
      <c r="A2723">
        <v>7134</v>
      </c>
      <c r="B2723" t="s">
        <v>28</v>
      </c>
      <c r="C2723">
        <v>11</v>
      </c>
      <c r="D2723" t="s">
        <v>3340</v>
      </c>
      <c r="E2723">
        <v>99999999</v>
      </c>
      <c r="F2723">
        <v>11111111</v>
      </c>
      <c r="G2723">
        <v>1111111111</v>
      </c>
      <c r="H2723" t="s">
        <v>6292</v>
      </c>
      <c r="I2723">
        <v>99999999</v>
      </c>
      <c r="J2723" s="188">
        <v>45236</v>
      </c>
      <c r="K2723" t="s">
        <v>6292</v>
      </c>
      <c r="L2723" t="s">
        <v>6292</v>
      </c>
      <c r="M2723" t="s">
        <v>131</v>
      </c>
      <c r="N2723" t="s">
        <v>99</v>
      </c>
      <c r="O2723">
        <v>952123839</v>
      </c>
      <c r="P2723" t="s">
        <v>221</v>
      </c>
      <c r="Q2723" t="s">
        <v>82</v>
      </c>
      <c r="R2723">
        <v>3</v>
      </c>
      <c r="S2723">
        <v>8.2200000000000006</v>
      </c>
      <c r="T2723">
        <v>0</v>
      </c>
      <c r="U2723">
        <v>1</v>
      </c>
      <c r="V2723">
        <v>1</v>
      </c>
      <c r="W2723">
        <v>34.380000000000003</v>
      </c>
      <c r="X2723">
        <v>0</v>
      </c>
      <c r="Y2723">
        <v>0</v>
      </c>
      <c r="Z2723">
        <v>0</v>
      </c>
      <c r="AA2723">
        <v>0</v>
      </c>
      <c r="AB2723">
        <v>3</v>
      </c>
      <c r="AC2723">
        <v>0</v>
      </c>
      <c r="AD2723">
        <v>0</v>
      </c>
      <c r="AE2723">
        <v>0</v>
      </c>
      <c r="AF2723">
        <v>0</v>
      </c>
      <c r="AG2723">
        <v>0</v>
      </c>
      <c r="AH2723">
        <v>0</v>
      </c>
      <c r="AI2723">
        <v>0</v>
      </c>
      <c r="AJ2723">
        <v>0</v>
      </c>
      <c r="AK2723">
        <v>0</v>
      </c>
    </row>
    <row r="2724" spans="1:37" x14ac:dyDescent="0.3">
      <c r="A2724">
        <v>7134</v>
      </c>
      <c r="B2724" t="s">
        <v>28</v>
      </c>
      <c r="C2724">
        <v>11</v>
      </c>
      <c r="D2724" t="s">
        <v>3340</v>
      </c>
      <c r="E2724">
        <v>99999999</v>
      </c>
      <c r="F2724">
        <v>11111111</v>
      </c>
      <c r="G2724">
        <v>1111111111</v>
      </c>
      <c r="H2724" t="s">
        <v>6293</v>
      </c>
      <c r="I2724">
        <v>99999999</v>
      </c>
      <c r="J2724" s="188">
        <v>45236</v>
      </c>
      <c r="K2724" t="s">
        <v>6293</v>
      </c>
      <c r="L2724" t="s">
        <v>6293</v>
      </c>
      <c r="M2724" t="s">
        <v>875</v>
      </c>
      <c r="N2724" t="s">
        <v>97</v>
      </c>
      <c r="O2724">
        <v>980743348</v>
      </c>
      <c r="P2724" t="s">
        <v>221</v>
      </c>
      <c r="Q2724" t="s">
        <v>82</v>
      </c>
      <c r="R2724">
        <v>1</v>
      </c>
      <c r="S2724">
        <v>2.74</v>
      </c>
      <c r="T2724">
        <v>0</v>
      </c>
      <c r="U2724">
        <v>1</v>
      </c>
      <c r="V2724">
        <v>1</v>
      </c>
      <c r="W2724">
        <v>32.14</v>
      </c>
      <c r="X2724">
        <v>0</v>
      </c>
      <c r="Y2724">
        <v>0</v>
      </c>
      <c r="Z2724">
        <v>0</v>
      </c>
      <c r="AA2724">
        <v>0</v>
      </c>
      <c r="AB2724">
        <v>1</v>
      </c>
      <c r="AC2724">
        <v>0</v>
      </c>
      <c r="AD2724">
        <v>0</v>
      </c>
      <c r="AE2724">
        <v>0</v>
      </c>
      <c r="AF2724">
        <v>0</v>
      </c>
      <c r="AG2724">
        <v>0</v>
      </c>
      <c r="AH2724">
        <v>0</v>
      </c>
      <c r="AI2724">
        <v>0</v>
      </c>
      <c r="AJ2724">
        <v>0</v>
      </c>
      <c r="AK2724">
        <v>0</v>
      </c>
    </row>
    <row r="2725" spans="1:37" x14ac:dyDescent="0.3">
      <c r="A2725">
        <v>7134</v>
      </c>
      <c r="B2725" t="s">
        <v>28</v>
      </c>
      <c r="C2725">
        <v>11</v>
      </c>
      <c r="D2725" t="s">
        <v>3340</v>
      </c>
      <c r="E2725">
        <v>99999999</v>
      </c>
      <c r="F2725">
        <v>11111111</v>
      </c>
      <c r="G2725">
        <v>1111111111</v>
      </c>
      <c r="H2725" t="s">
        <v>6294</v>
      </c>
      <c r="I2725">
        <v>99999999</v>
      </c>
      <c r="J2725" s="188">
        <v>45236</v>
      </c>
      <c r="K2725" t="s">
        <v>6294</v>
      </c>
      <c r="L2725" t="s">
        <v>6294</v>
      </c>
      <c r="M2725" t="s">
        <v>1719</v>
      </c>
      <c r="N2725" t="s">
        <v>99</v>
      </c>
      <c r="O2725">
        <v>957474265</v>
      </c>
      <c r="P2725" t="s">
        <v>221</v>
      </c>
      <c r="Q2725" t="s">
        <v>82</v>
      </c>
      <c r="R2725">
        <v>1</v>
      </c>
      <c r="S2725">
        <v>2.74</v>
      </c>
      <c r="T2725">
        <v>0</v>
      </c>
      <c r="U2725">
        <v>1</v>
      </c>
      <c r="V2725">
        <v>1</v>
      </c>
      <c r="W2725">
        <v>26.26</v>
      </c>
      <c r="X2725">
        <v>0</v>
      </c>
      <c r="Y2725">
        <v>0</v>
      </c>
      <c r="Z2725">
        <v>0</v>
      </c>
      <c r="AA2725">
        <v>0</v>
      </c>
      <c r="AB2725">
        <v>1</v>
      </c>
      <c r="AC2725">
        <v>0</v>
      </c>
      <c r="AD2725">
        <v>0</v>
      </c>
      <c r="AE2725">
        <v>0</v>
      </c>
      <c r="AF2725">
        <v>0</v>
      </c>
      <c r="AG2725">
        <v>0</v>
      </c>
      <c r="AH2725">
        <v>0</v>
      </c>
      <c r="AI2725">
        <v>0</v>
      </c>
      <c r="AJ2725">
        <v>0</v>
      </c>
      <c r="AK2725">
        <v>0</v>
      </c>
    </row>
    <row r="2726" spans="1:37" x14ac:dyDescent="0.3">
      <c r="A2726">
        <v>7134</v>
      </c>
      <c r="B2726" t="s">
        <v>28</v>
      </c>
      <c r="C2726">
        <v>11</v>
      </c>
      <c r="D2726" t="s">
        <v>3340</v>
      </c>
      <c r="E2726">
        <v>99999999</v>
      </c>
      <c r="F2726">
        <v>11111111</v>
      </c>
      <c r="G2726">
        <v>1111111111</v>
      </c>
      <c r="H2726" t="s">
        <v>6295</v>
      </c>
      <c r="I2726">
        <v>99999999</v>
      </c>
      <c r="J2726" s="188">
        <v>45236</v>
      </c>
      <c r="K2726" t="s">
        <v>6295</v>
      </c>
      <c r="L2726" t="s">
        <v>6295</v>
      </c>
      <c r="M2726" t="s">
        <v>3353</v>
      </c>
      <c r="N2726" t="s">
        <v>233</v>
      </c>
      <c r="O2726">
        <v>112192243</v>
      </c>
      <c r="P2726" t="s">
        <v>221</v>
      </c>
      <c r="Q2726" t="s">
        <v>82</v>
      </c>
      <c r="R2726">
        <v>1</v>
      </c>
      <c r="S2726">
        <v>2.74</v>
      </c>
      <c r="T2726">
        <v>0</v>
      </c>
      <c r="U2726">
        <v>1</v>
      </c>
      <c r="V2726">
        <v>1</v>
      </c>
      <c r="W2726">
        <v>59.38</v>
      </c>
      <c r="X2726">
        <v>0</v>
      </c>
      <c r="Y2726">
        <v>0</v>
      </c>
      <c r="Z2726">
        <v>0</v>
      </c>
      <c r="AA2726">
        <v>0</v>
      </c>
      <c r="AB2726">
        <v>1</v>
      </c>
      <c r="AC2726">
        <v>0</v>
      </c>
      <c r="AD2726">
        <v>0</v>
      </c>
      <c r="AE2726">
        <v>0</v>
      </c>
      <c r="AF2726">
        <v>0</v>
      </c>
      <c r="AG2726">
        <v>0</v>
      </c>
      <c r="AH2726">
        <v>0</v>
      </c>
      <c r="AI2726">
        <v>0</v>
      </c>
      <c r="AJ2726">
        <v>0</v>
      </c>
      <c r="AK2726">
        <v>0</v>
      </c>
    </row>
    <row r="2727" spans="1:37" x14ac:dyDescent="0.3">
      <c r="A2727">
        <v>7134</v>
      </c>
      <c r="B2727" t="s">
        <v>28</v>
      </c>
      <c r="C2727">
        <v>11</v>
      </c>
      <c r="D2727" t="s">
        <v>3340</v>
      </c>
      <c r="E2727">
        <v>99999999</v>
      </c>
      <c r="F2727">
        <v>11111111</v>
      </c>
      <c r="G2727">
        <v>1111111111</v>
      </c>
      <c r="H2727" t="s">
        <v>6296</v>
      </c>
      <c r="I2727">
        <v>99999999</v>
      </c>
      <c r="J2727" s="188">
        <v>45236</v>
      </c>
      <c r="K2727" t="s">
        <v>6296</v>
      </c>
      <c r="L2727" t="s">
        <v>6296</v>
      </c>
      <c r="M2727" t="s">
        <v>2632</v>
      </c>
      <c r="N2727" t="s">
        <v>91</v>
      </c>
      <c r="O2727">
        <v>856357119</v>
      </c>
      <c r="P2727" t="s">
        <v>221</v>
      </c>
      <c r="Q2727" t="s">
        <v>82</v>
      </c>
      <c r="R2727">
        <v>1</v>
      </c>
      <c r="S2727">
        <v>2.74</v>
      </c>
      <c r="T2727">
        <v>0</v>
      </c>
      <c r="U2727">
        <v>1</v>
      </c>
      <c r="V2727">
        <v>1</v>
      </c>
      <c r="W2727">
        <v>39.53</v>
      </c>
      <c r="X2727">
        <v>0</v>
      </c>
      <c r="Y2727">
        <v>0</v>
      </c>
      <c r="Z2727">
        <v>0</v>
      </c>
      <c r="AA2727">
        <v>0</v>
      </c>
      <c r="AB2727">
        <v>1</v>
      </c>
      <c r="AC2727">
        <v>0</v>
      </c>
      <c r="AD2727">
        <v>0</v>
      </c>
      <c r="AE2727">
        <v>0</v>
      </c>
      <c r="AF2727">
        <v>0</v>
      </c>
      <c r="AG2727">
        <v>0</v>
      </c>
      <c r="AH2727">
        <v>0</v>
      </c>
      <c r="AI2727">
        <v>0</v>
      </c>
      <c r="AJ2727">
        <v>0</v>
      </c>
      <c r="AK2727">
        <v>0</v>
      </c>
    </row>
    <row r="2728" spans="1:37" x14ac:dyDescent="0.3">
      <c r="A2728">
        <v>7134</v>
      </c>
      <c r="B2728" t="s">
        <v>28</v>
      </c>
      <c r="C2728">
        <v>11</v>
      </c>
      <c r="D2728" t="s">
        <v>3340</v>
      </c>
      <c r="E2728">
        <v>99999999</v>
      </c>
      <c r="F2728">
        <v>11111111</v>
      </c>
      <c r="G2728">
        <v>1111111111</v>
      </c>
      <c r="H2728" t="s">
        <v>6297</v>
      </c>
      <c r="I2728">
        <v>99999999</v>
      </c>
      <c r="J2728" s="188">
        <v>45236</v>
      </c>
      <c r="K2728" t="s">
        <v>6297</v>
      </c>
      <c r="L2728" t="s">
        <v>6297</v>
      </c>
      <c r="M2728" t="s">
        <v>807</v>
      </c>
      <c r="N2728" t="s">
        <v>99</v>
      </c>
      <c r="O2728">
        <v>940403731</v>
      </c>
      <c r="P2728" t="s">
        <v>221</v>
      </c>
      <c r="Q2728" t="s">
        <v>82</v>
      </c>
      <c r="R2728">
        <v>1</v>
      </c>
      <c r="S2728">
        <v>2.74</v>
      </c>
      <c r="T2728">
        <v>0</v>
      </c>
      <c r="U2728">
        <v>1</v>
      </c>
      <c r="V2728">
        <v>1</v>
      </c>
      <c r="W2728">
        <v>29</v>
      </c>
      <c r="X2728">
        <v>0</v>
      </c>
      <c r="Y2728">
        <v>0</v>
      </c>
      <c r="Z2728">
        <v>0</v>
      </c>
      <c r="AA2728">
        <v>0</v>
      </c>
      <c r="AB2728">
        <v>1</v>
      </c>
      <c r="AC2728">
        <v>0</v>
      </c>
      <c r="AD2728">
        <v>0</v>
      </c>
      <c r="AE2728">
        <v>0</v>
      </c>
      <c r="AF2728">
        <v>0</v>
      </c>
      <c r="AG2728">
        <v>0</v>
      </c>
      <c r="AH2728">
        <v>0</v>
      </c>
      <c r="AI2728">
        <v>0</v>
      </c>
      <c r="AJ2728">
        <v>0</v>
      </c>
      <c r="AK2728">
        <v>0</v>
      </c>
    </row>
    <row r="2729" spans="1:37" x14ac:dyDescent="0.3">
      <c r="A2729">
        <v>7134</v>
      </c>
      <c r="B2729" t="s">
        <v>28</v>
      </c>
      <c r="C2729">
        <v>11</v>
      </c>
      <c r="D2729" t="s">
        <v>3340</v>
      </c>
      <c r="E2729">
        <v>99999999</v>
      </c>
      <c r="F2729">
        <v>11111111</v>
      </c>
      <c r="G2729">
        <v>1111111111</v>
      </c>
      <c r="H2729" t="s">
        <v>6298</v>
      </c>
      <c r="I2729">
        <v>99999999</v>
      </c>
      <c r="J2729" s="188">
        <v>45236</v>
      </c>
      <c r="K2729" t="s">
        <v>6298</v>
      </c>
      <c r="L2729" t="s">
        <v>6298</v>
      </c>
      <c r="M2729" t="s">
        <v>1062</v>
      </c>
      <c r="N2729" t="s">
        <v>97</v>
      </c>
      <c r="O2729">
        <v>980539167</v>
      </c>
      <c r="P2729" t="s">
        <v>221</v>
      </c>
      <c r="Q2729" t="s">
        <v>82</v>
      </c>
      <c r="R2729">
        <v>1</v>
      </c>
      <c r="S2729">
        <v>2.74</v>
      </c>
      <c r="T2729">
        <v>0</v>
      </c>
      <c r="U2729">
        <v>1</v>
      </c>
      <c r="V2729">
        <v>1</v>
      </c>
      <c r="W2729">
        <v>32.14</v>
      </c>
      <c r="X2729">
        <v>0</v>
      </c>
      <c r="Y2729">
        <v>0</v>
      </c>
      <c r="Z2729">
        <v>0</v>
      </c>
      <c r="AA2729">
        <v>0</v>
      </c>
      <c r="AB2729">
        <v>1</v>
      </c>
      <c r="AC2729">
        <v>0</v>
      </c>
      <c r="AD2729">
        <v>0</v>
      </c>
      <c r="AE2729">
        <v>0</v>
      </c>
      <c r="AF2729">
        <v>0</v>
      </c>
      <c r="AG2729">
        <v>0</v>
      </c>
      <c r="AH2729">
        <v>0</v>
      </c>
      <c r="AI2729">
        <v>0</v>
      </c>
      <c r="AJ2729">
        <v>0</v>
      </c>
      <c r="AK2729">
        <v>0</v>
      </c>
    </row>
    <row r="2730" spans="1:37" x14ac:dyDescent="0.3">
      <c r="A2730">
        <v>7134</v>
      </c>
      <c r="B2730" t="s">
        <v>28</v>
      </c>
      <c r="C2730">
        <v>11</v>
      </c>
      <c r="D2730" t="s">
        <v>3340</v>
      </c>
      <c r="E2730">
        <v>99999999</v>
      </c>
      <c r="F2730">
        <v>11111111</v>
      </c>
      <c r="G2730">
        <v>1111111111</v>
      </c>
      <c r="H2730" t="s">
        <v>6299</v>
      </c>
      <c r="I2730">
        <v>99999999</v>
      </c>
      <c r="J2730" s="188">
        <v>45236</v>
      </c>
      <c r="K2730" t="s">
        <v>6299</v>
      </c>
      <c r="L2730" t="s">
        <v>6299</v>
      </c>
      <c r="M2730" t="s">
        <v>1206</v>
      </c>
      <c r="N2730" t="s">
        <v>99</v>
      </c>
      <c r="O2730">
        <v>957655337</v>
      </c>
      <c r="P2730" t="s">
        <v>221</v>
      </c>
      <c r="Q2730" t="s">
        <v>82</v>
      </c>
      <c r="R2730">
        <v>1</v>
      </c>
      <c r="S2730">
        <v>2.74</v>
      </c>
      <c r="T2730">
        <v>0</v>
      </c>
      <c r="U2730">
        <v>1</v>
      </c>
      <c r="V2730">
        <v>1</v>
      </c>
      <c r="W2730">
        <v>26.26</v>
      </c>
      <c r="X2730">
        <v>0</v>
      </c>
      <c r="Y2730">
        <v>0</v>
      </c>
      <c r="Z2730">
        <v>0</v>
      </c>
      <c r="AA2730">
        <v>0</v>
      </c>
      <c r="AB2730">
        <v>1</v>
      </c>
      <c r="AC2730">
        <v>0</v>
      </c>
      <c r="AD2730">
        <v>0</v>
      </c>
      <c r="AE2730">
        <v>0</v>
      </c>
      <c r="AF2730">
        <v>0</v>
      </c>
      <c r="AG2730">
        <v>0</v>
      </c>
      <c r="AH2730">
        <v>0</v>
      </c>
      <c r="AI2730">
        <v>0</v>
      </c>
      <c r="AJ2730">
        <v>0</v>
      </c>
      <c r="AK2730">
        <v>0</v>
      </c>
    </row>
    <row r="2731" spans="1:37" x14ac:dyDescent="0.3">
      <c r="A2731">
        <v>7134</v>
      </c>
      <c r="B2731" t="s">
        <v>28</v>
      </c>
      <c r="C2731">
        <v>11</v>
      </c>
      <c r="D2731" t="s">
        <v>3340</v>
      </c>
      <c r="E2731">
        <v>99999999</v>
      </c>
      <c r="F2731">
        <v>11111111</v>
      </c>
      <c r="G2731">
        <v>1111111111</v>
      </c>
      <c r="H2731" t="s">
        <v>6300</v>
      </c>
      <c r="I2731">
        <v>99999999</v>
      </c>
      <c r="J2731" s="188">
        <v>45237</v>
      </c>
      <c r="K2731" t="s">
        <v>6300</v>
      </c>
      <c r="L2731" t="s">
        <v>6300</v>
      </c>
      <c r="M2731" t="s">
        <v>3354</v>
      </c>
      <c r="N2731" t="s">
        <v>97</v>
      </c>
      <c r="O2731">
        <v>981336115</v>
      </c>
      <c r="P2731" t="s">
        <v>221</v>
      </c>
      <c r="Q2731" t="s">
        <v>82</v>
      </c>
      <c r="R2731">
        <v>1</v>
      </c>
      <c r="S2731">
        <v>2.74</v>
      </c>
      <c r="T2731">
        <v>0</v>
      </c>
      <c r="U2731">
        <v>1</v>
      </c>
      <c r="V2731">
        <v>1</v>
      </c>
      <c r="W2731">
        <v>32.14</v>
      </c>
      <c r="X2731">
        <v>0</v>
      </c>
      <c r="Y2731">
        <v>0</v>
      </c>
      <c r="Z2731">
        <v>0</v>
      </c>
      <c r="AA2731">
        <v>0</v>
      </c>
      <c r="AB2731">
        <v>1</v>
      </c>
      <c r="AC2731">
        <v>0</v>
      </c>
      <c r="AD2731">
        <v>0</v>
      </c>
      <c r="AE2731">
        <v>0</v>
      </c>
      <c r="AF2731">
        <v>0</v>
      </c>
      <c r="AG2731">
        <v>0</v>
      </c>
      <c r="AH2731">
        <v>0</v>
      </c>
      <c r="AI2731">
        <v>0</v>
      </c>
      <c r="AJ2731">
        <v>0</v>
      </c>
      <c r="AK2731">
        <v>0</v>
      </c>
    </row>
    <row r="2732" spans="1:37" x14ac:dyDescent="0.3">
      <c r="A2732">
        <v>7134</v>
      </c>
      <c r="B2732" t="s">
        <v>28</v>
      </c>
      <c r="C2732">
        <v>11</v>
      </c>
      <c r="D2732" t="s">
        <v>3340</v>
      </c>
      <c r="E2732">
        <v>99999999</v>
      </c>
      <c r="F2732">
        <v>11111111</v>
      </c>
      <c r="G2732">
        <v>1111111111</v>
      </c>
      <c r="H2732" t="s">
        <v>6301</v>
      </c>
      <c r="I2732">
        <v>99999999</v>
      </c>
      <c r="J2732" s="188">
        <v>45237</v>
      </c>
      <c r="K2732" t="s">
        <v>6301</v>
      </c>
      <c r="L2732" t="s">
        <v>6301</v>
      </c>
      <c r="M2732" t="s">
        <v>2336</v>
      </c>
      <c r="N2732" t="s">
        <v>99</v>
      </c>
      <c r="O2732">
        <v>956285419</v>
      </c>
      <c r="P2732" t="s">
        <v>221</v>
      </c>
      <c r="Q2732" t="s">
        <v>82</v>
      </c>
      <c r="R2732">
        <v>1</v>
      </c>
      <c r="S2732">
        <v>2.74</v>
      </c>
      <c r="T2732">
        <v>0</v>
      </c>
      <c r="U2732">
        <v>1</v>
      </c>
      <c r="V2732">
        <v>1</v>
      </c>
      <c r="W2732">
        <v>26.26</v>
      </c>
      <c r="X2732">
        <v>0</v>
      </c>
      <c r="Y2732">
        <v>0</v>
      </c>
      <c r="Z2732">
        <v>0</v>
      </c>
      <c r="AA2732">
        <v>0</v>
      </c>
      <c r="AB2732">
        <v>1</v>
      </c>
      <c r="AC2732">
        <v>0</v>
      </c>
      <c r="AD2732">
        <v>0</v>
      </c>
      <c r="AE2732">
        <v>0</v>
      </c>
      <c r="AF2732">
        <v>0</v>
      </c>
      <c r="AG2732">
        <v>0</v>
      </c>
      <c r="AH2732">
        <v>0</v>
      </c>
      <c r="AI2732">
        <v>0</v>
      </c>
      <c r="AJ2732">
        <v>0</v>
      </c>
      <c r="AK2732">
        <v>0</v>
      </c>
    </row>
    <row r="2733" spans="1:37" x14ac:dyDescent="0.3">
      <c r="A2733">
        <v>7134</v>
      </c>
      <c r="B2733" t="s">
        <v>28</v>
      </c>
      <c r="C2733">
        <v>11</v>
      </c>
      <c r="D2733" t="s">
        <v>3340</v>
      </c>
      <c r="E2733">
        <v>99999999</v>
      </c>
      <c r="F2733">
        <v>11111111</v>
      </c>
      <c r="G2733">
        <v>1111111111</v>
      </c>
      <c r="H2733" t="s">
        <v>6302</v>
      </c>
      <c r="I2733">
        <v>99999999</v>
      </c>
      <c r="J2733" s="188">
        <v>45237</v>
      </c>
      <c r="K2733" t="s">
        <v>6302</v>
      </c>
      <c r="L2733" t="s">
        <v>6302</v>
      </c>
      <c r="M2733" t="s">
        <v>3355</v>
      </c>
      <c r="N2733" t="s">
        <v>141</v>
      </c>
      <c r="O2733">
        <v>334328370</v>
      </c>
      <c r="P2733" t="s">
        <v>221</v>
      </c>
      <c r="Q2733" t="s">
        <v>82</v>
      </c>
      <c r="R2733">
        <v>1</v>
      </c>
      <c r="S2733">
        <v>2.74</v>
      </c>
      <c r="T2733">
        <v>0</v>
      </c>
      <c r="U2733">
        <v>1</v>
      </c>
      <c r="V2733">
        <v>1</v>
      </c>
      <c r="W2733">
        <v>59.38</v>
      </c>
      <c r="X2733">
        <v>0</v>
      </c>
      <c r="Y2733">
        <v>0</v>
      </c>
      <c r="Z2733">
        <v>0</v>
      </c>
      <c r="AA2733">
        <v>0</v>
      </c>
      <c r="AB2733">
        <v>1</v>
      </c>
      <c r="AC2733">
        <v>0</v>
      </c>
      <c r="AD2733">
        <v>0</v>
      </c>
      <c r="AE2733">
        <v>0</v>
      </c>
      <c r="AF2733">
        <v>0</v>
      </c>
      <c r="AG2733">
        <v>0</v>
      </c>
      <c r="AH2733">
        <v>0</v>
      </c>
      <c r="AI2733">
        <v>0</v>
      </c>
      <c r="AJ2733">
        <v>0</v>
      </c>
      <c r="AK2733">
        <v>0</v>
      </c>
    </row>
    <row r="2734" spans="1:37" x14ac:dyDescent="0.3">
      <c r="A2734">
        <v>7134</v>
      </c>
      <c r="B2734" t="s">
        <v>28</v>
      </c>
      <c r="C2734">
        <v>11</v>
      </c>
      <c r="D2734" t="s">
        <v>3340</v>
      </c>
      <c r="E2734">
        <v>99999999</v>
      </c>
      <c r="F2734">
        <v>11111111</v>
      </c>
      <c r="G2734">
        <v>1111111111</v>
      </c>
      <c r="H2734" t="s">
        <v>6303</v>
      </c>
      <c r="I2734">
        <v>99999999</v>
      </c>
      <c r="J2734" s="188">
        <v>45237</v>
      </c>
      <c r="K2734" t="s">
        <v>6303</v>
      </c>
      <c r="L2734" t="s">
        <v>6303</v>
      </c>
      <c r="M2734" t="s">
        <v>127</v>
      </c>
      <c r="N2734" t="s">
        <v>118</v>
      </c>
      <c r="O2734">
        <v>176014847</v>
      </c>
      <c r="P2734" t="s">
        <v>221</v>
      </c>
      <c r="Q2734" t="s">
        <v>82</v>
      </c>
      <c r="R2734">
        <v>1</v>
      </c>
      <c r="S2734">
        <v>2.74</v>
      </c>
      <c r="T2734">
        <v>0</v>
      </c>
      <c r="U2734">
        <v>1</v>
      </c>
      <c r="V2734">
        <v>1</v>
      </c>
      <c r="W2734">
        <v>59.38</v>
      </c>
      <c r="X2734">
        <v>0</v>
      </c>
      <c r="Y2734">
        <v>0</v>
      </c>
      <c r="Z2734">
        <v>0</v>
      </c>
      <c r="AA2734">
        <v>0</v>
      </c>
      <c r="AB2734">
        <v>1</v>
      </c>
      <c r="AC2734">
        <v>0</v>
      </c>
      <c r="AD2734">
        <v>0</v>
      </c>
      <c r="AE2734">
        <v>0</v>
      </c>
      <c r="AF2734">
        <v>0</v>
      </c>
      <c r="AG2734">
        <v>0</v>
      </c>
      <c r="AH2734">
        <v>0</v>
      </c>
      <c r="AI2734">
        <v>0</v>
      </c>
      <c r="AJ2734">
        <v>0</v>
      </c>
      <c r="AK2734">
        <v>0</v>
      </c>
    </row>
    <row r="2735" spans="1:37" x14ac:dyDescent="0.3">
      <c r="A2735">
        <v>7134</v>
      </c>
      <c r="B2735" t="s">
        <v>28</v>
      </c>
      <c r="C2735">
        <v>11</v>
      </c>
      <c r="D2735" t="s">
        <v>3340</v>
      </c>
      <c r="E2735">
        <v>99999999</v>
      </c>
      <c r="F2735">
        <v>11111111</v>
      </c>
      <c r="G2735">
        <v>1111111111</v>
      </c>
      <c r="H2735" t="s">
        <v>6304</v>
      </c>
      <c r="I2735">
        <v>99999999</v>
      </c>
      <c r="J2735" s="188">
        <v>45237</v>
      </c>
      <c r="K2735" t="s">
        <v>6304</v>
      </c>
      <c r="L2735" t="s">
        <v>6304</v>
      </c>
      <c r="M2735" t="s">
        <v>3353</v>
      </c>
      <c r="N2735" t="s">
        <v>233</v>
      </c>
      <c r="O2735">
        <v>112134558</v>
      </c>
      <c r="P2735" t="s">
        <v>221</v>
      </c>
      <c r="Q2735" t="s">
        <v>82</v>
      </c>
      <c r="R2735">
        <v>1</v>
      </c>
      <c r="S2735">
        <v>2.74</v>
      </c>
      <c r="T2735">
        <v>0</v>
      </c>
      <c r="U2735">
        <v>1</v>
      </c>
      <c r="V2735">
        <v>1</v>
      </c>
      <c r="W2735">
        <v>59.38</v>
      </c>
      <c r="X2735">
        <v>0</v>
      </c>
      <c r="Y2735">
        <v>0</v>
      </c>
      <c r="Z2735">
        <v>0</v>
      </c>
      <c r="AA2735">
        <v>0</v>
      </c>
      <c r="AB2735">
        <v>1</v>
      </c>
      <c r="AC2735">
        <v>0</v>
      </c>
      <c r="AD2735">
        <v>0</v>
      </c>
      <c r="AE2735">
        <v>0</v>
      </c>
      <c r="AF2735">
        <v>0</v>
      </c>
      <c r="AG2735">
        <v>0</v>
      </c>
      <c r="AH2735">
        <v>0</v>
      </c>
      <c r="AI2735">
        <v>0</v>
      </c>
      <c r="AJ2735">
        <v>0</v>
      </c>
      <c r="AK2735">
        <v>0</v>
      </c>
    </row>
    <row r="2736" spans="1:37" x14ac:dyDescent="0.3">
      <c r="A2736">
        <v>7134</v>
      </c>
      <c r="B2736" t="s">
        <v>28</v>
      </c>
      <c r="C2736">
        <v>11</v>
      </c>
      <c r="D2736" t="s">
        <v>3340</v>
      </c>
      <c r="E2736">
        <v>99999999</v>
      </c>
      <c r="F2736">
        <v>11111111</v>
      </c>
      <c r="G2736">
        <v>1111111111</v>
      </c>
      <c r="H2736" t="s">
        <v>6305</v>
      </c>
      <c r="I2736">
        <v>99999999</v>
      </c>
      <c r="J2736" s="188">
        <v>45237</v>
      </c>
      <c r="K2736" t="s">
        <v>6305</v>
      </c>
      <c r="L2736" t="s">
        <v>6305</v>
      </c>
      <c r="M2736" t="s">
        <v>875</v>
      </c>
      <c r="N2736" t="s">
        <v>97</v>
      </c>
      <c r="O2736">
        <v>980756044</v>
      </c>
      <c r="P2736" t="s">
        <v>221</v>
      </c>
      <c r="Q2736" t="s">
        <v>82</v>
      </c>
      <c r="R2736">
        <v>1</v>
      </c>
      <c r="S2736">
        <v>2.74</v>
      </c>
      <c r="T2736">
        <v>0</v>
      </c>
      <c r="U2736">
        <v>1</v>
      </c>
      <c r="V2736">
        <v>1</v>
      </c>
      <c r="W2736">
        <v>32.14</v>
      </c>
      <c r="X2736">
        <v>0</v>
      </c>
      <c r="Y2736">
        <v>0</v>
      </c>
      <c r="Z2736">
        <v>0</v>
      </c>
      <c r="AA2736">
        <v>0</v>
      </c>
      <c r="AB2736">
        <v>1</v>
      </c>
      <c r="AC2736">
        <v>0</v>
      </c>
      <c r="AD2736">
        <v>0</v>
      </c>
      <c r="AE2736">
        <v>0</v>
      </c>
      <c r="AF2736">
        <v>0</v>
      </c>
      <c r="AG2736">
        <v>0</v>
      </c>
      <c r="AH2736">
        <v>0</v>
      </c>
      <c r="AI2736">
        <v>0</v>
      </c>
      <c r="AJ2736">
        <v>0</v>
      </c>
      <c r="AK2736">
        <v>0</v>
      </c>
    </row>
    <row r="2737" spans="1:37" x14ac:dyDescent="0.3">
      <c r="A2737">
        <v>7134</v>
      </c>
      <c r="B2737" t="s">
        <v>28</v>
      </c>
      <c r="C2737">
        <v>11</v>
      </c>
      <c r="D2737" t="s">
        <v>3340</v>
      </c>
      <c r="E2737">
        <v>99999999</v>
      </c>
      <c r="F2737">
        <v>11111111</v>
      </c>
      <c r="G2737">
        <v>1111111111</v>
      </c>
      <c r="H2737" t="s">
        <v>6306</v>
      </c>
      <c r="I2737">
        <v>99999999</v>
      </c>
      <c r="J2737" s="188">
        <v>45237</v>
      </c>
      <c r="K2737" t="s">
        <v>6306</v>
      </c>
      <c r="L2737" t="s">
        <v>6306</v>
      </c>
      <c r="M2737" t="s">
        <v>3356</v>
      </c>
      <c r="N2737" t="s">
        <v>680</v>
      </c>
      <c r="O2737">
        <v>54037877</v>
      </c>
      <c r="P2737" t="s">
        <v>221</v>
      </c>
      <c r="Q2737" t="s">
        <v>82</v>
      </c>
      <c r="R2737">
        <v>1</v>
      </c>
      <c r="S2737">
        <v>2.74</v>
      </c>
      <c r="T2737">
        <v>0</v>
      </c>
      <c r="U2737">
        <v>1</v>
      </c>
      <c r="V2737">
        <v>1</v>
      </c>
      <c r="W2737">
        <v>59.38</v>
      </c>
      <c r="X2737">
        <v>0</v>
      </c>
      <c r="Y2737">
        <v>0</v>
      </c>
      <c r="Z2737">
        <v>0</v>
      </c>
      <c r="AA2737">
        <v>0</v>
      </c>
      <c r="AB2737">
        <v>1</v>
      </c>
      <c r="AC2737">
        <v>0</v>
      </c>
      <c r="AD2737">
        <v>0</v>
      </c>
      <c r="AE2737">
        <v>0</v>
      </c>
      <c r="AF2737">
        <v>0</v>
      </c>
      <c r="AG2737">
        <v>0</v>
      </c>
      <c r="AH2737">
        <v>0</v>
      </c>
      <c r="AI2737">
        <v>0</v>
      </c>
      <c r="AJ2737">
        <v>0</v>
      </c>
      <c r="AK2737">
        <v>0</v>
      </c>
    </row>
    <row r="2738" spans="1:37" x14ac:dyDescent="0.3">
      <c r="A2738">
        <v>7134</v>
      </c>
      <c r="B2738" t="s">
        <v>28</v>
      </c>
      <c r="C2738">
        <v>11</v>
      </c>
      <c r="D2738" t="s">
        <v>3340</v>
      </c>
      <c r="E2738">
        <v>99999999</v>
      </c>
      <c r="F2738">
        <v>11111111</v>
      </c>
      <c r="G2738">
        <v>1111111111</v>
      </c>
      <c r="H2738" t="s">
        <v>6307</v>
      </c>
      <c r="I2738">
        <v>99999999</v>
      </c>
      <c r="J2738" s="188">
        <v>45237</v>
      </c>
      <c r="K2738" t="s">
        <v>6307</v>
      </c>
      <c r="L2738" t="s">
        <v>6307</v>
      </c>
      <c r="M2738" t="s">
        <v>3357</v>
      </c>
      <c r="N2738" t="s">
        <v>1276</v>
      </c>
      <c r="O2738">
        <v>553373677</v>
      </c>
      <c r="P2738" t="s">
        <v>221</v>
      </c>
      <c r="Q2738" t="s">
        <v>82</v>
      </c>
      <c r="R2738">
        <v>1</v>
      </c>
      <c r="S2738">
        <v>2.74</v>
      </c>
      <c r="T2738">
        <v>0</v>
      </c>
      <c r="U2738">
        <v>1</v>
      </c>
      <c r="V2738">
        <v>1</v>
      </c>
      <c r="W2738">
        <v>49.24</v>
      </c>
      <c r="X2738">
        <v>0</v>
      </c>
      <c r="Y2738">
        <v>0</v>
      </c>
      <c r="Z2738">
        <v>0</v>
      </c>
      <c r="AA2738">
        <v>0</v>
      </c>
      <c r="AB2738">
        <v>1</v>
      </c>
      <c r="AC2738">
        <v>0</v>
      </c>
      <c r="AD2738">
        <v>0</v>
      </c>
      <c r="AE2738">
        <v>0</v>
      </c>
      <c r="AF2738">
        <v>0</v>
      </c>
      <c r="AG2738">
        <v>0</v>
      </c>
      <c r="AH2738">
        <v>0</v>
      </c>
      <c r="AI2738">
        <v>0</v>
      </c>
      <c r="AJ2738">
        <v>0</v>
      </c>
      <c r="AK2738">
        <v>0</v>
      </c>
    </row>
    <row r="2739" spans="1:37" x14ac:dyDescent="0.3">
      <c r="A2739">
        <v>7134</v>
      </c>
      <c r="B2739" t="s">
        <v>28</v>
      </c>
      <c r="C2739">
        <v>11</v>
      </c>
      <c r="D2739" t="s">
        <v>3340</v>
      </c>
      <c r="E2739">
        <v>99999999</v>
      </c>
      <c r="F2739">
        <v>11111111</v>
      </c>
      <c r="G2739">
        <v>1111111111</v>
      </c>
      <c r="H2739" t="s">
        <v>6308</v>
      </c>
      <c r="I2739">
        <v>99999999</v>
      </c>
      <c r="J2739" s="188">
        <v>45237</v>
      </c>
      <c r="K2739" t="s">
        <v>6308</v>
      </c>
      <c r="L2739" t="s">
        <v>6308</v>
      </c>
      <c r="M2739" t="s">
        <v>101</v>
      </c>
      <c r="N2739" t="s">
        <v>97</v>
      </c>
      <c r="O2739">
        <v>98105</v>
      </c>
      <c r="P2739" t="s">
        <v>221</v>
      </c>
      <c r="Q2739" t="s">
        <v>82</v>
      </c>
      <c r="R2739">
        <v>1</v>
      </c>
      <c r="S2739">
        <v>2.74</v>
      </c>
      <c r="T2739">
        <v>0</v>
      </c>
      <c r="U2739">
        <v>1</v>
      </c>
      <c r="V2739">
        <v>1</v>
      </c>
      <c r="W2739">
        <v>32.14</v>
      </c>
      <c r="X2739">
        <v>0</v>
      </c>
      <c r="Y2739">
        <v>0</v>
      </c>
      <c r="Z2739">
        <v>0</v>
      </c>
      <c r="AA2739">
        <v>0</v>
      </c>
      <c r="AB2739">
        <v>1</v>
      </c>
      <c r="AC2739">
        <v>0</v>
      </c>
      <c r="AD2739">
        <v>0</v>
      </c>
      <c r="AE2739">
        <v>0</v>
      </c>
      <c r="AF2739">
        <v>0</v>
      </c>
      <c r="AG2739">
        <v>0</v>
      </c>
      <c r="AH2739">
        <v>0</v>
      </c>
      <c r="AI2739">
        <v>0</v>
      </c>
      <c r="AJ2739">
        <v>0</v>
      </c>
      <c r="AK2739">
        <v>0</v>
      </c>
    </row>
    <row r="2740" spans="1:37" x14ac:dyDescent="0.3">
      <c r="A2740">
        <v>7134</v>
      </c>
      <c r="B2740" t="s">
        <v>28</v>
      </c>
      <c r="C2740">
        <v>11</v>
      </c>
      <c r="D2740" t="s">
        <v>3340</v>
      </c>
      <c r="E2740">
        <v>99999999</v>
      </c>
      <c r="F2740">
        <v>11111111</v>
      </c>
      <c r="G2740">
        <v>1111111111</v>
      </c>
      <c r="H2740" t="s">
        <v>6309</v>
      </c>
      <c r="I2740">
        <v>99999999</v>
      </c>
      <c r="J2740" s="188">
        <v>45237</v>
      </c>
      <c r="K2740" t="s">
        <v>6309</v>
      </c>
      <c r="L2740" t="s">
        <v>6309</v>
      </c>
      <c r="M2740" t="s">
        <v>879</v>
      </c>
      <c r="N2740" t="s">
        <v>164</v>
      </c>
      <c r="O2740">
        <v>973305011</v>
      </c>
      <c r="P2740" t="s">
        <v>221</v>
      </c>
      <c r="Q2740" t="s">
        <v>82</v>
      </c>
      <c r="R2740">
        <v>1</v>
      </c>
      <c r="S2740">
        <v>2.74</v>
      </c>
      <c r="T2740">
        <v>0</v>
      </c>
      <c r="U2740">
        <v>1</v>
      </c>
      <c r="V2740">
        <v>1</v>
      </c>
      <c r="W2740">
        <v>32.14</v>
      </c>
      <c r="X2740">
        <v>0</v>
      </c>
      <c r="Y2740">
        <v>0</v>
      </c>
      <c r="Z2740">
        <v>0</v>
      </c>
      <c r="AA2740">
        <v>0</v>
      </c>
      <c r="AB2740">
        <v>1</v>
      </c>
      <c r="AC2740">
        <v>0</v>
      </c>
      <c r="AD2740">
        <v>0</v>
      </c>
      <c r="AE2740">
        <v>0</v>
      </c>
      <c r="AF2740">
        <v>0</v>
      </c>
      <c r="AG2740">
        <v>0</v>
      </c>
      <c r="AH2740">
        <v>0</v>
      </c>
      <c r="AI2740">
        <v>0</v>
      </c>
      <c r="AJ2740">
        <v>0</v>
      </c>
      <c r="AK2740">
        <v>0</v>
      </c>
    </row>
    <row r="2741" spans="1:37" x14ac:dyDescent="0.3">
      <c r="A2741">
        <v>7134</v>
      </c>
      <c r="B2741" t="s">
        <v>28</v>
      </c>
      <c r="C2741">
        <v>11</v>
      </c>
      <c r="D2741" t="s">
        <v>3340</v>
      </c>
      <c r="E2741">
        <v>99999999</v>
      </c>
      <c r="F2741">
        <v>11111111</v>
      </c>
      <c r="G2741">
        <v>1111111111</v>
      </c>
      <c r="H2741" t="s">
        <v>6310</v>
      </c>
      <c r="I2741">
        <v>99999999</v>
      </c>
      <c r="J2741" s="188">
        <v>45237</v>
      </c>
      <c r="K2741" t="s">
        <v>6310</v>
      </c>
      <c r="L2741" t="s">
        <v>6310</v>
      </c>
      <c r="M2741" t="s">
        <v>246</v>
      </c>
      <c r="N2741" t="s">
        <v>99</v>
      </c>
      <c r="O2741">
        <v>941073012</v>
      </c>
      <c r="P2741" t="s">
        <v>221</v>
      </c>
      <c r="Q2741" t="s">
        <v>82</v>
      </c>
      <c r="R2741">
        <v>1</v>
      </c>
      <c r="S2741">
        <v>2.74</v>
      </c>
      <c r="T2741">
        <v>0</v>
      </c>
      <c r="U2741">
        <v>1</v>
      </c>
      <c r="V2741">
        <v>1</v>
      </c>
      <c r="W2741">
        <v>29</v>
      </c>
      <c r="X2741">
        <v>0</v>
      </c>
      <c r="Y2741">
        <v>0</v>
      </c>
      <c r="Z2741">
        <v>0</v>
      </c>
      <c r="AA2741">
        <v>0</v>
      </c>
      <c r="AB2741">
        <v>1</v>
      </c>
      <c r="AC2741">
        <v>0</v>
      </c>
      <c r="AD2741">
        <v>0</v>
      </c>
      <c r="AE2741">
        <v>0</v>
      </c>
      <c r="AF2741">
        <v>0</v>
      </c>
      <c r="AG2741">
        <v>0</v>
      </c>
      <c r="AH2741">
        <v>0</v>
      </c>
      <c r="AI2741">
        <v>0</v>
      </c>
      <c r="AJ2741">
        <v>0</v>
      </c>
      <c r="AK2741">
        <v>0</v>
      </c>
    </row>
    <row r="2742" spans="1:37" x14ac:dyDescent="0.3">
      <c r="A2742">
        <v>7134</v>
      </c>
      <c r="B2742" t="s">
        <v>28</v>
      </c>
      <c r="C2742">
        <v>11</v>
      </c>
      <c r="D2742" t="s">
        <v>3340</v>
      </c>
      <c r="E2742">
        <v>99999999</v>
      </c>
      <c r="F2742">
        <v>11111111</v>
      </c>
      <c r="G2742">
        <v>1111111111</v>
      </c>
      <c r="H2742" t="s">
        <v>6311</v>
      </c>
      <c r="I2742">
        <v>99999999</v>
      </c>
      <c r="J2742" s="188">
        <v>45237</v>
      </c>
      <c r="K2742" t="s">
        <v>6311</v>
      </c>
      <c r="L2742" t="s">
        <v>6311</v>
      </c>
      <c r="M2742" t="s">
        <v>101</v>
      </c>
      <c r="N2742" t="s">
        <v>97</v>
      </c>
      <c r="O2742">
        <v>98121</v>
      </c>
      <c r="P2742" t="s">
        <v>221</v>
      </c>
      <c r="Q2742" t="s">
        <v>82</v>
      </c>
      <c r="R2742">
        <v>1</v>
      </c>
      <c r="S2742">
        <v>2.74</v>
      </c>
      <c r="T2742">
        <v>0</v>
      </c>
      <c r="U2742">
        <v>1</v>
      </c>
      <c r="V2742">
        <v>1</v>
      </c>
      <c r="W2742">
        <v>32.14</v>
      </c>
      <c r="X2742">
        <v>0</v>
      </c>
      <c r="Y2742">
        <v>0</v>
      </c>
      <c r="Z2742">
        <v>0</v>
      </c>
      <c r="AA2742">
        <v>0</v>
      </c>
      <c r="AB2742">
        <v>1</v>
      </c>
      <c r="AC2742">
        <v>0</v>
      </c>
      <c r="AD2742">
        <v>0</v>
      </c>
      <c r="AE2742">
        <v>0</v>
      </c>
      <c r="AF2742">
        <v>0</v>
      </c>
      <c r="AG2742">
        <v>0</v>
      </c>
      <c r="AH2742">
        <v>0</v>
      </c>
      <c r="AI2742">
        <v>0</v>
      </c>
      <c r="AJ2742">
        <v>0</v>
      </c>
      <c r="AK2742">
        <v>0</v>
      </c>
    </row>
    <row r="2743" spans="1:37" x14ac:dyDescent="0.3">
      <c r="A2743">
        <v>7134</v>
      </c>
      <c r="B2743" t="s">
        <v>28</v>
      </c>
      <c r="C2743">
        <v>11</v>
      </c>
      <c r="D2743" t="s">
        <v>3340</v>
      </c>
      <c r="E2743">
        <v>99999999</v>
      </c>
      <c r="F2743">
        <v>11111111</v>
      </c>
      <c r="G2743">
        <v>1111111111</v>
      </c>
      <c r="H2743" t="s">
        <v>6312</v>
      </c>
      <c r="I2743">
        <v>99999999</v>
      </c>
      <c r="J2743" s="188">
        <v>45237</v>
      </c>
      <c r="K2743" t="s">
        <v>6312</v>
      </c>
      <c r="L2743" t="s">
        <v>6312</v>
      </c>
      <c r="M2743" t="s">
        <v>3358</v>
      </c>
      <c r="N2743" t="s">
        <v>231</v>
      </c>
      <c r="O2743">
        <v>21165751</v>
      </c>
      <c r="P2743" t="s">
        <v>221</v>
      </c>
      <c r="Q2743" t="s">
        <v>82</v>
      </c>
      <c r="R2743">
        <v>1</v>
      </c>
      <c r="S2743">
        <v>2.74</v>
      </c>
      <c r="T2743">
        <v>0</v>
      </c>
      <c r="U2743">
        <v>1</v>
      </c>
      <c r="V2743">
        <v>1</v>
      </c>
      <c r="W2743">
        <v>59.38</v>
      </c>
      <c r="X2743">
        <v>0</v>
      </c>
      <c r="Y2743">
        <v>0</v>
      </c>
      <c r="Z2743">
        <v>0</v>
      </c>
      <c r="AA2743">
        <v>0</v>
      </c>
      <c r="AB2743">
        <v>1</v>
      </c>
      <c r="AC2743">
        <v>0</v>
      </c>
      <c r="AD2743">
        <v>0</v>
      </c>
      <c r="AE2743">
        <v>0</v>
      </c>
      <c r="AF2743">
        <v>0</v>
      </c>
      <c r="AG2743">
        <v>0</v>
      </c>
      <c r="AH2743">
        <v>0</v>
      </c>
      <c r="AI2743">
        <v>0</v>
      </c>
      <c r="AJ2743">
        <v>0</v>
      </c>
      <c r="AK2743">
        <v>0</v>
      </c>
    </row>
    <row r="2744" spans="1:37" x14ac:dyDescent="0.3">
      <c r="A2744">
        <v>7134</v>
      </c>
      <c r="B2744" t="s">
        <v>28</v>
      </c>
      <c r="C2744">
        <v>11</v>
      </c>
      <c r="D2744" t="s">
        <v>3340</v>
      </c>
      <c r="E2744">
        <v>99999999</v>
      </c>
      <c r="F2744">
        <v>11111111</v>
      </c>
      <c r="G2744">
        <v>1111111111</v>
      </c>
      <c r="H2744" t="s">
        <v>6313</v>
      </c>
      <c r="I2744">
        <v>99999999</v>
      </c>
      <c r="J2744" s="188">
        <v>45237</v>
      </c>
      <c r="K2744" t="s">
        <v>6313</v>
      </c>
      <c r="L2744" t="s">
        <v>6313</v>
      </c>
      <c r="M2744" t="s">
        <v>3359</v>
      </c>
      <c r="N2744" t="s">
        <v>99</v>
      </c>
      <c r="O2744">
        <v>940302154</v>
      </c>
      <c r="P2744" t="s">
        <v>221</v>
      </c>
      <c r="Q2744" t="s">
        <v>82</v>
      </c>
      <c r="R2744">
        <v>1</v>
      </c>
      <c r="S2744">
        <v>2.74</v>
      </c>
      <c r="T2744">
        <v>0</v>
      </c>
      <c r="U2744">
        <v>1</v>
      </c>
      <c r="V2744">
        <v>1</v>
      </c>
      <c r="W2744">
        <v>29</v>
      </c>
      <c r="X2744">
        <v>0</v>
      </c>
      <c r="Y2744">
        <v>0</v>
      </c>
      <c r="Z2744">
        <v>0</v>
      </c>
      <c r="AA2744">
        <v>0</v>
      </c>
      <c r="AB2744">
        <v>1</v>
      </c>
      <c r="AC2744">
        <v>0</v>
      </c>
      <c r="AD2744">
        <v>0</v>
      </c>
      <c r="AE2744">
        <v>0</v>
      </c>
      <c r="AF2744">
        <v>0</v>
      </c>
      <c r="AG2744">
        <v>0</v>
      </c>
      <c r="AH2744">
        <v>0</v>
      </c>
      <c r="AI2744">
        <v>0</v>
      </c>
      <c r="AJ2744">
        <v>0</v>
      </c>
      <c r="AK2744">
        <v>0</v>
      </c>
    </row>
    <row r="2745" spans="1:37" x14ac:dyDescent="0.3">
      <c r="A2745">
        <v>7134</v>
      </c>
      <c r="B2745" t="s">
        <v>28</v>
      </c>
      <c r="C2745">
        <v>11</v>
      </c>
      <c r="D2745" t="s">
        <v>3340</v>
      </c>
      <c r="E2745">
        <v>99999999</v>
      </c>
      <c r="F2745">
        <v>11111111</v>
      </c>
      <c r="G2745">
        <v>1111111111</v>
      </c>
      <c r="H2745" t="s">
        <v>6314</v>
      </c>
      <c r="I2745">
        <v>99999999</v>
      </c>
      <c r="J2745" s="188">
        <v>45237</v>
      </c>
      <c r="K2745" t="s">
        <v>6314</v>
      </c>
      <c r="L2745" t="s">
        <v>6314</v>
      </c>
      <c r="M2745" t="s">
        <v>371</v>
      </c>
      <c r="N2745" t="s">
        <v>97</v>
      </c>
      <c r="O2745">
        <v>983882861</v>
      </c>
      <c r="P2745" t="s">
        <v>221</v>
      </c>
      <c r="Q2745" t="s">
        <v>82</v>
      </c>
      <c r="R2745">
        <v>1</v>
      </c>
      <c r="S2745">
        <v>2.74</v>
      </c>
      <c r="T2745">
        <v>0</v>
      </c>
      <c r="U2745">
        <v>1</v>
      </c>
      <c r="V2745">
        <v>1</v>
      </c>
      <c r="W2745">
        <v>32.14</v>
      </c>
      <c r="X2745">
        <v>0</v>
      </c>
      <c r="Y2745">
        <v>0</v>
      </c>
      <c r="Z2745">
        <v>0</v>
      </c>
      <c r="AA2745">
        <v>0</v>
      </c>
      <c r="AB2745">
        <v>1</v>
      </c>
      <c r="AC2745">
        <v>0</v>
      </c>
      <c r="AD2745">
        <v>0</v>
      </c>
      <c r="AE2745">
        <v>0</v>
      </c>
      <c r="AF2745">
        <v>0</v>
      </c>
      <c r="AG2745">
        <v>0</v>
      </c>
      <c r="AH2745">
        <v>0</v>
      </c>
      <c r="AI2745">
        <v>0</v>
      </c>
      <c r="AJ2745">
        <v>0</v>
      </c>
      <c r="AK2745">
        <v>0</v>
      </c>
    </row>
    <row r="2746" spans="1:37" x14ac:dyDescent="0.3">
      <c r="A2746">
        <v>7134</v>
      </c>
      <c r="B2746" t="s">
        <v>28</v>
      </c>
      <c r="C2746">
        <v>11</v>
      </c>
      <c r="D2746" t="s">
        <v>3340</v>
      </c>
      <c r="E2746">
        <v>99999999</v>
      </c>
      <c r="F2746">
        <v>11111111</v>
      </c>
      <c r="G2746">
        <v>1111111111</v>
      </c>
      <c r="H2746" t="s">
        <v>6315</v>
      </c>
      <c r="I2746">
        <v>99999999</v>
      </c>
      <c r="J2746" s="188">
        <v>45237</v>
      </c>
      <c r="K2746" t="s">
        <v>6315</v>
      </c>
      <c r="L2746" t="s">
        <v>6315</v>
      </c>
      <c r="M2746" t="s">
        <v>3360</v>
      </c>
      <c r="N2746" t="s">
        <v>99</v>
      </c>
      <c r="O2746">
        <v>959883125</v>
      </c>
      <c r="P2746" t="s">
        <v>221</v>
      </c>
      <c r="Q2746" t="s">
        <v>82</v>
      </c>
      <c r="R2746">
        <v>1</v>
      </c>
      <c r="S2746">
        <v>2.74</v>
      </c>
      <c r="T2746">
        <v>0</v>
      </c>
      <c r="U2746">
        <v>1</v>
      </c>
      <c r="V2746">
        <v>1</v>
      </c>
      <c r="W2746">
        <v>34.659999999999997</v>
      </c>
      <c r="X2746">
        <v>0</v>
      </c>
      <c r="Y2746">
        <v>0</v>
      </c>
      <c r="Z2746">
        <v>0</v>
      </c>
      <c r="AA2746">
        <v>0</v>
      </c>
      <c r="AB2746">
        <v>1</v>
      </c>
      <c r="AC2746">
        <v>0</v>
      </c>
      <c r="AD2746">
        <v>0</v>
      </c>
      <c r="AE2746">
        <v>0</v>
      </c>
      <c r="AF2746">
        <v>0</v>
      </c>
      <c r="AG2746">
        <v>0</v>
      </c>
      <c r="AH2746">
        <v>0</v>
      </c>
      <c r="AI2746">
        <v>0</v>
      </c>
      <c r="AJ2746">
        <v>0</v>
      </c>
      <c r="AK2746">
        <v>0</v>
      </c>
    </row>
    <row r="2747" spans="1:37" x14ac:dyDescent="0.3">
      <c r="A2747">
        <v>7134</v>
      </c>
      <c r="B2747" t="s">
        <v>28</v>
      </c>
      <c r="C2747">
        <v>11</v>
      </c>
      <c r="D2747" t="s">
        <v>3340</v>
      </c>
      <c r="E2747">
        <v>99999999</v>
      </c>
      <c r="F2747">
        <v>11111111</v>
      </c>
      <c r="G2747">
        <v>1111111111</v>
      </c>
      <c r="H2747" t="s">
        <v>6316</v>
      </c>
      <c r="I2747">
        <v>99999999</v>
      </c>
      <c r="J2747" s="188">
        <v>45238</v>
      </c>
      <c r="K2747" t="s">
        <v>6316</v>
      </c>
      <c r="L2747" t="s">
        <v>6316</v>
      </c>
      <c r="M2747" t="s">
        <v>3361</v>
      </c>
      <c r="N2747" t="s">
        <v>88</v>
      </c>
      <c r="O2747">
        <v>374218204</v>
      </c>
      <c r="P2747" t="s">
        <v>221</v>
      </c>
      <c r="Q2747" t="s">
        <v>82</v>
      </c>
      <c r="R2747">
        <v>1</v>
      </c>
      <c r="S2747">
        <v>2.74</v>
      </c>
      <c r="T2747">
        <v>0</v>
      </c>
      <c r="U2747">
        <v>1</v>
      </c>
      <c r="V2747">
        <v>1</v>
      </c>
      <c r="W2747">
        <v>59.26</v>
      </c>
      <c r="X2747">
        <v>0</v>
      </c>
      <c r="Y2747">
        <v>0</v>
      </c>
      <c r="Z2747">
        <v>0</v>
      </c>
      <c r="AA2747">
        <v>0</v>
      </c>
      <c r="AB2747">
        <v>1</v>
      </c>
      <c r="AC2747">
        <v>0</v>
      </c>
      <c r="AD2747">
        <v>0</v>
      </c>
      <c r="AE2747">
        <v>0</v>
      </c>
      <c r="AF2747">
        <v>0</v>
      </c>
      <c r="AG2747">
        <v>0</v>
      </c>
      <c r="AH2747">
        <v>0</v>
      </c>
      <c r="AI2747">
        <v>0</v>
      </c>
      <c r="AJ2747">
        <v>0</v>
      </c>
      <c r="AK2747">
        <v>0</v>
      </c>
    </row>
    <row r="2748" spans="1:37" x14ac:dyDescent="0.3">
      <c r="A2748">
        <v>7134</v>
      </c>
      <c r="B2748" t="s">
        <v>28</v>
      </c>
      <c r="C2748">
        <v>11</v>
      </c>
      <c r="D2748" t="s">
        <v>3340</v>
      </c>
      <c r="E2748">
        <v>99999999</v>
      </c>
      <c r="F2748">
        <v>11111111</v>
      </c>
      <c r="G2748">
        <v>1111111111</v>
      </c>
      <c r="H2748" t="s">
        <v>6317</v>
      </c>
      <c r="I2748">
        <v>99999999</v>
      </c>
      <c r="J2748" s="188">
        <v>45238</v>
      </c>
      <c r="K2748" t="s">
        <v>6317</v>
      </c>
      <c r="L2748" t="s">
        <v>6317</v>
      </c>
      <c r="M2748" t="s">
        <v>1056</v>
      </c>
      <c r="N2748" t="s">
        <v>197</v>
      </c>
      <c r="O2748">
        <v>786533580</v>
      </c>
      <c r="P2748" t="s">
        <v>221</v>
      </c>
      <c r="Q2748" t="s">
        <v>82</v>
      </c>
      <c r="R2748">
        <v>1</v>
      </c>
      <c r="S2748">
        <v>2.74</v>
      </c>
      <c r="T2748">
        <v>0</v>
      </c>
      <c r="U2748">
        <v>1</v>
      </c>
      <c r="V2748">
        <v>1</v>
      </c>
      <c r="W2748">
        <v>55.65</v>
      </c>
      <c r="X2748">
        <v>0</v>
      </c>
      <c r="Y2748">
        <v>0</v>
      </c>
      <c r="Z2748">
        <v>0</v>
      </c>
      <c r="AA2748">
        <v>0</v>
      </c>
      <c r="AB2748">
        <v>1</v>
      </c>
      <c r="AC2748">
        <v>0</v>
      </c>
      <c r="AD2748">
        <v>0</v>
      </c>
      <c r="AE2748">
        <v>0</v>
      </c>
      <c r="AF2748">
        <v>0</v>
      </c>
      <c r="AG2748">
        <v>0</v>
      </c>
      <c r="AH2748">
        <v>0</v>
      </c>
      <c r="AI2748">
        <v>0</v>
      </c>
      <c r="AJ2748">
        <v>0</v>
      </c>
      <c r="AK2748">
        <v>0</v>
      </c>
    </row>
    <row r="2749" spans="1:37" x14ac:dyDescent="0.3">
      <c r="A2749">
        <v>7134</v>
      </c>
      <c r="B2749" t="s">
        <v>28</v>
      </c>
      <c r="C2749">
        <v>11</v>
      </c>
      <c r="D2749" t="s">
        <v>3340</v>
      </c>
      <c r="E2749">
        <v>99999999</v>
      </c>
      <c r="F2749">
        <v>11111111</v>
      </c>
      <c r="G2749">
        <v>1111111111</v>
      </c>
      <c r="H2749" t="s">
        <v>6318</v>
      </c>
      <c r="I2749">
        <v>99999999</v>
      </c>
      <c r="J2749" s="188">
        <v>45238</v>
      </c>
      <c r="K2749" t="s">
        <v>6318</v>
      </c>
      <c r="L2749" t="s">
        <v>6318</v>
      </c>
      <c r="M2749" t="s">
        <v>392</v>
      </c>
      <c r="N2749" t="s">
        <v>97</v>
      </c>
      <c r="O2749">
        <v>980082350</v>
      </c>
      <c r="P2749" t="s">
        <v>221</v>
      </c>
      <c r="Q2749" t="s">
        <v>82</v>
      </c>
      <c r="R2749">
        <v>1</v>
      </c>
      <c r="S2749">
        <v>2.74</v>
      </c>
      <c r="T2749">
        <v>0</v>
      </c>
      <c r="U2749">
        <v>1</v>
      </c>
      <c r="V2749">
        <v>1</v>
      </c>
      <c r="W2749">
        <v>32.07</v>
      </c>
      <c r="X2749">
        <v>0</v>
      </c>
      <c r="Y2749">
        <v>0</v>
      </c>
      <c r="Z2749">
        <v>0</v>
      </c>
      <c r="AA2749">
        <v>0</v>
      </c>
      <c r="AB2749">
        <v>1</v>
      </c>
      <c r="AC2749">
        <v>0</v>
      </c>
      <c r="AD2749">
        <v>0</v>
      </c>
      <c r="AE2749">
        <v>0</v>
      </c>
      <c r="AF2749">
        <v>0</v>
      </c>
      <c r="AG2749">
        <v>0</v>
      </c>
      <c r="AH2749">
        <v>0</v>
      </c>
      <c r="AI2749">
        <v>0</v>
      </c>
      <c r="AJ2749">
        <v>0</v>
      </c>
      <c r="AK2749">
        <v>0</v>
      </c>
    </row>
    <row r="2750" spans="1:37" x14ac:dyDescent="0.3">
      <c r="A2750">
        <v>7134</v>
      </c>
      <c r="B2750" t="s">
        <v>28</v>
      </c>
      <c r="C2750">
        <v>11</v>
      </c>
      <c r="D2750" t="s">
        <v>3340</v>
      </c>
      <c r="E2750">
        <v>99999999</v>
      </c>
      <c r="F2750">
        <v>11111111</v>
      </c>
      <c r="G2750">
        <v>1111111111</v>
      </c>
      <c r="H2750" t="s">
        <v>6319</v>
      </c>
      <c r="I2750">
        <v>99999999</v>
      </c>
      <c r="J2750" s="188">
        <v>45238</v>
      </c>
      <c r="K2750" t="s">
        <v>6319</v>
      </c>
      <c r="L2750" t="s">
        <v>6319</v>
      </c>
      <c r="M2750" t="s">
        <v>620</v>
      </c>
      <c r="N2750" t="s">
        <v>983</v>
      </c>
      <c r="O2750">
        <v>87011135</v>
      </c>
      <c r="P2750" t="s">
        <v>221</v>
      </c>
      <c r="Q2750" t="s">
        <v>82</v>
      </c>
      <c r="R2750">
        <v>1</v>
      </c>
      <c r="S2750">
        <v>2.74</v>
      </c>
      <c r="T2750">
        <v>0</v>
      </c>
      <c r="U2750">
        <v>1</v>
      </c>
      <c r="V2750">
        <v>1</v>
      </c>
      <c r="W2750">
        <v>59.26</v>
      </c>
      <c r="X2750">
        <v>0</v>
      </c>
      <c r="Y2750">
        <v>0</v>
      </c>
      <c r="Z2750">
        <v>0</v>
      </c>
      <c r="AA2750">
        <v>0</v>
      </c>
      <c r="AB2750">
        <v>1</v>
      </c>
      <c r="AC2750">
        <v>0</v>
      </c>
      <c r="AD2750">
        <v>0</v>
      </c>
      <c r="AE2750">
        <v>0</v>
      </c>
      <c r="AF2750">
        <v>0</v>
      </c>
      <c r="AG2750">
        <v>0</v>
      </c>
      <c r="AH2750">
        <v>0</v>
      </c>
      <c r="AI2750">
        <v>0</v>
      </c>
      <c r="AJ2750">
        <v>0</v>
      </c>
      <c r="AK2750">
        <v>0</v>
      </c>
    </row>
    <row r="2751" spans="1:37" x14ac:dyDescent="0.3">
      <c r="A2751">
        <v>7134</v>
      </c>
      <c r="B2751" t="s">
        <v>28</v>
      </c>
      <c r="C2751">
        <v>11</v>
      </c>
      <c r="D2751" t="s">
        <v>3340</v>
      </c>
      <c r="E2751">
        <v>99999999</v>
      </c>
      <c r="F2751">
        <v>11111111</v>
      </c>
      <c r="G2751">
        <v>1111111111</v>
      </c>
      <c r="H2751" t="s">
        <v>6320</v>
      </c>
      <c r="I2751">
        <v>99999999</v>
      </c>
      <c r="J2751" s="188">
        <v>45238</v>
      </c>
      <c r="K2751" t="s">
        <v>6320</v>
      </c>
      <c r="L2751" t="s">
        <v>6320</v>
      </c>
      <c r="M2751" t="s">
        <v>96</v>
      </c>
      <c r="N2751" t="s">
        <v>97</v>
      </c>
      <c r="O2751">
        <v>982043789</v>
      </c>
      <c r="P2751" t="s">
        <v>221</v>
      </c>
      <c r="Q2751" t="s">
        <v>82</v>
      </c>
      <c r="R2751">
        <v>1</v>
      </c>
      <c r="S2751">
        <v>2.74</v>
      </c>
      <c r="T2751">
        <v>0</v>
      </c>
      <c r="U2751">
        <v>1</v>
      </c>
      <c r="V2751">
        <v>1</v>
      </c>
      <c r="W2751">
        <v>32.07</v>
      </c>
      <c r="X2751">
        <v>0</v>
      </c>
      <c r="Y2751">
        <v>0</v>
      </c>
      <c r="Z2751">
        <v>0</v>
      </c>
      <c r="AA2751">
        <v>0</v>
      </c>
      <c r="AB2751">
        <v>1</v>
      </c>
      <c r="AC2751">
        <v>0</v>
      </c>
      <c r="AD2751">
        <v>0</v>
      </c>
      <c r="AE2751">
        <v>0</v>
      </c>
      <c r="AF2751">
        <v>0</v>
      </c>
      <c r="AG2751">
        <v>0</v>
      </c>
      <c r="AH2751">
        <v>0</v>
      </c>
      <c r="AI2751">
        <v>0</v>
      </c>
      <c r="AJ2751">
        <v>0</v>
      </c>
      <c r="AK2751">
        <v>0</v>
      </c>
    </row>
    <row r="2752" spans="1:37" x14ac:dyDescent="0.3">
      <c r="A2752">
        <v>7134</v>
      </c>
      <c r="B2752" t="s">
        <v>28</v>
      </c>
      <c r="C2752">
        <v>11</v>
      </c>
      <c r="D2752" t="s">
        <v>3340</v>
      </c>
      <c r="E2752">
        <v>99999999</v>
      </c>
      <c r="F2752">
        <v>11111111</v>
      </c>
      <c r="G2752">
        <v>1111111111</v>
      </c>
      <c r="H2752" t="s">
        <v>6321</v>
      </c>
      <c r="I2752">
        <v>99999999</v>
      </c>
      <c r="J2752" s="188">
        <v>45238</v>
      </c>
      <c r="K2752" t="s">
        <v>6321</v>
      </c>
      <c r="L2752" t="s">
        <v>6321</v>
      </c>
      <c r="M2752" t="s">
        <v>936</v>
      </c>
      <c r="N2752" t="s">
        <v>197</v>
      </c>
      <c r="O2752">
        <v>750383452</v>
      </c>
      <c r="P2752" t="s">
        <v>221</v>
      </c>
      <c r="Q2752" t="s">
        <v>82</v>
      </c>
      <c r="R2752">
        <v>1</v>
      </c>
      <c r="S2752">
        <v>2.74</v>
      </c>
      <c r="T2752">
        <v>0</v>
      </c>
      <c r="U2752">
        <v>1</v>
      </c>
      <c r="V2752">
        <v>1</v>
      </c>
      <c r="W2752">
        <v>49.14</v>
      </c>
      <c r="X2752">
        <v>0</v>
      </c>
      <c r="Y2752">
        <v>0</v>
      </c>
      <c r="Z2752">
        <v>0</v>
      </c>
      <c r="AA2752">
        <v>0</v>
      </c>
      <c r="AB2752">
        <v>1</v>
      </c>
      <c r="AC2752">
        <v>0</v>
      </c>
      <c r="AD2752">
        <v>0</v>
      </c>
      <c r="AE2752">
        <v>0</v>
      </c>
      <c r="AF2752">
        <v>0</v>
      </c>
      <c r="AG2752">
        <v>0</v>
      </c>
      <c r="AH2752">
        <v>0</v>
      </c>
      <c r="AI2752">
        <v>0</v>
      </c>
      <c r="AJ2752">
        <v>0</v>
      </c>
      <c r="AK2752">
        <v>0</v>
      </c>
    </row>
    <row r="2753" spans="1:37" x14ac:dyDescent="0.3">
      <c r="A2753">
        <v>7134</v>
      </c>
      <c r="B2753" t="s">
        <v>28</v>
      </c>
      <c r="C2753">
        <v>11</v>
      </c>
      <c r="D2753" t="s">
        <v>3340</v>
      </c>
      <c r="E2753">
        <v>99999999</v>
      </c>
      <c r="F2753">
        <v>11111111</v>
      </c>
      <c r="G2753">
        <v>1111111111</v>
      </c>
      <c r="H2753" t="s">
        <v>6322</v>
      </c>
      <c r="I2753">
        <v>99999999</v>
      </c>
      <c r="J2753" s="188">
        <v>45238</v>
      </c>
      <c r="K2753" t="s">
        <v>6322</v>
      </c>
      <c r="L2753" t="s">
        <v>6322</v>
      </c>
      <c r="M2753" t="s">
        <v>3362</v>
      </c>
      <c r="N2753" t="s">
        <v>99</v>
      </c>
      <c r="O2753">
        <v>917913481</v>
      </c>
      <c r="P2753" t="s">
        <v>221</v>
      </c>
      <c r="Q2753" t="s">
        <v>82</v>
      </c>
      <c r="R2753">
        <v>1</v>
      </c>
      <c r="S2753">
        <v>2.74</v>
      </c>
      <c r="T2753">
        <v>0</v>
      </c>
      <c r="U2753">
        <v>1</v>
      </c>
      <c r="V2753">
        <v>1</v>
      </c>
      <c r="W2753">
        <v>32.07</v>
      </c>
      <c r="X2753">
        <v>0</v>
      </c>
      <c r="Y2753">
        <v>0</v>
      </c>
      <c r="Z2753">
        <v>0</v>
      </c>
      <c r="AA2753">
        <v>0</v>
      </c>
      <c r="AB2753">
        <v>1</v>
      </c>
      <c r="AC2753">
        <v>0</v>
      </c>
      <c r="AD2753">
        <v>0</v>
      </c>
      <c r="AE2753">
        <v>0</v>
      </c>
      <c r="AF2753">
        <v>0</v>
      </c>
      <c r="AG2753">
        <v>0</v>
      </c>
      <c r="AH2753">
        <v>0</v>
      </c>
      <c r="AI2753">
        <v>0</v>
      </c>
      <c r="AJ2753">
        <v>0</v>
      </c>
      <c r="AK2753">
        <v>0</v>
      </c>
    </row>
    <row r="2754" spans="1:37" x14ac:dyDescent="0.3">
      <c r="A2754">
        <v>7134</v>
      </c>
      <c r="B2754" t="s">
        <v>28</v>
      </c>
      <c r="C2754">
        <v>11</v>
      </c>
      <c r="D2754" t="s">
        <v>3340</v>
      </c>
      <c r="E2754">
        <v>99999999</v>
      </c>
      <c r="F2754">
        <v>11111111</v>
      </c>
      <c r="G2754">
        <v>1111111111</v>
      </c>
      <c r="H2754" t="s">
        <v>6323</v>
      </c>
      <c r="I2754">
        <v>99999999</v>
      </c>
      <c r="J2754" s="188">
        <v>45238</v>
      </c>
      <c r="K2754" t="s">
        <v>6323</v>
      </c>
      <c r="L2754" t="s">
        <v>6323</v>
      </c>
      <c r="M2754" t="s">
        <v>3363</v>
      </c>
      <c r="N2754" t="s">
        <v>186</v>
      </c>
      <c r="O2754">
        <v>452331421</v>
      </c>
      <c r="P2754" t="s">
        <v>221</v>
      </c>
      <c r="Q2754" t="s">
        <v>82</v>
      </c>
      <c r="R2754">
        <v>1</v>
      </c>
      <c r="S2754">
        <v>2.74</v>
      </c>
      <c r="T2754">
        <v>0</v>
      </c>
      <c r="U2754">
        <v>1</v>
      </c>
      <c r="V2754">
        <v>1</v>
      </c>
      <c r="W2754">
        <v>59.26</v>
      </c>
      <c r="X2754">
        <v>0</v>
      </c>
      <c r="Y2754">
        <v>0</v>
      </c>
      <c r="Z2754">
        <v>0</v>
      </c>
      <c r="AA2754">
        <v>0</v>
      </c>
      <c r="AB2754">
        <v>1</v>
      </c>
      <c r="AC2754">
        <v>0</v>
      </c>
      <c r="AD2754">
        <v>0</v>
      </c>
      <c r="AE2754">
        <v>0</v>
      </c>
      <c r="AF2754">
        <v>0</v>
      </c>
      <c r="AG2754">
        <v>0</v>
      </c>
      <c r="AH2754">
        <v>0</v>
      </c>
      <c r="AI2754">
        <v>0</v>
      </c>
      <c r="AJ2754">
        <v>0</v>
      </c>
      <c r="AK2754">
        <v>0</v>
      </c>
    </row>
    <row r="2755" spans="1:37" x14ac:dyDescent="0.3">
      <c r="A2755">
        <v>7134</v>
      </c>
      <c r="B2755" t="s">
        <v>28</v>
      </c>
      <c r="C2755">
        <v>11</v>
      </c>
      <c r="D2755" t="s">
        <v>3340</v>
      </c>
      <c r="E2755">
        <v>99999999</v>
      </c>
      <c r="F2755">
        <v>11111111</v>
      </c>
      <c r="G2755">
        <v>1111111111</v>
      </c>
      <c r="H2755" t="s">
        <v>6324</v>
      </c>
      <c r="I2755">
        <v>99999999</v>
      </c>
      <c r="J2755" s="188">
        <v>45238</v>
      </c>
      <c r="K2755" t="s">
        <v>6324</v>
      </c>
      <c r="L2755" t="s">
        <v>6324</v>
      </c>
      <c r="M2755" t="s">
        <v>3364</v>
      </c>
      <c r="N2755" t="s">
        <v>125</v>
      </c>
      <c r="O2755">
        <v>48324</v>
      </c>
      <c r="P2755" t="s">
        <v>221</v>
      </c>
      <c r="Q2755" t="s">
        <v>82</v>
      </c>
      <c r="R2755">
        <v>1</v>
      </c>
      <c r="S2755">
        <v>2.74</v>
      </c>
      <c r="T2755">
        <v>0</v>
      </c>
      <c r="U2755">
        <v>1</v>
      </c>
      <c r="V2755">
        <v>1</v>
      </c>
      <c r="W2755">
        <v>59.26</v>
      </c>
      <c r="X2755">
        <v>0</v>
      </c>
      <c r="Y2755">
        <v>0</v>
      </c>
      <c r="Z2755">
        <v>0</v>
      </c>
      <c r="AA2755">
        <v>0</v>
      </c>
      <c r="AB2755">
        <v>1</v>
      </c>
      <c r="AC2755">
        <v>0</v>
      </c>
      <c r="AD2755">
        <v>0</v>
      </c>
      <c r="AE2755">
        <v>0</v>
      </c>
      <c r="AF2755">
        <v>0</v>
      </c>
      <c r="AG2755">
        <v>0</v>
      </c>
      <c r="AH2755">
        <v>0</v>
      </c>
      <c r="AI2755">
        <v>0</v>
      </c>
      <c r="AJ2755">
        <v>0</v>
      </c>
      <c r="AK2755">
        <v>0</v>
      </c>
    </row>
    <row r="2756" spans="1:37" x14ac:dyDescent="0.3">
      <c r="A2756">
        <v>7134</v>
      </c>
      <c r="B2756" t="s">
        <v>28</v>
      </c>
      <c r="C2756">
        <v>11</v>
      </c>
      <c r="D2756" t="s">
        <v>3340</v>
      </c>
      <c r="E2756">
        <v>99999999</v>
      </c>
      <c r="F2756">
        <v>11111111</v>
      </c>
      <c r="G2756">
        <v>1111111111</v>
      </c>
      <c r="H2756" t="s">
        <v>6325</v>
      </c>
      <c r="I2756">
        <v>99999999</v>
      </c>
      <c r="J2756" s="188">
        <v>45238</v>
      </c>
      <c r="K2756" t="s">
        <v>6325</v>
      </c>
      <c r="L2756" t="s">
        <v>6325</v>
      </c>
      <c r="M2756" t="s">
        <v>209</v>
      </c>
      <c r="N2756" t="s">
        <v>99</v>
      </c>
      <c r="O2756">
        <v>94805</v>
      </c>
      <c r="P2756" t="s">
        <v>221</v>
      </c>
      <c r="Q2756" t="s">
        <v>82</v>
      </c>
      <c r="R2756">
        <v>1</v>
      </c>
      <c r="S2756">
        <v>2.74</v>
      </c>
      <c r="T2756">
        <v>0</v>
      </c>
      <c r="U2756">
        <v>1</v>
      </c>
      <c r="V2756">
        <v>1</v>
      </c>
      <c r="W2756">
        <v>28.94</v>
      </c>
      <c r="X2756">
        <v>0</v>
      </c>
      <c r="Y2756">
        <v>0</v>
      </c>
      <c r="Z2756">
        <v>0</v>
      </c>
      <c r="AA2756">
        <v>0</v>
      </c>
      <c r="AB2756">
        <v>1</v>
      </c>
      <c r="AC2756">
        <v>0</v>
      </c>
      <c r="AD2756">
        <v>0</v>
      </c>
      <c r="AE2756">
        <v>0</v>
      </c>
      <c r="AF2756">
        <v>0</v>
      </c>
      <c r="AG2756">
        <v>0</v>
      </c>
      <c r="AH2756">
        <v>0</v>
      </c>
      <c r="AI2756">
        <v>0</v>
      </c>
      <c r="AJ2756">
        <v>0</v>
      </c>
      <c r="AK2756">
        <v>0</v>
      </c>
    </row>
    <row r="2757" spans="1:37" x14ac:dyDescent="0.3">
      <c r="A2757">
        <v>7134</v>
      </c>
      <c r="B2757" t="s">
        <v>28</v>
      </c>
      <c r="C2757">
        <v>11</v>
      </c>
      <c r="D2757" t="s">
        <v>3340</v>
      </c>
      <c r="E2757">
        <v>99999999</v>
      </c>
      <c r="F2757">
        <v>11111111</v>
      </c>
      <c r="G2757">
        <v>1111111111</v>
      </c>
      <c r="H2757" t="s">
        <v>6326</v>
      </c>
      <c r="I2757">
        <v>99999999</v>
      </c>
      <c r="J2757" s="188">
        <v>45238</v>
      </c>
      <c r="K2757" t="s">
        <v>6326</v>
      </c>
      <c r="L2757" t="s">
        <v>6326</v>
      </c>
      <c r="M2757" t="s">
        <v>3353</v>
      </c>
      <c r="N2757" t="s">
        <v>233</v>
      </c>
      <c r="O2757">
        <v>112356005</v>
      </c>
      <c r="P2757" t="s">
        <v>221</v>
      </c>
      <c r="Q2757" t="s">
        <v>82</v>
      </c>
      <c r="R2757">
        <v>1</v>
      </c>
      <c r="S2757">
        <v>2.74</v>
      </c>
      <c r="T2757">
        <v>0</v>
      </c>
      <c r="U2757">
        <v>1</v>
      </c>
      <c r="V2757">
        <v>1</v>
      </c>
      <c r="W2757">
        <v>59.26</v>
      </c>
      <c r="X2757">
        <v>0</v>
      </c>
      <c r="Y2757">
        <v>0</v>
      </c>
      <c r="Z2757">
        <v>0</v>
      </c>
      <c r="AA2757">
        <v>0</v>
      </c>
      <c r="AB2757">
        <v>1</v>
      </c>
      <c r="AC2757">
        <v>0</v>
      </c>
      <c r="AD2757">
        <v>0</v>
      </c>
      <c r="AE2757">
        <v>0</v>
      </c>
      <c r="AF2757">
        <v>0</v>
      </c>
      <c r="AG2757">
        <v>0</v>
      </c>
      <c r="AH2757">
        <v>0</v>
      </c>
      <c r="AI2757">
        <v>0</v>
      </c>
      <c r="AJ2757">
        <v>0</v>
      </c>
      <c r="AK2757">
        <v>0</v>
      </c>
    </row>
    <row r="2758" spans="1:37" x14ac:dyDescent="0.3">
      <c r="A2758">
        <v>7134</v>
      </c>
      <c r="B2758" t="s">
        <v>28</v>
      </c>
      <c r="C2758">
        <v>11</v>
      </c>
      <c r="D2758" t="s">
        <v>3340</v>
      </c>
      <c r="E2758">
        <v>99999999</v>
      </c>
      <c r="F2758">
        <v>11111111</v>
      </c>
      <c r="G2758">
        <v>1111111111</v>
      </c>
      <c r="H2758" t="s">
        <v>6327</v>
      </c>
      <c r="I2758">
        <v>99999999</v>
      </c>
      <c r="J2758" s="188">
        <v>45238</v>
      </c>
      <c r="K2758" t="s">
        <v>6327</v>
      </c>
      <c r="L2758" t="s">
        <v>6327</v>
      </c>
      <c r="M2758" t="s">
        <v>3365</v>
      </c>
      <c r="N2758" t="s">
        <v>233</v>
      </c>
      <c r="O2758">
        <v>10036</v>
      </c>
      <c r="P2758" t="s">
        <v>221</v>
      </c>
      <c r="Q2758" t="s">
        <v>82</v>
      </c>
      <c r="R2758">
        <v>1</v>
      </c>
      <c r="S2758">
        <v>2.74</v>
      </c>
      <c r="T2758">
        <v>0</v>
      </c>
      <c r="U2758">
        <v>1</v>
      </c>
      <c r="V2758">
        <v>1</v>
      </c>
      <c r="W2758">
        <v>59.26</v>
      </c>
      <c r="X2758">
        <v>0</v>
      </c>
      <c r="Y2758">
        <v>0</v>
      </c>
      <c r="Z2758">
        <v>0</v>
      </c>
      <c r="AA2758">
        <v>0</v>
      </c>
      <c r="AB2758">
        <v>1</v>
      </c>
      <c r="AC2758">
        <v>0</v>
      </c>
      <c r="AD2758">
        <v>0</v>
      </c>
      <c r="AE2758">
        <v>0</v>
      </c>
      <c r="AF2758">
        <v>0</v>
      </c>
      <c r="AG2758">
        <v>0</v>
      </c>
      <c r="AH2758">
        <v>0</v>
      </c>
      <c r="AI2758">
        <v>0</v>
      </c>
      <c r="AJ2758">
        <v>0</v>
      </c>
      <c r="AK2758">
        <v>0</v>
      </c>
    </row>
    <row r="2759" spans="1:37" x14ac:dyDescent="0.3">
      <c r="A2759">
        <v>7134</v>
      </c>
      <c r="B2759" t="s">
        <v>28</v>
      </c>
      <c r="C2759">
        <v>11</v>
      </c>
      <c r="D2759" t="s">
        <v>3340</v>
      </c>
      <c r="E2759">
        <v>99999999</v>
      </c>
      <c r="F2759">
        <v>11111111</v>
      </c>
      <c r="G2759">
        <v>1111111111</v>
      </c>
      <c r="H2759" t="s">
        <v>6328</v>
      </c>
      <c r="I2759">
        <v>99999999</v>
      </c>
      <c r="J2759" s="188">
        <v>45238</v>
      </c>
      <c r="K2759" t="s">
        <v>6328</v>
      </c>
      <c r="L2759" t="s">
        <v>6328</v>
      </c>
      <c r="M2759" t="s">
        <v>3366</v>
      </c>
      <c r="N2759" t="s">
        <v>125</v>
      </c>
      <c r="O2759">
        <v>488231518</v>
      </c>
      <c r="P2759" t="s">
        <v>221</v>
      </c>
      <c r="Q2759" t="s">
        <v>82</v>
      </c>
      <c r="R2759">
        <v>1</v>
      </c>
      <c r="S2759">
        <v>2.74</v>
      </c>
      <c r="T2759">
        <v>0</v>
      </c>
      <c r="U2759">
        <v>1</v>
      </c>
      <c r="V2759">
        <v>1</v>
      </c>
      <c r="W2759">
        <v>59.26</v>
      </c>
      <c r="X2759">
        <v>0</v>
      </c>
      <c r="Y2759">
        <v>0</v>
      </c>
      <c r="Z2759">
        <v>0</v>
      </c>
      <c r="AA2759">
        <v>0</v>
      </c>
      <c r="AB2759">
        <v>1</v>
      </c>
      <c r="AC2759">
        <v>0</v>
      </c>
      <c r="AD2759">
        <v>0</v>
      </c>
      <c r="AE2759">
        <v>0</v>
      </c>
      <c r="AF2759">
        <v>0</v>
      </c>
      <c r="AG2759">
        <v>0</v>
      </c>
      <c r="AH2759">
        <v>0</v>
      </c>
      <c r="AI2759">
        <v>0</v>
      </c>
      <c r="AJ2759">
        <v>0</v>
      </c>
      <c r="AK2759">
        <v>0</v>
      </c>
    </row>
    <row r="2760" spans="1:37" x14ac:dyDescent="0.3">
      <c r="A2760">
        <v>7134</v>
      </c>
      <c r="B2760" t="s">
        <v>28</v>
      </c>
      <c r="C2760">
        <v>11</v>
      </c>
      <c r="D2760" t="s">
        <v>3340</v>
      </c>
      <c r="E2760">
        <v>99999999</v>
      </c>
      <c r="F2760">
        <v>11111111</v>
      </c>
      <c r="G2760">
        <v>1111111111</v>
      </c>
      <c r="H2760" t="s">
        <v>6329</v>
      </c>
      <c r="I2760">
        <v>99999999</v>
      </c>
      <c r="J2760" s="188">
        <v>45238</v>
      </c>
      <c r="K2760" t="s">
        <v>6329</v>
      </c>
      <c r="L2760" t="s">
        <v>6329</v>
      </c>
      <c r="M2760" t="s">
        <v>514</v>
      </c>
      <c r="N2760" t="s">
        <v>99</v>
      </c>
      <c r="O2760">
        <v>95616</v>
      </c>
      <c r="P2760" t="s">
        <v>221</v>
      </c>
      <c r="Q2760" t="s">
        <v>82</v>
      </c>
      <c r="R2760">
        <v>1</v>
      </c>
      <c r="S2760">
        <v>2.74</v>
      </c>
      <c r="T2760">
        <v>0</v>
      </c>
      <c r="U2760">
        <v>1</v>
      </c>
      <c r="V2760">
        <v>1</v>
      </c>
      <c r="W2760">
        <v>26.21</v>
      </c>
      <c r="X2760">
        <v>0</v>
      </c>
      <c r="Y2760">
        <v>0</v>
      </c>
      <c r="Z2760">
        <v>0</v>
      </c>
      <c r="AA2760">
        <v>0</v>
      </c>
      <c r="AB2760">
        <v>1</v>
      </c>
      <c r="AC2760">
        <v>0</v>
      </c>
      <c r="AD2760">
        <v>0</v>
      </c>
      <c r="AE2760">
        <v>0</v>
      </c>
      <c r="AF2760">
        <v>0</v>
      </c>
      <c r="AG2760">
        <v>0</v>
      </c>
      <c r="AH2760">
        <v>0</v>
      </c>
      <c r="AI2760">
        <v>0</v>
      </c>
      <c r="AJ2760">
        <v>0</v>
      </c>
      <c r="AK2760">
        <v>0</v>
      </c>
    </row>
    <row r="2761" spans="1:37" x14ac:dyDescent="0.3">
      <c r="A2761">
        <v>7134</v>
      </c>
      <c r="B2761" t="s">
        <v>28</v>
      </c>
      <c r="C2761">
        <v>11</v>
      </c>
      <c r="D2761" t="s">
        <v>3340</v>
      </c>
      <c r="E2761">
        <v>99999999</v>
      </c>
      <c r="F2761">
        <v>11111111</v>
      </c>
      <c r="G2761">
        <v>1111111111</v>
      </c>
      <c r="H2761" t="s">
        <v>6330</v>
      </c>
      <c r="I2761">
        <v>99999999</v>
      </c>
      <c r="J2761" s="188">
        <v>45238</v>
      </c>
      <c r="K2761" t="s">
        <v>6330</v>
      </c>
      <c r="L2761" t="s">
        <v>6330</v>
      </c>
      <c r="M2761" t="s">
        <v>3367</v>
      </c>
      <c r="N2761" t="s">
        <v>233</v>
      </c>
      <c r="O2761">
        <v>108014306</v>
      </c>
      <c r="P2761" t="s">
        <v>221</v>
      </c>
      <c r="Q2761" t="s">
        <v>82</v>
      </c>
      <c r="R2761">
        <v>1</v>
      </c>
      <c r="S2761">
        <v>2.74</v>
      </c>
      <c r="T2761">
        <v>0</v>
      </c>
      <c r="U2761">
        <v>1</v>
      </c>
      <c r="V2761">
        <v>1</v>
      </c>
      <c r="W2761">
        <v>59.26</v>
      </c>
      <c r="X2761">
        <v>0</v>
      </c>
      <c r="Y2761">
        <v>0</v>
      </c>
      <c r="Z2761">
        <v>0</v>
      </c>
      <c r="AA2761">
        <v>0</v>
      </c>
      <c r="AB2761">
        <v>1</v>
      </c>
      <c r="AC2761">
        <v>0</v>
      </c>
      <c r="AD2761">
        <v>0</v>
      </c>
      <c r="AE2761">
        <v>0</v>
      </c>
      <c r="AF2761">
        <v>0</v>
      </c>
      <c r="AG2761">
        <v>0</v>
      </c>
      <c r="AH2761">
        <v>0</v>
      </c>
      <c r="AI2761">
        <v>0</v>
      </c>
      <c r="AJ2761">
        <v>0</v>
      </c>
      <c r="AK2761">
        <v>0</v>
      </c>
    </row>
    <row r="2762" spans="1:37" x14ac:dyDescent="0.3">
      <c r="A2762">
        <v>6178</v>
      </c>
      <c r="B2762" t="s">
        <v>3368</v>
      </c>
      <c r="D2762" t="s">
        <v>3369</v>
      </c>
      <c r="E2762">
        <v>99999999</v>
      </c>
      <c r="F2762">
        <v>11111111</v>
      </c>
      <c r="G2762">
        <v>1111111111</v>
      </c>
      <c r="H2762" t="s">
        <v>6331</v>
      </c>
      <c r="I2762">
        <v>99999999</v>
      </c>
      <c r="J2762" s="188">
        <v>45236</v>
      </c>
      <c r="K2762" t="s">
        <v>6331</v>
      </c>
      <c r="L2762" t="s">
        <v>6331</v>
      </c>
      <c r="M2762" t="s">
        <v>87</v>
      </c>
      <c r="N2762" t="s">
        <v>88</v>
      </c>
      <c r="O2762" t="s">
        <v>3370</v>
      </c>
      <c r="P2762" t="s">
        <v>221</v>
      </c>
      <c r="Q2762" t="s">
        <v>82</v>
      </c>
      <c r="R2762">
        <v>4</v>
      </c>
      <c r="S2762">
        <v>74.66</v>
      </c>
      <c r="T2762">
        <v>0</v>
      </c>
      <c r="U2762">
        <v>4</v>
      </c>
      <c r="V2762">
        <v>4</v>
      </c>
      <c r="W2762">
        <v>101.56</v>
      </c>
      <c r="X2762">
        <v>0</v>
      </c>
      <c r="Y2762">
        <v>0</v>
      </c>
      <c r="Z2762">
        <v>0</v>
      </c>
      <c r="AA2762">
        <v>3</v>
      </c>
      <c r="AB2762">
        <v>0</v>
      </c>
      <c r="AC2762">
        <v>0</v>
      </c>
      <c r="AD2762">
        <v>1</v>
      </c>
      <c r="AE2762">
        <v>0</v>
      </c>
      <c r="AF2762">
        <v>0</v>
      </c>
      <c r="AG2762">
        <v>0</v>
      </c>
      <c r="AH2762">
        <v>0</v>
      </c>
      <c r="AI2762">
        <v>0</v>
      </c>
      <c r="AJ2762">
        <v>0</v>
      </c>
      <c r="AK2762">
        <v>0</v>
      </c>
    </row>
    <row r="2763" spans="1:37" x14ac:dyDescent="0.3">
      <c r="A2763">
        <v>6178</v>
      </c>
      <c r="B2763" t="s">
        <v>3368</v>
      </c>
      <c r="D2763" t="s">
        <v>3369</v>
      </c>
      <c r="E2763">
        <v>99999999</v>
      </c>
      <c r="F2763">
        <v>11111111</v>
      </c>
      <c r="G2763">
        <v>1111111111</v>
      </c>
      <c r="H2763" t="s">
        <v>6332</v>
      </c>
      <c r="I2763">
        <v>99999999</v>
      </c>
      <c r="J2763" s="188">
        <v>45236</v>
      </c>
      <c r="K2763" t="s">
        <v>6332</v>
      </c>
      <c r="L2763" t="s">
        <v>6332</v>
      </c>
      <c r="M2763" t="s">
        <v>115</v>
      </c>
      <c r="N2763" t="s">
        <v>99</v>
      </c>
      <c r="O2763" t="s">
        <v>3371</v>
      </c>
      <c r="P2763" t="s">
        <v>221</v>
      </c>
      <c r="Q2763" t="s">
        <v>82</v>
      </c>
      <c r="R2763">
        <v>1</v>
      </c>
      <c r="S2763">
        <v>19.899999999999999</v>
      </c>
      <c r="T2763">
        <v>0</v>
      </c>
      <c r="U2763">
        <v>1</v>
      </c>
      <c r="V2763">
        <v>1</v>
      </c>
      <c r="W2763">
        <v>17.59</v>
      </c>
      <c r="X2763">
        <v>0</v>
      </c>
      <c r="Y2763">
        <v>0</v>
      </c>
      <c r="Z2763">
        <v>0</v>
      </c>
      <c r="AA2763">
        <v>0</v>
      </c>
      <c r="AB2763">
        <v>0</v>
      </c>
      <c r="AC2763">
        <v>0</v>
      </c>
      <c r="AD2763">
        <v>1</v>
      </c>
      <c r="AE2763">
        <v>0</v>
      </c>
      <c r="AF2763">
        <v>0</v>
      </c>
      <c r="AG2763">
        <v>0</v>
      </c>
      <c r="AH2763">
        <v>0</v>
      </c>
      <c r="AI2763">
        <v>0</v>
      </c>
      <c r="AJ2763">
        <v>0</v>
      </c>
      <c r="AK2763">
        <v>0</v>
      </c>
    </row>
    <row r="2764" spans="1:37" x14ac:dyDescent="0.3">
      <c r="A2764">
        <v>6178</v>
      </c>
      <c r="B2764" t="s">
        <v>3368</v>
      </c>
      <c r="D2764" t="s">
        <v>3369</v>
      </c>
      <c r="E2764">
        <v>99999999</v>
      </c>
      <c r="F2764">
        <v>11111111</v>
      </c>
      <c r="G2764">
        <v>1111111111</v>
      </c>
      <c r="H2764" t="s">
        <v>6333</v>
      </c>
      <c r="I2764">
        <v>99999999</v>
      </c>
      <c r="J2764" s="188">
        <v>45236</v>
      </c>
      <c r="K2764" t="s">
        <v>6333</v>
      </c>
      <c r="L2764" t="s">
        <v>6333</v>
      </c>
      <c r="M2764" t="s">
        <v>334</v>
      </c>
      <c r="N2764" t="s">
        <v>97</v>
      </c>
      <c r="O2764" t="s">
        <v>3372</v>
      </c>
      <c r="P2764" t="s">
        <v>221</v>
      </c>
      <c r="Q2764" t="s">
        <v>82</v>
      </c>
      <c r="R2764">
        <v>1</v>
      </c>
      <c r="S2764">
        <v>17.16</v>
      </c>
      <c r="T2764">
        <v>0</v>
      </c>
      <c r="U2764">
        <v>1</v>
      </c>
      <c r="V2764">
        <v>1</v>
      </c>
      <c r="W2764">
        <v>24.75</v>
      </c>
      <c r="X2764">
        <v>0</v>
      </c>
      <c r="Y2764">
        <v>0</v>
      </c>
      <c r="Z2764">
        <v>0</v>
      </c>
      <c r="AA2764">
        <v>1</v>
      </c>
      <c r="AB2764">
        <v>0</v>
      </c>
      <c r="AC2764">
        <v>0</v>
      </c>
      <c r="AD2764">
        <v>0</v>
      </c>
      <c r="AE2764">
        <v>0</v>
      </c>
      <c r="AF2764">
        <v>0</v>
      </c>
      <c r="AG2764">
        <v>0</v>
      </c>
      <c r="AH2764">
        <v>0</v>
      </c>
      <c r="AI2764">
        <v>0</v>
      </c>
      <c r="AJ2764">
        <v>0</v>
      </c>
      <c r="AK2764">
        <v>0</v>
      </c>
    </row>
    <row r="2765" spans="1:37" x14ac:dyDescent="0.3">
      <c r="A2765">
        <v>6178</v>
      </c>
      <c r="B2765" t="s">
        <v>3368</v>
      </c>
      <c r="D2765" t="s">
        <v>3369</v>
      </c>
      <c r="E2765">
        <v>99999999</v>
      </c>
      <c r="F2765">
        <v>11111111</v>
      </c>
      <c r="G2765">
        <v>1111111111</v>
      </c>
      <c r="H2765" t="s">
        <v>6334</v>
      </c>
      <c r="I2765">
        <v>99999999</v>
      </c>
      <c r="J2765" s="188">
        <v>45236</v>
      </c>
      <c r="K2765" t="s">
        <v>6334</v>
      </c>
      <c r="L2765" t="s">
        <v>6334</v>
      </c>
      <c r="M2765" t="s">
        <v>3173</v>
      </c>
      <c r="N2765" t="s">
        <v>135</v>
      </c>
      <c r="O2765" t="s">
        <v>3373</v>
      </c>
      <c r="P2765" t="s">
        <v>221</v>
      </c>
      <c r="Q2765" t="s">
        <v>82</v>
      </c>
      <c r="R2765">
        <v>1</v>
      </c>
      <c r="S2765">
        <v>17.16</v>
      </c>
      <c r="T2765">
        <v>0</v>
      </c>
      <c r="U2765">
        <v>1</v>
      </c>
      <c r="V2765">
        <v>1</v>
      </c>
      <c r="W2765">
        <v>18.63</v>
      </c>
      <c r="X2765">
        <v>0</v>
      </c>
      <c r="Y2765">
        <v>0</v>
      </c>
      <c r="Z2765">
        <v>0</v>
      </c>
      <c r="AA2765">
        <v>1</v>
      </c>
      <c r="AB2765">
        <v>0</v>
      </c>
      <c r="AC2765">
        <v>0</v>
      </c>
      <c r="AD2765">
        <v>0</v>
      </c>
      <c r="AE2765">
        <v>0</v>
      </c>
      <c r="AF2765">
        <v>0</v>
      </c>
      <c r="AG2765">
        <v>0</v>
      </c>
      <c r="AH2765">
        <v>0</v>
      </c>
      <c r="AI2765">
        <v>0</v>
      </c>
      <c r="AJ2765">
        <v>0</v>
      </c>
      <c r="AK2765">
        <v>0</v>
      </c>
    </row>
    <row r="2766" spans="1:37" x14ac:dyDescent="0.3">
      <c r="A2766">
        <v>6178</v>
      </c>
      <c r="B2766" t="s">
        <v>3368</v>
      </c>
      <c r="D2766" t="s">
        <v>3369</v>
      </c>
      <c r="E2766">
        <v>99999999</v>
      </c>
      <c r="F2766">
        <v>11111111</v>
      </c>
      <c r="G2766">
        <v>1111111111</v>
      </c>
      <c r="H2766" t="s">
        <v>6335</v>
      </c>
      <c r="I2766">
        <v>99999999</v>
      </c>
      <c r="J2766" s="188">
        <v>45236</v>
      </c>
      <c r="K2766" t="s">
        <v>6335</v>
      </c>
      <c r="L2766" t="s">
        <v>6335</v>
      </c>
      <c r="M2766" t="s">
        <v>3374</v>
      </c>
      <c r="N2766" t="s">
        <v>197</v>
      </c>
      <c r="O2766" t="s">
        <v>3375</v>
      </c>
      <c r="P2766" t="s">
        <v>221</v>
      </c>
      <c r="Q2766" t="s">
        <v>82</v>
      </c>
      <c r="R2766">
        <v>1</v>
      </c>
      <c r="S2766">
        <v>9.5</v>
      </c>
      <c r="T2766">
        <v>0</v>
      </c>
      <c r="U2766">
        <v>1</v>
      </c>
      <c r="V2766">
        <v>1</v>
      </c>
      <c r="W2766">
        <v>29.22</v>
      </c>
      <c r="X2766">
        <v>0</v>
      </c>
      <c r="Y2766">
        <v>0</v>
      </c>
      <c r="Z2766">
        <v>0</v>
      </c>
      <c r="AA2766">
        <v>0</v>
      </c>
      <c r="AB2766">
        <v>0</v>
      </c>
      <c r="AC2766">
        <v>0</v>
      </c>
      <c r="AD2766">
        <v>1</v>
      </c>
      <c r="AE2766">
        <v>0</v>
      </c>
      <c r="AF2766">
        <v>0</v>
      </c>
      <c r="AG2766">
        <v>0</v>
      </c>
      <c r="AH2766">
        <v>0</v>
      </c>
      <c r="AI2766">
        <v>0</v>
      </c>
      <c r="AJ2766">
        <v>0</v>
      </c>
      <c r="AK2766">
        <v>0</v>
      </c>
    </row>
    <row r="2767" spans="1:37" x14ac:dyDescent="0.3">
      <c r="A2767">
        <v>6178</v>
      </c>
      <c r="B2767" t="s">
        <v>3368</v>
      </c>
      <c r="D2767" t="s">
        <v>3369</v>
      </c>
      <c r="E2767">
        <v>99999999</v>
      </c>
      <c r="F2767">
        <v>11111111</v>
      </c>
      <c r="G2767">
        <v>1111111111</v>
      </c>
      <c r="H2767" t="s">
        <v>6336</v>
      </c>
      <c r="I2767">
        <v>99999999</v>
      </c>
      <c r="J2767" s="188">
        <v>45236</v>
      </c>
      <c r="K2767" t="s">
        <v>6336</v>
      </c>
      <c r="L2767" t="s">
        <v>6336</v>
      </c>
      <c r="M2767" t="s">
        <v>3376</v>
      </c>
      <c r="N2767" t="s">
        <v>307</v>
      </c>
      <c r="O2767" t="s">
        <v>3377</v>
      </c>
      <c r="P2767" t="s">
        <v>221</v>
      </c>
      <c r="Q2767" t="s">
        <v>82</v>
      </c>
      <c r="R2767">
        <v>8</v>
      </c>
      <c r="S2767">
        <v>24.52</v>
      </c>
      <c r="T2767">
        <v>0</v>
      </c>
      <c r="U2767">
        <v>2</v>
      </c>
      <c r="V2767">
        <v>2</v>
      </c>
      <c r="W2767">
        <v>55.71</v>
      </c>
      <c r="X2767">
        <v>0</v>
      </c>
      <c r="Y2767">
        <v>0</v>
      </c>
      <c r="Z2767">
        <v>0</v>
      </c>
      <c r="AA2767">
        <v>2</v>
      </c>
      <c r="AB2767">
        <v>0</v>
      </c>
      <c r="AC2767">
        <v>0</v>
      </c>
      <c r="AD2767">
        <v>0</v>
      </c>
      <c r="AE2767">
        <v>0</v>
      </c>
      <c r="AF2767">
        <v>0</v>
      </c>
      <c r="AG2767">
        <v>0</v>
      </c>
      <c r="AH2767">
        <v>0</v>
      </c>
      <c r="AI2767">
        <v>0</v>
      </c>
      <c r="AJ2767">
        <v>0</v>
      </c>
      <c r="AK2767">
        <v>0</v>
      </c>
    </row>
    <row r="2768" spans="1:37" x14ac:dyDescent="0.3">
      <c r="A2768">
        <v>6178</v>
      </c>
      <c r="B2768" t="s">
        <v>3368</v>
      </c>
      <c r="D2768" t="s">
        <v>3369</v>
      </c>
      <c r="E2768">
        <v>99999999</v>
      </c>
      <c r="F2768">
        <v>11111111</v>
      </c>
      <c r="G2768">
        <v>1111111111</v>
      </c>
      <c r="H2768" t="s">
        <v>6337</v>
      </c>
      <c r="I2768">
        <v>99999999</v>
      </c>
      <c r="J2768" s="188">
        <v>45236</v>
      </c>
      <c r="K2768" t="s">
        <v>6337</v>
      </c>
      <c r="L2768" t="s">
        <v>6337</v>
      </c>
      <c r="M2768" t="s">
        <v>3378</v>
      </c>
      <c r="N2768" t="s">
        <v>118</v>
      </c>
      <c r="O2768" t="s">
        <v>3379</v>
      </c>
      <c r="P2768" t="s">
        <v>221</v>
      </c>
      <c r="Q2768" t="s">
        <v>82</v>
      </c>
      <c r="R2768">
        <v>1</v>
      </c>
      <c r="S2768">
        <v>9.5</v>
      </c>
      <c r="T2768">
        <v>0</v>
      </c>
      <c r="U2768">
        <v>1</v>
      </c>
      <c r="V2768">
        <v>1</v>
      </c>
      <c r="W2768">
        <v>28.18</v>
      </c>
      <c r="X2768">
        <v>0</v>
      </c>
      <c r="Y2768">
        <v>0</v>
      </c>
      <c r="Z2768">
        <v>0</v>
      </c>
      <c r="AA2768">
        <v>0</v>
      </c>
      <c r="AB2768">
        <v>0</v>
      </c>
      <c r="AC2768">
        <v>0</v>
      </c>
      <c r="AD2768">
        <v>1</v>
      </c>
      <c r="AE2768">
        <v>0</v>
      </c>
      <c r="AF2768">
        <v>0</v>
      </c>
      <c r="AG2768">
        <v>0</v>
      </c>
      <c r="AH2768">
        <v>0</v>
      </c>
      <c r="AI2768">
        <v>0</v>
      </c>
      <c r="AJ2768">
        <v>0</v>
      </c>
      <c r="AK2768">
        <v>0</v>
      </c>
    </row>
    <row r="2769" spans="1:37" x14ac:dyDescent="0.3">
      <c r="A2769">
        <v>6178</v>
      </c>
      <c r="B2769" t="s">
        <v>3368</v>
      </c>
      <c r="D2769" t="s">
        <v>251</v>
      </c>
      <c r="E2769">
        <v>99999999</v>
      </c>
      <c r="F2769">
        <v>11111111</v>
      </c>
      <c r="G2769">
        <v>1111111111</v>
      </c>
      <c r="H2769" t="s">
        <v>6338</v>
      </c>
      <c r="I2769">
        <v>99999999</v>
      </c>
      <c r="J2769" s="188">
        <v>45236</v>
      </c>
      <c r="K2769" t="s">
        <v>6338</v>
      </c>
      <c r="L2769" t="s">
        <v>6338</v>
      </c>
      <c r="M2769" t="s">
        <v>3380</v>
      </c>
      <c r="N2769" t="s">
        <v>125</v>
      </c>
      <c r="O2769">
        <v>48854</v>
      </c>
      <c r="P2769" t="s">
        <v>221</v>
      </c>
      <c r="Q2769" t="s">
        <v>124</v>
      </c>
      <c r="R2769">
        <v>1</v>
      </c>
      <c r="S2769">
        <v>26.79</v>
      </c>
      <c r="T2769">
        <v>0</v>
      </c>
      <c r="U2769">
        <v>1</v>
      </c>
      <c r="V2769">
        <v>1</v>
      </c>
      <c r="W2769">
        <v>0</v>
      </c>
      <c r="X2769">
        <v>0</v>
      </c>
      <c r="Y2769">
        <v>0</v>
      </c>
      <c r="Z2769">
        <v>0</v>
      </c>
      <c r="AA2769">
        <v>1</v>
      </c>
      <c r="AB2769">
        <v>0</v>
      </c>
      <c r="AC2769">
        <v>0</v>
      </c>
      <c r="AD2769">
        <v>0</v>
      </c>
      <c r="AE2769">
        <v>0</v>
      </c>
      <c r="AF2769">
        <v>0</v>
      </c>
      <c r="AG2769">
        <v>0</v>
      </c>
      <c r="AH2769">
        <v>0</v>
      </c>
      <c r="AI2769">
        <v>0</v>
      </c>
      <c r="AJ2769">
        <v>0</v>
      </c>
      <c r="AK2769">
        <v>0</v>
      </c>
    </row>
    <row r="2770" spans="1:37" x14ac:dyDescent="0.3">
      <c r="A2770">
        <v>6178</v>
      </c>
      <c r="B2770" t="s">
        <v>3368</v>
      </c>
      <c r="D2770" t="s">
        <v>251</v>
      </c>
      <c r="E2770">
        <v>99999999</v>
      </c>
      <c r="F2770">
        <v>11111111</v>
      </c>
      <c r="G2770">
        <v>1111111111</v>
      </c>
      <c r="H2770" t="s">
        <v>6339</v>
      </c>
      <c r="I2770">
        <v>99999999</v>
      </c>
      <c r="J2770" s="188">
        <v>45236</v>
      </c>
      <c r="K2770" t="s">
        <v>6339</v>
      </c>
      <c r="L2770" t="s">
        <v>6339</v>
      </c>
      <c r="M2770" t="s">
        <v>3381</v>
      </c>
      <c r="N2770" t="s">
        <v>141</v>
      </c>
      <c r="O2770" t="s">
        <v>3382</v>
      </c>
      <c r="P2770" t="s">
        <v>221</v>
      </c>
      <c r="Q2770" t="s">
        <v>82</v>
      </c>
      <c r="R2770">
        <v>1</v>
      </c>
      <c r="S2770">
        <v>2.2799999999999998</v>
      </c>
      <c r="T2770">
        <v>0</v>
      </c>
      <c r="U2770">
        <v>1</v>
      </c>
      <c r="V2770">
        <v>1</v>
      </c>
      <c r="W2770">
        <v>8.6300000000000008</v>
      </c>
      <c r="X2770">
        <v>0</v>
      </c>
      <c r="Y2770">
        <v>0</v>
      </c>
      <c r="Z2770">
        <v>0</v>
      </c>
      <c r="AA2770">
        <v>0</v>
      </c>
      <c r="AB2770">
        <v>0</v>
      </c>
      <c r="AC2770">
        <v>0</v>
      </c>
      <c r="AD2770">
        <v>1</v>
      </c>
      <c r="AE2770">
        <v>0</v>
      </c>
      <c r="AF2770">
        <v>0</v>
      </c>
      <c r="AG2770">
        <v>0</v>
      </c>
      <c r="AH2770">
        <v>0</v>
      </c>
      <c r="AI2770">
        <v>0</v>
      </c>
      <c r="AJ2770">
        <v>0</v>
      </c>
      <c r="AK2770">
        <v>0</v>
      </c>
    </row>
    <row r="2771" spans="1:37" x14ac:dyDescent="0.3">
      <c r="A2771">
        <v>6178</v>
      </c>
      <c r="B2771" t="s">
        <v>3368</v>
      </c>
      <c r="D2771" t="s">
        <v>251</v>
      </c>
      <c r="E2771">
        <v>99999999</v>
      </c>
      <c r="F2771">
        <v>11111111</v>
      </c>
      <c r="G2771">
        <v>1111111111</v>
      </c>
      <c r="H2771" t="s">
        <v>6340</v>
      </c>
      <c r="I2771">
        <v>99999999</v>
      </c>
      <c r="J2771" s="188">
        <v>45236</v>
      </c>
      <c r="K2771" t="s">
        <v>6340</v>
      </c>
      <c r="L2771" t="s">
        <v>6340</v>
      </c>
      <c r="M2771" t="s">
        <v>3383</v>
      </c>
      <c r="N2771" t="s">
        <v>980</v>
      </c>
      <c r="O2771" t="s">
        <v>3384</v>
      </c>
      <c r="P2771" t="s">
        <v>221</v>
      </c>
      <c r="Q2771" t="s">
        <v>82</v>
      </c>
      <c r="R2771">
        <v>1</v>
      </c>
      <c r="S2771">
        <v>2.2799999999999998</v>
      </c>
      <c r="T2771">
        <v>0</v>
      </c>
      <c r="U2771">
        <v>1</v>
      </c>
      <c r="V2771">
        <v>1</v>
      </c>
      <c r="W2771">
        <v>13.83</v>
      </c>
      <c r="X2771">
        <v>0</v>
      </c>
      <c r="Y2771">
        <v>0</v>
      </c>
      <c r="Z2771">
        <v>0</v>
      </c>
      <c r="AA2771">
        <v>0</v>
      </c>
      <c r="AB2771">
        <v>0</v>
      </c>
      <c r="AC2771">
        <v>0</v>
      </c>
      <c r="AD2771">
        <v>1</v>
      </c>
      <c r="AE2771">
        <v>0</v>
      </c>
      <c r="AF2771">
        <v>0</v>
      </c>
      <c r="AG2771">
        <v>0</v>
      </c>
      <c r="AH2771">
        <v>0</v>
      </c>
      <c r="AI2771">
        <v>0</v>
      </c>
      <c r="AJ2771">
        <v>0</v>
      </c>
      <c r="AK2771">
        <v>0</v>
      </c>
    </row>
    <row r="2772" spans="1:37" x14ac:dyDescent="0.3">
      <c r="A2772">
        <v>6178</v>
      </c>
      <c r="B2772" t="s">
        <v>3368</v>
      </c>
      <c r="D2772" t="s">
        <v>251</v>
      </c>
      <c r="E2772">
        <v>99999999</v>
      </c>
      <c r="F2772">
        <v>11111111</v>
      </c>
      <c r="G2772">
        <v>1111111111</v>
      </c>
      <c r="H2772" t="s">
        <v>6341</v>
      </c>
      <c r="I2772">
        <v>99999999</v>
      </c>
      <c r="J2772" s="188">
        <v>45236</v>
      </c>
      <c r="K2772" t="s">
        <v>6341</v>
      </c>
      <c r="L2772" t="s">
        <v>6341</v>
      </c>
      <c r="M2772" t="s">
        <v>2688</v>
      </c>
      <c r="N2772" t="s">
        <v>104</v>
      </c>
      <c r="O2772" t="s">
        <v>3385</v>
      </c>
      <c r="P2772" t="s">
        <v>221</v>
      </c>
      <c r="Q2772" t="s">
        <v>82</v>
      </c>
      <c r="R2772">
        <v>1</v>
      </c>
      <c r="S2772">
        <v>2.2799999999999998</v>
      </c>
      <c r="T2772">
        <v>0</v>
      </c>
      <c r="U2772">
        <v>1</v>
      </c>
      <c r="V2772">
        <v>1</v>
      </c>
      <c r="W2772">
        <v>12.15</v>
      </c>
      <c r="X2772">
        <v>0</v>
      </c>
      <c r="Y2772">
        <v>0</v>
      </c>
      <c r="Z2772">
        <v>0</v>
      </c>
      <c r="AA2772">
        <v>0</v>
      </c>
      <c r="AB2772">
        <v>0</v>
      </c>
      <c r="AC2772">
        <v>0</v>
      </c>
      <c r="AD2772">
        <v>1</v>
      </c>
      <c r="AE2772">
        <v>0</v>
      </c>
      <c r="AF2772">
        <v>0</v>
      </c>
      <c r="AG2772">
        <v>0</v>
      </c>
      <c r="AH2772">
        <v>0</v>
      </c>
      <c r="AI2772">
        <v>0</v>
      </c>
      <c r="AJ2772">
        <v>0</v>
      </c>
      <c r="AK2772">
        <v>0</v>
      </c>
    </row>
    <row r="2773" spans="1:37" x14ac:dyDescent="0.3">
      <c r="A2773">
        <v>6178</v>
      </c>
      <c r="B2773" t="s">
        <v>3368</v>
      </c>
      <c r="D2773" t="s">
        <v>251</v>
      </c>
      <c r="E2773">
        <v>99999999</v>
      </c>
      <c r="F2773">
        <v>11111111</v>
      </c>
      <c r="G2773">
        <v>1111111111</v>
      </c>
      <c r="H2773" t="s">
        <v>6342</v>
      </c>
      <c r="I2773">
        <v>99999999</v>
      </c>
      <c r="J2773" s="188">
        <v>45236</v>
      </c>
      <c r="K2773" t="s">
        <v>6342</v>
      </c>
      <c r="L2773" t="s">
        <v>6342</v>
      </c>
      <c r="M2773" t="s">
        <v>418</v>
      </c>
      <c r="N2773" t="s">
        <v>91</v>
      </c>
      <c r="O2773">
        <v>85254</v>
      </c>
      <c r="P2773" t="s">
        <v>221</v>
      </c>
      <c r="Q2773" t="s">
        <v>124</v>
      </c>
      <c r="R2773">
        <v>1</v>
      </c>
      <c r="S2773">
        <v>3.26</v>
      </c>
      <c r="T2773">
        <v>0</v>
      </c>
      <c r="U2773">
        <v>1</v>
      </c>
      <c r="V2773">
        <v>1</v>
      </c>
      <c r="W2773">
        <v>0</v>
      </c>
      <c r="X2773">
        <v>0</v>
      </c>
      <c r="Y2773">
        <v>0</v>
      </c>
      <c r="Z2773">
        <v>0</v>
      </c>
      <c r="AA2773">
        <v>0</v>
      </c>
      <c r="AB2773">
        <v>0</v>
      </c>
      <c r="AC2773">
        <v>0</v>
      </c>
      <c r="AD2773">
        <v>1</v>
      </c>
      <c r="AE2773">
        <v>0</v>
      </c>
      <c r="AF2773">
        <v>0</v>
      </c>
      <c r="AG2773">
        <v>0</v>
      </c>
      <c r="AH2773">
        <v>0</v>
      </c>
      <c r="AI2773">
        <v>0</v>
      </c>
      <c r="AJ2773">
        <v>0</v>
      </c>
      <c r="AK2773">
        <v>0</v>
      </c>
    </row>
    <row r="2774" spans="1:37" x14ac:dyDescent="0.3">
      <c r="A2774">
        <v>6178</v>
      </c>
      <c r="B2774" t="s">
        <v>3368</v>
      </c>
      <c r="D2774" t="s">
        <v>3369</v>
      </c>
      <c r="E2774">
        <v>99999999</v>
      </c>
      <c r="F2774">
        <v>11111111</v>
      </c>
      <c r="G2774">
        <v>1111111111</v>
      </c>
      <c r="H2774" t="s">
        <v>6343</v>
      </c>
      <c r="I2774">
        <v>99999999</v>
      </c>
      <c r="J2774" s="188">
        <v>45236</v>
      </c>
      <c r="K2774" t="s">
        <v>6343</v>
      </c>
      <c r="L2774" t="s">
        <v>6343</v>
      </c>
      <c r="M2774" t="s">
        <v>3386</v>
      </c>
      <c r="N2774" t="s">
        <v>164</v>
      </c>
      <c r="O2774" t="s">
        <v>3387</v>
      </c>
      <c r="P2774" t="s">
        <v>221</v>
      </c>
      <c r="Q2774" t="s">
        <v>82</v>
      </c>
      <c r="R2774">
        <v>1</v>
      </c>
      <c r="S2774">
        <v>9.5</v>
      </c>
      <c r="T2774">
        <v>0</v>
      </c>
      <c r="U2774">
        <v>1</v>
      </c>
      <c r="V2774">
        <v>1</v>
      </c>
      <c r="W2774">
        <v>23.72</v>
      </c>
      <c r="X2774">
        <v>0</v>
      </c>
      <c r="Y2774">
        <v>0</v>
      </c>
      <c r="Z2774">
        <v>0</v>
      </c>
      <c r="AA2774">
        <v>0</v>
      </c>
      <c r="AB2774">
        <v>0</v>
      </c>
      <c r="AC2774">
        <v>0</v>
      </c>
      <c r="AD2774">
        <v>1</v>
      </c>
      <c r="AE2774">
        <v>0</v>
      </c>
      <c r="AF2774">
        <v>0</v>
      </c>
      <c r="AG2774">
        <v>0</v>
      </c>
      <c r="AH2774">
        <v>0</v>
      </c>
      <c r="AI2774">
        <v>0</v>
      </c>
      <c r="AJ2774">
        <v>0</v>
      </c>
      <c r="AK2774">
        <v>0</v>
      </c>
    </row>
    <row r="2775" spans="1:37" x14ac:dyDescent="0.3">
      <c r="A2775">
        <v>6178</v>
      </c>
      <c r="B2775" t="s">
        <v>3368</v>
      </c>
      <c r="D2775" t="s">
        <v>3369</v>
      </c>
      <c r="E2775">
        <v>99999999</v>
      </c>
      <c r="F2775">
        <v>11111111</v>
      </c>
      <c r="G2775">
        <v>1111111111</v>
      </c>
      <c r="H2775" t="s">
        <v>6344</v>
      </c>
      <c r="I2775">
        <v>99999999</v>
      </c>
      <c r="J2775" s="188">
        <v>45237</v>
      </c>
      <c r="K2775" t="s">
        <v>6344</v>
      </c>
      <c r="L2775" t="s">
        <v>6344</v>
      </c>
      <c r="M2775" t="s">
        <v>3388</v>
      </c>
      <c r="N2775" t="s">
        <v>554</v>
      </c>
      <c r="O2775" t="s">
        <v>3389</v>
      </c>
      <c r="P2775" t="s">
        <v>221</v>
      </c>
      <c r="Q2775" t="s">
        <v>82</v>
      </c>
      <c r="R2775">
        <v>1</v>
      </c>
      <c r="S2775">
        <v>9.5</v>
      </c>
      <c r="T2775">
        <v>0</v>
      </c>
      <c r="U2775">
        <v>1</v>
      </c>
      <c r="V2775">
        <v>1</v>
      </c>
      <c r="W2775">
        <v>19.149999999999999</v>
      </c>
      <c r="X2775">
        <v>0</v>
      </c>
      <c r="Y2775">
        <v>0</v>
      </c>
      <c r="Z2775">
        <v>0</v>
      </c>
      <c r="AA2775">
        <v>0</v>
      </c>
      <c r="AB2775">
        <v>0</v>
      </c>
      <c r="AC2775">
        <v>0</v>
      </c>
      <c r="AD2775">
        <v>1</v>
      </c>
      <c r="AE2775">
        <v>0</v>
      </c>
      <c r="AF2775">
        <v>0</v>
      </c>
      <c r="AG2775">
        <v>0</v>
      </c>
      <c r="AH2775">
        <v>0</v>
      </c>
      <c r="AI2775">
        <v>0</v>
      </c>
      <c r="AJ2775">
        <v>0</v>
      </c>
      <c r="AK2775">
        <v>0</v>
      </c>
    </row>
    <row r="2776" spans="1:37" x14ac:dyDescent="0.3">
      <c r="A2776">
        <v>6178</v>
      </c>
      <c r="B2776" t="s">
        <v>3368</v>
      </c>
      <c r="D2776" t="s">
        <v>251</v>
      </c>
      <c r="E2776">
        <v>99999999</v>
      </c>
      <c r="F2776">
        <v>11111111</v>
      </c>
      <c r="G2776">
        <v>1111111111</v>
      </c>
      <c r="H2776" t="s">
        <v>6345</v>
      </c>
      <c r="I2776">
        <v>99999999</v>
      </c>
      <c r="J2776" s="188">
        <v>45237</v>
      </c>
      <c r="K2776" t="s">
        <v>6345</v>
      </c>
      <c r="L2776" t="s">
        <v>6345</v>
      </c>
      <c r="M2776" t="s">
        <v>3390</v>
      </c>
      <c r="N2776" t="s">
        <v>125</v>
      </c>
      <c r="O2776">
        <v>49684</v>
      </c>
      <c r="P2776" t="s">
        <v>221</v>
      </c>
      <c r="Q2776" t="s">
        <v>124</v>
      </c>
      <c r="R2776">
        <v>1</v>
      </c>
      <c r="S2776">
        <v>17.16</v>
      </c>
      <c r="T2776">
        <v>0</v>
      </c>
      <c r="U2776">
        <v>1</v>
      </c>
      <c r="V2776">
        <v>1</v>
      </c>
      <c r="W2776">
        <v>0</v>
      </c>
      <c r="X2776">
        <v>0</v>
      </c>
      <c r="Y2776">
        <v>0</v>
      </c>
      <c r="Z2776">
        <v>0</v>
      </c>
      <c r="AA2776">
        <v>1</v>
      </c>
      <c r="AB2776">
        <v>0</v>
      </c>
      <c r="AC2776">
        <v>0</v>
      </c>
      <c r="AD2776">
        <v>0</v>
      </c>
      <c r="AE2776">
        <v>0</v>
      </c>
      <c r="AF2776">
        <v>0</v>
      </c>
      <c r="AG2776">
        <v>0</v>
      </c>
      <c r="AH2776">
        <v>0</v>
      </c>
      <c r="AI2776">
        <v>0</v>
      </c>
      <c r="AJ2776">
        <v>0</v>
      </c>
      <c r="AK2776">
        <v>0</v>
      </c>
    </row>
    <row r="2777" spans="1:37" x14ac:dyDescent="0.3">
      <c r="A2777">
        <v>6178</v>
      </c>
      <c r="B2777" t="s">
        <v>3368</v>
      </c>
      <c r="D2777" t="s">
        <v>251</v>
      </c>
      <c r="E2777">
        <v>99999999</v>
      </c>
      <c r="F2777">
        <v>11111111</v>
      </c>
      <c r="G2777">
        <v>1111111111</v>
      </c>
      <c r="H2777" t="s">
        <v>6346</v>
      </c>
      <c r="I2777">
        <v>99999999</v>
      </c>
      <c r="J2777" s="188">
        <v>45237</v>
      </c>
      <c r="K2777" t="s">
        <v>6346</v>
      </c>
      <c r="L2777" t="s">
        <v>6346</v>
      </c>
      <c r="M2777" t="s">
        <v>1240</v>
      </c>
      <c r="N2777" t="s">
        <v>99</v>
      </c>
      <c r="O2777">
        <v>93907</v>
      </c>
      <c r="P2777" t="s">
        <v>221</v>
      </c>
      <c r="Q2777" t="s">
        <v>124</v>
      </c>
      <c r="R2777">
        <v>1</v>
      </c>
      <c r="S2777">
        <v>27.2</v>
      </c>
      <c r="T2777">
        <v>0</v>
      </c>
      <c r="U2777">
        <v>1</v>
      </c>
      <c r="V2777">
        <v>1</v>
      </c>
      <c r="W2777">
        <v>0</v>
      </c>
      <c r="X2777">
        <v>0</v>
      </c>
      <c r="Y2777">
        <v>0</v>
      </c>
      <c r="Z2777">
        <v>0</v>
      </c>
      <c r="AA2777">
        <v>1</v>
      </c>
      <c r="AB2777">
        <v>0</v>
      </c>
      <c r="AC2777">
        <v>0</v>
      </c>
      <c r="AD2777">
        <v>0</v>
      </c>
      <c r="AE2777">
        <v>0</v>
      </c>
      <c r="AF2777">
        <v>0</v>
      </c>
      <c r="AG2777">
        <v>0</v>
      </c>
      <c r="AH2777">
        <v>0</v>
      </c>
      <c r="AI2777">
        <v>0</v>
      </c>
      <c r="AJ2777">
        <v>0</v>
      </c>
      <c r="AK2777">
        <v>0</v>
      </c>
    </row>
    <row r="2778" spans="1:37" x14ac:dyDescent="0.3">
      <c r="A2778">
        <v>6178</v>
      </c>
      <c r="B2778" t="s">
        <v>3368</v>
      </c>
      <c r="D2778" t="s">
        <v>3369</v>
      </c>
      <c r="E2778">
        <v>99999999</v>
      </c>
      <c r="F2778">
        <v>11111111</v>
      </c>
      <c r="G2778">
        <v>1111111111</v>
      </c>
      <c r="H2778" t="s">
        <v>6347</v>
      </c>
      <c r="I2778">
        <v>99999999</v>
      </c>
      <c r="J2778" s="188">
        <v>45237</v>
      </c>
      <c r="K2778" t="s">
        <v>6347</v>
      </c>
      <c r="L2778" t="s">
        <v>6347</v>
      </c>
      <c r="M2778" t="s">
        <v>3391</v>
      </c>
      <c r="N2778" t="s">
        <v>522</v>
      </c>
      <c r="O2778" t="s">
        <v>3392</v>
      </c>
      <c r="P2778" t="s">
        <v>221</v>
      </c>
      <c r="Q2778" t="s">
        <v>82</v>
      </c>
      <c r="R2778">
        <v>15</v>
      </c>
      <c r="S2778">
        <v>408</v>
      </c>
      <c r="T2778">
        <v>0</v>
      </c>
      <c r="U2778">
        <v>15</v>
      </c>
      <c r="V2778">
        <v>1</v>
      </c>
      <c r="W2778">
        <v>498.09</v>
      </c>
      <c r="X2778">
        <v>0</v>
      </c>
      <c r="Y2778">
        <v>0</v>
      </c>
      <c r="Z2778">
        <v>0</v>
      </c>
      <c r="AA2778">
        <v>15</v>
      </c>
      <c r="AB2778">
        <v>0</v>
      </c>
      <c r="AC2778">
        <v>0</v>
      </c>
      <c r="AD2778">
        <v>0</v>
      </c>
      <c r="AE2778">
        <v>0</v>
      </c>
      <c r="AF2778">
        <v>0</v>
      </c>
      <c r="AG2778">
        <v>0</v>
      </c>
      <c r="AH2778">
        <v>0</v>
      </c>
      <c r="AI2778">
        <v>0</v>
      </c>
      <c r="AJ2778">
        <v>0</v>
      </c>
      <c r="AK2778">
        <v>0</v>
      </c>
    </row>
    <row r="2779" spans="1:37" x14ac:dyDescent="0.3">
      <c r="A2779">
        <v>6178</v>
      </c>
      <c r="B2779" t="s">
        <v>3368</v>
      </c>
      <c r="D2779" t="s">
        <v>3369</v>
      </c>
      <c r="E2779">
        <v>99999999</v>
      </c>
      <c r="F2779">
        <v>11111111</v>
      </c>
      <c r="G2779">
        <v>1111111111</v>
      </c>
      <c r="H2779" t="s">
        <v>6348</v>
      </c>
      <c r="I2779">
        <v>99999999</v>
      </c>
      <c r="J2779" s="188">
        <v>45237</v>
      </c>
      <c r="K2779" t="s">
        <v>6348</v>
      </c>
      <c r="L2779" t="s">
        <v>6348</v>
      </c>
      <c r="M2779" t="s">
        <v>3393</v>
      </c>
      <c r="N2779" t="s">
        <v>141</v>
      </c>
      <c r="O2779" t="s">
        <v>3394</v>
      </c>
      <c r="P2779" t="s">
        <v>221</v>
      </c>
      <c r="Q2779" t="s">
        <v>82</v>
      </c>
      <c r="R2779">
        <v>1</v>
      </c>
      <c r="S2779">
        <v>17.16</v>
      </c>
      <c r="T2779">
        <v>0</v>
      </c>
      <c r="U2779">
        <v>1</v>
      </c>
      <c r="V2779">
        <v>1</v>
      </c>
      <c r="W2779">
        <v>27.15</v>
      </c>
      <c r="X2779">
        <v>0</v>
      </c>
      <c r="Y2779">
        <v>0</v>
      </c>
      <c r="Z2779">
        <v>0</v>
      </c>
      <c r="AA2779">
        <v>1</v>
      </c>
      <c r="AB2779">
        <v>0</v>
      </c>
      <c r="AC2779">
        <v>0</v>
      </c>
      <c r="AD2779">
        <v>0</v>
      </c>
      <c r="AE2779">
        <v>0</v>
      </c>
      <c r="AF2779">
        <v>0</v>
      </c>
      <c r="AG2779">
        <v>0</v>
      </c>
      <c r="AH2779">
        <v>0</v>
      </c>
      <c r="AI2779">
        <v>0</v>
      </c>
      <c r="AJ2779">
        <v>0</v>
      </c>
      <c r="AK2779">
        <v>0</v>
      </c>
    </row>
    <row r="2780" spans="1:37" x14ac:dyDescent="0.3">
      <c r="A2780">
        <v>6178</v>
      </c>
      <c r="B2780" t="s">
        <v>3368</v>
      </c>
      <c r="D2780" t="s">
        <v>3369</v>
      </c>
      <c r="E2780">
        <v>99999999</v>
      </c>
      <c r="F2780">
        <v>11111111</v>
      </c>
      <c r="G2780">
        <v>1111111111</v>
      </c>
      <c r="H2780" t="s">
        <v>6349</v>
      </c>
      <c r="I2780">
        <v>99999999</v>
      </c>
      <c r="J2780" s="188">
        <v>45238</v>
      </c>
      <c r="K2780" t="s">
        <v>6349</v>
      </c>
      <c r="L2780" t="s">
        <v>6349</v>
      </c>
      <c r="M2780" t="s">
        <v>3395</v>
      </c>
      <c r="N2780" t="s">
        <v>317</v>
      </c>
      <c r="O2780" t="s">
        <v>3396</v>
      </c>
      <c r="P2780" t="s">
        <v>221</v>
      </c>
      <c r="Q2780" t="s">
        <v>82</v>
      </c>
      <c r="R2780">
        <v>1</v>
      </c>
      <c r="S2780">
        <v>9.5</v>
      </c>
      <c r="T2780">
        <v>0</v>
      </c>
      <c r="U2780">
        <v>1</v>
      </c>
      <c r="V2780">
        <v>1</v>
      </c>
      <c r="W2780">
        <v>29.16</v>
      </c>
      <c r="X2780">
        <v>0</v>
      </c>
      <c r="Y2780">
        <v>0</v>
      </c>
      <c r="Z2780">
        <v>0</v>
      </c>
      <c r="AA2780">
        <v>0</v>
      </c>
      <c r="AB2780">
        <v>0</v>
      </c>
      <c r="AC2780">
        <v>0</v>
      </c>
      <c r="AD2780">
        <v>1</v>
      </c>
      <c r="AE2780">
        <v>0</v>
      </c>
      <c r="AF2780">
        <v>0</v>
      </c>
      <c r="AG2780">
        <v>0</v>
      </c>
      <c r="AH2780">
        <v>0</v>
      </c>
      <c r="AI2780">
        <v>0</v>
      </c>
      <c r="AJ2780">
        <v>0</v>
      </c>
      <c r="AK2780">
        <v>0</v>
      </c>
    </row>
    <row r="2781" spans="1:37" x14ac:dyDescent="0.3">
      <c r="A2781">
        <v>6178</v>
      </c>
      <c r="B2781" t="s">
        <v>3368</v>
      </c>
      <c r="D2781" t="s">
        <v>3369</v>
      </c>
      <c r="E2781">
        <v>99999999</v>
      </c>
      <c r="F2781">
        <v>11111111</v>
      </c>
      <c r="G2781">
        <v>1111111111</v>
      </c>
      <c r="H2781" t="s">
        <v>6350</v>
      </c>
      <c r="I2781">
        <v>99999999</v>
      </c>
      <c r="J2781" s="188">
        <v>45238</v>
      </c>
      <c r="K2781" t="s">
        <v>6350</v>
      </c>
      <c r="L2781" t="s">
        <v>6350</v>
      </c>
      <c r="M2781" t="s">
        <v>3397</v>
      </c>
      <c r="N2781" t="s">
        <v>161</v>
      </c>
      <c r="O2781" t="s">
        <v>3398</v>
      </c>
      <c r="P2781" t="s">
        <v>221</v>
      </c>
      <c r="Q2781" t="s">
        <v>82</v>
      </c>
      <c r="R2781">
        <v>1</v>
      </c>
      <c r="S2781">
        <v>27.2</v>
      </c>
      <c r="T2781">
        <v>0</v>
      </c>
      <c r="U2781">
        <v>1</v>
      </c>
      <c r="V2781">
        <v>1</v>
      </c>
      <c r="W2781">
        <v>30.01</v>
      </c>
      <c r="X2781">
        <v>0</v>
      </c>
      <c r="Y2781">
        <v>0</v>
      </c>
      <c r="Z2781">
        <v>0</v>
      </c>
      <c r="AA2781">
        <v>1</v>
      </c>
      <c r="AB2781">
        <v>0</v>
      </c>
      <c r="AC2781">
        <v>0</v>
      </c>
      <c r="AD2781">
        <v>0</v>
      </c>
      <c r="AE2781">
        <v>0</v>
      </c>
      <c r="AF2781">
        <v>0</v>
      </c>
      <c r="AG2781">
        <v>0</v>
      </c>
      <c r="AH2781">
        <v>0</v>
      </c>
      <c r="AI2781">
        <v>0</v>
      </c>
      <c r="AJ2781">
        <v>0</v>
      </c>
      <c r="AK2781">
        <v>0</v>
      </c>
    </row>
    <row r="2782" spans="1:37" x14ac:dyDescent="0.3">
      <c r="A2782">
        <v>6178</v>
      </c>
      <c r="B2782" t="s">
        <v>3368</v>
      </c>
      <c r="D2782" t="s">
        <v>3369</v>
      </c>
      <c r="E2782">
        <v>99999999</v>
      </c>
      <c r="F2782">
        <v>11111111</v>
      </c>
      <c r="G2782">
        <v>1111111111</v>
      </c>
      <c r="H2782" t="s">
        <v>6351</v>
      </c>
      <c r="I2782">
        <v>99999999</v>
      </c>
      <c r="J2782" s="188">
        <v>45238</v>
      </c>
      <c r="K2782" t="s">
        <v>6351</v>
      </c>
      <c r="L2782" t="s">
        <v>6351</v>
      </c>
      <c r="M2782" t="s">
        <v>3399</v>
      </c>
      <c r="N2782" t="s">
        <v>241</v>
      </c>
      <c r="O2782" t="s">
        <v>3400</v>
      </c>
      <c r="P2782" t="s">
        <v>221</v>
      </c>
      <c r="Q2782" t="s">
        <v>82</v>
      </c>
      <c r="R2782">
        <v>1</v>
      </c>
      <c r="S2782">
        <v>9.5</v>
      </c>
      <c r="T2782">
        <v>0</v>
      </c>
      <c r="U2782">
        <v>1</v>
      </c>
      <c r="V2782">
        <v>1</v>
      </c>
      <c r="W2782">
        <v>27.03</v>
      </c>
      <c r="X2782">
        <v>0</v>
      </c>
      <c r="Y2782">
        <v>0</v>
      </c>
      <c r="Z2782">
        <v>0</v>
      </c>
      <c r="AA2782">
        <v>0</v>
      </c>
      <c r="AB2782">
        <v>0</v>
      </c>
      <c r="AC2782">
        <v>0</v>
      </c>
      <c r="AD2782">
        <v>1</v>
      </c>
      <c r="AE2782">
        <v>0</v>
      </c>
      <c r="AF2782">
        <v>0</v>
      </c>
      <c r="AG2782">
        <v>0</v>
      </c>
      <c r="AH2782">
        <v>0</v>
      </c>
      <c r="AI2782">
        <v>0</v>
      </c>
      <c r="AJ2782">
        <v>0</v>
      </c>
      <c r="AK2782">
        <v>0</v>
      </c>
    </row>
    <row r="2783" spans="1:37" x14ac:dyDescent="0.3">
      <c r="A2783">
        <v>6178</v>
      </c>
      <c r="B2783" t="s">
        <v>3368</v>
      </c>
      <c r="D2783" t="s">
        <v>3369</v>
      </c>
      <c r="E2783">
        <v>99999999</v>
      </c>
      <c r="F2783">
        <v>11111111</v>
      </c>
      <c r="G2783">
        <v>1111111111</v>
      </c>
      <c r="H2783" t="s">
        <v>6352</v>
      </c>
      <c r="I2783">
        <v>99999999</v>
      </c>
      <c r="J2783" s="188">
        <v>45238</v>
      </c>
      <c r="K2783" t="s">
        <v>6352</v>
      </c>
      <c r="L2783" t="s">
        <v>6352</v>
      </c>
      <c r="M2783" t="s">
        <v>1757</v>
      </c>
      <c r="N2783" t="s">
        <v>97</v>
      </c>
      <c r="O2783" t="s">
        <v>3401</v>
      </c>
      <c r="P2783" t="s">
        <v>221</v>
      </c>
      <c r="Q2783" t="s">
        <v>82</v>
      </c>
      <c r="R2783">
        <v>1</v>
      </c>
      <c r="S2783">
        <v>26.31</v>
      </c>
      <c r="T2783">
        <v>0</v>
      </c>
      <c r="U2783">
        <v>1</v>
      </c>
      <c r="V2783">
        <v>1</v>
      </c>
      <c r="W2783">
        <v>20.420000000000002</v>
      </c>
      <c r="X2783">
        <v>0</v>
      </c>
      <c r="Y2783">
        <v>0</v>
      </c>
      <c r="Z2783">
        <v>0</v>
      </c>
      <c r="AA2783">
        <v>1</v>
      </c>
      <c r="AB2783">
        <v>0</v>
      </c>
      <c r="AC2783">
        <v>0</v>
      </c>
      <c r="AD2783">
        <v>0</v>
      </c>
      <c r="AE2783">
        <v>0</v>
      </c>
      <c r="AF2783">
        <v>0</v>
      </c>
      <c r="AG2783">
        <v>0</v>
      </c>
      <c r="AH2783">
        <v>0</v>
      </c>
      <c r="AI2783">
        <v>0</v>
      </c>
      <c r="AJ2783">
        <v>0</v>
      </c>
      <c r="AK2783">
        <v>0</v>
      </c>
    </row>
    <row r="2784" spans="1:37" x14ac:dyDescent="0.3">
      <c r="A2784">
        <v>6178</v>
      </c>
      <c r="B2784" t="s">
        <v>3368</v>
      </c>
      <c r="D2784" t="s">
        <v>251</v>
      </c>
      <c r="E2784">
        <v>99999999</v>
      </c>
      <c r="F2784">
        <v>11111111</v>
      </c>
      <c r="G2784">
        <v>1111111111</v>
      </c>
      <c r="H2784" t="s">
        <v>6353</v>
      </c>
      <c r="I2784">
        <v>99999999</v>
      </c>
      <c r="J2784" s="188">
        <v>45238</v>
      </c>
      <c r="K2784" t="s">
        <v>6353</v>
      </c>
      <c r="L2784" t="s">
        <v>6353</v>
      </c>
      <c r="M2784" t="s">
        <v>1195</v>
      </c>
      <c r="N2784" t="s">
        <v>164</v>
      </c>
      <c r="O2784" t="s">
        <v>3402</v>
      </c>
      <c r="P2784" t="s">
        <v>221</v>
      </c>
      <c r="Q2784" t="s">
        <v>124</v>
      </c>
      <c r="R2784">
        <v>1</v>
      </c>
      <c r="S2784">
        <v>17.16</v>
      </c>
      <c r="T2784">
        <v>0</v>
      </c>
      <c r="U2784">
        <v>1</v>
      </c>
      <c r="V2784">
        <v>1</v>
      </c>
      <c r="W2784">
        <v>0</v>
      </c>
      <c r="X2784">
        <v>0</v>
      </c>
      <c r="Y2784">
        <v>0</v>
      </c>
      <c r="Z2784">
        <v>0</v>
      </c>
      <c r="AA2784">
        <v>1</v>
      </c>
      <c r="AB2784">
        <v>0</v>
      </c>
      <c r="AC2784">
        <v>0</v>
      </c>
      <c r="AD2784">
        <v>0</v>
      </c>
      <c r="AE2784">
        <v>0</v>
      </c>
      <c r="AF2784">
        <v>0</v>
      </c>
      <c r="AG2784">
        <v>0</v>
      </c>
      <c r="AH2784">
        <v>0</v>
      </c>
      <c r="AI2784">
        <v>0</v>
      </c>
      <c r="AJ2784">
        <v>0</v>
      </c>
      <c r="AK2784">
        <v>0</v>
      </c>
    </row>
    <row r="2785" spans="1:37" x14ac:dyDescent="0.3">
      <c r="A2785">
        <v>6178</v>
      </c>
      <c r="B2785" t="s">
        <v>3368</v>
      </c>
      <c r="D2785" t="s">
        <v>251</v>
      </c>
      <c r="E2785">
        <v>99999999</v>
      </c>
      <c r="F2785">
        <v>11111111</v>
      </c>
      <c r="G2785">
        <v>1111111111</v>
      </c>
      <c r="H2785" t="s">
        <v>6354</v>
      </c>
      <c r="I2785">
        <v>99999999</v>
      </c>
      <c r="J2785" s="188">
        <v>45238</v>
      </c>
      <c r="K2785" t="s">
        <v>6354</v>
      </c>
      <c r="L2785" t="s">
        <v>6354</v>
      </c>
      <c r="M2785" t="s">
        <v>3403</v>
      </c>
      <c r="N2785" t="s">
        <v>233</v>
      </c>
      <c r="O2785">
        <v>13088</v>
      </c>
      <c r="P2785" t="s">
        <v>221</v>
      </c>
      <c r="Q2785" t="s">
        <v>124</v>
      </c>
      <c r="R2785">
        <v>1</v>
      </c>
      <c r="S2785">
        <v>8.0500000000000007</v>
      </c>
      <c r="T2785">
        <v>0</v>
      </c>
      <c r="U2785">
        <v>1</v>
      </c>
      <c r="V2785">
        <v>1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1</v>
      </c>
      <c r="AE2785">
        <v>0</v>
      </c>
      <c r="AF2785">
        <v>0</v>
      </c>
      <c r="AG2785">
        <v>0</v>
      </c>
      <c r="AH2785">
        <v>0</v>
      </c>
      <c r="AI2785">
        <v>0</v>
      </c>
      <c r="AJ2785">
        <v>0</v>
      </c>
      <c r="AK2785">
        <v>0</v>
      </c>
    </row>
    <row r="2786" spans="1:37" x14ac:dyDescent="0.3">
      <c r="A2786">
        <v>6178</v>
      </c>
      <c r="B2786" t="s">
        <v>3368</v>
      </c>
      <c r="D2786" t="s">
        <v>251</v>
      </c>
      <c r="E2786">
        <v>99999999</v>
      </c>
      <c r="F2786">
        <v>11111111</v>
      </c>
      <c r="G2786">
        <v>1111111111</v>
      </c>
      <c r="H2786" t="s">
        <v>6355</v>
      </c>
      <c r="I2786">
        <v>99999999</v>
      </c>
      <c r="J2786" s="188">
        <v>45238</v>
      </c>
      <c r="K2786" t="s">
        <v>6355</v>
      </c>
      <c r="L2786" t="s">
        <v>6355</v>
      </c>
      <c r="M2786" t="s">
        <v>3404</v>
      </c>
      <c r="N2786" t="s">
        <v>983</v>
      </c>
      <c r="O2786" t="s">
        <v>3405</v>
      </c>
      <c r="P2786" t="s">
        <v>221</v>
      </c>
      <c r="Q2786" t="s">
        <v>124</v>
      </c>
      <c r="R2786">
        <v>1</v>
      </c>
      <c r="S2786">
        <v>10.4</v>
      </c>
      <c r="T2786">
        <v>0</v>
      </c>
      <c r="U2786">
        <v>1</v>
      </c>
      <c r="V2786">
        <v>1</v>
      </c>
      <c r="W2786">
        <v>0</v>
      </c>
      <c r="X2786">
        <v>0</v>
      </c>
      <c r="Y2786">
        <v>0</v>
      </c>
      <c r="Z2786">
        <v>0</v>
      </c>
      <c r="AA2786">
        <v>1</v>
      </c>
      <c r="AB2786">
        <v>0</v>
      </c>
      <c r="AC2786">
        <v>0</v>
      </c>
      <c r="AD2786">
        <v>0</v>
      </c>
      <c r="AE2786">
        <v>0</v>
      </c>
      <c r="AF2786">
        <v>0</v>
      </c>
      <c r="AG2786">
        <v>0</v>
      </c>
      <c r="AH2786">
        <v>0</v>
      </c>
      <c r="AI2786">
        <v>0</v>
      </c>
      <c r="AJ2786">
        <v>0</v>
      </c>
      <c r="AK2786">
        <v>0</v>
      </c>
    </row>
    <row r="2787" spans="1:37" x14ac:dyDescent="0.3">
      <c r="A2787">
        <v>6178</v>
      </c>
      <c r="B2787" t="s">
        <v>3368</v>
      </c>
      <c r="D2787" t="s">
        <v>251</v>
      </c>
      <c r="E2787">
        <v>99999999</v>
      </c>
      <c r="F2787">
        <v>11111111</v>
      </c>
      <c r="G2787">
        <v>1111111111</v>
      </c>
      <c r="H2787" t="s">
        <v>6356</v>
      </c>
      <c r="I2787">
        <v>99999999</v>
      </c>
      <c r="J2787" s="188">
        <v>45238</v>
      </c>
      <c r="K2787" t="s">
        <v>6356</v>
      </c>
      <c r="L2787" t="s">
        <v>6356</v>
      </c>
      <c r="M2787" t="s">
        <v>3406</v>
      </c>
      <c r="N2787" t="s">
        <v>950</v>
      </c>
      <c r="O2787" t="s">
        <v>3407</v>
      </c>
      <c r="P2787" t="s">
        <v>221</v>
      </c>
      <c r="Q2787" t="s">
        <v>124</v>
      </c>
      <c r="R2787">
        <v>2</v>
      </c>
      <c r="S2787">
        <v>11.46</v>
      </c>
      <c r="T2787">
        <v>0</v>
      </c>
      <c r="U2787">
        <v>1</v>
      </c>
      <c r="V2787">
        <v>1</v>
      </c>
      <c r="W2787">
        <v>0</v>
      </c>
      <c r="X2787">
        <v>0</v>
      </c>
      <c r="Y2787">
        <v>0</v>
      </c>
      <c r="Z2787">
        <v>0</v>
      </c>
      <c r="AA2787">
        <v>0</v>
      </c>
      <c r="AB2787">
        <v>0</v>
      </c>
      <c r="AC2787">
        <v>0</v>
      </c>
      <c r="AD2787">
        <v>2</v>
      </c>
      <c r="AE2787">
        <v>0</v>
      </c>
      <c r="AF2787">
        <v>0</v>
      </c>
      <c r="AG2787">
        <v>0</v>
      </c>
      <c r="AH2787">
        <v>0</v>
      </c>
      <c r="AI2787">
        <v>0</v>
      </c>
      <c r="AJ2787">
        <v>0</v>
      </c>
      <c r="AK2787">
        <v>0</v>
      </c>
    </row>
    <row r="2788" spans="1:37" x14ac:dyDescent="0.3">
      <c r="A2788">
        <v>6178</v>
      </c>
      <c r="B2788" t="s">
        <v>3368</v>
      </c>
      <c r="D2788" t="s">
        <v>251</v>
      </c>
      <c r="E2788">
        <v>99999999</v>
      </c>
      <c r="F2788">
        <v>11111111</v>
      </c>
      <c r="G2788">
        <v>1111111111</v>
      </c>
      <c r="H2788" t="s">
        <v>6357</v>
      </c>
      <c r="I2788">
        <v>99999999</v>
      </c>
      <c r="J2788" s="188">
        <v>45238</v>
      </c>
      <c r="K2788" t="s">
        <v>6357</v>
      </c>
      <c r="L2788" t="s">
        <v>6357</v>
      </c>
      <c r="M2788" t="s">
        <v>3406</v>
      </c>
      <c r="N2788" t="s">
        <v>950</v>
      </c>
      <c r="O2788" t="s">
        <v>3407</v>
      </c>
      <c r="P2788" t="s">
        <v>221</v>
      </c>
      <c r="Q2788" t="s">
        <v>124</v>
      </c>
      <c r="R2788">
        <v>3</v>
      </c>
      <c r="S2788">
        <v>41.1</v>
      </c>
      <c r="T2788">
        <v>0</v>
      </c>
      <c r="U2788">
        <v>1</v>
      </c>
      <c r="V2788">
        <v>1</v>
      </c>
      <c r="W2788">
        <v>0</v>
      </c>
      <c r="X2788">
        <v>0</v>
      </c>
      <c r="Y2788">
        <v>0</v>
      </c>
      <c r="Z2788">
        <v>0</v>
      </c>
      <c r="AA2788">
        <v>1</v>
      </c>
      <c r="AB2788">
        <v>0</v>
      </c>
      <c r="AC2788">
        <v>0</v>
      </c>
      <c r="AD2788">
        <v>0</v>
      </c>
      <c r="AE2788">
        <v>0</v>
      </c>
      <c r="AF2788">
        <v>0</v>
      </c>
      <c r="AG2788">
        <v>0</v>
      </c>
      <c r="AH2788">
        <v>0</v>
      </c>
      <c r="AI2788">
        <v>0</v>
      </c>
      <c r="AJ2788">
        <v>0</v>
      </c>
      <c r="AK2788">
        <v>0</v>
      </c>
    </row>
    <row r="2789" spans="1:37" x14ac:dyDescent="0.3">
      <c r="A2789">
        <v>6178</v>
      </c>
      <c r="B2789" t="s">
        <v>3368</v>
      </c>
      <c r="D2789" t="s">
        <v>251</v>
      </c>
      <c r="E2789">
        <v>99999999</v>
      </c>
      <c r="F2789">
        <v>11111111</v>
      </c>
      <c r="G2789">
        <v>1111111111</v>
      </c>
      <c r="H2789" t="s">
        <v>6358</v>
      </c>
      <c r="I2789">
        <v>99999999</v>
      </c>
      <c r="J2789" s="188">
        <v>45238</v>
      </c>
      <c r="K2789" t="s">
        <v>6358</v>
      </c>
      <c r="L2789" t="s">
        <v>6358</v>
      </c>
      <c r="M2789" t="s">
        <v>3408</v>
      </c>
      <c r="N2789" t="s">
        <v>265</v>
      </c>
      <c r="O2789" t="s">
        <v>3409</v>
      </c>
      <c r="P2789" t="s">
        <v>221</v>
      </c>
      <c r="Q2789" t="s">
        <v>124</v>
      </c>
      <c r="R2789">
        <v>1</v>
      </c>
      <c r="S2789">
        <v>5.73</v>
      </c>
      <c r="T2789">
        <v>0</v>
      </c>
      <c r="U2789">
        <v>1</v>
      </c>
      <c r="V2789">
        <v>1</v>
      </c>
      <c r="W2789">
        <v>0</v>
      </c>
      <c r="X2789">
        <v>0</v>
      </c>
      <c r="Y2789">
        <v>0</v>
      </c>
      <c r="Z2789">
        <v>0</v>
      </c>
      <c r="AA2789">
        <v>0</v>
      </c>
      <c r="AB2789">
        <v>0</v>
      </c>
      <c r="AC2789">
        <v>0</v>
      </c>
      <c r="AD2789">
        <v>1</v>
      </c>
      <c r="AE2789">
        <v>0</v>
      </c>
      <c r="AF2789">
        <v>0</v>
      </c>
      <c r="AG2789">
        <v>0</v>
      </c>
      <c r="AH2789">
        <v>0</v>
      </c>
      <c r="AI2789">
        <v>0</v>
      </c>
      <c r="AJ2789">
        <v>0</v>
      </c>
      <c r="AK2789">
        <v>0</v>
      </c>
    </row>
    <row r="2790" spans="1:37" x14ac:dyDescent="0.3">
      <c r="A2790">
        <v>6178</v>
      </c>
      <c r="B2790" t="s">
        <v>3368</v>
      </c>
      <c r="D2790" t="s">
        <v>3369</v>
      </c>
      <c r="E2790">
        <v>99999999</v>
      </c>
      <c r="F2790">
        <v>11111111</v>
      </c>
      <c r="G2790">
        <v>1111111111</v>
      </c>
      <c r="H2790" t="s">
        <v>6359</v>
      </c>
      <c r="I2790">
        <v>99999999</v>
      </c>
      <c r="J2790" s="188">
        <v>45238</v>
      </c>
      <c r="K2790" t="s">
        <v>6359</v>
      </c>
      <c r="L2790" t="s">
        <v>6359</v>
      </c>
      <c r="M2790" t="s">
        <v>3410</v>
      </c>
      <c r="N2790" t="s">
        <v>206</v>
      </c>
      <c r="O2790" t="s">
        <v>3411</v>
      </c>
      <c r="P2790" t="s">
        <v>221</v>
      </c>
      <c r="Q2790" t="s">
        <v>82</v>
      </c>
      <c r="R2790">
        <v>1</v>
      </c>
      <c r="S2790">
        <v>22.93</v>
      </c>
      <c r="T2790">
        <v>0</v>
      </c>
      <c r="U2790">
        <v>1</v>
      </c>
      <c r="V2790">
        <v>1</v>
      </c>
      <c r="W2790">
        <v>29.27</v>
      </c>
      <c r="X2790">
        <v>0</v>
      </c>
      <c r="Y2790">
        <v>0</v>
      </c>
      <c r="Z2790">
        <v>0</v>
      </c>
      <c r="AA2790">
        <v>1</v>
      </c>
      <c r="AB2790">
        <v>0</v>
      </c>
      <c r="AC2790">
        <v>0</v>
      </c>
      <c r="AD2790">
        <v>0</v>
      </c>
      <c r="AE2790">
        <v>0</v>
      </c>
      <c r="AF2790">
        <v>0</v>
      </c>
      <c r="AG2790">
        <v>0</v>
      </c>
      <c r="AH2790">
        <v>0</v>
      </c>
      <c r="AI2790">
        <v>0</v>
      </c>
      <c r="AJ2790">
        <v>0</v>
      </c>
      <c r="AK2790">
        <v>0</v>
      </c>
    </row>
    <row r="2791" spans="1:37" x14ac:dyDescent="0.3">
      <c r="A2791">
        <v>6178</v>
      </c>
      <c r="B2791" t="s">
        <v>3368</v>
      </c>
      <c r="D2791" t="s">
        <v>3369</v>
      </c>
      <c r="E2791">
        <v>99999999</v>
      </c>
      <c r="F2791">
        <v>11111111</v>
      </c>
      <c r="G2791">
        <v>1111111111</v>
      </c>
      <c r="H2791" t="s">
        <v>6360</v>
      </c>
      <c r="I2791">
        <v>99999999</v>
      </c>
      <c r="J2791" s="188">
        <v>45238</v>
      </c>
      <c r="K2791" t="s">
        <v>6360</v>
      </c>
      <c r="L2791" t="s">
        <v>6360</v>
      </c>
      <c r="M2791" t="s">
        <v>471</v>
      </c>
      <c r="N2791" t="s">
        <v>97</v>
      </c>
      <c r="O2791" t="s">
        <v>3412</v>
      </c>
      <c r="P2791" t="s">
        <v>221</v>
      </c>
      <c r="Q2791" t="s">
        <v>82</v>
      </c>
      <c r="R2791">
        <v>1</v>
      </c>
      <c r="S2791">
        <v>9.5</v>
      </c>
      <c r="T2791">
        <v>0</v>
      </c>
      <c r="U2791">
        <v>1</v>
      </c>
      <c r="V2791">
        <v>1</v>
      </c>
      <c r="W2791">
        <v>23.67</v>
      </c>
      <c r="X2791">
        <v>0</v>
      </c>
      <c r="Y2791">
        <v>0</v>
      </c>
      <c r="Z2791">
        <v>0</v>
      </c>
      <c r="AA2791">
        <v>0</v>
      </c>
      <c r="AB2791">
        <v>0</v>
      </c>
      <c r="AC2791">
        <v>0</v>
      </c>
      <c r="AD2791">
        <v>1</v>
      </c>
      <c r="AE2791">
        <v>0</v>
      </c>
      <c r="AF2791">
        <v>0</v>
      </c>
      <c r="AG2791">
        <v>0</v>
      </c>
      <c r="AH2791">
        <v>0</v>
      </c>
      <c r="AI2791">
        <v>0</v>
      </c>
      <c r="AJ2791">
        <v>0</v>
      </c>
      <c r="AK2791">
        <v>0</v>
      </c>
    </row>
    <row r="2792" spans="1:37" x14ac:dyDescent="0.3">
      <c r="A2792">
        <v>6178</v>
      </c>
      <c r="B2792" t="s">
        <v>3368</v>
      </c>
      <c r="D2792" t="s">
        <v>251</v>
      </c>
      <c r="E2792">
        <v>99999999</v>
      </c>
      <c r="F2792">
        <v>11111111</v>
      </c>
      <c r="G2792">
        <v>1111111111</v>
      </c>
      <c r="H2792" t="s">
        <v>6361</v>
      </c>
      <c r="I2792">
        <v>99999999</v>
      </c>
      <c r="J2792" s="188">
        <v>45238</v>
      </c>
      <c r="K2792" t="s">
        <v>6361</v>
      </c>
      <c r="L2792" t="s">
        <v>6361</v>
      </c>
      <c r="M2792" t="s">
        <v>594</v>
      </c>
      <c r="N2792" t="s">
        <v>307</v>
      </c>
      <c r="O2792" t="s">
        <v>3413</v>
      </c>
      <c r="P2792" t="s">
        <v>221</v>
      </c>
      <c r="Q2792" t="s">
        <v>82</v>
      </c>
      <c r="R2792">
        <v>1</v>
      </c>
      <c r="S2792">
        <v>0.93</v>
      </c>
      <c r="T2792">
        <v>0</v>
      </c>
      <c r="U2792">
        <v>1</v>
      </c>
      <c r="V2792">
        <v>1</v>
      </c>
      <c r="W2792">
        <v>7.86</v>
      </c>
      <c r="X2792">
        <v>0</v>
      </c>
      <c r="Y2792">
        <v>0</v>
      </c>
      <c r="Z2792">
        <v>0</v>
      </c>
      <c r="AA2792">
        <v>0</v>
      </c>
      <c r="AB2792">
        <v>0</v>
      </c>
      <c r="AC2792">
        <v>0</v>
      </c>
      <c r="AD2792">
        <v>1</v>
      </c>
      <c r="AE2792">
        <v>0</v>
      </c>
      <c r="AF2792">
        <v>0</v>
      </c>
      <c r="AG2792">
        <v>0</v>
      </c>
      <c r="AH2792">
        <v>0</v>
      </c>
      <c r="AI2792">
        <v>0</v>
      </c>
      <c r="AJ2792">
        <v>0</v>
      </c>
      <c r="AK2792">
        <v>0</v>
      </c>
    </row>
    <row r="2793" spans="1:37" x14ac:dyDescent="0.3">
      <c r="A2793">
        <v>6178</v>
      </c>
      <c r="B2793" t="s">
        <v>3368</v>
      </c>
      <c r="D2793" t="s">
        <v>251</v>
      </c>
      <c r="E2793">
        <v>99999999</v>
      </c>
      <c r="F2793">
        <v>11111111</v>
      </c>
      <c r="G2793">
        <v>1111111111</v>
      </c>
      <c r="H2793" t="s">
        <v>6362</v>
      </c>
      <c r="I2793">
        <v>99999999</v>
      </c>
      <c r="J2793" s="188">
        <v>45238</v>
      </c>
      <c r="K2793" t="s">
        <v>6362</v>
      </c>
      <c r="L2793" t="s">
        <v>6362</v>
      </c>
      <c r="M2793" t="s">
        <v>3334</v>
      </c>
      <c r="N2793" t="s">
        <v>265</v>
      </c>
      <c r="O2793" t="s">
        <v>3414</v>
      </c>
      <c r="P2793" t="s">
        <v>221</v>
      </c>
      <c r="Q2793" t="s">
        <v>82</v>
      </c>
      <c r="R2793">
        <v>1</v>
      </c>
      <c r="S2793">
        <v>12.23</v>
      </c>
      <c r="T2793">
        <v>0</v>
      </c>
      <c r="U2793">
        <v>1</v>
      </c>
      <c r="V2793">
        <v>1</v>
      </c>
      <c r="W2793">
        <v>12.99</v>
      </c>
      <c r="X2793">
        <v>0</v>
      </c>
      <c r="Y2793">
        <v>0</v>
      </c>
      <c r="Z2793">
        <v>0</v>
      </c>
      <c r="AA2793">
        <v>0</v>
      </c>
      <c r="AB2793">
        <v>0</v>
      </c>
      <c r="AC2793">
        <v>0</v>
      </c>
      <c r="AD2793">
        <v>1</v>
      </c>
      <c r="AE2793">
        <v>0</v>
      </c>
      <c r="AF2793">
        <v>0</v>
      </c>
      <c r="AG2793">
        <v>0</v>
      </c>
      <c r="AH2793">
        <v>0</v>
      </c>
      <c r="AI2793">
        <v>0</v>
      </c>
      <c r="AJ2793">
        <v>0</v>
      </c>
      <c r="AK2793">
        <v>0</v>
      </c>
    </row>
    <row r="2794" spans="1:37" x14ac:dyDescent="0.3">
      <c r="A2794">
        <v>6178</v>
      </c>
      <c r="B2794" t="s">
        <v>3368</v>
      </c>
      <c r="D2794" t="s">
        <v>251</v>
      </c>
      <c r="E2794">
        <v>99999999</v>
      </c>
      <c r="F2794">
        <v>11111111</v>
      </c>
      <c r="G2794">
        <v>1111111111</v>
      </c>
      <c r="H2794" t="s">
        <v>6363</v>
      </c>
      <c r="I2794">
        <v>99999999</v>
      </c>
      <c r="J2794" s="188">
        <v>45238</v>
      </c>
      <c r="K2794" t="s">
        <v>6363</v>
      </c>
      <c r="L2794" t="s">
        <v>6363</v>
      </c>
      <c r="M2794" t="s">
        <v>1291</v>
      </c>
      <c r="N2794" t="s">
        <v>233</v>
      </c>
      <c r="O2794" t="s">
        <v>3415</v>
      </c>
      <c r="P2794" t="s">
        <v>221</v>
      </c>
      <c r="Q2794" t="s">
        <v>82</v>
      </c>
      <c r="R2794">
        <v>2</v>
      </c>
      <c r="S2794">
        <v>23.86</v>
      </c>
      <c r="T2794">
        <v>0</v>
      </c>
      <c r="U2794">
        <v>2</v>
      </c>
      <c r="V2794">
        <v>2</v>
      </c>
      <c r="W2794">
        <v>26.89</v>
      </c>
      <c r="X2794">
        <v>0</v>
      </c>
      <c r="Y2794">
        <v>0</v>
      </c>
      <c r="Z2794">
        <v>0</v>
      </c>
      <c r="AA2794">
        <v>1</v>
      </c>
      <c r="AB2794">
        <v>0</v>
      </c>
      <c r="AC2794">
        <v>0</v>
      </c>
      <c r="AD2794">
        <v>1</v>
      </c>
      <c r="AE2794">
        <v>0</v>
      </c>
      <c r="AF2794">
        <v>0</v>
      </c>
      <c r="AG2794">
        <v>0</v>
      </c>
      <c r="AH2794">
        <v>0</v>
      </c>
      <c r="AI2794">
        <v>0</v>
      </c>
      <c r="AJ2794">
        <v>0</v>
      </c>
      <c r="AK2794">
        <v>0</v>
      </c>
    </row>
    <row r="2795" spans="1:37" x14ac:dyDescent="0.3">
      <c r="A2795">
        <v>6178</v>
      </c>
      <c r="B2795" t="s">
        <v>3368</v>
      </c>
      <c r="D2795" t="s">
        <v>251</v>
      </c>
      <c r="E2795">
        <v>99999999</v>
      </c>
      <c r="F2795">
        <v>11111111</v>
      </c>
      <c r="G2795">
        <v>1111111111</v>
      </c>
      <c r="H2795" t="s">
        <v>6364</v>
      </c>
      <c r="I2795">
        <v>99999999</v>
      </c>
      <c r="J2795" s="188">
        <v>45238</v>
      </c>
      <c r="K2795" t="s">
        <v>6364</v>
      </c>
      <c r="L2795" t="s">
        <v>6364</v>
      </c>
      <c r="M2795" t="s">
        <v>3416</v>
      </c>
      <c r="N2795" t="s">
        <v>1276</v>
      </c>
      <c r="O2795" t="s">
        <v>3417</v>
      </c>
      <c r="P2795" t="s">
        <v>221</v>
      </c>
      <c r="Q2795" t="s">
        <v>82</v>
      </c>
      <c r="R2795">
        <v>1</v>
      </c>
      <c r="S2795">
        <v>2.2799999999999998</v>
      </c>
      <c r="T2795">
        <v>0</v>
      </c>
      <c r="U2795">
        <v>1</v>
      </c>
      <c r="V2795">
        <v>1</v>
      </c>
      <c r="W2795">
        <v>13.13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1</v>
      </c>
      <c r="AE2795">
        <v>0</v>
      </c>
      <c r="AF2795">
        <v>0</v>
      </c>
      <c r="AG2795">
        <v>0</v>
      </c>
      <c r="AH2795">
        <v>0</v>
      </c>
      <c r="AI2795">
        <v>0</v>
      </c>
      <c r="AJ2795">
        <v>0</v>
      </c>
      <c r="AK2795">
        <v>0</v>
      </c>
    </row>
    <row r="2796" spans="1:37" x14ac:dyDescent="0.3">
      <c r="A2796">
        <v>6178</v>
      </c>
      <c r="B2796" t="s">
        <v>3368</v>
      </c>
      <c r="D2796" t="s">
        <v>251</v>
      </c>
      <c r="E2796">
        <v>99999999</v>
      </c>
      <c r="F2796">
        <v>11111111</v>
      </c>
      <c r="G2796">
        <v>1111111111</v>
      </c>
      <c r="H2796" t="s">
        <v>6365</v>
      </c>
      <c r="I2796">
        <v>99999999</v>
      </c>
      <c r="J2796" s="188">
        <v>45238</v>
      </c>
      <c r="K2796" t="s">
        <v>6365</v>
      </c>
      <c r="L2796" t="s">
        <v>6365</v>
      </c>
      <c r="M2796" t="s">
        <v>1574</v>
      </c>
      <c r="N2796" t="s">
        <v>80</v>
      </c>
      <c r="O2796" t="s">
        <v>3418</v>
      </c>
      <c r="P2796" t="s">
        <v>221</v>
      </c>
      <c r="Q2796" t="s">
        <v>82</v>
      </c>
      <c r="R2796">
        <v>1</v>
      </c>
      <c r="S2796">
        <v>1.28</v>
      </c>
      <c r="T2796">
        <v>0</v>
      </c>
      <c r="U2796">
        <v>1</v>
      </c>
      <c r="V2796">
        <v>1</v>
      </c>
      <c r="W2796">
        <v>7.86</v>
      </c>
      <c r="X2796">
        <v>0</v>
      </c>
      <c r="Y2796">
        <v>0</v>
      </c>
      <c r="Z2796">
        <v>0</v>
      </c>
      <c r="AA2796">
        <v>0</v>
      </c>
      <c r="AB2796">
        <v>0</v>
      </c>
      <c r="AC2796">
        <v>0</v>
      </c>
      <c r="AD2796">
        <v>1</v>
      </c>
      <c r="AE2796">
        <v>0</v>
      </c>
      <c r="AF2796">
        <v>0</v>
      </c>
      <c r="AG2796">
        <v>0</v>
      </c>
      <c r="AH2796">
        <v>0</v>
      </c>
      <c r="AI2796">
        <v>0</v>
      </c>
      <c r="AJ2796">
        <v>0</v>
      </c>
      <c r="AK2796">
        <v>0</v>
      </c>
    </row>
    <row r="2797" spans="1:37" x14ac:dyDescent="0.3">
      <c r="A2797">
        <v>6178</v>
      </c>
      <c r="B2797" t="s">
        <v>3368</v>
      </c>
      <c r="D2797" t="s">
        <v>3419</v>
      </c>
      <c r="E2797">
        <v>99999999</v>
      </c>
      <c r="F2797">
        <v>11111111</v>
      </c>
      <c r="G2797">
        <v>1111111111</v>
      </c>
      <c r="H2797" t="s">
        <v>6366</v>
      </c>
      <c r="I2797">
        <v>99999999</v>
      </c>
      <c r="J2797" s="188">
        <v>45236</v>
      </c>
      <c r="K2797" t="s">
        <v>6366</v>
      </c>
      <c r="L2797" t="s">
        <v>6366</v>
      </c>
      <c r="M2797" t="s">
        <v>1198</v>
      </c>
      <c r="N2797" t="s">
        <v>197</v>
      </c>
      <c r="O2797" t="s">
        <v>3420</v>
      </c>
      <c r="P2797" t="s">
        <v>221</v>
      </c>
      <c r="Q2797" t="s">
        <v>82</v>
      </c>
      <c r="R2797">
        <v>1</v>
      </c>
      <c r="S2797">
        <v>3.24</v>
      </c>
      <c r="T2797">
        <v>0</v>
      </c>
      <c r="U2797">
        <v>1</v>
      </c>
      <c r="V2797">
        <v>1</v>
      </c>
      <c r="W2797">
        <v>24.77</v>
      </c>
      <c r="X2797">
        <v>0</v>
      </c>
      <c r="Y2797">
        <v>0</v>
      </c>
      <c r="Z2797">
        <v>0</v>
      </c>
      <c r="AA2797">
        <v>0</v>
      </c>
      <c r="AB2797">
        <v>0</v>
      </c>
      <c r="AC2797">
        <v>0</v>
      </c>
      <c r="AD2797">
        <v>1</v>
      </c>
      <c r="AE2797">
        <v>0</v>
      </c>
      <c r="AF2797">
        <v>0</v>
      </c>
      <c r="AG2797">
        <v>0</v>
      </c>
      <c r="AH2797">
        <v>0</v>
      </c>
      <c r="AI2797">
        <v>0</v>
      </c>
      <c r="AJ2797">
        <v>0</v>
      </c>
      <c r="AK2797">
        <v>0</v>
      </c>
    </row>
    <row r="2798" spans="1:37" x14ac:dyDescent="0.3">
      <c r="A2798">
        <v>6178</v>
      </c>
      <c r="B2798" t="s">
        <v>3368</v>
      </c>
      <c r="D2798" t="s">
        <v>3419</v>
      </c>
      <c r="E2798">
        <v>99999999</v>
      </c>
      <c r="F2798">
        <v>11111111</v>
      </c>
      <c r="G2798">
        <v>1111111111</v>
      </c>
      <c r="H2798" t="s">
        <v>6367</v>
      </c>
      <c r="I2798">
        <v>99999999</v>
      </c>
      <c r="J2798" s="188">
        <v>45236</v>
      </c>
      <c r="K2798" t="s">
        <v>6367</v>
      </c>
      <c r="L2798" t="s">
        <v>6367</v>
      </c>
      <c r="M2798" t="s">
        <v>3421</v>
      </c>
      <c r="N2798" t="s">
        <v>950</v>
      </c>
      <c r="O2798" t="s">
        <v>3422</v>
      </c>
      <c r="P2798" t="s">
        <v>221</v>
      </c>
      <c r="Q2798" t="s">
        <v>82</v>
      </c>
      <c r="R2798">
        <v>1</v>
      </c>
      <c r="S2798">
        <v>4.0999999999999996</v>
      </c>
      <c r="T2798">
        <v>0</v>
      </c>
      <c r="U2798">
        <v>1</v>
      </c>
      <c r="V2798">
        <v>1</v>
      </c>
      <c r="W2798">
        <v>20.59</v>
      </c>
      <c r="X2798">
        <v>0</v>
      </c>
      <c r="Y2798">
        <v>0</v>
      </c>
      <c r="Z2798">
        <v>0</v>
      </c>
      <c r="AA2798">
        <v>0</v>
      </c>
      <c r="AB2798">
        <v>0</v>
      </c>
      <c r="AC2798">
        <v>0</v>
      </c>
      <c r="AD2798">
        <v>1</v>
      </c>
      <c r="AE2798">
        <v>0</v>
      </c>
      <c r="AF2798">
        <v>0</v>
      </c>
      <c r="AG2798">
        <v>0</v>
      </c>
      <c r="AH2798">
        <v>0</v>
      </c>
      <c r="AI2798">
        <v>0</v>
      </c>
      <c r="AJ2798">
        <v>0</v>
      </c>
      <c r="AK2798">
        <v>0</v>
      </c>
    </row>
    <row r="2799" spans="1:37" x14ac:dyDescent="0.3">
      <c r="A2799">
        <v>6178</v>
      </c>
      <c r="B2799" t="s">
        <v>3368</v>
      </c>
      <c r="D2799" t="s">
        <v>3419</v>
      </c>
      <c r="E2799">
        <v>99999999</v>
      </c>
      <c r="F2799">
        <v>11111111</v>
      </c>
      <c r="G2799">
        <v>1111111111</v>
      </c>
      <c r="H2799" t="s">
        <v>6368</v>
      </c>
      <c r="I2799">
        <v>99999999</v>
      </c>
      <c r="J2799" s="188">
        <v>45236</v>
      </c>
      <c r="K2799" t="s">
        <v>6368</v>
      </c>
      <c r="L2799" t="s">
        <v>6368</v>
      </c>
      <c r="M2799" t="s">
        <v>3423</v>
      </c>
      <c r="N2799" t="s">
        <v>183</v>
      </c>
      <c r="O2799" t="s">
        <v>3424</v>
      </c>
      <c r="P2799" t="s">
        <v>221</v>
      </c>
      <c r="Q2799" t="s">
        <v>82</v>
      </c>
      <c r="R2799">
        <v>1</v>
      </c>
      <c r="S2799">
        <v>4.0999999999999996</v>
      </c>
      <c r="T2799">
        <v>0</v>
      </c>
      <c r="U2799">
        <v>1</v>
      </c>
      <c r="V2799">
        <v>1</v>
      </c>
      <c r="W2799">
        <v>24.75</v>
      </c>
      <c r="X2799">
        <v>0</v>
      </c>
      <c r="Y2799">
        <v>0</v>
      </c>
      <c r="Z2799">
        <v>0</v>
      </c>
      <c r="AA2799">
        <v>0</v>
      </c>
      <c r="AB2799">
        <v>0</v>
      </c>
      <c r="AC2799">
        <v>0</v>
      </c>
      <c r="AD2799">
        <v>1</v>
      </c>
      <c r="AE2799">
        <v>0</v>
      </c>
      <c r="AF2799">
        <v>0</v>
      </c>
      <c r="AG2799">
        <v>0</v>
      </c>
      <c r="AH2799">
        <v>0</v>
      </c>
      <c r="AI2799">
        <v>0</v>
      </c>
      <c r="AJ2799">
        <v>0</v>
      </c>
      <c r="AK2799">
        <v>0</v>
      </c>
    </row>
    <row r="2800" spans="1:37" x14ac:dyDescent="0.3">
      <c r="A2800">
        <v>6178</v>
      </c>
      <c r="B2800" t="s">
        <v>3368</v>
      </c>
      <c r="D2800" t="s">
        <v>3419</v>
      </c>
      <c r="E2800">
        <v>99999999</v>
      </c>
      <c r="F2800">
        <v>11111111</v>
      </c>
      <c r="G2800">
        <v>1111111111</v>
      </c>
      <c r="H2800" t="s">
        <v>6369</v>
      </c>
      <c r="I2800">
        <v>99999999</v>
      </c>
      <c r="J2800" s="188">
        <v>45236</v>
      </c>
      <c r="K2800" t="s">
        <v>6369</v>
      </c>
      <c r="L2800" t="s">
        <v>6369</v>
      </c>
      <c r="M2800" t="s">
        <v>152</v>
      </c>
      <c r="N2800" t="s">
        <v>141</v>
      </c>
      <c r="O2800" t="s">
        <v>3425</v>
      </c>
      <c r="P2800" t="s">
        <v>221</v>
      </c>
      <c r="Q2800" t="s">
        <v>82</v>
      </c>
      <c r="R2800">
        <v>1</v>
      </c>
      <c r="S2800">
        <v>8.0500000000000007</v>
      </c>
      <c r="T2800">
        <v>0</v>
      </c>
      <c r="U2800">
        <v>1</v>
      </c>
      <c r="V2800">
        <v>1</v>
      </c>
      <c r="W2800">
        <v>24.8</v>
      </c>
      <c r="X2800">
        <v>0</v>
      </c>
      <c r="Y2800">
        <v>0</v>
      </c>
      <c r="Z2800">
        <v>0</v>
      </c>
      <c r="AA2800">
        <v>0</v>
      </c>
      <c r="AB2800">
        <v>0</v>
      </c>
      <c r="AC2800">
        <v>0</v>
      </c>
      <c r="AD2800">
        <v>1</v>
      </c>
      <c r="AE2800">
        <v>0</v>
      </c>
      <c r="AF2800">
        <v>0</v>
      </c>
      <c r="AG2800">
        <v>0</v>
      </c>
      <c r="AH2800">
        <v>0</v>
      </c>
      <c r="AI2800">
        <v>0</v>
      </c>
      <c r="AJ2800">
        <v>0</v>
      </c>
      <c r="AK2800">
        <v>0</v>
      </c>
    </row>
    <row r="2801" spans="1:37" x14ac:dyDescent="0.3">
      <c r="A2801">
        <v>6178</v>
      </c>
      <c r="B2801" t="s">
        <v>3368</v>
      </c>
      <c r="D2801" t="s">
        <v>3419</v>
      </c>
      <c r="E2801">
        <v>99999999</v>
      </c>
      <c r="F2801">
        <v>11111111</v>
      </c>
      <c r="G2801">
        <v>1111111111</v>
      </c>
      <c r="H2801" t="s">
        <v>6370</v>
      </c>
      <c r="I2801">
        <v>99999999</v>
      </c>
      <c r="J2801" s="188">
        <v>45236</v>
      </c>
      <c r="K2801" t="s">
        <v>6370</v>
      </c>
      <c r="L2801" t="s">
        <v>6370</v>
      </c>
      <c r="M2801" t="s">
        <v>3426</v>
      </c>
      <c r="N2801" t="s">
        <v>522</v>
      </c>
      <c r="O2801" t="s">
        <v>3427</v>
      </c>
      <c r="P2801" t="s">
        <v>221</v>
      </c>
      <c r="Q2801" t="s">
        <v>82</v>
      </c>
      <c r="R2801">
        <v>1</v>
      </c>
      <c r="S2801">
        <v>1.68</v>
      </c>
      <c r="T2801">
        <v>0</v>
      </c>
      <c r="U2801">
        <v>1</v>
      </c>
      <c r="V2801">
        <v>1</v>
      </c>
      <c r="W2801">
        <v>17.559999999999999</v>
      </c>
      <c r="X2801">
        <v>0</v>
      </c>
      <c r="Y2801">
        <v>0</v>
      </c>
      <c r="Z2801">
        <v>0</v>
      </c>
      <c r="AA2801">
        <v>0</v>
      </c>
      <c r="AB2801">
        <v>0</v>
      </c>
      <c r="AC2801">
        <v>0</v>
      </c>
      <c r="AD2801">
        <v>1</v>
      </c>
      <c r="AE2801">
        <v>0</v>
      </c>
      <c r="AF2801">
        <v>0</v>
      </c>
      <c r="AG2801">
        <v>0</v>
      </c>
      <c r="AH2801">
        <v>0</v>
      </c>
      <c r="AI2801">
        <v>0</v>
      </c>
      <c r="AJ2801">
        <v>0</v>
      </c>
      <c r="AK2801">
        <v>0</v>
      </c>
    </row>
    <row r="2802" spans="1:37" x14ac:dyDescent="0.3">
      <c r="A2802">
        <v>6178</v>
      </c>
      <c r="B2802" t="s">
        <v>3368</v>
      </c>
      <c r="D2802" t="s">
        <v>3419</v>
      </c>
      <c r="E2802">
        <v>99999999</v>
      </c>
      <c r="F2802">
        <v>11111111</v>
      </c>
      <c r="G2802">
        <v>1111111111</v>
      </c>
      <c r="H2802" t="s">
        <v>6371</v>
      </c>
      <c r="I2802">
        <v>99999999</v>
      </c>
      <c r="J2802" s="188">
        <v>45236</v>
      </c>
      <c r="K2802" t="s">
        <v>6371</v>
      </c>
      <c r="L2802" t="s">
        <v>6371</v>
      </c>
      <c r="M2802" t="s">
        <v>827</v>
      </c>
      <c r="N2802" t="s">
        <v>381</v>
      </c>
      <c r="O2802" t="s">
        <v>3428</v>
      </c>
      <c r="P2802" t="s">
        <v>221</v>
      </c>
      <c r="Q2802" t="s">
        <v>82</v>
      </c>
      <c r="R2802">
        <v>1</v>
      </c>
      <c r="S2802">
        <v>4.0999999999999996</v>
      </c>
      <c r="T2802">
        <v>0</v>
      </c>
      <c r="U2802">
        <v>1</v>
      </c>
      <c r="V2802">
        <v>1</v>
      </c>
      <c r="W2802">
        <v>21.54</v>
      </c>
      <c r="X2802">
        <v>0</v>
      </c>
      <c r="Y2802">
        <v>0</v>
      </c>
      <c r="Z2802">
        <v>0</v>
      </c>
      <c r="AA2802">
        <v>0</v>
      </c>
      <c r="AB2802">
        <v>0</v>
      </c>
      <c r="AC2802">
        <v>0</v>
      </c>
      <c r="AD2802">
        <v>1</v>
      </c>
      <c r="AE2802">
        <v>0</v>
      </c>
      <c r="AF2802">
        <v>0</v>
      </c>
      <c r="AG2802">
        <v>0</v>
      </c>
      <c r="AH2802">
        <v>0</v>
      </c>
      <c r="AI2802">
        <v>0</v>
      </c>
      <c r="AJ2802">
        <v>0</v>
      </c>
      <c r="AK2802">
        <v>0</v>
      </c>
    </row>
    <row r="2803" spans="1:37" x14ac:dyDescent="0.3">
      <c r="A2803">
        <v>6178</v>
      </c>
      <c r="B2803" t="s">
        <v>3368</v>
      </c>
      <c r="D2803" t="s">
        <v>3419</v>
      </c>
      <c r="E2803">
        <v>99999999</v>
      </c>
      <c r="F2803">
        <v>11111111</v>
      </c>
      <c r="G2803">
        <v>1111111111</v>
      </c>
      <c r="H2803" t="s">
        <v>6372</v>
      </c>
      <c r="I2803">
        <v>99999999</v>
      </c>
      <c r="J2803" s="188">
        <v>45236</v>
      </c>
      <c r="K2803" t="s">
        <v>6372</v>
      </c>
      <c r="L2803" t="s">
        <v>6372</v>
      </c>
      <c r="M2803" t="s">
        <v>193</v>
      </c>
      <c r="N2803" t="s">
        <v>85</v>
      </c>
      <c r="O2803" t="s">
        <v>3429</v>
      </c>
      <c r="P2803" t="s">
        <v>221</v>
      </c>
      <c r="Q2803" t="s">
        <v>82</v>
      </c>
      <c r="R2803">
        <v>1</v>
      </c>
      <c r="S2803">
        <v>4.0999999999999996</v>
      </c>
      <c r="T2803">
        <v>0</v>
      </c>
      <c r="U2803">
        <v>1</v>
      </c>
      <c r="V2803">
        <v>1</v>
      </c>
      <c r="W2803">
        <v>17.38</v>
      </c>
      <c r="X2803">
        <v>0</v>
      </c>
      <c r="Y2803">
        <v>0</v>
      </c>
      <c r="Z2803">
        <v>0</v>
      </c>
      <c r="AA2803">
        <v>0</v>
      </c>
      <c r="AB2803">
        <v>0</v>
      </c>
      <c r="AC2803">
        <v>0</v>
      </c>
      <c r="AD2803">
        <v>1</v>
      </c>
      <c r="AE2803">
        <v>0</v>
      </c>
      <c r="AF2803">
        <v>0</v>
      </c>
      <c r="AG2803">
        <v>0</v>
      </c>
      <c r="AH2803">
        <v>0</v>
      </c>
      <c r="AI2803">
        <v>0</v>
      </c>
      <c r="AJ2803">
        <v>0</v>
      </c>
      <c r="AK2803">
        <v>0</v>
      </c>
    </row>
    <row r="2804" spans="1:37" x14ac:dyDescent="0.3">
      <c r="A2804">
        <v>6178</v>
      </c>
      <c r="B2804" t="s">
        <v>3368</v>
      </c>
      <c r="D2804" t="s">
        <v>3419</v>
      </c>
      <c r="E2804">
        <v>99999999</v>
      </c>
      <c r="F2804">
        <v>11111111</v>
      </c>
      <c r="G2804">
        <v>1111111111</v>
      </c>
      <c r="H2804" t="s">
        <v>6373</v>
      </c>
      <c r="I2804">
        <v>99999999</v>
      </c>
      <c r="J2804" s="188">
        <v>45236</v>
      </c>
      <c r="K2804" t="s">
        <v>6373</v>
      </c>
      <c r="L2804" t="s">
        <v>6373</v>
      </c>
      <c r="M2804" t="s">
        <v>799</v>
      </c>
      <c r="N2804" t="s">
        <v>197</v>
      </c>
      <c r="O2804" t="s">
        <v>3430</v>
      </c>
      <c r="P2804" t="s">
        <v>221</v>
      </c>
      <c r="Q2804" t="s">
        <v>82</v>
      </c>
      <c r="R2804">
        <v>1</v>
      </c>
      <c r="S2804">
        <v>2.4</v>
      </c>
      <c r="T2804">
        <v>0</v>
      </c>
      <c r="U2804">
        <v>1</v>
      </c>
      <c r="V2804">
        <v>1</v>
      </c>
      <c r="W2804">
        <v>17.809999999999999</v>
      </c>
      <c r="X2804">
        <v>0</v>
      </c>
      <c r="Y2804">
        <v>0</v>
      </c>
      <c r="Z2804">
        <v>0</v>
      </c>
      <c r="AA2804">
        <v>0</v>
      </c>
      <c r="AB2804">
        <v>0</v>
      </c>
      <c r="AC2804">
        <v>0</v>
      </c>
      <c r="AD2804">
        <v>1</v>
      </c>
      <c r="AE2804">
        <v>0</v>
      </c>
      <c r="AF2804">
        <v>0</v>
      </c>
      <c r="AG2804">
        <v>0</v>
      </c>
      <c r="AH2804">
        <v>0</v>
      </c>
      <c r="AI2804">
        <v>0</v>
      </c>
      <c r="AJ2804">
        <v>0</v>
      </c>
      <c r="AK2804">
        <v>0</v>
      </c>
    </row>
    <row r="2805" spans="1:37" x14ac:dyDescent="0.3">
      <c r="A2805">
        <v>6178</v>
      </c>
      <c r="B2805" t="s">
        <v>3368</v>
      </c>
      <c r="D2805" t="s">
        <v>3419</v>
      </c>
      <c r="E2805">
        <v>99999999</v>
      </c>
      <c r="F2805">
        <v>11111111</v>
      </c>
      <c r="G2805">
        <v>1111111111</v>
      </c>
      <c r="H2805" t="s">
        <v>6374</v>
      </c>
      <c r="I2805">
        <v>99999999</v>
      </c>
      <c r="J2805" s="188">
        <v>45236</v>
      </c>
      <c r="K2805" t="s">
        <v>6374</v>
      </c>
      <c r="L2805" t="s">
        <v>6374</v>
      </c>
      <c r="M2805" t="s">
        <v>3431</v>
      </c>
      <c r="N2805" t="s">
        <v>88</v>
      </c>
      <c r="O2805" t="s">
        <v>3432</v>
      </c>
      <c r="P2805" t="s">
        <v>221</v>
      </c>
      <c r="Q2805" t="s">
        <v>82</v>
      </c>
      <c r="R2805">
        <v>1</v>
      </c>
      <c r="S2805">
        <v>4.0999999999999996</v>
      </c>
      <c r="T2805">
        <v>0</v>
      </c>
      <c r="U2805">
        <v>1</v>
      </c>
      <c r="V2805">
        <v>1</v>
      </c>
      <c r="W2805">
        <v>26.99</v>
      </c>
      <c r="X2805">
        <v>0</v>
      </c>
      <c r="Y2805">
        <v>0</v>
      </c>
      <c r="Z2805">
        <v>0</v>
      </c>
      <c r="AA2805">
        <v>0</v>
      </c>
      <c r="AB2805">
        <v>0</v>
      </c>
      <c r="AC2805">
        <v>0</v>
      </c>
      <c r="AD2805">
        <v>1</v>
      </c>
      <c r="AE2805">
        <v>0</v>
      </c>
      <c r="AF2805">
        <v>0</v>
      </c>
      <c r="AG2805">
        <v>0</v>
      </c>
      <c r="AH2805">
        <v>0</v>
      </c>
      <c r="AI2805">
        <v>0</v>
      </c>
      <c r="AJ2805">
        <v>0</v>
      </c>
      <c r="AK2805">
        <v>0</v>
      </c>
    </row>
    <row r="2806" spans="1:37" x14ac:dyDescent="0.3">
      <c r="A2806">
        <v>6178</v>
      </c>
      <c r="B2806" t="s">
        <v>3368</v>
      </c>
      <c r="D2806" t="s">
        <v>3419</v>
      </c>
      <c r="E2806">
        <v>99999999</v>
      </c>
      <c r="F2806">
        <v>11111111</v>
      </c>
      <c r="G2806">
        <v>1111111111</v>
      </c>
      <c r="H2806" t="s">
        <v>6375</v>
      </c>
      <c r="I2806">
        <v>99999999</v>
      </c>
      <c r="J2806" s="188">
        <v>45236</v>
      </c>
      <c r="K2806" t="s">
        <v>6375</v>
      </c>
      <c r="L2806" t="s">
        <v>6375</v>
      </c>
      <c r="M2806" t="s">
        <v>3433</v>
      </c>
      <c r="N2806" t="s">
        <v>233</v>
      </c>
      <c r="O2806" t="s">
        <v>3434</v>
      </c>
      <c r="P2806" t="s">
        <v>221</v>
      </c>
      <c r="Q2806" t="s">
        <v>82</v>
      </c>
      <c r="R2806">
        <v>1</v>
      </c>
      <c r="S2806">
        <v>3.24</v>
      </c>
      <c r="T2806">
        <v>0</v>
      </c>
      <c r="U2806">
        <v>1</v>
      </c>
      <c r="V2806">
        <v>1</v>
      </c>
      <c r="W2806">
        <v>21.81</v>
      </c>
      <c r="X2806">
        <v>0</v>
      </c>
      <c r="Y2806">
        <v>0</v>
      </c>
      <c r="Z2806">
        <v>0</v>
      </c>
      <c r="AA2806">
        <v>0</v>
      </c>
      <c r="AB2806">
        <v>0</v>
      </c>
      <c r="AC2806">
        <v>0</v>
      </c>
      <c r="AD2806">
        <v>1</v>
      </c>
      <c r="AE2806">
        <v>0</v>
      </c>
      <c r="AF2806">
        <v>0</v>
      </c>
      <c r="AG2806">
        <v>0</v>
      </c>
      <c r="AH2806">
        <v>0</v>
      </c>
      <c r="AI2806">
        <v>0</v>
      </c>
      <c r="AJ2806">
        <v>0</v>
      </c>
      <c r="AK2806">
        <v>0</v>
      </c>
    </row>
    <row r="2807" spans="1:37" x14ac:dyDescent="0.3">
      <c r="A2807">
        <v>6178</v>
      </c>
      <c r="B2807" t="s">
        <v>3368</v>
      </c>
      <c r="D2807" t="s">
        <v>3419</v>
      </c>
      <c r="E2807">
        <v>99999999</v>
      </c>
      <c r="F2807">
        <v>11111111</v>
      </c>
      <c r="G2807">
        <v>1111111111</v>
      </c>
      <c r="H2807" t="s">
        <v>6376</v>
      </c>
      <c r="I2807">
        <v>99999999</v>
      </c>
      <c r="J2807" s="188">
        <v>45237</v>
      </c>
      <c r="K2807" t="s">
        <v>6376</v>
      </c>
      <c r="L2807" t="s">
        <v>6376</v>
      </c>
      <c r="M2807" t="s">
        <v>3435</v>
      </c>
      <c r="N2807" t="s">
        <v>186</v>
      </c>
      <c r="O2807" t="s">
        <v>3436</v>
      </c>
      <c r="P2807" t="s">
        <v>221</v>
      </c>
      <c r="Q2807" t="s">
        <v>82</v>
      </c>
      <c r="R2807">
        <v>1</v>
      </c>
      <c r="S2807">
        <v>1.68</v>
      </c>
      <c r="T2807">
        <v>0</v>
      </c>
      <c r="U2807">
        <v>1</v>
      </c>
      <c r="V2807">
        <v>1</v>
      </c>
      <c r="W2807">
        <v>17.559999999999999</v>
      </c>
      <c r="X2807">
        <v>0</v>
      </c>
      <c r="Y2807">
        <v>0</v>
      </c>
      <c r="Z2807">
        <v>0</v>
      </c>
      <c r="AA2807">
        <v>0</v>
      </c>
      <c r="AB2807">
        <v>0</v>
      </c>
      <c r="AC2807">
        <v>0</v>
      </c>
      <c r="AD2807">
        <v>1</v>
      </c>
      <c r="AE2807">
        <v>0</v>
      </c>
      <c r="AF2807">
        <v>0</v>
      </c>
      <c r="AG2807">
        <v>0</v>
      </c>
      <c r="AH2807">
        <v>0</v>
      </c>
      <c r="AI2807">
        <v>0</v>
      </c>
      <c r="AJ2807">
        <v>0</v>
      </c>
      <c r="AK2807">
        <v>0</v>
      </c>
    </row>
    <row r="2808" spans="1:37" x14ac:dyDescent="0.3">
      <c r="A2808">
        <v>6178</v>
      </c>
      <c r="B2808" t="s">
        <v>3368</v>
      </c>
      <c r="D2808" t="s">
        <v>3419</v>
      </c>
      <c r="E2808">
        <v>99999999</v>
      </c>
      <c r="F2808">
        <v>11111111</v>
      </c>
      <c r="G2808">
        <v>1111111111</v>
      </c>
      <c r="H2808" t="s">
        <v>6377</v>
      </c>
      <c r="I2808">
        <v>99999999</v>
      </c>
      <c r="J2808" s="188">
        <v>45237</v>
      </c>
      <c r="K2808" t="s">
        <v>6377</v>
      </c>
      <c r="L2808" t="s">
        <v>6377</v>
      </c>
      <c r="M2808" t="s">
        <v>3437</v>
      </c>
      <c r="N2808" t="s">
        <v>522</v>
      </c>
      <c r="O2808" t="s">
        <v>3438</v>
      </c>
      <c r="P2808" t="s">
        <v>221</v>
      </c>
      <c r="Q2808" t="s">
        <v>82</v>
      </c>
      <c r="R2808">
        <v>1</v>
      </c>
      <c r="S2808">
        <v>2.4</v>
      </c>
      <c r="T2808">
        <v>0</v>
      </c>
      <c r="U2808">
        <v>1</v>
      </c>
      <c r="V2808">
        <v>1</v>
      </c>
      <c r="W2808">
        <v>19.27</v>
      </c>
      <c r="X2808">
        <v>0</v>
      </c>
      <c r="Y2808">
        <v>0</v>
      </c>
      <c r="Z2808">
        <v>0</v>
      </c>
      <c r="AA2808">
        <v>0</v>
      </c>
      <c r="AB2808">
        <v>0</v>
      </c>
      <c r="AC2808">
        <v>0</v>
      </c>
      <c r="AD2808">
        <v>1</v>
      </c>
      <c r="AE2808">
        <v>0</v>
      </c>
      <c r="AF2808">
        <v>0</v>
      </c>
      <c r="AG2808">
        <v>0</v>
      </c>
      <c r="AH2808">
        <v>0</v>
      </c>
      <c r="AI2808">
        <v>0</v>
      </c>
      <c r="AJ2808">
        <v>0</v>
      </c>
      <c r="AK2808">
        <v>0</v>
      </c>
    </row>
    <row r="2809" spans="1:37" x14ac:dyDescent="0.3">
      <c r="A2809">
        <v>6178</v>
      </c>
      <c r="B2809" t="s">
        <v>3368</v>
      </c>
      <c r="D2809" t="s">
        <v>3419</v>
      </c>
      <c r="E2809">
        <v>99999999</v>
      </c>
      <c r="F2809">
        <v>11111111</v>
      </c>
      <c r="G2809">
        <v>1111111111</v>
      </c>
      <c r="H2809" t="s">
        <v>6378</v>
      </c>
      <c r="I2809">
        <v>99999999</v>
      </c>
      <c r="J2809" s="188">
        <v>45237</v>
      </c>
      <c r="K2809" t="s">
        <v>6378</v>
      </c>
      <c r="L2809" t="s">
        <v>6378</v>
      </c>
      <c r="M2809" t="s">
        <v>3439</v>
      </c>
      <c r="N2809" t="s">
        <v>197</v>
      </c>
      <c r="O2809" t="s">
        <v>3440</v>
      </c>
      <c r="P2809" t="s">
        <v>221</v>
      </c>
      <c r="Q2809" t="s">
        <v>82</v>
      </c>
      <c r="R2809">
        <v>1</v>
      </c>
      <c r="S2809">
        <v>4.0999999999999996</v>
      </c>
      <c r="T2809">
        <v>0</v>
      </c>
      <c r="U2809">
        <v>1</v>
      </c>
      <c r="V2809">
        <v>1</v>
      </c>
      <c r="W2809">
        <v>19.57</v>
      </c>
      <c r="X2809">
        <v>0</v>
      </c>
      <c r="Y2809">
        <v>0</v>
      </c>
      <c r="Z2809">
        <v>0</v>
      </c>
      <c r="AA2809">
        <v>0</v>
      </c>
      <c r="AB2809">
        <v>0</v>
      </c>
      <c r="AC2809">
        <v>0</v>
      </c>
      <c r="AD2809">
        <v>1</v>
      </c>
      <c r="AE2809">
        <v>0</v>
      </c>
      <c r="AF2809">
        <v>0</v>
      </c>
      <c r="AG2809">
        <v>0</v>
      </c>
      <c r="AH2809">
        <v>0</v>
      </c>
      <c r="AI2809">
        <v>0</v>
      </c>
      <c r="AJ2809">
        <v>0</v>
      </c>
      <c r="AK2809">
        <v>0</v>
      </c>
    </row>
    <row r="2810" spans="1:37" x14ac:dyDescent="0.3">
      <c r="A2810">
        <v>6178</v>
      </c>
      <c r="B2810" t="s">
        <v>3368</v>
      </c>
      <c r="D2810" t="s">
        <v>3419</v>
      </c>
      <c r="E2810">
        <v>99999999</v>
      </c>
      <c r="F2810">
        <v>11111111</v>
      </c>
      <c r="G2810">
        <v>1111111111</v>
      </c>
      <c r="H2810" t="s">
        <v>6379</v>
      </c>
      <c r="I2810">
        <v>99999999</v>
      </c>
      <c r="J2810" s="188">
        <v>45238</v>
      </c>
      <c r="K2810" t="s">
        <v>6379</v>
      </c>
      <c r="L2810" t="s">
        <v>6379</v>
      </c>
      <c r="M2810" t="s">
        <v>3441</v>
      </c>
      <c r="N2810" t="s">
        <v>151</v>
      </c>
      <c r="O2810" t="s">
        <v>3442</v>
      </c>
      <c r="P2810" t="s">
        <v>221</v>
      </c>
      <c r="Q2810" t="s">
        <v>82</v>
      </c>
      <c r="R2810">
        <v>1</v>
      </c>
      <c r="S2810">
        <v>2.4</v>
      </c>
      <c r="T2810">
        <v>0</v>
      </c>
      <c r="U2810">
        <v>1</v>
      </c>
      <c r="V2810">
        <v>1</v>
      </c>
      <c r="W2810">
        <v>19.22</v>
      </c>
      <c r="X2810">
        <v>0</v>
      </c>
      <c r="Y2810">
        <v>0</v>
      </c>
      <c r="Z2810">
        <v>0</v>
      </c>
      <c r="AA2810">
        <v>0</v>
      </c>
      <c r="AB2810">
        <v>0</v>
      </c>
      <c r="AC2810">
        <v>0</v>
      </c>
      <c r="AD2810">
        <v>1</v>
      </c>
      <c r="AE2810">
        <v>0</v>
      </c>
      <c r="AF2810">
        <v>0</v>
      </c>
      <c r="AG2810">
        <v>0</v>
      </c>
      <c r="AH2810">
        <v>0</v>
      </c>
      <c r="AI2810">
        <v>0</v>
      </c>
      <c r="AJ2810">
        <v>0</v>
      </c>
      <c r="AK2810">
        <v>0</v>
      </c>
    </row>
    <row r="2811" spans="1:37" x14ac:dyDescent="0.3">
      <c r="A2811">
        <v>6178</v>
      </c>
      <c r="B2811" t="s">
        <v>3368</v>
      </c>
      <c r="D2811" t="s">
        <v>3419</v>
      </c>
      <c r="E2811">
        <v>99999999</v>
      </c>
      <c r="F2811">
        <v>11111111</v>
      </c>
      <c r="G2811">
        <v>1111111111</v>
      </c>
      <c r="H2811" t="s">
        <v>6380</v>
      </c>
      <c r="I2811">
        <v>99999999</v>
      </c>
      <c r="J2811" s="188">
        <v>45238</v>
      </c>
      <c r="K2811" t="s">
        <v>6380</v>
      </c>
      <c r="L2811" t="s">
        <v>6380</v>
      </c>
      <c r="M2811" t="s">
        <v>3205</v>
      </c>
      <c r="N2811" t="s">
        <v>980</v>
      </c>
      <c r="O2811" t="s">
        <v>3443</v>
      </c>
      <c r="P2811" t="s">
        <v>221</v>
      </c>
      <c r="Q2811" t="s">
        <v>82</v>
      </c>
      <c r="R2811">
        <v>1</v>
      </c>
      <c r="S2811">
        <v>2.4</v>
      </c>
      <c r="T2811">
        <v>0</v>
      </c>
      <c r="U2811">
        <v>1</v>
      </c>
      <c r="V2811">
        <v>1</v>
      </c>
      <c r="W2811">
        <v>23.53</v>
      </c>
      <c r="X2811">
        <v>0</v>
      </c>
      <c r="Y2811">
        <v>0</v>
      </c>
      <c r="Z2811">
        <v>0</v>
      </c>
      <c r="AA2811">
        <v>0</v>
      </c>
      <c r="AB2811">
        <v>0</v>
      </c>
      <c r="AC2811">
        <v>0</v>
      </c>
      <c r="AD2811">
        <v>1</v>
      </c>
      <c r="AE2811">
        <v>0</v>
      </c>
      <c r="AF2811">
        <v>0</v>
      </c>
      <c r="AG2811">
        <v>0</v>
      </c>
      <c r="AH2811">
        <v>0</v>
      </c>
      <c r="AI2811">
        <v>0</v>
      </c>
      <c r="AJ2811">
        <v>0</v>
      </c>
      <c r="AK2811">
        <v>0</v>
      </c>
    </row>
    <row r="2812" spans="1:37" x14ac:dyDescent="0.3">
      <c r="A2812">
        <v>6178</v>
      </c>
      <c r="B2812" t="s">
        <v>3368</v>
      </c>
      <c r="D2812" t="s">
        <v>3419</v>
      </c>
      <c r="E2812">
        <v>99999999</v>
      </c>
      <c r="F2812">
        <v>11111111</v>
      </c>
      <c r="G2812">
        <v>1111111111</v>
      </c>
      <c r="H2812" t="s">
        <v>6381</v>
      </c>
      <c r="I2812">
        <v>99999999</v>
      </c>
      <c r="J2812" s="188">
        <v>45238</v>
      </c>
      <c r="K2812" t="s">
        <v>6381</v>
      </c>
      <c r="L2812" t="s">
        <v>6381</v>
      </c>
      <c r="M2812" t="s">
        <v>3444</v>
      </c>
      <c r="N2812" t="s">
        <v>522</v>
      </c>
      <c r="O2812" t="s">
        <v>3445</v>
      </c>
      <c r="P2812" t="s">
        <v>221</v>
      </c>
      <c r="Q2812" t="s">
        <v>82</v>
      </c>
      <c r="R2812">
        <v>1</v>
      </c>
      <c r="S2812">
        <v>1.68</v>
      </c>
      <c r="T2812">
        <v>0</v>
      </c>
      <c r="U2812">
        <v>1</v>
      </c>
      <c r="V2812">
        <v>1</v>
      </c>
      <c r="W2812">
        <v>17.52</v>
      </c>
      <c r="X2812">
        <v>0</v>
      </c>
      <c r="Y2812">
        <v>0</v>
      </c>
      <c r="Z2812">
        <v>0</v>
      </c>
      <c r="AA2812">
        <v>0</v>
      </c>
      <c r="AB2812">
        <v>0</v>
      </c>
      <c r="AC2812">
        <v>0</v>
      </c>
      <c r="AD2812">
        <v>1</v>
      </c>
      <c r="AE2812">
        <v>0</v>
      </c>
      <c r="AF2812">
        <v>0</v>
      </c>
      <c r="AG2812">
        <v>0</v>
      </c>
      <c r="AH2812">
        <v>0</v>
      </c>
      <c r="AI2812">
        <v>0</v>
      </c>
      <c r="AJ2812">
        <v>0</v>
      </c>
      <c r="AK2812">
        <v>0</v>
      </c>
    </row>
    <row r="2813" spans="1:37" x14ac:dyDescent="0.3">
      <c r="A2813">
        <v>6178</v>
      </c>
      <c r="B2813" t="s">
        <v>3368</v>
      </c>
      <c r="D2813" t="s">
        <v>3419</v>
      </c>
      <c r="E2813">
        <v>99999999</v>
      </c>
      <c r="F2813">
        <v>11111111</v>
      </c>
      <c r="G2813">
        <v>1111111111</v>
      </c>
      <c r="H2813" t="s">
        <v>6382</v>
      </c>
      <c r="I2813">
        <v>99999999</v>
      </c>
      <c r="J2813" s="188">
        <v>45238</v>
      </c>
      <c r="K2813" t="s">
        <v>6382</v>
      </c>
      <c r="L2813" t="s">
        <v>6382</v>
      </c>
      <c r="M2813" t="s">
        <v>3446</v>
      </c>
      <c r="N2813" t="s">
        <v>206</v>
      </c>
      <c r="O2813" t="s">
        <v>3447</v>
      </c>
      <c r="P2813" t="s">
        <v>221</v>
      </c>
      <c r="Q2813" t="s">
        <v>82</v>
      </c>
      <c r="R2813">
        <v>1</v>
      </c>
      <c r="S2813">
        <v>4.0999999999999996</v>
      </c>
      <c r="T2813">
        <v>0</v>
      </c>
      <c r="U2813">
        <v>1</v>
      </c>
      <c r="V2813">
        <v>1</v>
      </c>
      <c r="W2813">
        <v>20.55</v>
      </c>
      <c r="X2813">
        <v>0</v>
      </c>
      <c r="Y2813">
        <v>0</v>
      </c>
      <c r="Z2813">
        <v>0</v>
      </c>
      <c r="AA2813">
        <v>0</v>
      </c>
      <c r="AB2813">
        <v>0</v>
      </c>
      <c r="AC2813">
        <v>0</v>
      </c>
      <c r="AD2813">
        <v>1</v>
      </c>
      <c r="AE2813">
        <v>0</v>
      </c>
      <c r="AF2813">
        <v>0</v>
      </c>
      <c r="AG2813">
        <v>0</v>
      </c>
      <c r="AH2813">
        <v>0</v>
      </c>
      <c r="AI2813">
        <v>0</v>
      </c>
      <c r="AJ2813">
        <v>0</v>
      </c>
      <c r="AK2813">
        <v>0</v>
      </c>
    </row>
    <row r="2814" spans="1:37" x14ac:dyDescent="0.3">
      <c r="A2814">
        <v>6178</v>
      </c>
      <c r="B2814" t="s">
        <v>3368</v>
      </c>
      <c r="D2814" t="s">
        <v>3419</v>
      </c>
      <c r="E2814">
        <v>99999999</v>
      </c>
      <c r="F2814">
        <v>11111111</v>
      </c>
      <c r="G2814">
        <v>1111111111</v>
      </c>
      <c r="H2814" t="s">
        <v>6383</v>
      </c>
      <c r="I2814">
        <v>99999999</v>
      </c>
      <c r="J2814" s="188">
        <v>45238</v>
      </c>
      <c r="K2814" t="s">
        <v>6383</v>
      </c>
      <c r="L2814" t="s">
        <v>6383</v>
      </c>
      <c r="M2814" t="s">
        <v>865</v>
      </c>
      <c r="N2814" t="s">
        <v>91</v>
      </c>
      <c r="O2814" t="s">
        <v>3448</v>
      </c>
      <c r="P2814" t="s">
        <v>221</v>
      </c>
      <c r="Q2814" t="s">
        <v>82</v>
      </c>
      <c r="R2814">
        <v>1</v>
      </c>
      <c r="S2814">
        <v>1.68</v>
      </c>
      <c r="T2814">
        <v>0</v>
      </c>
      <c r="U2814">
        <v>1</v>
      </c>
      <c r="V2814">
        <v>1</v>
      </c>
      <c r="W2814">
        <v>15.96</v>
      </c>
      <c r="X2814">
        <v>0</v>
      </c>
      <c r="Y2814">
        <v>0</v>
      </c>
      <c r="Z2814">
        <v>0</v>
      </c>
      <c r="AA2814">
        <v>0</v>
      </c>
      <c r="AB2814">
        <v>0</v>
      </c>
      <c r="AC2814">
        <v>0</v>
      </c>
      <c r="AD2814">
        <v>1</v>
      </c>
      <c r="AE2814">
        <v>0</v>
      </c>
      <c r="AF2814">
        <v>0</v>
      </c>
      <c r="AG2814">
        <v>0</v>
      </c>
      <c r="AH2814">
        <v>0</v>
      </c>
      <c r="AI2814">
        <v>0</v>
      </c>
      <c r="AJ2814">
        <v>0</v>
      </c>
      <c r="AK2814">
        <v>0</v>
      </c>
    </row>
    <row r="2815" spans="1:37" x14ac:dyDescent="0.3">
      <c r="A2815">
        <v>6178</v>
      </c>
      <c r="B2815" t="s">
        <v>3368</v>
      </c>
      <c r="D2815" t="s">
        <v>3419</v>
      </c>
      <c r="E2815">
        <v>99999999</v>
      </c>
      <c r="F2815">
        <v>11111111</v>
      </c>
      <c r="G2815">
        <v>1111111111</v>
      </c>
      <c r="H2815" t="s">
        <v>6384</v>
      </c>
      <c r="I2815">
        <v>99999999</v>
      </c>
      <c r="J2815" s="188">
        <v>45238</v>
      </c>
      <c r="K2815" t="s">
        <v>6384</v>
      </c>
      <c r="L2815" t="s">
        <v>6384</v>
      </c>
      <c r="M2815" t="s">
        <v>3449</v>
      </c>
      <c r="N2815" t="s">
        <v>99</v>
      </c>
      <c r="O2815" t="s">
        <v>3450</v>
      </c>
      <c r="P2815" t="s">
        <v>221</v>
      </c>
      <c r="Q2815" t="s">
        <v>82</v>
      </c>
      <c r="R2815">
        <v>1</v>
      </c>
      <c r="S2815">
        <v>4.0999999999999996</v>
      </c>
      <c r="T2815">
        <v>0</v>
      </c>
      <c r="U2815">
        <v>1</v>
      </c>
      <c r="V2815">
        <v>1</v>
      </c>
      <c r="W2815">
        <v>18.79</v>
      </c>
      <c r="X2815">
        <v>0</v>
      </c>
      <c r="Y2815">
        <v>0</v>
      </c>
      <c r="Z2815">
        <v>0</v>
      </c>
      <c r="AA2815">
        <v>0</v>
      </c>
      <c r="AB2815">
        <v>0</v>
      </c>
      <c r="AC2815">
        <v>0</v>
      </c>
      <c r="AD2815">
        <v>1</v>
      </c>
      <c r="AE2815">
        <v>0</v>
      </c>
      <c r="AF2815">
        <v>0</v>
      </c>
      <c r="AG2815">
        <v>0</v>
      </c>
      <c r="AH2815">
        <v>0</v>
      </c>
      <c r="AI2815">
        <v>0</v>
      </c>
      <c r="AJ2815">
        <v>0</v>
      </c>
      <c r="AK2815">
        <v>0</v>
      </c>
    </row>
    <row r="2816" spans="1:37" x14ac:dyDescent="0.3">
      <c r="A2816">
        <v>7864</v>
      </c>
      <c r="B2816" t="s">
        <v>234</v>
      </c>
      <c r="D2816" t="s">
        <v>251</v>
      </c>
      <c r="E2816">
        <v>99999999</v>
      </c>
      <c r="F2816">
        <v>11111111</v>
      </c>
      <c r="G2816">
        <v>1111111111</v>
      </c>
      <c r="H2816" t="s">
        <v>6385</v>
      </c>
      <c r="I2816">
        <v>99999999</v>
      </c>
      <c r="J2816" s="188">
        <v>45238</v>
      </c>
      <c r="K2816" t="s">
        <v>6385</v>
      </c>
      <c r="L2816" t="s">
        <v>6385</v>
      </c>
      <c r="M2816" t="s">
        <v>2301</v>
      </c>
      <c r="N2816" t="s">
        <v>151</v>
      </c>
      <c r="O2816">
        <v>27858</v>
      </c>
      <c r="P2816" t="s">
        <v>221</v>
      </c>
      <c r="Q2816" t="s">
        <v>82</v>
      </c>
      <c r="R2816">
        <v>1</v>
      </c>
      <c r="S2816">
        <v>0.86599999999999999</v>
      </c>
      <c r="T2816">
        <v>0</v>
      </c>
      <c r="U2816">
        <v>1</v>
      </c>
      <c r="V2816">
        <v>1</v>
      </c>
      <c r="W2816">
        <v>0</v>
      </c>
      <c r="X2816">
        <v>0</v>
      </c>
      <c r="Y2816">
        <v>0</v>
      </c>
      <c r="Z2816">
        <v>0</v>
      </c>
      <c r="AA2816">
        <v>0</v>
      </c>
      <c r="AB2816">
        <v>0</v>
      </c>
      <c r="AC2816">
        <v>0</v>
      </c>
      <c r="AD2816">
        <v>1</v>
      </c>
      <c r="AE2816">
        <v>0</v>
      </c>
      <c r="AF2816">
        <v>0</v>
      </c>
      <c r="AG2816">
        <v>0</v>
      </c>
      <c r="AH2816">
        <v>0</v>
      </c>
      <c r="AI2816">
        <v>0</v>
      </c>
      <c r="AJ2816">
        <v>0</v>
      </c>
      <c r="AK2816">
        <v>0</v>
      </c>
    </row>
    <row r="2817" spans="1:37" x14ac:dyDescent="0.3">
      <c r="A2817">
        <v>6178</v>
      </c>
      <c r="B2817" t="s">
        <v>3368</v>
      </c>
      <c r="D2817" t="s">
        <v>251</v>
      </c>
      <c r="E2817">
        <v>99999999</v>
      </c>
      <c r="F2817">
        <v>11111111</v>
      </c>
      <c r="G2817">
        <v>1111111111</v>
      </c>
      <c r="H2817" t="s">
        <v>6386</v>
      </c>
      <c r="I2817">
        <v>99999999</v>
      </c>
      <c r="J2817" s="188">
        <v>45236</v>
      </c>
      <c r="K2817" t="s">
        <v>6386</v>
      </c>
      <c r="L2817" t="s">
        <v>6386</v>
      </c>
      <c r="M2817" t="s">
        <v>131</v>
      </c>
      <c r="N2817" t="s">
        <v>99</v>
      </c>
      <c r="O2817" t="s">
        <v>250</v>
      </c>
      <c r="P2817" t="s">
        <v>221</v>
      </c>
      <c r="Q2817" t="s">
        <v>93</v>
      </c>
      <c r="R2817">
        <v>750</v>
      </c>
      <c r="S2817">
        <v>1260</v>
      </c>
      <c r="T2817">
        <v>0</v>
      </c>
      <c r="U2817">
        <v>50</v>
      </c>
      <c r="V2817">
        <v>1</v>
      </c>
      <c r="W2817">
        <v>0</v>
      </c>
      <c r="X2817">
        <v>0</v>
      </c>
      <c r="Y2817">
        <v>0</v>
      </c>
      <c r="Z2817">
        <v>0</v>
      </c>
      <c r="AA2817">
        <v>50</v>
      </c>
      <c r="AB2817">
        <v>0</v>
      </c>
      <c r="AC2817">
        <v>0</v>
      </c>
      <c r="AD2817">
        <v>0</v>
      </c>
      <c r="AE2817">
        <v>0</v>
      </c>
      <c r="AF2817">
        <v>0</v>
      </c>
      <c r="AG2817">
        <v>0</v>
      </c>
      <c r="AH2817">
        <v>0</v>
      </c>
      <c r="AI2817">
        <v>0</v>
      </c>
      <c r="AJ2817">
        <v>0</v>
      </c>
      <c r="AK2817">
        <v>0</v>
      </c>
    </row>
    <row r="2818" spans="1:37" x14ac:dyDescent="0.3">
      <c r="A2818">
        <v>6178</v>
      </c>
      <c r="B2818" t="s">
        <v>3368</v>
      </c>
      <c r="D2818" t="s">
        <v>251</v>
      </c>
      <c r="E2818">
        <v>99999999</v>
      </c>
      <c r="F2818">
        <v>11111111</v>
      </c>
      <c r="G2818">
        <v>1111111111</v>
      </c>
      <c r="H2818" t="s">
        <v>6387</v>
      </c>
      <c r="I2818">
        <v>99999999</v>
      </c>
      <c r="J2818" s="188">
        <v>45237</v>
      </c>
      <c r="K2818" t="s">
        <v>6387</v>
      </c>
      <c r="L2818" t="s">
        <v>6387</v>
      </c>
      <c r="M2818" t="s">
        <v>131</v>
      </c>
      <c r="N2818" t="s">
        <v>99</v>
      </c>
      <c r="O2818" t="s">
        <v>250</v>
      </c>
      <c r="P2818" t="s">
        <v>221</v>
      </c>
      <c r="Q2818" t="s">
        <v>93</v>
      </c>
      <c r="R2818">
        <v>400</v>
      </c>
      <c r="S2818">
        <v>5170</v>
      </c>
      <c r="T2818">
        <v>0</v>
      </c>
      <c r="U2818">
        <v>150</v>
      </c>
      <c r="V2818">
        <v>2</v>
      </c>
      <c r="W2818">
        <v>0</v>
      </c>
      <c r="X2818">
        <v>0</v>
      </c>
      <c r="Y2818">
        <v>0</v>
      </c>
      <c r="Z2818">
        <v>0</v>
      </c>
      <c r="AA2818">
        <v>150</v>
      </c>
      <c r="AB2818">
        <v>0</v>
      </c>
      <c r="AC2818">
        <v>0</v>
      </c>
      <c r="AD2818">
        <v>0</v>
      </c>
      <c r="AE2818">
        <v>0</v>
      </c>
      <c r="AF2818">
        <v>0</v>
      </c>
      <c r="AG2818">
        <v>0</v>
      </c>
      <c r="AH2818">
        <v>0</v>
      </c>
      <c r="AI2818">
        <v>0</v>
      </c>
      <c r="AJ2818">
        <v>0</v>
      </c>
      <c r="AK2818">
        <v>0</v>
      </c>
    </row>
    <row r="2819" spans="1:37" x14ac:dyDescent="0.3">
      <c r="A2819">
        <v>7382</v>
      </c>
      <c r="B2819" t="s">
        <v>3451</v>
      </c>
      <c r="D2819" t="s">
        <v>251</v>
      </c>
      <c r="E2819">
        <v>99999999</v>
      </c>
      <c r="F2819">
        <v>11111111</v>
      </c>
      <c r="G2819">
        <v>1111111111</v>
      </c>
      <c r="H2819" t="s">
        <v>6388</v>
      </c>
      <c r="I2819">
        <v>99999999</v>
      </c>
      <c r="J2819" s="188">
        <v>45236</v>
      </c>
      <c r="K2819" t="s">
        <v>6388</v>
      </c>
      <c r="L2819" t="s">
        <v>6388</v>
      </c>
      <c r="M2819" t="s">
        <v>142</v>
      </c>
      <c r="N2819" t="s">
        <v>97</v>
      </c>
      <c r="O2819">
        <v>99202</v>
      </c>
      <c r="P2819" t="s">
        <v>221</v>
      </c>
      <c r="Q2819" t="s">
        <v>82</v>
      </c>
      <c r="R2819">
        <v>1</v>
      </c>
      <c r="S2819">
        <v>44.97</v>
      </c>
      <c r="T2819">
        <v>0</v>
      </c>
      <c r="U2819">
        <v>1</v>
      </c>
      <c r="V2819">
        <v>1</v>
      </c>
      <c r="W2819">
        <v>41.09</v>
      </c>
      <c r="X2819">
        <v>0</v>
      </c>
      <c r="Y2819">
        <v>0</v>
      </c>
      <c r="Z2819">
        <v>0</v>
      </c>
      <c r="AA2819">
        <v>0</v>
      </c>
      <c r="AB2819">
        <v>0</v>
      </c>
      <c r="AC2819">
        <v>0</v>
      </c>
      <c r="AD2819">
        <v>1</v>
      </c>
      <c r="AE2819">
        <v>0</v>
      </c>
      <c r="AF2819">
        <v>0</v>
      </c>
      <c r="AG2819">
        <v>0</v>
      </c>
      <c r="AH2819">
        <v>0</v>
      </c>
      <c r="AI2819">
        <v>0</v>
      </c>
      <c r="AJ2819">
        <v>0</v>
      </c>
      <c r="AK2819">
        <v>0</v>
      </c>
    </row>
    <row r="2820" spans="1:37" x14ac:dyDescent="0.3">
      <c r="A2820">
        <v>7382</v>
      </c>
      <c r="B2820" t="s">
        <v>3451</v>
      </c>
      <c r="D2820" t="s">
        <v>251</v>
      </c>
      <c r="E2820">
        <v>99999999</v>
      </c>
      <c r="F2820">
        <v>11111111</v>
      </c>
      <c r="G2820">
        <v>1111111111</v>
      </c>
      <c r="H2820" t="s">
        <v>6389</v>
      </c>
      <c r="I2820">
        <v>99999999</v>
      </c>
      <c r="J2820" s="188">
        <v>45236</v>
      </c>
      <c r="K2820" t="s">
        <v>6389</v>
      </c>
      <c r="L2820" t="s">
        <v>6389</v>
      </c>
      <c r="M2820" t="s">
        <v>1375</v>
      </c>
      <c r="N2820" t="s">
        <v>91</v>
      </c>
      <c r="O2820">
        <v>85210</v>
      </c>
      <c r="P2820" t="s">
        <v>221</v>
      </c>
      <c r="Q2820" t="s">
        <v>93</v>
      </c>
      <c r="R2820">
        <v>15</v>
      </c>
      <c r="S2820">
        <v>6.75</v>
      </c>
      <c r="T2820">
        <v>0</v>
      </c>
      <c r="U2820">
        <v>1</v>
      </c>
      <c r="V2820">
        <v>5</v>
      </c>
      <c r="W2820">
        <v>0</v>
      </c>
      <c r="X2820">
        <v>0</v>
      </c>
      <c r="Y2820">
        <v>0</v>
      </c>
      <c r="Z2820">
        <v>0</v>
      </c>
      <c r="AA2820">
        <v>0</v>
      </c>
      <c r="AB2820">
        <v>0</v>
      </c>
      <c r="AC2820">
        <v>0</v>
      </c>
      <c r="AD2820">
        <v>15</v>
      </c>
      <c r="AE2820">
        <v>0</v>
      </c>
      <c r="AF2820">
        <v>0</v>
      </c>
      <c r="AG2820">
        <v>0</v>
      </c>
      <c r="AH2820">
        <v>0</v>
      </c>
      <c r="AI2820">
        <v>0</v>
      </c>
      <c r="AJ2820">
        <v>0</v>
      </c>
      <c r="AK2820">
        <v>0</v>
      </c>
    </row>
    <row r="2821" spans="1:37" x14ac:dyDescent="0.3">
      <c r="A2821">
        <v>7382</v>
      </c>
      <c r="B2821" t="s">
        <v>3451</v>
      </c>
      <c r="D2821" t="s">
        <v>251</v>
      </c>
      <c r="E2821">
        <v>99999999</v>
      </c>
      <c r="F2821">
        <v>11111111</v>
      </c>
      <c r="G2821">
        <v>1111111111</v>
      </c>
      <c r="H2821" t="s">
        <v>6390</v>
      </c>
      <c r="I2821">
        <v>99999999</v>
      </c>
      <c r="J2821" s="188">
        <v>45237</v>
      </c>
      <c r="K2821" t="s">
        <v>6390</v>
      </c>
      <c r="L2821" t="s">
        <v>6390</v>
      </c>
      <c r="M2821" t="s">
        <v>202</v>
      </c>
      <c r="N2821" t="s">
        <v>135</v>
      </c>
      <c r="O2821">
        <v>84104</v>
      </c>
      <c r="P2821" t="s">
        <v>221</v>
      </c>
      <c r="Q2821" t="s">
        <v>93</v>
      </c>
      <c r="R2821">
        <v>4</v>
      </c>
      <c r="S2821">
        <v>48</v>
      </c>
      <c r="T2821">
        <v>0</v>
      </c>
      <c r="U2821">
        <v>2</v>
      </c>
      <c r="V2821">
        <v>1</v>
      </c>
      <c r="W2821">
        <v>0</v>
      </c>
      <c r="X2821">
        <v>0</v>
      </c>
      <c r="Y2821">
        <v>0</v>
      </c>
      <c r="Z2821">
        <v>0</v>
      </c>
      <c r="AA2821">
        <v>0</v>
      </c>
      <c r="AB2821">
        <v>0</v>
      </c>
      <c r="AC2821">
        <v>0</v>
      </c>
      <c r="AD2821">
        <v>4</v>
      </c>
      <c r="AE2821">
        <v>0</v>
      </c>
      <c r="AF2821">
        <v>0</v>
      </c>
      <c r="AG2821">
        <v>0</v>
      </c>
      <c r="AH2821">
        <v>0</v>
      </c>
      <c r="AI2821">
        <v>0</v>
      </c>
      <c r="AJ2821">
        <v>0</v>
      </c>
      <c r="AK2821">
        <v>0</v>
      </c>
    </row>
    <row r="2822" spans="1:37" x14ac:dyDescent="0.3">
      <c r="A2822">
        <v>7382</v>
      </c>
      <c r="B2822" t="s">
        <v>3451</v>
      </c>
      <c r="D2822" t="s">
        <v>251</v>
      </c>
      <c r="E2822">
        <v>99999999</v>
      </c>
      <c r="F2822">
        <v>11111111</v>
      </c>
      <c r="G2822">
        <v>1111111111</v>
      </c>
      <c r="H2822" t="s">
        <v>6391</v>
      </c>
      <c r="I2822">
        <v>99999999</v>
      </c>
      <c r="J2822" s="188">
        <v>45237</v>
      </c>
      <c r="K2822" t="s">
        <v>6391</v>
      </c>
      <c r="L2822" t="s">
        <v>6391</v>
      </c>
      <c r="M2822" t="s">
        <v>142</v>
      </c>
      <c r="N2822" t="s">
        <v>97</v>
      </c>
      <c r="O2822">
        <v>99202</v>
      </c>
      <c r="P2822" t="s">
        <v>221</v>
      </c>
      <c r="Q2822" t="s">
        <v>93</v>
      </c>
      <c r="R2822">
        <v>7</v>
      </c>
      <c r="S2822">
        <v>84</v>
      </c>
      <c r="T2822">
        <v>0</v>
      </c>
      <c r="U2822">
        <v>2</v>
      </c>
      <c r="V2822">
        <v>1</v>
      </c>
      <c r="W2822">
        <v>0</v>
      </c>
      <c r="X2822">
        <v>0</v>
      </c>
      <c r="Y2822">
        <v>0</v>
      </c>
      <c r="Z2822">
        <v>0</v>
      </c>
      <c r="AA2822">
        <v>0</v>
      </c>
      <c r="AB2822">
        <v>0</v>
      </c>
      <c r="AC2822">
        <v>0</v>
      </c>
      <c r="AD2822">
        <v>7</v>
      </c>
      <c r="AE2822">
        <v>0</v>
      </c>
      <c r="AF2822">
        <v>0</v>
      </c>
      <c r="AG2822">
        <v>0</v>
      </c>
      <c r="AH2822">
        <v>0</v>
      </c>
      <c r="AI2822">
        <v>0</v>
      </c>
      <c r="AJ2822">
        <v>0</v>
      </c>
      <c r="AK2822">
        <v>0</v>
      </c>
    </row>
    <row r="2823" spans="1:37" x14ac:dyDescent="0.3">
      <c r="A2823">
        <v>7382</v>
      </c>
      <c r="B2823" t="s">
        <v>3451</v>
      </c>
      <c r="D2823" t="s">
        <v>251</v>
      </c>
      <c r="E2823">
        <v>99999999</v>
      </c>
      <c r="F2823">
        <v>11111111</v>
      </c>
      <c r="G2823">
        <v>1111111111</v>
      </c>
      <c r="H2823" t="s">
        <v>6392</v>
      </c>
      <c r="I2823">
        <v>99999999</v>
      </c>
      <c r="J2823" s="188">
        <v>45238</v>
      </c>
      <c r="K2823" t="s">
        <v>6392</v>
      </c>
      <c r="L2823" t="s">
        <v>6392</v>
      </c>
      <c r="M2823" t="s">
        <v>3452</v>
      </c>
      <c r="N2823" t="s">
        <v>97</v>
      </c>
      <c r="O2823">
        <v>98903</v>
      </c>
      <c r="P2823" t="s">
        <v>221</v>
      </c>
      <c r="Q2823" t="s">
        <v>93</v>
      </c>
      <c r="R2823">
        <v>2</v>
      </c>
      <c r="S2823">
        <v>81.14</v>
      </c>
      <c r="T2823">
        <v>0</v>
      </c>
      <c r="U2823">
        <v>2</v>
      </c>
      <c r="V2823">
        <v>1</v>
      </c>
      <c r="W2823">
        <v>0</v>
      </c>
      <c r="X2823">
        <v>0</v>
      </c>
      <c r="Y2823">
        <v>0</v>
      </c>
      <c r="Z2823">
        <v>0</v>
      </c>
      <c r="AA2823">
        <v>0</v>
      </c>
      <c r="AB2823">
        <v>0</v>
      </c>
      <c r="AC2823">
        <v>0</v>
      </c>
      <c r="AD2823">
        <v>2</v>
      </c>
      <c r="AE2823">
        <v>0</v>
      </c>
      <c r="AF2823">
        <v>0</v>
      </c>
      <c r="AG2823">
        <v>0</v>
      </c>
      <c r="AH2823">
        <v>0</v>
      </c>
      <c r="AI2823">
        <v>0</v>
      </c>
      <c r="AJ2823">
        <v>0</v>
      </c>
      <c r="AK2823">
        <v>0</v>
      </c>
    </row>
    <row r="2824" spans="1:37" x14ac:dyDescent="0.3">
      <c r="A2824">
        <v>7533</v>
      </c>
      <c r="B2824" t="s">
        <v>3453</v>
      </c>
      <c r="D2824" t="s">
        <v>327</v>
      </c>
      <c r="E2824">
        <v>99999999</v>
      </c>
      <c r="F2824">
        <v>11111111</v>
      </c>
      <c r="G2824">
        <v>1111111111</v>
      </c>
      <c r="H2824" t="s">
        <v>6393</v>
      </c>
      <c r="I2824">
        <v>99999999</v>
      </c>
      <c r="J2824" s="188">
        <v>45236</v>
      </c>
      <c r="K2824" t="s">
        <v>6393</v>
      </c>
      <c r="L2824" t="s">
        <v>6393</v>
      </c>
      <c r="M2824" t="s">
        <v>3454</v>
      </c>
      <c r="N2824" t="s">
        <v>99</v>
      </c>
      <c r="O2824">
        <v>917752316</v>
      </c>
      <c r="P2824" t="s">
        <v>221</v>
      </c>
      <c r="Q2824" t="s">
        <v>82</v>
      </c>
      <c r="R2824">
        <v>1</v>
      </c>
      <c r="S2824">
        <v>16.600000000000001</v>
      </c>
      <c r="T2824">
        <v>0</v>
      </c>
      <c r="U2824">
        <v>1</v>
      </c>
      <c r="V2824">
        <v>1</v>
      </c>
      <c r="W2824">
        <v>26.08</v>
      </c>
      <c r="X2824">
        <v>0</v>
      </c>
      <c r="Y2824">
        <v>0</v>
      </c>
      <c r="Z2824">
        <v>0</v>
      </c>
      <c r="AA2824">
        <v>1</v>
      </c>
      <c r="AB2824">
        <v>0</v>
      </c>
      <c r="AC2824">
        <v>0</v>
      </c>
      <c r="AD2824">
        <v>0</v>
      </c>
      <c r="AE2824">
        <v>0</v>
      </c>
      <c r="AF2824">
        <v>0</v>
      </c>
      <c r="AG2824">
        <v>0</v>
      </c>
      <c r="AH2824">
        <v>0</v>
      </c>
      <c r="AI2824">
        <v>0</v>
      </c>
      <c r="AJ2824">
        <v>0</v>
      </c>
      <c r="AK2824">
        <v>0</v>
      </c>
    </row>
    <row r="2825" spans="1:37" x14ac:dyDescent="0.3">
      <c r="A2825">
        <v>7533</v>
      </c>
      <c r="B2825" t="s">
        <v>3453</v>
      </c>
      <c r="D2825" t="s">
        <v>327</v>
      </c>
      <c r="E2825">
        <v>99999999</v>
      </c>
      <c r="F2825">
        <v>11111111</v>
      </c>
      <c r="G2825">
        <v>1111111111</v>
      </c>
      <c r="H2825" t="s">
        <v>6394</v>
      </c>
      <c r="I2825">
        <v>99999999</v>
      </c>
      <c r="J2825" s="188">
        <v>45236</v>
      </c>
      <c r="K2825" t="s">
        <v>6394</v>
      </c>
      <c r="L2825" t="s">
        <v>6394</v>
      </c>
      <c r="M2825" t="s">
        <v>169</v>
      </c>
      <c r="N2825" t="s">
        <v>99</v>
      </c>
      <c r="O2825">
        <v>953502130</v>
      </c>
      <c r="P2825" t="s">
        <v>221</v>
      </c>
      <c r="Q2825" t="s">
        <v>82</v>
      </c>
      <c r="R2825">
        <v>1</v>
      </c>
      <c r="S2825">
        <v>16.600000000000001</v>
      </c>
      <c r="T2825">
        <v>0</v>
      </c>
      <c r="U2825">
        <v>1</v>
      </c>
      <c r="V2825">
        <v>1</v>
      </c>
      <c r="W2825">
        <v>23.89</v>
      </c>
      <c r="X2825">
        <v>0</v>
      </c>
      <c r="Y2825">
        <v>0</v>
      </c>
      <c r="Z2825">
        <v>0</v>
      </c>
      <c r="AA2825">
        <v>1</v>
      </c>
      <c r="AB2825">
        <v>0</v>
      </c>
      <c r="AC2825">
        <v>0</v>
      </c>
      <c r="AD2825">
        <v>0</v>
      </c>
      <c r="AE2825">
        <v>0</v>
      </c>
      <c r="AF2825">
        <v>0</v>
      </c>
      <c r="AG2825">
        <v>0</v>
      </c>
      <c r="AH2825">
        <v>0</v>
      </c>
      <c r="AI2825">
        <v>0</v>
      </c>
      <c r="AJ2825">
        <v>0</v>
      </c>
      <c r="AK2825">
        <v>0</v>
      </c>
    </row>
    <row r="2826" spans="1:37" x14ac:dyDescent="0.3">
      <c r="A2826">
        <v>7533</v>
      </c>
      <c r="B2826" t="s">
        <v>3453</v>
      </c>
      <c r="D2826" t="s">
        <v>327</v>
      </c>
      <c r="E2826">
        <v>99999999</v>
      </c>
      <c r="F2826">
        <v>11111111</v>
      </c>
      <c r="G2826">
        <v>1111111111</v>
      </c>
      <c r="H2826" t="s">
        <v>6395</v>
      </c>
      <c r="I2826">
        <v>99999999</v>
      </c>
      <c r="J2826" s="188">
        <v>45236</v>
      </c>
      <c r="K2826" t="s">
        <v>6395</v>
      </c>
      <c r="L2826" t="s">
        <v>6395</v>
      </c>
      <c r="M2826" t="s">
        <v>3455</v>
      </c>
      <c r="N2826" t="s">
        <v>91</v>
      </c>
      <c r="O2826">
        <v>853263637</v>
      </c>
      <c r="P2826" t="s">
        <v>221</v>
      </c>
      <c r="Q2826" t="s">
        <v>82</v>
      </c>
      <c r="R2826">
        <v>1</v>
      </c>
      <c r="S2826">
        <v>48.2</v>
      </c>
      <c r="T2826">
        <v>0</v>
      </c>
      <c r="U2826">
        <v>1</v>
      </c>
      <c r="V2826">
        <v>1</v>
      </c>
      <c r="W2826">
        <v>63.63</v>
      </c>
      <c r="X2826">
        <v>0</v>
      </c>
      <c r="Y2826">
        <v>0</v>
      </c>
      <c r="Z2826">
        <v>0</v>
      </c>
      <c r="AA2826">
        <v>1</v>
      </c>
      <c r="AB2826">
        <v>0</v>
      </c>
      <c r="AC2826">
        <v>0</v>
      </c>
      <c r="AD2826">
        <v>0</v>
      </c>
      <c r="AE2826">
        <v>0</v>
      </c>
      <c r="AF2826">
        <v>0</v>
      </c>
      <c r="AG2826">
        <v>0</v>
      </c>
      <c r="AH2826">
        <v>0</v>
      </c>
      <c r="AI2826">
        <v>0</v>
      </c>
      <c r="AJ2826">
        <v>0</v>
      </c>
      <c r="AK2826">
        <v>0</v>
      </c>
    </row>
    <row r="2827" spans="1:37" x14ac:dyDescent="0.3">
      <c r="A2827">
        <v>7533</v>
      </c>
      <c r="B2827" t="s">
        <v>3453</v>
      </c>
      <c r="D2827" t="s">
        <v>327</v>
      </c>
      <c r="E2827">
        <v>99999999</v>
      </c>
      <c r="F2827">
        <v>11111111</v>
      </c>
      <c r="G2827">
        <v>1111111111</v>
      </c>
      <c r="H2827" t="s">
        <v>6396</v>
      </c>
      <c r="I2827">
        <v>99999999</v>
      </c>
      <c r="J2827" s="188">
        <v>45236</v>
      </c>
      <c r="K2827" t="s">
        <v>6396</v>
      </c>
      <c r="L2827" t="s">
        <v>6396</v>
      </c>
      <c r="M2827" t="s">
        <v>1914</v>
      </c>
      <c r="N2827" t="s">
        <v>99</v>
      </c>
      <c r="O2827">
        <v>928863122</v>
      </c>
      <c r="P2827" t="s">
        <v>221</v>
      </c>
      <c r="Q2827" t="s">
        <v>82</v>
      </c>
      <c r="R2827">
        <v>1</v>
      </c>
      <c r="S2827">
        <v>16.600000000000001</v>
      </c>
      <c r="T2827">
        <v>0</v>
      </c>
      <c r="U2827">
        <v>1</v>
      </c>
      <c r="V2827">
        <v>1</v>
      </c>
      <c r="W2827">
        <v>26.08</v>
      </c>
      <c r="X2827">
        <v>0</v>
      </c>
      <c r="Y2827">
        <v>0</v>
      </c>
      <c r="Z2827">
        <v>0</v>
      </c>
      <c r="AA2827">
        <v>1</v>
      </c>
      <c r="AB2827">
        <v>0</v>
      </c>
      <c r="AC2827">
        <v>0</v>
      </c>
      <c r="AD2827">
        <v>0</v>
      </c>
      <c r="AE2827">
        <v>0</v>
      </c>
      <c r="AF2827">
        <v>0</v>
      </c>
      <c r="AG2827">
        <v>0</v>
      </c>
      <c r="AH2827">
        <v>0</v>
      </c>
      <c r="AI2827">
        <v>0</v>
      </c>
      <c r="AJ2827">
        <v>0</v>
      </c>
      <c r="AK2827">
        <v>0</v>
      </c>
    </row>
    <row r="2828" spans="1:37" x14ac:dyDescent="0.3">
      <c r="A2828">
        <v>7533</v>
      </c>
      <c r="B2828" t="s">
        <v>3453</v>
      </c>
      <c r="D2828" t="s">
        <v>327</v>
      </c>
      <c r="E2828">
        <v>99999999</v>
      </c>
      <c r="F2828">
        <v>11111111</v>
      </c>
      <c r="G2828">
        <v>1111111111</v>
      </c>
      <c r="H2828" t="s">
        <v>6397</v>
      </c>
      <c r="I2828">
        <v>99999999</v>
      </c>
      <c r="J2828" s="188">
        <v>45236</v>
      </c>
      <c r="K2828" t="s">
        <v>6397</v>
      </c>
      <c r="L2828" t="s">
        <v>6397</v>
      </c>
      <c r="M2828" t="s">
        <v>1286</v>
      </c>
      <c r="N2828" t="s">
        <v>99</v>
      </c>
      <c r="O2828">
        <v>939238429</v>
      </c>
      <c r="P2828" t="s">
        <v>221</v>
      </c>
      <c r="Q2828" t="s">
        <v>82</v>
      </c>
      <c r="R2828">
        <v>4</v>
      </c>
      <c r="S2828">
        <v>66.400000000000006</v>
      </c>
      <c r="T2828">
        <v>0</v>
      </c>
      <c r="U2828">
        <v>4</v>
      </c>
      <c r="V2828">
        <v>1</v>
      </c>
      <c r="W2828">
        <v>126.96</v>
      </c>
      <c r="X2828">
        <v>0</v>
      </c>
      <c r="Y2828">
        <v>0</v>
      </c>
      <c r="Z2828">
        <v>0</v>
      </c>
      <c r="AA2828">
        <v>4</v>
      </c>
      <c r="AB2828">
        <v>0</v>
      </c>
      <c r="AC2828">
        <v>0</v>
      </c>
      <c r="AD2828">
        <v>0</v>
      </c>
      <c r="AE2828">
        <v>0</v>
      </c>
      <c r="AF2828">
        <v>0</v>
      </c>
      <c r="AG2828">
        <v>0</v>
      </c>
      <c r="AH2828">
        <v>0</v>
      </c>
      <c r="AI2828">
        <v>0</v>
      </c>
      <c r="AJ2828">
        <v>0</v>
      </c>
      <c r="AK2828">
        <v>0</v>
      </c>
    </row>
    <row r="2829" spans="1:37" x14ac:dyDescent="0.3">
      <c r="A2829">
        <v>7533</v>
      </c>
      <c r="B2829" t="s">
        <v>3453</v>
      </c>
      <c r="D2829" t="s">
        <v>327</v>
      </c>
      <c r="E2829">
        <v>99999999</v>
      </c>
      <c r="F2829">
        <v>11111111</v>
      </c>
      <c r="G2829">
        <v>1111111111</v>
      </c>
      <c r="H2829" t="s">
        <v>6398</v>
      </c>
      <c r="I2829">
        <v>99999999</v>
      </c>
      <c r="J2829" s="188">
        <v>45236</v>
      </c>
      <c r="K2829" t="s">
        <v>6398</v>
      </c>
      <c r="L2829" t="s">
        <v>6398</v>
      </c>
      <c r="M2829" t="s">
        <v>3456</v>
      </c>
      <c r="N2829" t="s">
        <v>97</v>
      </c>
      <c r="O2829">
        <v>991668796</v>
      </c>
      <c r="P2829" t="s">
        <v>221</v>
      </c>
      <c r="Q2829" t="s">
        <v>82</v>
      </c>
      <c r="R2829">
        <v>2</v>
      </c>
      <c r="S2829">
        <v>33.200000000000003</v>
      </c>
      <c r="T2829">
        <v>0</v>
      </c>
      <c r="U2829">
        <v>2</v>
      </c>
      <c r="V2829">
        <v>1</v>
      </c>
      <c r="W2829">
        <v>68.680000000000007</v>
      </c>
      <c r="X2829">
        <v>0</v>
      </c>
      <c r="Y2829">
        <v>0</v>
      </c>
      <c r="Z2829">
        <v>0</v>
      </c>
      <c r="AA2829">
        <v>2</v>
      </c>
      <c r="AB2829">
        <v>0</v>
      </c>
      <c r="AC2829">
        <v>0</v>
      </c>
      <c r="AD2829">
        <v>0</v>
      </c>
      <c r="AE2829">
        <v>0</v>
      </c>
      <c r="AF2829">
        <v>0</v>
      </c>
      <c r="AG2829">
        <v>0</v>
      </c>
      <c r="AH2829">
        <v>0</v>
      </c>
      <c r="AI2829">
        <v>0</v>
      </c>
      <c r="AJ2829">
        <v>0</v>
      </c>
      <c r="AK2829">
        <v>0</v>
      </c>
    </row>
    <row r="2830" spans="1:37" x14ac:dyDescent="0.3">
      <c r="A2830">
        <v>7533</v>
      </c>
      <c r="B2830" t="s">
        <v>3453</v>
      </c>
      <c r="D2830" t="s">
        <v>327</v>
      </c>
      <c r="E2830">
        <v>99999999</v>
      </c>
      <c r="F2830">
        <v>11111111</v>
      </c>
      <c r="G2830">
        <v>1111111111</v>
      </c>
      <c r="H2830" t="s">
        <v>6399</v>
      </c>
      <c r="I2830">
        <v>99999999</v>
      </c>
      <c r="J2830" s="188">
        <v>45236</v>
      </c>
      <c r="K2830" t="s">
        <v>6399</v>
      </c>
      <c r="L2830" t="s">
        <v>6399</v>
      </c>
      <c r="M2830" t="s">
        <v>474</v>
      </c>
      <c r="N2830" t="s">
        <v>135</v>
      </c>
      <c r="O2830">
        <v>840926533</v>
      </c>
      <c r="P2830" t="s">
        <v>221</v>
      </c>
      <c r="Q2830" t="s">
        <v>82</v>
      </c>
      <c r="R2830">
        <v>2</v>
      </c>
      <c r="S2830">
        <v>96.4</v>
      </c>
      <c r="T2830">
        <v>0</v>
      </c>
      <c r="U2830">
        <v>2</v>
      </c>
      <c r="V2830">
        <v>1</v>
      </c>
      <c r="W2830">
        <v>104.2</v>
      </c>
      <c r="X2830">
        <v>0</v>
      </c>
      <c r="Y2830">
        <v>0</v>
      </c>
      <c r="Z2830">
        <v>0</v>
      </c>
      <c r="AA2830">
        <v>2</v>
      </c>
      <c r="AB2830">
        <v>0</v>
      </c>
      <c r="AC2830">
        <v>0</v>
      </c>
      <c r="AD2830">
        <v>0</v>
      </c>
      <c r="AE2830">
        <v>0</v>
      </c>
      <c r="AF2830">
        <v>0</v>
      </c>
      <c r="AG2830">
        <v>0</v>
      </c>
      <c r="AH2830">
        <v>0</v>
      </c>
      <c r="AI2830">
        <v>0</v>
      </c>
      <c r="AJ2830">
        <v>0</v>
      </c>
      <c r="AK2830">
        <v>0</v>
      </c>
    </row>
    <row r="2831" spans="1:37" x14ac:dyDescent="0.3">
      <c r="A2831">
        <v>7533</v>
      </c>
      <c r="B2831" t="s">
        <v>3453</v>
      </c>
      <c r="D2831" t="s">
        <v>327</v>
      </c>
      <c r="E2831">
        <v>99999999</v>
      </c>
      <c r="F2831">
        <v>11111111</v>
      </c>
      <c r="G2831">
        <v>1111111111</v>
      </c>
      <c r="H2831" t="s">
        <v>6400</v>
      </c>
      <c r="I2831">
        <v>99999999</v>
      </c>
      <c r="J2831" s="188">
        <v>45236</v>
      </c>
      <c r="K2831" t="s">
        <v>6400</v>
      </c>
      <c r="L2831" t="s">
        <v>6400</v>
      </c>
      <c r="M2831" t="s">
        <v>3457</v>
      </c>
      <c r="N2831" t="s">
        <v>97</v>
      </c>
      <c r="O2831">
        <v>981883667</v>
      </c>
      <c r="P2831" t="s">
        <v>221</v>
      </c>
      <c r="Q2831" t="s">
        <v>82</v>
      </c>
      <c r="R2831">
        <v>2</v>
      </c>
      <c r="S2831">
        <v>33.200000000000003</v>
      </c>
      <c r="T2831">
        <v>0</v>
      </c>
      <c r="U2831">
        <v>2</v>
      </c>
      <c r="V2831">
        <v>1</v>
      </c>
      <c r="W2831">
        <v>52.16</v>
      </c>
      <c r="X2831">
        <v>0</v>
      </c>
      <c r="Y2831">
        <v>0</v>
      </c>
      <c r="Z2831">
        <v>0</v>
      </c>
      <c r="AA2831">
        <v>2</v>
      </c>
      <c r="AB2831">
        <v>0</v>
      </c>
      <c r="AC2831">
        <v>0</v>
      </c>
      <c r="AD2831">
        <v>0</v>
      </c>
      <c r="AE2831">
        <v>0</v>
      </c>
      <c r="AF2831">
        <v>0</v>
      </c>
      <c r="AG2831">
        <v>0</v>
      </c>
      <c r="AH2831">
        <v>0</v>
      </c>
      <c r="AI2831">
        <v>0</v>
      </c>
      <c r="AJ2831">
        <v>0</v>
      </c>
      <c r="AK2831">
        <v>0</v>
      </c>
    </row>
    <row r="2832" spans="1:37" x14ac:dyDescent="0.3">
      <c r="A2832">
        <v>7533</v>
      </c>
      <c r="B2832" t="s">
        <v>3453</v>
      </c>
      <c r="D2832" t="s">
        <v>327</v>
      </c>
      <c r="E2832">
        <v>99999999</v>
      </c>
      <c r="F2832">
        <v>11111111</v>
      </c>
      <c r="G2832">
        <v>1111111111</v>
      </c>
      <c r="H2832" t="s">
        <v>6401</v>
      </c>
      <c r="I2832">
        <v>99999999</v>
      </c>
      <c r="J2832" s="188">
        <v>45236</v>
      </c>
      <c r="K2832" t="s">
        <v>6401</v>
      </c>
      <c r="L2832" t="s">
        <v>6401</v>
      </c>
      <c r="M2832" t="s">
        <v>108</v>
      </c>
      <c r="N2832" t="s">
        <v>99</v>
      </c>
      <c r="O2832">
        <v>953308225</v>
      </c>
      <c r="P2832" t="s">
        <v>221</v>
      </c>
      <c r="Q2832" t="s">
        <v>82</v>
      </c>
      <c r="R2832">
        <v>1</v>
      </c>
      <c r="S2832">
        <v>48.2</v>
      </c>
      <c r="T2832">
        <v>0</v>
      </c>
      <c r="U2832">
        <v>1</v>
      </c>
      <c r="V2832">
        <v>1</v>
      </c>
      <c r="W2832">
        <v>38.729999999999997</v>
      </c>
      <c r="X2832">
        <v>0</v>
      </c>
      <c r="Y2832">
        <v>0</v>
      </c>
      <c r="Z2832">
        <v>0</v>
      </c>
      <c r="AA2832">
        <v>1</v>
      </c>
      <c r="AB2832">
        <v>0</v>
      </c>
      <c r="AC2832">
        <v>0</v>
      </c>
      <c r="AD2832">
        <v>0</v>
      </c>
      <c r="AE2832">
        <v>0</v>
      </c>
      <c r="AF2832">
        <v>0</v>
      </c>
      <c r="AG2832">
        <v>0</v>
      </c>
      <c r="AH2832">
        <v>0</v>
      </c>
      <c r="AI2832">
        <v>0</v>
      </c>
      <c r="AJ2832">
        <v>0</v>
      </c>
      <c r="AK2832">
        <v>0</v>
      </c>
    </row>
    <row r="2833" spans="1:37" x14ac:dyDescent="0.3">
      <c r="A2833">
        <v>7533</v>
      </c>
      <c r="B2833" t="s">
        <v>3453</v>
      </c>
      <c r="D2833" t="s">
        <v>327</v>
      </c>
      <c r="E2833">
        <v>99999999</v>
      </c>
      <c r="F2833">
        <v>11111111</v>
      </c>
      <c r="G2833">
        <v>1111111111</v>
      </c>
      <c r="H2833" t="s">
        <v>6402</v>
      </c>
      <c r="I2833">
        <v>99999999</v>
      </c>
      <c r="J2833" s="188">
        <v>45236</v>
      </c>
      <c r="K2833" t="s">
        <v>6402</v>
      </c>
      <c r="L2833" t="s">
        <v>6402</v>
      </c>
      <c r="M2833" t="s">
        <v>3458</v>
      </c>
      <c r="N2833" t="s">
        <v>91</v>
      </c>
      <c r="O2833">
        <v>856214700</v>
      </c>
      <c r="P2833" t="s">
        <v>221</v>
      </c>
      <c r="Q2833" t="s">
        <v>82</v>
      </c>
      <c r="R2833">
        <v>10</v>
      </c>
      <c r="S2833">
        <v>166</v>
      </c>
      <c r="T2833">
        <v>0</v>
      </c>
      <c r="U2833">
        <v>10</v>
      </c>
      <c r="V2833">
        <v>1</v>
      </c>
      <c r="W2833">
        <v>291.75</v>
      </c>
      <c r="X2833">
        <v>0</v>
      </c>
      <c r="Y2833">
        <v>0</v>
      </c>
      <c r="Z2833">
        <v>0</v>
      </c>
      <c r="AA2833">
        <v>10</v>
      </c>
      <c r="AB2833">
        <v>0</v>
      </c>
      <c r="AC2833">
        <v>0</v>
      </c>
      <c r="AD2833">
        <v>0</v>
      </c>
      <c r="AE2833">
        <v>0</v>
      </c>
      <c r="AF2833">
        <v>0</v>
      </c>
      <c r="AG2833">
        <v>0</v>
      </c>
      <c r="AH2833">
        <v>0</v>
      </c>
      <c r="AI2833">
        <v>0</v>
      </c>
      <c r="AJ2833">
        <v>0</v>
      </c>
      <c r="AK2833">
        <v>0</v>
      </c>
    </row>
    <row r="2834" spans="1:37" x14ac:dyDescent="0.3">
      <c r="A2834">
        <v>7533</v>
      </c>
      <c r="B2834" t="s">
        <v>3453</v>
      </c>
      <c r="D2834" t="s">
        <v>327</v>
      </c>
      <c r="E2834">
        <v>99999999</v>
      </c>
      <c r="F2834">
        <v>11111111</v>
      </c>
      <c r="G2834">
        <v>1111111111</v>
      </c>
      <c r="H2834" t="s">
        <v>6403</v>
      </c>
      <c r="I2834">
        <v>99999999</v>
      </c>
      <c r="J2834" s="188">
        <v>45236</v>
      </c>
      <c r="K2834" t="s">
        <v>6403</v>
      </c>
      <c r="L2834" t="s">
        <v>6403</v>
      </c>
      <c r="M2834" t="s">
        <v>3459</v>
      </c>
      <c r="N2834" t="s">
        <v>99</v>
      </c>
      <c r="O2834">
        <v>913503024</v>
      </c>
      <c r="P2834" t="s">
        <v>221</v>
      </c>
      <c r="Q2834" t="s">
        <v>82</v>
      </c>
      <c r="R2834">
        <v>1</v>
      </c>
      <c r="S2834">
        <v>48.2</v>
      </c>
      <c r="T2834">
        <v>0</v>
      </c>
      <c r="U2834">
        <v>1</v>
      </c>
      <c r="V2834">
        <v>1</v>
      </c>
      <c r="W2834">
        <v>52.1</v>
      </c>
      <c r="X2834">
        <v>0</v>
      </c>
      <c r="Y2834">
        <v>0</v>
      </c>
      <c r="Z2834">
        <v>0</v>
      </c>
      <c r="AA2834">
        <v>1</v>
      </c>
      <c r="AB2834">
        <v>0</v>
      </c>
      <c r="AC2834">
        <v>0</v>
      </c>
      <c r="AD2834">
        <v>0</v>
      </c>
      <c r="AE2834">
        <v>0</v>
      </c>
      <c r="AF2834">
        <v>0</v>
      </c>
      <c r="AG2834">
        <v>0</v>
      </c>
      <c r="AH2834">
        <v>0</v>
      </c>
      <c r="AI2834">
        <v>0</v>
      </c>
      <c r="AJ2834">
        <v>0</v>
      </c>
      <c r="AK2834">
        <v>0</v>
      </c>
    </row>
    <row r="2835" spans="1:37" x14ac:dyDescent="0.3">
      <c r="A2835">
        <v>7533</v>
      </c>
      <c r="B2835" t="s">
        <v>3453</v>
      </c>
      <c r="D2835" t="s">
        <v>327</v>
      </c>
      <c r="E2835">
        <v>99999999</v>
      </c>
      <c r="F2835">
        <v>11111111</v>
      </c>
      <c r="G2835">
        <v>1111111111</v>
      </c>
      <c r="H2835" t="s">
        <v>6404</v>
      </c>
      <c r="I2835">
        <v>99999999</v>
      </c>
      <c r="J2835" s="188">
        <v>45236</v>
      </c>
      <c r="K2835" t="s">
        <v>6404</v>
      </c>
      <c r="L2835" t="s">
        <v>6404</v>
      </c>
      <c r="M2835" t="s">
        <v>992</v>
      </c>
      <c r="N2835" t="s">
        <v>97</v>
      </c>
      <c r="O2835">
        <v>990196039</v>
      </c>
      <c r="P2835" t="s">
        <v>221</v>
      </c>
      <c r="Q2835" t="s">
        <v>82</v>
      </c>
      <c r="R2835">
        <v>1</v>
      </c>
      <c r="S2835">
        <v>16.600000000000001</v>
      </c>
      <c r="T2835">
        <v>0</v>
      </c>
      <c r="U2835">
        <v>1</v>
      </c>
      <c r="V2835">
        <v>1</v>
      </c>
      <c r="W2835">
        <v>26.08</v>
      </c>
      <c r="X2835">
        <v>0</v>
      </c>
      <c r="Y2835">
        <v>0</v>
      </c>
      <c r="Z2835">
        <v>0</v>
      </c>
      <c r="AA2835">
        <v>1</v>
      </c>
      <c r="AB2835">
        <v>0</v>
      </c>
      <c r="AC2835">
        <v>0</v>
      </c>
      <c r="AD2835">
        <v>0</v>
      </c>
      <c r="AE2835">
        <v>0</v>
      </c>
      <c r="AF2835">
        <v>0</v>
      </c>
      <c r="AG2835">
        <v>0</v>
      </c>
      <c r="AH2835">
        <v>0</v>
      </c>
      <c r="AI2835">
        <v>0</v>
      </c>
      <c r="AJ2835">
        <v>0</v>
      </c>
      <c r="AK2835">
        <v>0</v>
      </c>
    </row>
    <row r="2836" spans="1:37" x14ac:dyDescent="0.3">
      <c r="A2836">
        <v>7533</v>
      </c>
      <c r="B2836" t="s">
        <v>3453</v>
      </c>
      <c r="D2836" t="s">
        <v>327</v>
      </c>
      <c r="E2836">
        <v>99999999</v>
      </c>
      <c r="F2836">
        <v>11111111</v>
      </c>
      <c r="G2836">
        <v>1111111111</v>
      </c>
      <c r="H2836" t="s">
        <v>6405</v>
      </c>
      <c r="I2836">
        <v>99999999</v>
      </c>
      <c r="J2836" s="188">
        <v>45236</v>
      </c>
      <c r="K2836" t="s">
        <v>6405</v>
      </c>
      <c r="L2836" t="s">
        <v>6405</v>
      </c>
      <c r="M2836" t="s">
        <v>101</v>
      </c>
      <c r="N2836" t="s">
        <v>97</v>
      </c>
      <c r="O2836">
        <v>981157995</v>
      </c>
      <c r="P2836" t="s">
        <v>221</v>
      </c>
      <c r="Q2836" t="s">
        <v>82</v>
      </c>
      <c r="R2836">
        <v>1</v>
      </c>
      <c r="S2836">
        <v>35.625</v>
      </c>
      <c r="T2836">
        <v>0</v>
      </c>
      <c r="U2836">
        <v>1</v>
      </c>
      <c r="V2836">
        <v>1</v>
      </c>
      <c r="W2836">
        <v>71</v>
      </c>
      <c r="X2836">
        <v>0</v>
      </c>
      <c r="Y2836">
        <v>0</v>
      </c>
      <c r="Z2836">
        <v>0</v>
      </c>
      <c r="AA2836">
        <v>1</v>
      </c>
      <c r="AB2836">
        <v>0</v>
      </c>
      <c r="AC2836">
        <v>0</v>
      </c>
      <c r="AD2836">
        <v>0</v>
      </c>
      <c r="AE2836">
        <v>0</v>
      </c>
      <c r="AF2836">
        <v>0</v>
      </c>
      <c r="AG2836">
        <v>0</v>
      </c>
      <c r="AH2836">
        <v>0</v>
      </c>
      <c r="AI2836">
        <v>0</v>
      </c>
      <c r="AJ2836">
        <v>0</v>
      </c>
      <c r="AK2836">
        <v>0</v>
      </c>
    </row>
    <row r="2837" spans="1:37" x14ac:dyDescent="0.3">
      <c r="A2837">
        <v>7533</v>
      </c>
      <c r="B2837" t="s">
        <v>3453</v>
      </c>
      <c r="D2837" t="s">
        <v>327</v>
      </c>
      <c r="E2837">
        <v>99999999</v>
      </c>
      <c r="F2837">
        <v>11111111</v>
      </c>
      <c r="G2837">
        <v>1111111111</v>
      </c>
      <c r="H2837" t="s">
        <v>6406</v>
      </c>
      <c r="I2837">
        <v>99999999</v>
      </c>
      <c r="J2837" s="188">
        <v>45236</v>
      </c>
      <c r="K2837" t="s">
        <v>6406</v>
      </c>
      <c r="L2837" t="s">
        <v>6406</v>
      </c>
      <c r="M2837" t="s">
        <v>3460</v>
      </c>
      <c r="N2837" t="s">
        <v>99</v>
      </c>
      <c r="O2837">
        <v>936149675</v>
      </c>
      <c r="P2837" t="s">
        <v>221</v>
      </c>
      <c r="Q2837" t="s">
        <v>82</v>
      </c>
      <c r="R2837">
        <v>1</v>
      </c>
      <c r="S2837">
        <v>48.2</v>
      </c>
      <c r="T2837">
        <v>0</v>
      </c>
      <c r="U2837">
        <v>1</v>
      </c>
      <c r="V2837">
        <v>1</v>
      </c>
      <c r="W2837">
        <v>56.17</v>
      </c>
      <c r="X2837">
        <v>0</v>
      </c>
      <c r="Y2837">
        <v>0</v>
      </c>
      <c r="Z2837">
        <v>0</v>
      </c>
      <c r="AA2837">
        <v>1</v>
      </c>
      <c r="AB2837">
        <v>0</v>
      </c>
      <c r="AC2837">
        <v>0</v>
      </c>
      <c r="AD2837">
        <v>0</v>
      </c>
      <c r="AE2837">
        <v>0</v>
      </c>
      <c r="AF2837">
        <v>0</v>
      </c>
      <c r="AG2837">
        <v>0</v>
      </c>
      <c r="AH2837">
        <v>0</v>
      </c>
      <c r="AI2837">
        <v>0</v>
      </c>
      <c r="AJ2837">
        <v>0</v>
      </c>
      <c r="AK2837">
        <v>0</v>
      </c>
    </row>
    <row r="2838" spans="1:37" x14ac:dyDescent="0.3">
      <c r="A2838">
        <v>7533</v>
      </c>
      <c r="B2838" t="s">
        <v>3453</v>
      </c>
      <c r="D2838" t="s">
        <v>327</v>
      </c>
      <c r="E2838">
        <v>99999999</v>
      </c>
      <c r="F2838">
        <v>11111111</v>
      </c>
      <c r="G2838">
        <v>1111111111</v>
      </c>
      <c r="H2838" t="s">
        <v>6407</v>
      </c>
      <c r="I2838">
        <v>99999999</v>
      </c>
      <c r="J2838" s="188">
        <v>45236</v>
      </c>
      <c r="K2838" t="s">
        <v>6407</v>
      </c>
      <c r="L2838" t="s">
        <v>6407</v>
      </c>
      <c r="M2838" t="s">
        <v>3461</v>
      </c>
      <c r="N2838" t="s">
        <v>99</v>
      </c>
      <c r="O2838">
        <v>922680236</v>
      </c>
      <c r="P2838" t="s">
        <v>221</v>
      </c>
      <c r="Q2838" t="s">
        <v>82</v>
      </c>
      <c r="R2838">
        <v>1</v>
      </c>
      <c r="S2838">
        <v>48.2</v>
      </c>
      <c r="T2838">
        <v>0</v>
      </c>
      <c r="U2838">
        <v>1</v>
      </c>
      <c r="V2838">
        <v>1</v>
      </c>
      <c r="W2838">
        <v>71.89</v>
      </c>
      <c r="X2838">
        <v>0</v>
      </c>
      <c r="Y2838">
        <v>0</v>
      </c>
      <c r="Z2838">
        <v>0</v>
      </c>
      <c r="AA2838">
        <v>1</v>
      </c>
      <c r="AB2838">
        <v>0</v>
      </c>
      <c r="AC2838">
        <v>0</v>
      </c>
      <c r="AD2838">
        <v>0</v>
      </c>
      <c r="AE2838">
        <v>0</v>
      </c>
      <c r="AF2838">
        <v>0</v>
      </c>
      <c r="AG2838">
        <v>0</v>
      </c>
      <c r="AH2838">
        <v>0</v>
      </c>
      <c r="AI2838">
        <v>0</v>
      </c>
      <c r="AJ2838">
        <v>0</v>
      </c>
      <c r="AK2838">
        <v>0</v>
      </c>
    </row>
    <row r="2839" spans="1:37" x14ac:dyDescent="0.3">
      <c r="A2839">
        <v>7533</v>
      </c>
      <c r="B2839" t="s">
        <v>3453</v>
      </c>
      <c r="D2839" t="s">
        <v>327</v>
      </c>
      <c r="E2839">
        <v>99999999</v>
      </c>
      <c r="F2839">
        <v>11111111</v>
      </c>
      <c r="G2839">
        <v>1111111111</v>
      </c>
      <c r="H2839" t="s">
        <v>6408</v>
      </c>
      <c r="I2839">
        <v>99999999</v>
      </c>
      <c r="J2839" s="188">
        <v>45236</v>
      </c>
      <c r="K2839" t="s">
        <v>6408</v>
      </c>
      <c r="L2839" t="s">
        <v>6408</v>
      </c>
      <c r="M2839" t="s">
        <v>95</v>
      </c>
      <c r="N2839" t="s">
        <v>91</v>
      </c>
      <c r="O2839">
        <v>850442233</v>
      </c>
      <c r="P2839" t="s">
        <v>221</v>
      </c>
      <c r="Q2839" t="s">
        <v>82</v>
      </c>
      <c r="R2839">
        <v>1</v>
      </c>
      <c r="S2839">
        <v>48.2</v>
      </c>
      <c r="T2839">
        <v>0</v>
      </c>
      <c r="U2839">
        <v>1</v>
      </c>
      <c r="V2839">
        <v>1</v>
      </c>
      <c r="W2839">
        <v>63.63</v>
      </c>
      <c r="X2839">
        <v>0</v>
      </c>
      <c r="Y2839">
        <v>0</v>
      </c>
      <c r="Z2839">
        <v>0</v>
      </c>
      <c r="AA2839">
        <v>1</v>
      </c>
      <c r="AB2839">
        <v>0</v>
      </c>
      <c r="AC2839">
        <v>0</v>
      </c>
      <c r="AD2839">
        <v>0</v>
      </c>
      <c r="AE2839">
        <v>0</v>
      </c>
      <c r="AF2839">
        <v>0</v>
      </c>
      <c r="AG2839">
        <v>0</v>
      </c>
      <c r="AH2839">
        <v>0</v>
      </c>
      <c r="AI2839">
        <v>0</v>
      </c>
      <c r="AJ2839">
        <v>0</v>
      </c>
      <c r="AK2839">
        <v>0</v>
      </c>
    </row>
    <row r="2840" spans="1:37" x14ac:dyDescent="0.3">
      <c r="A2840">
        <v>7533</v>
      </c>
      <c r="B2840" t="s">
        <v>3453</v>
      </c>
      <c r="D2840" t="s">
        <v>327</v>
      </c>
      <c r="E2840">
        <v>99999999</v>
      </c>
      <c r="F2840">
        <v>11111111</v>
      </c>
      <c r="G2840">
        <v>1111111111</v>
      </c>
      <c r="H2840" t="s">
        <v>6409</v>
      </c>
      <c r="I2840">
        <v>99999999</v>
      </c>
      <c r="J2840" s="188">
        <v>45236</v>
      </c>
      <c r="K2840" t="s">
        <v>6409</v>
      </c>
      <c r="L2840" t="s">
        <v>6409</v>
      </c>
      <c r="M2840" t="s">
        <v>173</v>
      </c>
      <c r="N2840" t="s">
        <v>164</v>
      </c>
      <c r="O2840">
        <v>97217</v>
      </c>
      <c r="P2840" t="s">
        <v>221</v>
      </c>
      <c r="Q2840" t="s">
        <v>82</v>
      </c>
      <c r="R2840">
        <v>1</v>
      </c>
      <c r="S2840">
        <v>16.600000000000001</v>
      </c>
      <c r="T2840">
        <v>0</v>
      </c>
      <c r="U2840">
        <v>1</v>
      </c>
      <c r="V2840">
        <v>1</v>
      </c>
      <c r="W2840">
        <v>26.08</v>
      </c>
      <c r="X2840">
        <v>0</v>
      </c>
      <c r="Y2840">
        <v>0</v>
      </c>
      <c r="Z2840">
        <v>0</v>
      </c>
      <c r="AA2840">
        <v>1</v>
      </c>
      <c r="AB2840">
        <v>0</v>
      </c>
      <c r="AC2840">
        <v>0</v>
      </c>
      <c r="AD2840">
        <v>0</v>
      </c>
      <c r="AE2840">
        <v>0</v>
      </c>
      <c r="AF2840">
        <v>0</v>
      </c>
      <c r="AG2840">
        <v>0</v>
      </c>
      <c r="AH2840">
        <v>0</v>
      </c>
      <c r="AI2840">
        <v>0</v>
      </c>
      <c r="AJ2840">
        <v>0</v>
      </c>
      <c r="AK2840">
        <v>0</v>
      </c>
    </row>
    <row r="2841" spans="1:37" x14ac:dyDescent="0.3">
      <c r="A2841">
        <v>7533</v>
      </c>
      <c r="B2841" t="s">
        <v>3453</v>
      </c>
      <c r="D2841" t="s">
        <v>327</v>
      </c>
      <c r="E2841">
        <v>99999999</v>
      </c>
      <c r="F2841">
        <v>11111111</v>
      </c>
      <c r="G2841">
        <v>1111111111</v>
      </c>
      <c r="H2841" t="s">
        <v>6410</v>
      </c>
      <c r="I2841">
        <v>99999999</v>
      </c>
      <c r="J2841" s="188">
        <v>45236</v>
      </c>
      <c r="K2841" t="s">
        <v>6410</v>
      </c>
      <c r="L2841" t="s">
        <v>6410</v>
      </c>
      <c r="M2841" t="s">
        <v>463</v>
      </c>
      <c r="N2841" t="s">
        <v>104</v>
      </c>
      <c r="O2841">
        <v>837135496</v>
      </c>
      <c r="P2841" t="s">
        <v>221</v>
      </c>
      <c r="Q2841" t="s">
        <v>82</v>
      </c>
      <c r="R2841">
        <v>1</v>
      </c>
      <c r="S2841">
        <v>35.625</v>
      </c>
      <c r="T2841">
        <v>0</v>
      </c>
      <c r="U2841">
        <v>1</v>
      </c>
      <c r="V2841">
        <v>1</v>
      </c>
      <c r="W2841">
        <v>71</v>
      </c>
      <c r="X2841">
        <v>0</v>
      </c>
      <c r="Y2841">
        <v>0</v>
      </c>
      <c r="Z2841">
        <v>0</v>
      </c>
      <c r="AA2841">
        <v>1</v>
      </c>
      <c r="AB2841">
        <v>0</v>
      </c>
      <c r="AC2841">
        <v>0</v>
      </c>
      <c r="AD2841">
        <v>0</v>
      </c>
      <c r="AE2841">
        <v>0</v>
      </c>
      <c r="AF2841">
        <v>0</v>
      </c>
      <c r="AG2841">
        <v>0</v>
      </c>
      <c r="AH2841">
        <v>0</v>
      </c>
      <c r="AI2841">
        <v>0</v>
      </c>
      <c r="AJ2841">
        <v>0</v>
      </c>
      <c r="AK2841">
        <v>0</v>
      </c>
    </row>
    <row r="2842" spans="1:37" x14ac:dyDescent="0.3">
      <c r="A2842">
        <v>7533</v>
      </c>
      <c r="B2842" t="s">
        <v>3453</v>
      </c>
      <c r="D2842" t="s">
        <v>327</v>
      </c>
      <c r="E2842">
        <v>99999999</v>
      </c>
      <c r="F2842">
        <v>11111111</v>
      </c>
      <c r="G2842">
        <v>1111111111</v>
      </c>
      <c r="H2842" t="s">
        <v>6411</v>
      </c>
      <c r="I2842">
        <v>99999999</v>
      </c>
      <c r="J2842" s="188">
        <v>45236</v>
      </c>
      <c r="K2842" t="s">
        <v>6411</v>
      </c>
      <c r="L2842" t="s">
        <v>6411</v>
      </c>
      <c r="M2842" t="s">
        <v>173</v>
      </c>
      <c r="N2842" t="s">
        <v>164</v>
      </c>
      <c r="O2842">
        <v>97202</v>
      </c>
      <c r="P2842" t="s">
        <v>221</v>
      </c>
      <c r="Q2842" t="s">
        <v>82</v>
      </c>
      <c r="R2842">
        <v>1</v>
      </c>
      <c r="S2842">
        <v>35.625</v>
      </c>
      <c r="T2842">
        <v>0</v>
      </c>
      <c r="U2842">
        <v>1</v>
      </c>
      <c r="V2842">
        <v>1</v>
      </c>
      <c r="W2842">
        <v>71</v>
      </c>
      <c r="X2842">
        <v>0</v>
      </c>
      <c r="Y2842">
        <v>0</v>
      </c>
      <c r="Z2842">
        <v>0</v>
      </c>
      <c r="AA2842">
        <v>1</v>
      </c>
      <c r="AB2842">
        <v>0</v>
      </c>
      <c r="AC2842">
        <v>0</v>
      </c>
      <c r="AD2842">
        <v>0</v>
      </c>
      <c r="AE2842">
        <v>0</v>
      </c>
      <c r="AF2842">
        <v>0</v>
      </c>
      <c r="AG2842">
        <v>0</v>
      </c>
      <c r="AH2842">
        <v>0</v>
      </c>
      <c r="AI2842">
        <v>0</v>
      </c>
      <c r="AJ2842">
        <v>0</v>
      </c>
      <c r="AK2842">
        <v>0</v>
      </c>
    </row>
    <row r="2843" spans="1:37" x14ac:dyDescent="0.3">
      <c r="A2843">
        <v>7533</v>
      </c>
      <c r="B2843" t="s">
        <v>3453</v>
      </c>
      <c r="D2843" t="s">
        <v>327</v>
      </c>
      <c r="E2843">
        <v>99999999</v>
      </c>
      <c r="F2843">
        <v>11111111</v>
      </c>
      <c r="G2843">
        <v>1111111111</v>
      </c>
      <c r="H2843" t="s">
        <v>6412</v>
      </c>
      <c r="I2843">
        <v>99999999</v>
      </c>
      <c r="J2843" s="188">
        <v>45236</v>
      </c>
      <c r="K2843" t="s">
        <v>6412</v>
      </c>
      <c r="L2843" t="s">
        <v>6412</v>
      </c>
      <c r="M2843" t="s">
        <v>246</v>
      </c>
      <c r="N2843" t="s">
        <v>99</v>
      </c>
      <c r="O2843">
        <v>941233234</v>
      </c>
      <c r="P2843" t="s">
        <v>221</v>
      </c>
      <c r="Q2843" t="s">
        <v>82</v>
      </c>
      <c r="R2843">
        <v>1</v>
      </c>
      <c r="S2843">
        <v>48.2</v>
      </c>
      <c r="T2843">
        <v>0</v>
      </c>
      <c r="U2843">
        <v>1</v>
      </c>
      <c r="V2843">
        <v>1</v>
      </c>
      <c r="W2843">
        <v>47.91</v>
      </c>
      <c r="X2843">
        <v>0</v>
      </c>
      <c r="Y2843">
        <v>0</v>
      </c>
      <c r="Z2843">
        <v>0</v>
      </c>
      <c r="AA2843">
        <v>1</v>
      </c>
      <c r="AB2843">
        <v>0</v>
      </c>
      <c r="AC2843">
        <v>0</v>
      </c>
      <c r="AD2843">
        <v>0</v>
      </c>
      <c r="AE2843">
        <v>0</v>
      </c>
      <c r="AF2843">
        <v>0</v>
      </c>
      <c r="AG2843">
        <v>0</v>
      </c>
      <c r="AH2843">
        <v>0</v>
      </c>
      <c r="AI2843">
        <v>0</v>
      </c>
      <c r="AJ2843">
        <v>0</v>
      </c>
      <c r="AK2843">
        <v>0</v>
      </c>
    </row>
    <row r="2844" spans="1:37" x14ac:dyDescent="0.3">
      <c r="A2844">
        <v>7533</v>
      </c>
      <c r="B2844" t="s">
        <v>3453</v>
      </c>
      <c r="D2844" t="s">
        <v>327</v>
      </c>
      <c r="E2844">
        <v>99999999</v>
      </c>
      <c r="F2844">
        <v>11111111</v>
      </c>
      <c r="G2844">
        <v>1111111111</v>
      </c>
      <c r="H2844" t="s">
        <v>6413</v>
      </c>
      <c r="I2844">
        <v>99999999</v>
      </c>
      <c r="J2844" s="188">
        <v>45236</v>
      </c>
      <c r="K2844" t="s">
        <v>6413</v>
      </c>
      <c r="L2844" t="s">
        <v>6413</v>
      </c>
      <c r="M2844" t="s">
        <v>3462</v>
      </c>
      <c r="N2844" t="s">
        <v>99</v>
      </c>
      <c r="O2844">
        <v>945039631</v>
      </c>
      <c r="P2844" t="s">
        <v>221</v>
      </c>
      <c r="Q2844" t="s">
        <v>82</v>
      </c>
      <c r="R2844">
        <v>2</v>
      </c>
      <c r="S2844">
        <v>96.4</v>
      </c>
      <c r="T2844">
        <v>0</v>
      </c>
      <c r="U2844">
        <v>2</v>
      </c>
      <c r="V2844">
        <v>1</v>
      </c>
      <c r="W2844">
        <v>95.82</v>
      </c>
      <c r="X2844">
        <v>0</v>
      </c>
      <c r="Y2844">
        <v>0</v>
      </c>
      <c r="Z2844">
        <v>0</v>
      </c>
      <c r="AA2844">
        <v>2</v>
      </c>
      <c r="AB2844">
        <v>0</v>
      </c>
      <c r="AC2844">
        <v>0</v>
      </c>
      <c r="AD2844">
        <v>0</v>
      </c>
      <c r="AE2844">
        <v>0</v>
      </c>
      <c r="AF2844">
        <v>0</v>
      </c>
      <c r="AG2844">
        <v>0</v>
      </c>
      <c r="AH2844">
        <v>0</v>
      </c>
      <c r="AI2844">
        <v>0</v>
      </c>
      <c r="AJ2844">
        <v>0</v>
      </c>
      <c r="AK2844">
        <v>0</v>
      </c>
    </row>
    <row r="2845" spans="1:37" x14ac:dyDescent="0.3">
      <c r="A2845">
        <v>7533</v>
      </c>
      <c r="B2845" t="s">
        <v>3453</v>
      </c>
      <c r="D2845" t="s">
        <v>327</v>
      </c>
      <c r="E2845">
        <v>99999999</v>
      </c>
      <c r="F2845">
        <v>11111111</v>
      </c>
      <c r="G2845">
        <v>1111111111</v>
      </c>
      <c r="H2845" t="s">
        <v>6414</v>
      </c>
      <c r="I2845">
        <v>99999999</v>
      </c>
      <c r="J2845" s="188">
        <v>45236</v>
      </c>
      <c r="K2845" t="s">
        <v>6414</v>
      </c>
      <c r="L2845" t="s">
        <v>6414</v>
      </c>
      <c r="M2845" t="s">
        <v>1486</v>
      </c>
      <c r="N2845" t="s">
        <v>97</v>
      </c>
      <c r="O2845">
        <v>980519792</v>
      </c>
      <c r="P2845" t="s">
        <v>221</v>
      </c>
      <c r="Q2845" t="s">
        <v>82</v>
      </c>
      <c r="R2845">
        <v>2</v>
      </c>
      <c r="S2845">
        <v>96.4</v>
      </c>
      <c r="T2845">
        <v>0</v>
      </c>
      <c r="U2845">
        <v>2</v>
      </c>
      <c r="V2845">
        <v>1</v>
      </c>
      <c r="W2845">
        <v>120.72</v>
      </c>
      <c r="X2845">
        <v>0</v>
      </c>
      <c r="Y2845">
        <v>0</v>
      </c>
      <c r="Z2845">
        <v>0</v>
      </c>
      <c r="AA2845">
        <v>2</v>
      </c>
      <c r="AB2845">
        <v>0</v>
      </c>
      <c r="AC2845">
        <v>0</v>
      </c>
      <c r="AD2845">
        <v>0</v>
      </c>
      <c r="AE2845">
        <v>0</v>
      </c>
      <c r="AF2845">
        <v>0</v>
      </c>
      <c r="AG2845">
        <v>0</v>
      </c>
      <c r="AH2845">
        <v>0</v>
      </c>
      <c r="AI2845">
        <v>0</v>
      </c>
      <c r="AJ2845">
        <v>0</v>
      </c>
      <c r="AK2845">
        <v>0</v>
      </c>
    </row>
    <row r="2846" spans="1:37" x14ac:dyDescent="0.3">
      <c r="A2846">
        <v>7533</v>
      </c>
      <c r="B2846" t="s">
        <v>3453</v>
      </c>
      <c r="D2846" t="s">
        <v>327</v>
      </c>
      <c r="E2846">
        <v>99999999</v>
      </c>
      <c r="F2846">
        <v>11111111</v>
      </c>
      <c r="G2846">
        <v>1111111111</v>
      </c>
      <c r="H2846" t="s">
        <v>6415</v>
      </c>
      <c r="I2846">
        <v>99999999</v>
      </c>
      <c r="J2846" s="188">
        <v>45236</v>
      </c>
      <c r="K2846" t="s">
        <v>6415</v>
      </c>
      <c r="L2846" t="s">
        <v>6415</v>
      </c>
      <c r="M2846" t="s">
        <v>2495</v>
      </c>
      <c r="N2846" t="s">
        <v>99</v>
      </c>
      <c r="O2846">
        <v>913501849</v>
      </c>
      <c r="P2846" t="s">
        <v>221</v>
      </c>
      <c r="Q2846" t="s">
        <v>82</v>
      </c>
      <c r="R2846">
        <v>1</v>
      </c>
      <c r="S2846">
        <v>35.625</v>
      </c>
      <c r="T2846">
        <v>0</v>
      </c>
      <c r="U2846">
        <v>1</v>
      </c>
      <c r="V2846">
        <v>1</v>
      </c>
      <c r="W2846">
        <v>71</v>
      </c>
      <c r="X2846">
        <v>0</v>
      </c>
      <c r="Y2846">
        <v>0</v>
      </c>
      <c r="Z2846">
        <v>0</v>
      </c>
      <c r="AA2846">
        <v>1</v>
      </c>
      <c r="AB2846">
        <v>0</v>
      </c>
      <c r="AC2846">
        <v>0</v>
      </c>
      <c r="AD2846">
        <v>0</v>
      </c>
      <c r="AE2846">
        <v>0</v>
      </c>
      <c r="AF2846">
        <v>0</v>
      </c>
      <c r="AG2846">
        <v>0</v>
      </c>
      <c r="AH2846">
        <v>0</v>
      </c>
      <c r="AI2846">
        <v>0</v>
      </c>
      <c r="AJ2846">
        <v>0</v>
      </c>
      <c r="AK2846">
        <v>0</v>
      </c>
    </row>
    <row r="2847" spans="1:37" x14ac:dyDescent="0.3">
      <c r="A2847">
        <v>7533</v>
      </c>
      <c r="B2847" t="s">
        <v>3453</v>
      </c>
      <c r="D2847" t="s">
        <v>327</v>
      </c>
      <c r="E2847">
        <v>99999999</v>
      </c>
      <c r="F2847">
        <v>11111111</v>
      </c>
      <c r="G2847">
        <v>1111111111</v>
      </c>
      <c r="H2847" t="s">
        <v>6416</v>
      </c>
      <c r="I2847">
        <v>99999999</v>
      </c>
      <c r="J2847" s="188">
        <v>45236</v>
      </c>
      <c r="K2847" t="s">
        <v>6416</v>
      </c>
      <c r="L2847" t="s">
        <v>6416</v>
      </c>
      <c r="M2847" t="s">
        <v>1588</v>
      </c>
      <c r="N2847" t="s">
        <v>164</v>
      </c>
      <c r="O2847">
        <v>978019460</v>
      </c>
      <c r="P2847" t="s">
        <v>221</v>
      </c>
      <c r="Q2847" t="s">
        <v>82</v>
      </c>
      <c r="R2847">
        <v>1</v>
      </c>
      <c r="S2847">
        <v>35.625</v>
      </c>
      <c r="T2847">
        <v>0</v>
      </c>
      <c r="U2847">
        <v>1</v>
      </c>
      <c r="V2847">
        <v>1</v>
      </c>
      <c r="W2847">
        <v>77.12</v>
      </c>
      <c r="X2847">
        <v>0</v>
      </c>
      <c r="Y2847">
        <v>0</v>
      </c>
      <c r="Z2847">
        <v>0</v>
      </c>
      <c r="AA2847">
        <v>1</v>
      </c>
      <c r="AB2847">
        <v>0</v>
      </c>
      <c r="AC2847">
        <v>0</v>
      </c>
      <c r="AD2847">
        <v>0</v>
      </c>
      <c r="AE2847">
        <v>0</v>
      </c>
      <c r="AF2847">
        <v>0</v>
      </c>
      <c r="AG2847">
        <v>0</v>
      </c>
      <c r="AH2847">
        <v>0</v>
      </c>
      <c r="AI2847">
        <v>0</v>
      </c>
      <c r="AJ2847">
        <v>0</v>
      </c>
      <c r="AK2847">
        <v>0</v>
      </c>
    </row>
    <row r="2848" spans="1:37" x14ac:dyDescent="0.3">
      <c r="A2848">
        <v>7533</v>
      </c>
      <c r="B2848" t="s">
        <v>3453</v>
      </c>
      <c r="D2848" t="s">
        <v>327</v>
      </c>
      <c r="E2848">
        <v>99999999</v>
      </c>
      <c r="F2848">
        <v>11111111</v>
      </c>
      <c r="G2848">
        <v>1111111111</v>
      </c>
      <c r="H2848" t="s">
        <v>6417</v>
      </c>
      <c r="I2848">
        <v>99999999</v>
      </c>
      <c r="J2848" s="188">
        <v>45236</v>
      </c>
      <c r="K2848" t="s">
        <v>6417</v>
      </c>
      <c r="L2848" t="s">
        <v>6417</v>
      </c>
      <c r="M2848" t="s">
        <v>1180</v>
      </c>
      <c r="N2848" t="s">
        <v>97</v>
      </c>
      <c r="O2848">
        <v>993528010</v>
      </c>
      <c r="P2848" t="s">
        <v>221</v>
      </c>
      <c r="Q2848" t="s">
        <v>82</v>
      </c>
      <c r="R2848">
        <v>1</v>
      </c>
      <c r="S2848">
        <v>16.600000000000001</v>
      </c>
      <c r="T2848">
        <v>0</v>
      </c>
      <c r="U2848">
        <v>1</v>
      </c>
      <c r="V2848">
        <v>1</v>
      </c>
      <c r="W2848">
        <v>26.08</v>
      </c>
      <c r="X2848">
        <v>0</v>
      </c>
      <c r="Y2848">
        <v>0</v>
      </c>
      <c r="Z2848">
        <v>0</v>
      </c>
      <c r="AA2848">
        <v>1</v>
      </c>
      <c r="AB2848">
        <v>0</v>
      </c>
      <c r="AC2848">
        <v>0</v>
      </c>
      <c r="AD2848">
        <v>0</v>
      </c>
      <c r="AE2848">
        <v>0</v>
      </c>
      <c r="AF2848">
        <v>0</v>
      </c>
      <c r="AG2848">
        <v>0</v>
      </c>
      <c r="AH2848">
        <v>0</v>
      </c>
      <c r="AI2848">
        <v>0</v>
      </c>
      <c r="AJ2848">
        <v>0</v>
      </c>
      <c r="AK2848">
        <v>0</v>
      </c>
    </row>
    <row r="2849" spans="1:37" x14ac:dyDescent="0.3">
      <c r="A2849">
        <v>7533</v>
      </c>
      <c r="B2849" t="s">
        <v>3453</v>
      </c>
      <c r="D2849" t="s">
        <v>327</v>
      </c>
      <c r="E2849">
        <v>99999999</v>
      </c>
      <c r="F2849">
        <v>11111111</v>
      </c>
      <c r="G2849">
        <v>1111111111</v>
      </c>
      <c r="H2849" t="s">
        <v>6418</v>
      </c>
      <c r="I2849">
        <v>99999999</v>
      </c>
      <c r="J2849" s="188">
        <v>45236</v>
      </c>
      <c r="K2849" t="s">
        <v>6418</v>
      </c>
      <c r="L2849" t="s">
        <v>6418</v>
      </c>
      <c r="M2849" t="s">
        <v>2115</v>
      </c>
      <c r="N2849" t="s">
        <v>99</v>
      </c>
      <c r="O2849">
        <v>956674046</v>
      </c>
      <c r="P2849" t="s">
        <v>221</v>
      </c>
      <c r="Q2849" t="s">
        <v>82</v>
      </c>
      <c r="R2849">
        <v>1</v>
      </c>
      <c r="S2849">
        <v>48.2</v>
      </c>
      <c r="T2849">
        <v>0</v>
      </c>
      <c r="U2849">
        <v>1</v>
      </c>
      <c r="V2849">
        <v>1</v>
      </c>
      <c r="W2849">
        <v>44.85</v>
      </c>
      <c r="X2849">
        <v>0</v>
      </c>
      <c r="Y2849">
        <v>0</v>
      </c>
      <c r="Z2849">
        <v>0</v>
      </c>
      <c r="AA2849">
        <v>1</v>
      </c>
      <c r="AB2849">
        <v>0</v>
      </c>
      <c r="AC2849">
        <v>0</v>
      </c>
      <c r="AD2849">
        <v>0</v>
      </c>
      <c r="AE2849">
        <v>0</v>
      </c>
      <c r="AF2849">
        <v>0</v>
      </c>
      <c r="AG2849">
        <v>0</v>
      </c>
      <c r="AH2849">
        <v>0</v>
      </c>
      <c r="AI2849">
        <v>0</v>
      </c>
      <c r="AJ2849">
        <v>0</v>
      </c>
      <c r="AK2849">
        <v>0</v>
      </c>
    </row>
    <row r="2850" spans="1:37" x14ac:dyDescent="0.3">
      <c r="A2850">
        <v>7533</v>
      </c>
      <c r="B2850" t="s">
        <v>3453</v>
      </c>
      <c r="D2850" t="s">
        <v>327</v>
      </c>
      <c r="E2850">
        <v>99999999</v>
      </c>
      <c r="F2850">
        <v>11111111</v>
      </c>
      <c r="G2850">
        <v>1111111111</v>
      </c>
      <c r="H2850" t="s">
        <v>6419</v>
      </c>
      <c r="I2850">
        <v>99999999</v>
      </c>
      <c r="J2850" s="188">
        <v>45236</v>
      </c>
      <c r="K2850" t="s">
        <v>6419</v>
      </c>
      <c r="L2850" t="s">
        <v>6419</v>
      </c>
      <c r="M2850" t="s">
        <v>1049</v>
      </c>
      <c r="N2850" t="s">
        <v>99</v>
      </c>
      <c r="O2850">
        <v>950379473</v>
      </c>
      <c r="P2850" t="s">
        <v>221</v>
      </c>
      <c r="Q2850" t="s">
        <v>82</v>
      </c>
      <c r="R2850">
        <v>1</v>
      </c>
      <c r="S2850">
        <v>48.2</v>
      </c>
      <c r="T2850">
        <v>0</v>
      </c>
      <c r="U2850">
        <v>1</v>
      </c>
      <c r="V2850">
        <v>1</v>
      </c>
      <c r="W2850">
        <v>47.91</v>
      </c>
      <c r="X2850">
        <v>0</v>
      </c>
      <c r="Y2850">
        <v>0</v>
      </c>
      <c r="Z2850">
        <v>0</v>
      </c>
      <c r="AA2850">
        <v>1</v>
      </c>
      <c r="AB2850">
        <v>0</v>
      </c>
      <c r="AC2850">
        <v>0</v>
      </c>
      <c r="AD2850">
        <v>0</v>
      </c>
      <c r="AE2850">
        <v>0</v>
      </c>
      <c r="AF2850">
        <v>0</v>
      </c>
      <c r="AG2850">
        <v>0</v>
      </c>
      <c r="AH2850">
        <v>0</v>
      </c>
      <c r="AI2850">
        <v>0</v>
      </c>
      <c r="AJ2850">
        <v>0</v>
      </c>
      <c r="AK2850">
        <v>0</v>
      </c>
    </row>
    <row r="2851" spans="1:37" x14ac:dyDescent="0.3">
      <c r="A2851">
        <v>7533</v>
      </c>
      <c r="B2851" t="s">
        <v>3453</v>
      </c>
      <c r="D2851" t="s">
        <v>327</v>
      </c>
      <c r="E2851">
        <v>99999999</v>
      </c>
      <c r="F2851">
        <v>11111111</v>
      </c>
      <c r="G2851">
        <v>1111111111</v>
      </c>
      <c r="H2851" t="s">
        <v>6420</v>
      </c>
      <c r="I2851">
        <v>99999999</v>
      </c>
      <c r="J2851" s="188">
        <v>45236</v>
      </c>
      <c r="K2851" t="s">
        <v>6420</v>
      </c>
      <c r="L2851" t="s">
        <v>6420</v>
      </c>
      <c r="M2851" t="s">
        <v>3463</v>
      </c>
      <c r="N2851" t="s">
        <v>99</v>
      </c>
      <c r="O2851">
        <v>913252732</v>
      </c>
      <c r="P2851" t="s">
        <v>221</v>
      </c>
      <c r="Q2851" t="s">
        <v>82</v>
      </c>
      <c r="R2851">
        <v>2</v>
      </c>
      <c r="S2851">
        <v>96.4</v>
      </c>
      <c r="T2851">
        <v>0</v>
      </c>
      <c r="U2851">
        <v>2</v>
      </c>
      <c r="V2851">
        <v>1</v>
      </c>
      <c r="W2851">
        <v>104.2</v>
      </c>
      <c r="X2851">
        <v>0</v>
      </c>
      <c r="Y2851">
        <v>0</v>
      </c>
      <c r="Z2851">
        <v>0</v>
      </c>
      <c r="AA2851">
        <v>2</v>
      </c>
      <c r="AB2851">
        <v>0</v>
      </c>
      <c r="AC2851">
        <v>0</v>
      </c>
      <c r="AD2851">
        <v>0</v>
      </c>
      <c r="AE2851">
        <v>0</v>
      </c>
      <c r="AF2851">
        <v>0</v>
      </c>
      <c r="AG2851">
        <v>0</v>
      </c>
      <c r="AH2851">
        <v>0</v>
      </c>
      <c r="AI2851">
        <v>0</v>
      </c>
      <c r="AJ2851">
        <v>0</v>
      </c>
      <c r="AK2851">
        <v>0</v>
      </c>
    </row>
    <row r="2852" spans="1:37" x14ac:dyDescent="0.3">
      <c r="A2852">
        <v>7533</v>
      </c>
      <c r="B2852" t="s">
        <v>3453</v>
      </c>
      <c r="D2852" t="s">
        <v>327</v>
      </c>
      <c r="E2852">
        <v>99999999</v>
      </c>
      <c r="F2852">
        <v>11111111</v>
      </c>
      <c r="G2852">
        <v>1111111111</v>
      </c>
      <c r="H2852" t="s">
        <v>6421</v>
      </c>
      <c r="I2852">
        <v>99999999</v>
      </c>
      <c r="J2852" s="188">
        <v>45236</v>
      </c>
      <c r="K2852" t="s">
        <v>6421</v>
      </c>
      <c r="L2852" t="s">
        <v>6421</v>
      </c>
      <c r="M2852" t="s">
        <v>3464</v>
      </c>
      <c r="N2852" t="s">
        <v>97</v>
      </c>
      <c r="O2852">
        <v>983628216</v>
      </c>
      <c r="P2852" t="s">
        <v>221</v>
      </c>
      <c r="Q2852" t="s">
        <v>82</v>
      </c>
      <c r="R2852">
        <v>2</v>
      </c>
      <c r="S2852">
        <v>33.200000000000003</v>
      </c>
      <c r="T2852">
        <v>0</v>
      </c>
      <c r="U2852">
        <v>2</v>
      </c>
      <c r="V2852">
        <v>1</v>
      </c>
      <c r="W2852">
        <v>52.16</v>
      </c>
      <c r="X2852">
        <v>0</v>
      </c>
      <c r="Y2852">
        <v>0</v>
      </c>
      <c r="Z2852">
        <v>0</v>
      </c>
      <c r="AA2852">
        <v>2</v>
      </c>
      <c r="AB2852">
        <v>0</v>
      </c>
      <c r="AC2852">
        <v>0</v>
      </c>
      <c r="AD2852">
        <v>0</v>
      </c>
      <c r="AE2852">
        <v>0</v>
      </c>
      <c r="AF2852">
        <v>0</v>
      </c>
      <c r="AG2852">
        <v>0</v>
      </c>
      <c r="AH2852">
        <v>0</v>
      </c>
      <c r="AI2852">
        <v>0</v>
      </c>
      <c r="AJ2852">
        <v>0</v>
      </c>
      <c r="AK2852">
        <v>0</v>
      </c>
    </row>
    <row r="2853" spans="1:37" x14ac:dyDescent="0.3">
      <c r="A2853">
        <v>7533</v>
      </c>
      <c r="B2853" t="s">
        <v>3453</v>
      </c>
      <c r="D2853" t="s">
        <v>327</v>
      </c>
      <c r="E2853">
        <v>99999999</v>
      </c>
      <c r="F2853">
        <v>11111111</v>
      </c>
      <c r="G2853">
        <v>1111111111</v>
      </c>
      <c r="H2853" t="s">
        <v>6422</v>
      </c>
      <c r="I2853">
        <v>99999999</v>
      </c>
      <c r="J2853" s="188">
        <v>45236</v>
      </c>
      <c r="K2853" t="s">
        <v>6422</v>
      </c>
      <c r="L2853" t="s">
        <v>6422</v>
      </c>
      <c r="M2853" t="s">
        <v>1840</v>
      </c>
      <c r="N2853" t="s">
        <v>99</v>
      </c>
      <c r="O2853">
        <v>950762302</v>
      </c>
      <c r="P2853" t="s">
        <v>221</v>
      </c>
      <c r="Q2853" t="s">
        <v>82</v>
      </c>
      <c r="R2853">
        <v>1</v>
      </c>
      <c r="S2853">
        <v>16.600000000000001</v>
      </c>
      <c r="T2853">
        <v>0</v>
      </c>
      <c r="U2853">
        <v>1</v>
      </c>
      <c r="V2853">
        <v>1</v>
      </c>
      <c r="W2853">
        <v>31.74</v>
      </c>
      <c r="X2853">
        <v>0</v>
      </c>
      <c r="Y2853">
        <v>0</v>
      </c>
      <c r="Z2853">
        <v>0</v>
      </c>
      <c r="AA2853">
        <v>1</v>
      </c>
      <c r="AB2853">
        <v>0</v>
      </c>
      <c r="AC2853">
        <v>0</v>
      </c>
      <c r="AD2853">
        <v>0</v>
      </c>
      <c r="AE2853">
        <v>0</v>
      </c>
      <c r="AF2853">
        <v>0</v>
      </c>
      <c r="AG2853">
        <v>0</v>
      </c>
      <c r="AH2853">
        <v>0</v>
      </c>
      <c r="AI2853">
        <v>0</v>
      </c>
      <c r="AJ2853">
        <v>0</v>
      </c>
      <c r="AK2853">
        <v>0</v>
      </c>
    </row>
    <row r="2854" spans="1:37" x14ac:dyDescent="0.3">
      <c r="A2854">
        <v>7533</v>
      </c>
      <c r="B2854" t="s">
        <v>3453</v>
      </c>
      <c r="D2854" t="s">
        <v>327</v>
      </c>
      <c r="E2854">
        <v>99999999</v>
      </c>
      <c r="F2854">
        <v>11111111</v>
      </c>
      <c r="G2854">
        <v>1111111111</v>
      </c>
      <c r="H2854" t="s">
        <v>6423</v>
      </c>
      <c r="I2854">
        <v>99999999</v>
      </c>
      <c r="J2854" s="188">
        <v>45236</v>
      </c>
      <c r="K2854" t="s">
        <v>6423</v>
      </c>
      <c r="L2854" t="s">
        <v>6423</v>
      </c>
      <c r="M2854" t="s">
        <v>149</v>
      </c>
      <c r="N2854" t="s">
        <v>99</v>
      </c>
      <c r="O2854">
        <v>937054541</v>
      </c>
      <c r="P2854" t="s">
        <v>221</v>
      </c>
      <c r="Q2854" t="s">
        <v>82</v>
      </c>
      <c r="R2854">
        <v>1</v>
      </c>
      <c r="S2854">
        <v>16.600000000000001</v>
      </c>
      <c r="T2854">
        <v>0</v>
      </c>
      <c r="U2854">
        <v>1</v>
      </c>
      <c r="V2854">
        <v>1</v>
      </c>
      <c r="W2854">
        <v>25.62</v>
      </c>
      <c r="X2854">
        <v>0</v>
      </c>
      <c r="Y2854">
        <v>0</v>
      </c>
      <c r="Z2854">
        <v>0</v>
      </c>
      <c r="AA2854">
        <v>1</v>
      </c>
      <c r="AB2854">
        <v>0</v>
      </c>
      <c r="AC2854">
        <v>0</v>
      </c>
      <c r="AD2854">
        <v>0</v>
      </c>
      <c r="AE2854">
        <v>0</v>
      </c>
      <c r="AF2854">
        <v>0</v>
      </c>
      <c r="AG2854">
        <v>0</v>
      </c>
      <c r="AH2854">
        <v>0</v>
      </c>
      <c r="AI2854">
        <v>0</v>
      </c>
      <c r="AJ2854">
        <v>0</v>
      </c>
      <c r="AK2854">
        <v>0</v>
      </c>
    </row>
    <row r="2855" spans="1:37" x14ac:dyDescent="0.3">
      <c r="A2855">
        <v>7533</v>
      </c>
      <c r="B2855" t="s">
        <v>3453</v>
      </c>
      <c r="D2855" t="s">
        <v>327</v>
      </c>
      <c r="E2855">
        <v>99999999</v>
      </c>
      <c r="F2855">
        <v>11111111</v>
      </c>
      <c r="G2855">
        <v>1111111111</v>
      </c>
      <c r="H2855" t="s">
        <v>6424</v>
      </c>
      <c r="I2855">
        <v>99999999</v>
      </c>
      <c r="J2855" s="188">
        <v>45236</v>
      </c>
      <c r="K2855" t="s">
        <v>6424</v>
      </c>
      <c r="L2855" t="s">
        <v>6424</v>
      </c>
      <c r="M2855" t="s">
        <v>101</v>
      </c>
      <c r="N2855" t="s">
        <v>97</v>
      </c>
      <c r="O2855">
        <v>981124701</v>
      </c>
      <c r="P2855" t="s">
        <v>221</v>
      </c>
      <c r="Q2855" t="s">
        <v>82</v>
      </c>
      <c r="R2855">
        <v>2</v>
      </c>
      <c r="S2855">
        <v>33.200000000000003</v>
      </c>
      <c r="T2855">
        <v>0</v>
      </c>
      <c r="U2855">
        <v>2</v>
      </c>
      <c r="V2855">
        <v>1</v>
      </c>
      <c r="W2855">
        <v>52.16</v>
      </c>
      <c r="X2855">
        <v>0</v>
      </c>
      <c r="Y2855">
        <v>0</v>
      </c>
      <c r="Z2855">
        <v>0</v>
      </c>
      <c r="AA2855">
        <v>2</v>
      </c>
      <c r="AB2855">
        <v>0</v>
      </c>
      <c r="AC2855">
        <v>0</v>
      </c>
      <c r="AD2855">
        <v>0</v>
      </c>
      <c r="AE2855">
        <v>0</v>
      </c>
      <c r="AF2855">
        <v>0</v>
      </c>
      <c r="AG2855">
        <v>0</v>
      </c>
      <c r="AH2855">
        <v>0</v>
      </c>
      <c r="AI2855">
        <v>0</v>
      </c>
      <c r="AJ2855">
        <v>0</v>
      </c>
      <c r="AK2855">
        <v>0</v>
      </c>
    </row>
    <row r="2856" spans="1:37" x14ac:dyDescent="0.3">
      <c r="A2856">
        <v>7533</v>
      </c>
      <c r="B2856" t="s">
        <v>3453</v>
      </c>
      <c r="D2856" t="s">
        <v>327</v>
      </c>
      <c r="E2856">
        <v>99999999</v>
      </c>
      <c r="F2856">
        <v>11111111</v>
      </c>
      <c r="G2856">
        <v>1111111111</v>
      </c>
      <c r="H2856" t="s">
        <v>6425</v>
      </c>
      <c r="I2856">
        <v>99999999</v>
      </c>
      <c r="J2856" s="188">
        <v>45236</v>
      </c>
      <c r="K2856" t="s">
        <v>6425</v>
      </c>
      <c r="L2856" t="s">
        <v>6425</v>
      </c>
      <c r="M2856" t="s">
        <v>133</v>
      </c>
      <c r="N2856" t="s">
        <v>99</v>
      </c>
      <c r="O2856">
        <v>935515649</v>
      </c>
      <c r="P2856" t="s">
        <v>221</v>
      </c>
      <c r="Q2856" t="s">
        <v>82</v>
      </c>
      <c r="R2856">
        <v>1</v>
      </c>
      <c r="S2856">
        <v>16.600000000000001</v>
      </c>
      <c r="T2856">
        <v>0</v>
      </c>
      <c r="U2856">
        <v>1</v>
      </c>
      <c r="V2856">
        <v>1</v>
      </c>
      <c r="W2856">
        <v>26.08</v>
      </c>
      <c r="X2856">
        <v>0</v>
      </c>
      <c r="Y2856">
        <v>0</v>
      </c>
      <c r="Z2856">
        <v>0</v>
      </c>
      <c r="AA2856">
        <v>1</v>
      </c>
      <c r="AB2856">
        <v>0</v>
      </c>
      <c r="AC2856">
        <v>0</v>
      </c>
      <c r="AD2856">
        <v>0</v>
      </c>
      <c r="AE2856">
        <v>0</v>
      </c>
      <c r="AF2856">
        <v>0</v>
      </c>
      <c r="AG2856">
        <v>0</v>
      </c>
      <c r="AH2856">
        <v>0</v>
      </c>
      <c r="AI2856">
        <v>0</v>
      </c>
      <c r="AJ2856">
        <v>0</v>
      </c>
      <c r="AK2856">
        <v>0</v>
      </c>
    </row>
    <row r="2857" spans="1:37" x14ac:dyDescent="0.3">
      <c r="A2857">
        <v>7533</v>
      </c>
      <c r="B2857" t="s">
        <v>3453</v>
      </c>
      <c r="D2857" t="s">
        <v>327</v>
      </c>
      <c r="E2857">
        <v>99999999</v>
      </c>
      <c r="F2857">
        <v>11111111</v>
      </c>
      <c r="G2857">
        <v>1111111111</v>
      </c>
      <c r="H2857" t="s">
        <v>6426</v>
      </c>
      <c r="I2857">
        <v>99999999</v>
      </c>
      <c r="J2857" s="188">
        <v>45236</v>
      </c>
      <c r="K2857" t="s">
        <v>6426</v>
      </c>
      <c r="L2857" t="s">
        <v>6426</v>
      </c>
      <c r="M2857" t="s">
        <v>131</v>
      </c>
      <c r="N2857" t="s">
        <v>99</v>
      </c>
      <c r="O2857">
        <v>952091933</v>
      </c>
      <c r="P2857" t="s">
        <v>221</v>
      </c>
      <c r="Q2857" t="s">
        <v>82</v>
      </c>
      <c r="R2857">
        <v>1</v>
      </c>
      <c r="S2857">
        <v>16.600000000000001</v>
      </c>
      <c r="T2857">
        <v>0</v>
      </c>
      <c r="U2857">
        <v>1</v>
      </c>
      <c r="V2857">
        <v>1</v>
      </c>
      <c r="W2857">
        <v>23.89</v>
      </c>
      <c r="X2857">
        <v>0</v>
      </c>
      <c r="Y2857">
        <v>0</v>
      </c>
      <c r="Z2857">
        <v>0</v>
      </c>
      <c r="AA2857">
        <v>1</v>
      </c>
      <c r="AB2857">
        <v>0</v>
      </c>
      <c r="AC2857">
        <v>0</v>
      </c>
      <c r="AD2857">
        <v>0</v>
      </c>
      <c r="AE2857">
        <v>0</v>
      </c>
      <c r="AF2857">
        <v>0</v>
      </c>
      <c r="AG2857">
        <v>0</v>
      </c>
      <c r="AH2857">
        <v>0</v>
      </c>
      <c r="AI2857">
        <v>0</v>
      </c>
      <c r="AJ2857">
        <v>0</v>
      </c>
      <c r="AK2857">
        <v>0</v>
      </c>
    </row>
    <row r="2858" spans="1:37" x14ac:dyDescent="0.3">
      <c r="A2858">
        <v>7533</v>
      </c>
      <c r="B2858" t="s">
        <v>3453</v>
      </c>
      <c r="D2858" t="s">
        <v>327</v>
      </c>
      <c r="E2858">
        <v>99999999</v>
      </c>
      <c r="F2858">
        <v>11111111</v>
      </c>
      <c r="G2858">
        <v>1111111111</v>
      </c>
      <c r="H2858" t="s">
        <v>6427</v>
      </c>
      <c r="I2858">
        <v>99999999</v>
      </c>
      <c r="J2858" s="188">
        <v>45236</v>
      </c>
      <c r="K2858" t="s">
        <v>6427</v>
      </c>
      <c r="L2858" t="s">
        <v>6427</v>
      </c>
      <c r="M2858" t="s">
        <v>463</v>
      </c>
      <c r="N2858" t="s">
        <v>104</v>
      </c>
      <c r="O2858">
        <v>837095354</v>
      </c>
      <c r="P2858" t="s">
        <v>221</v>
      </c>
      <c r="Q2858" t="s">
        <v>82</v>
      </c>
      <c r="R2858">
        <v>1</v>
      </c>
      <c r="S2858">
        <v>48.2</v>
      </c>
      <c r="T2858">
        <v>0</v>
      </c>
      <c r="U2858">
        <v>1</v>
      </c>
      <c r="V2858">
        <v>1</v>
      </c>
      <c r="W2858">
        <v>52.1</v>
      </c>
      <c r="X2858">
        <v>0</v>
      </c>
      <c r="Y2858">
        <v>0</v>
      </c>
      <c r="Z2858">
        <v>0</v>
      </c>
      <c r="AA2858">
        <v>1</v>
      </c>
      <c r="AB2858">
        <v>0</v>
      </c>
      <c r="AC2858">
        <v>0</v>
      </c>
      <c r="AD2858">
        <v>0</v>
      </c>
      <c r="AE2858">
        <v>0</v>
      </c>
      <c r="AF2858">
        <v>0</v>
      </c>
      <c r="AG2858">
        <v>0</v>
      </c>
      <c r="AH2858">
        <v>0</v>
      </c>
      <c r="AI2858">
        <v>0</v>
      </c>
      <c r="AJ2858">
        <v>0</v>
      </c>
      <c r="AK2858">
        <v>0</v>
      </c>
    </row>
    <row r="2859" spans="1:37" x14ac:dyDescent="0.3">
      <c r="A2859">
        <v>7533</v>
      </c>
      <c r="B2859" t="s">
        <v>3453</v>
      </c>
      <c r="D2859" t="s">
        <v>327</v>
      </c>
      <c r="E2859">
        <v>99999999</v>
      </c>
      <c r="F2859">
        <v>11111111</v>
      </c>
      <c r="G2859">
        <v>1111111111</v>
      </c>
      <c r="H2859" t="s">
        <v>6428</v>
      </c>
      <c r="I2859">
        <v>99999999</v>
      </c>
      <c r="J2859" s="188">
        <v>45236</v>
      </c>
      <c r="K2859" t="s">
        <v>6428</v>
      </c>
      <c r="L2859" t="s">
        <v>6428</v>
      </c>
      <c r="M2859" t="s">
        <v>3339</v>
      </c>
      <c r="N2859" t="s">
        <v>164</v>
      </c>
      <c r="O2859">
        <v>972232828</v>
      </c>
      <c r="P2859" t="s">
        <v>221</v>
      </c>
      <c r="Q2859" t="s">
        <v>82</v>
      </c>
      <c r="R2859">
        <v>2</v>
      </c>
      <c r="S2859">
        <v>33.200000000000003</v>
      </c>
      <c r="T2859">
        <v>0</v>
      </c>
      <c r="U2859">
        <v>2</v>
      </c>
      <c r="V2859">
        <v>1</v>
      </c>
      <c r="W2859">
        <v>52.16</v>
      </c>
      <c r="X2859">
        <v>0</v>
      </c>
      <c r="Y2859">
        <v>0</v>
      </c>
      <c r="Z2859">
        <v>0</v>
      </c>
      <c r="AA2859">
        <v>2</v>
      </c>
      <c r="AB2859">
        <v>0</v>
      </c>
      <c r="AC2859">
        <v>0</v>
      </c>
      <c r="AD2859">
        <v>0</v>
      </c>
      <c r="AE2859">
        <v>0</v>
      </c>
      <c r="AF2859">
        <v>0</v>
      </c>
      <c r="AG2859">
        <v>0</v>
      </c>
      <c r="AH2859">
        <v>0</v>
      </c>
      <c r="AI2859">
        <v>0</v>
      </c>
      <c r="AJ2859">
        <v>0</v>
      </c>
      <c r="AK2859">
        <v>0</v>
      </c>
    </row>
    <row r="2860" spans="1:37" x14ac:dyDescent="0.3">
      <c r="A2860">
        <v>7533</v>
      </c>
      <c r="B2860" t="s">
        <v>3453</v>
      </c>
      <c r="D2860" t="s">
        <v>327</v>
      </c>
      <c r="E2860">
        <v>99999999</v>
      </c>
      <c r="F2860">
        <v>11111111</v>
      </c>
      <c r="G2860">
        <v>1111111111</v>
      </c>
      <c r="H2860" t="s">
        <v>6429</v>
      </c>
      <c r="I2860">
        <v>99999999</v>
      </c>
      <c r="J2860" s="188">
        <v>45236</v>
      </c>
      <c r="K2860" t="s">
        <v>6429</v>
      </c>
      <c r="L2860" t="s">
        <v>6429</v>
      </c>
      <c r="M2860" t="s">
        <v>423</v>
      </c>
      <c r="N2860" t="s">
        <v>130</v>
      </c>
      <c r="O2860">
        <v>801344399</v>
      </c>
      <c r="P2860" t="s">
        <v>221</v>
      </c>
      <c r="Q2860" t="s">
        <v>82</v>
      </c>
      <c r="R2860">
        <v>2</v>
      </c>
      <c r="S2860">
        <v>33.200000000000003</v>
      </c>
      <c r="T2860">
        <v>0</v>
      </c>
      <c r="U2860">
        <v>2</v>
      </c>
      <c r="V2860">
        <v>1</v>
      </c>
      <c r="W2860">
        <v>58.35</v>
      </c>
      <c r="X2860">
        <v>0</v>
      </c>
      <c r="Y2860">
        <v>0</v>
      </c>
      <c r="Z2860">
        <v>0</v>
      </c>
      <c r="AA2860">
        <v>2</v>
      </c>
      <c r="AB2860">
        <v>0</v>
      </c>
      <c r="AC2860">
        <v>0</v>
      </c>
      <c r="AD2860">
        <v>0</v>
      </c>
      <c r="AE2860">
        <v>0</v>
      </c>
      <c r="AF2860">
        <v>0</v>
      </c>
      <c r="AG2860">
        <v>0</v>
      </c>
      <c r="AH2860">
        <v>0</v>
      </c>
      <c r="AI2860">
        <v>0</v>
      </c>
      <c r="AJ2860">
        <v>0</v>
      </c>
      <c r="AK2860">
        <v>0</v>
      </c>
    </row>
    <row r="2861" spans="1:37" x14ac:dyDescent="0.3">
      <c r="A2861">
        <v>7533</v>
      </c>
      <c r="B2861" t="s">
        <v>3453</v>
      </c>
      <c r="D2861" t="s">
        <v>327</v>
      </c>
      <c r="E2861">
        <v>99999999</v>
      </c>
      <c r="F2861">
        <v>11111111</v>
      </c>
      <c r="G2861">
        <v>1111111111</v>
      </c>
      <c r="H2861" t="s">
        <v>6430</v>
      </c>
      <c r="I2861">
        <v>99999999</v>
      </c>
      <c r="J2861" s="188">
        <v>45236</v>
      </c>
      <c r="K2861" t="s">
        <v>6430</v>
      </c>
      <c r="L2861" t="s">
        <v>6430</v>
      </c>
      <c r="M2861" t="s">
        <v>3465</v>
      </c>
      <c r="N2861" t="s">
        <v>99</v>
      </c>
      <c r="O2861">
        <v>939532721</v>
      </c>
      <c r="P2861" t="s">
        <v>221</v>
      </c>
      <c r="Q2861" t="s">
        <v>82</v>
      </c>
      <c r="R2861">
        <v>1</v>
      </c>
      <c r="S2861">
        <v>48.2</v>
      </c>
      <c r="T2861">
        <v>0</v>
      </c>
      <c r="U2861">
        <v>1</v>
      </c>
      <c r="V2861">
        <v>1</v>
      </c>
      <c r="W2861">
        <v>47.91</v>
      </c>
      <c r="X2861">
        <v>0</v>
      </c>
      <c r="Y2861">
        <v>0</v>
      </c>
      <c r="Z2861">
        <v>0</v>
      </c>
      <c r="AA2861">
        <v>1</v>
      </c>
      <c r="AB2861">
        <v>0</v>
      </c>
      <c r="AC2861">
        <v>0</v>
      </c>
      <c r="AD2861">
        <v>0</v>
      </c>
      <c r="AE2861">
        <v>0</v>
      </c>
      <c r="AF2861">
        <v>0</v>
      </c>
      <c r="AG2861">
        <v>0</v>
      </c>
      <c r="AH2861">
        <v>0</v>
      </c>
      <c r="AI2861">
        <v>0</v>
      </c>
      <c r="AJ2861">
        <v>0</v>
      </c>
      <c r="AK2861">
        <v>0</v>
      </c>
    </row>
    <row r="2862" spans="1:37" x14ac:dyDescent="0.3">
      <c r="A2862">
        <v>7533</v>
      </c>
      <c r="B2862" t="s">
        <v>3453</v>
      </c>
      <c r="D2862" t="s">
        <v>327</v>
      </c>
      <c r="E2862">
        <v>99999999</v>
      </c>
      <c r="F2862">
        <v>11111111</v>
      </c>
      <c r="G2862">
        <v>1111111111</v>
      </c>
      <c r="H2862" t="s">
        <v>6431</v>
      </c>
      <c r="I2862">
        <v>99999999</v>
      </c>
      <c r="J2862" s="188">
        <v>45236</v>
      </c>
      <c r="K2862" t="s">
        <v>6431</v>
      </c>
      <c r="L2862" t="s">
        <v>6431</v>
      </c>
      <c r="M2862" t="s">
        <v>938</v>
      </c>
      <c r="N2862" t="s">
        <v>99</v>
      </c>
      <c r="O2862">
        <v>939553630</v>
      </c>
      <c r="P2862" t="s">
        <v>221</v>
      </c>
      <c r="Q2862" t="s">
        <v>82</v>
      </c>
      <c r="R2862">
        <v>1</v>
      </c>
      <c r="S2862">
        <v>16.600000000000001</v>
      </c>
      <c r="T2862">
        <v>0</v>
      </c>
      <c r="U2862">
        <v>1</v>
      </c>
      <c r="V2862">
        <v>1</v>
      </c>
      <c r="W2862">
        <v>25.62</v>
      </c>
      <c r="X2862">
        <v>0</v>
      </c>
      <c r="Y2862">
        <v>0</v>
      </c>
      <c r="Z2862">
        <v>0</v>
      </c>
      <c r="AA2862">
        <v>1</v>
      </c>
      <c r="AB2862">
        <v>0</v>
      </c>
      <c r="AC2862">
        <v>0</v>
      </c>
      <c r="AD2862">
        <v>0</v>
      </c>
      <c r="AE2862">
        <v>0</v>
      </c>
      <c r="AF2862">
        <v>0</v>
      </c>
      <c r="AG2862">
        <v>0</v>
      </c>
      <c r="AH2862">
        <v>0</v>
      </c>
      <c r="AI2862">
        <v>0</v>
      </c>
      <c r="AJ2862">
        <v>0</v>
      </c>
      <c r="AK2862">
        <v>0</v>
      </c>
    </row>
    <row r="2863" spans="1:37" x14ac:dyDescent="0.3">
      <c r="A2863">
        <v>7533</v>
      </c>
      <c r="B2863" t="s">
        <v>3453</v>
      </c>
      <c r="D2863" t="s">
        <v>327</v>
      </c>
      <c r="E2863">
        <v>99999999</v>
      </c>
      <c r="F2863">
        <v>11111111</v>
      </c>
      <c r="G2863">
        <v>1111111111</v>
      </c>
      <c r="H2863" t="s">
        <v>6432</v>
      </c>
      <c r="I2863">
        <v>99999999</v>
      </c>
      <c r="J2863" s="188">
        <v>45236</v>
      </c>
      <c r="K2863" t="s">
        <v>6432</v>
      </c>
      <c r="L2863" t="s">
        <v>6432</v>
      </c>
      <c r="M2863" t="s">
        <v>2023</v>
      </c>
      <c r="N2863" t="s">
        <v>99</v>
      </c>
      <c r="O2863">
        <v>936114034</v>
      </c>
      <c r="P2863" t="s">
        <v>221</v>
      </c>
      <c r="Q2863" t="s">
        <v>82</v>
      </c>
      <c r="R2863">
        <v>1</v>
      </c>
      <c r="S2863">
        <v>48.2</v>
      </c>
      <c r="T2863">
        <v>0</v>
      </c>
      <c r="U2863">
        <v>1</v>
      </c>
      <c r="V2863">
        <v>1</v>
      </c>
      <c r="W2863">
        <v>47.91</v>
      </c>
      <c r="X2863">
        <v>0</v>
      </c>
      <c r="Y2863">
        <v>0</v>
      </c>
      <c r="Z2863">
        <v>0</v>
      </c>
      <c r="AA2863">
        <v>1</v>
      </c>
      <c r="AB2863">
        <v>0</v>
      </c>
      <c r="AC2863">
        <v>0</v>
      </c>
      <c r="AD2863">
        <v>0</v>
      </c>
      <c r="AE2863">
        <v>0</v>
      </c>
      <c r="AF2863">
        <v>0</v>
      </c>
      <c r="AG2863">
        <v>0</v>
      </c>
      <c r="AH2863">
        <v>0</v>
      </c>
      <c r="AI2863">
        <v>0</v>
      </c>
      <c r="AJ2863">
        <v>0</v>
      </c>
      <c r="AK2863">
        <v>0</v>
      </c>
    </row>
    <row r="2864" spans="1:37" x14ac:dyDescent="0.3">
      <c r="A2864">
        <v>7533</v>
      </c>
      <c r="B2864" t="s">
        <v>3453</v>
      </c>
      <c r="D2864" t="s">
        <v>327</v>
      </c>
      <c r="E2864">
        <v>99999999</v>
      </c>
      <c r="F2864">
        <v>11111111</v>
      </c>
      <c r="G2864">
        <v>1111111111</v>
      </c>
      <c r="H2864" t="s">
        <v>6433</v>
      </c>
      <c r="I2864">
        <v>99999999</v>
      </c>
      <c r="J2864" s="188">
        <v>45236</v>
      </c>
      <c r="K2864" t="s">
        <v>6433</v>
      </c>
      <c r="L2864" t="s">
        <v>6433</v>
      </c>
      <c r="M2864" t="s">
        <v>2498</v>
      </c>
      <c r="N2864" t="s">
        <v>99</v>
      </c>
      <c r="O2864">
        <v>920691954</v>
      </c>
      <c r="P2864" t="s">
        <v>221</v>
      </c>
      <c r="Q2864" t="s">
        <v>82</v>
      </c>
      <c r="R2864">
        <v>2</v>
      </c>
      <c r="S2864">
        <v>96.4</v>
      </c>
      <c r="T2864">
        <v>0</v>
      </c>
      <c r="U2864">
        <v>2</v>
      </c>
      <c r="V2864">
        <v>1</v>
      </c>
      <c r="W2864">
        <v>104.2</v>
      </c>
      <c r="X2864">
        <v>0</v>
      </c>
      <c r="Y2864">
        <v>0</v>
      </c>
      <c r="Z2864">
        <v>0</v>
      </c>
      <c r="AA2864">
        <v>2</v>
      </c>
      <c r="AB2864">
        <v>0</v>
      </c>
      <c r="AC2864">
        <v>0</v>
      </c>
      <c r="AD2864">
        <v>0</v>
      </c>
      <c r="AE2864">
        <v>0</v>
      </c>
      <c r="AF2864">
        <v>0</v>
      </c>
      <c r="AG2864">
        <v>0</v>
      </c>
      <c r="AH2864">
        <v>0</v>
      </c>
      <c r="AI2864">
        <v>0</v>
      </c>
      <c r="AJ2864">
        <v>0</v>
      </c>
      <c r="AK2864">
        <v>0</v>
      </c>
    </row>
    <row r="2865" spans="1:37" x14ac:dyDescent="0.3">
      <c r="A2865">
        <v>7533</v>
      </c>
      <c r="B2865" t="s">
        <v>3453</v>
      </c>
      <c r="D2865" t="s">
        <v>327</v>
      </c>
      <c r="E2865">
        <v>99999999</v>
      </c>
      <c r="F2865">
        <v>11111111</v>
      </c>
      <c r="G2865">
        <v>1111111111</v>
      </c>
      <c r="H2865" t="s">
        <v>6434</v>
      </c>
      <c r="I2865">
        <v>99999999</v>
      </c>
      <c r="J2865" s="188">
        <v>45236</v>
      </c>
      <c r="K2865" t="s">
        <v>6434</v>
      </c>
      <c r="L2865" t="s">
        <v>6434</v>
      </c>
      <c r="M2865" t="s">
        <v>193</v>
      </c>
      <c r="N2865" t="s">
        <v>85</v>
      </c>
      <c r="O2865">
        <v>890146817</v>
      </c>
      <c r="P2865" t="s">
        <v>221</v>
      </c>
      <c r="Q2865" t="s">
        <v>82</v>
      </c>
      <c r="R2865">
        <v>1</v>
      </c>
      <c r="S2865">
        <v>48.2</v>
      </c>
      <c r="T2865">
        <v>0</v>
      </c>
      <c r="U2865">
        <v>1</v>
      </c>
      <c r="V2865">
        <v>1</v>
      </c>
      <c r="W2865">
        <v>52.1</v>
      </c>
      <c r="X2865">
        <v>0</v>
      </c>
      <c r="Y2865">
        <v>0</v>
      </c>
      <c r="Z2865">
        <v>0</v>
      </c>
      <c r="AA2865">
        <v>1</v>
      </c>
      <c r="AB2865">
        <v>0</v>
      </c>
      <c r="AC2865">
        <v>0</v>
      </c>
      <c r="AD2865">
        <v>0</v>
      </c>
      <c r="AE2865">
        <v>0</v>
      </c>
      <c r="AF2865">
        <v>0</v>
      </c>
      <c r="AG2865">
        <v>0</v>
      </c>
      <c r="AH2865">
        <v>0</v>
      </c>
      <c r="AI2865">
        <v>0</v>
      </c>
      <c r="AJ2865">
        <v>0</v>
      </c>
      <c r="AK2865">
        <v>0</v>
      </c>
    </row>
    <row r="2866" spans="1:37" x14ac:dyDescent="0.3">
      <c r="A2866">
        <v>7533</v>
      </c>
      <c r="B2866" t="s">
        <v>3453</v>
      </c>
      <c r="D2866" t="s">
        <v>327</v>
      </c>
      <c r="E2866">
        <v>99999999</v>
      </c>
      <c r="F2866">
        <v>11111111</v>
      </c>
      <c r="G2866">
        <v>1111111111</v>
      </c>
      <c r="H2866" t="s">
        <v>6435</v>
      </c>
      <c r="I2866">
        <v>99999999</v>
      </c>
      <c r="J2866" s="188">
        <v>45236</v>
      </c>
      <c r="K2866" t="s">
        <v>6435</v>
      </c>
      <c r="L2866" t="s">
        <v>6435</v>
      </c>
      <c r="M2866" t="s">
        <v>3466</v>
      </c>
      <c r="N2866" t="s">
        <v>99</v>
      </c>
      <c r="O2866">
        <v>940153648</v>
      </c>
      <c r="P2866" t="s">
        <v>221</v>
      </c>
      <c r="Q2866" t="s">
        <v>82</v>
      </c>
      <c r="R2866">
        <v>2</v>
      </c>
      <c r="S2866">
        <v>33.200000000000003</v>
      </c>
      <c r="T2866">
        <v>0</v>
      </c>
      <c r="U2866">
        <v>2</v>
      </c>
      <c r="V2866">
        <v>1</v>
      </c>
      <c r="W2866">
        <v>51.24</v>
      </c>
      <c r="X2866">
        <v>0</v>
      </c>
      <c r="Y2866">
        <v>0</v>
      </c>
      <c r="Z2866">
        <v>0</v>
      </c>
      <c r="AA2866">
        <v>2</v>
      </c>
      <c r="AB2866">
        <v>0</v>
      </c>
      <c r="AC2866">
        <v>0</v>
      </c>
      <c r="AD2866">
        <v>0</v>
      </c>
      <c r="AE2866">
        <v>0</v>
      </c>
      <c r="AF2866">
        <v>0</v>
      </c>
      <c r="AG2866">
        <v>0</v>
      </c>
      <c r="AH2866">
        <v>0</v>
      </c>
      <c r="AI2866">
        <v>0</v>
      </c>
      <c r="AJ2866">
        <v>0</v>
      </c>
      <c r="AK2866">
        <v>0</v>
      </c>
    </row>
    <row r="2867" spans="1:37" x14ac:dyDescent="0.3">
      <c r="A2867">
        <v>7533</v>
      </c>
      <c r="B2867" t="s">
        <v>3453</v>
      </c>
      <c r="D2867" t="s">
        <v>327</v>
      </c>
      <c r="E2867">
        <v>99999999</v>
      </c>
      <c r="F2867">
        <v>11111111</v>
      </c>
      <c r="G2867">
        <v>1111111111</v>
      </c>
      <c r="H2867" t="s">
        <v>6436</v>
      </c>
      <c r="I2867">
        <v>99999999</v>
      </c>
      <c r="J2867" s="188">
        <v>45236</v>
      </c>
      <c r="K2867" t="s">
        <v>6436</v>
      </c>
      <c r="L2867" t="s">
        <v>6436</v>
      </c>
      <c r="M2867" t="s">
        <v>1069</v>
      </c>
      <c r="N2867" t="s">
        <v>99</v>
      </c>
      <c r="O2867">
        <v>961504523</v>
      </c>
      <c r="P2867" t="s">
        <v>221</v>
      </c>
      <c r="Q2867" t="s">
        <v>82</v>
      </c>
      <c r="R2867">
        <v>1</v>
      </c>
      <c r="S2867">
        <v>48.2</v>
      </c>
      <c r="T2867">
        <v>0</v>
      </c>
      <c r="U2867">
        <v>1</v>
      </c>
      <c r="V2867">
        <v>1</v>
      </c>
      <c r="W2867">
        <v>44.85</v>
      </c>
      <c r="X2867">
        <v>0</v>
      </c>
      <c r="Y2867">
        <v>0</v>
      </c>
      <c r="Z2867">
        <v>0</v>
      </c>
      <c r="AA2867">
        <v>1</v>
      </c>
      <c r="AB2867">
        <v>0</v>
      </c>
      <c r="AC2867">
        <v>0</v>
      </c>
      <c r="AD2867">
        <v>0</v>
      </c>
      <c r="AE2867">
        <v>0</v>
      </c>
      <c r="AF2867">
        <v>0</v>
      </c>
      <c r="AG2867">
        <v>0</v>
      </c>
      <c r="AH2867">
        <v>0</v>
      </c>
      <c r="AI2867">
        <v>0</v>
      </c>
      <c r="AJ2867">
        <v>0</v>
      </c>
      <c r="AK2867">
        <v>0</v>
      </c>
    </row>
    <row r="2868" spans="1:37" x14ac:dyDescent="0.3">
      <c r="A2868">
        <v>7533</v>
      </c>
      <c r="B2868" t="s">
        <v>3453</v>
      </c>
      <c r="D2868" t="s">
        <v>327</v>
      </c>
      <c r="E2868">
        <v>99999999</v>
      </c>
      <c r="F2868">
        <v>11111111</v>
      </c>
      <c r="G2868">
        <v>1111111111</v>
      </c>
      <c r="H2868" t="s">
        <v>6437</v>
      </c>
      <c r="I2868">
        <v>99999999</v>
      </c>
      <c r="J2868" s="188">
        <v>45236</v>
      </c>
      <c r="K2868" t="s">
        <v>6437</v>
      </c>
      <c r="L2868" t="s">
        <v>6437</v>
      </c>
      <c r="M2868" t="s">
        <v>3173</v>
      </c>
      <c r="N2868" t="s">
        <v>135</v>
      </c>
      <c r="O2868">
        <v>840477347</v>
      </c>
      <c r="P2868" t="s">
        <v>221</v>
      </c>
      <c r="Q2868" t="s">
        <v>82</v>
      </c>
      <c r="R2868">
        <v>2</v>
      </c>
      <c r="S2868">
        <v>96.4</v>
      </c>
      <c r="T2868">
        <v>0</v>
      </c>
      <c r="U2868">
        <v>2</v>
      </c>
      <c r="V2868">
        <v>1</v>
      </c>
      <c r="W2868">
        <v>104.2</v>
      </c>
      <c r="X2868">
        <v>0</v>
      </c>
      <c r="Y2868">
        <v>0</v>
      </c>
      <c r="Z2868">
        <v>0</v>
      </c>
      <c r="AA2868">
        <v>2</v>
      </c>
      <c r="AB2868">
        <v>0</v>
      </c>
      <c r="AC2868">
        <v>0</v>
      </c>
      <c r="AD2868">
        <v>0</v>
      </c>
      <c r="AE2868">
        <v>0</v>
      </c>
      <c r="AF2868">
        <v>0</v>
      </c>
      <c r="AG2868">
        <v>0</v>
      </c>
      <c r="AH2868">
        <v>0</v>
      </c>
      <c r="AI2868">
        <v>0</v>
      </c>
      <c r="AJ2868">
        <v>0</v>
      </c>
      <c r="AK2868">
        <v>0</v>
      </c>
    </row>
    <row r="2869" spans="1:37" x14ac:dyDescent="0.3">
      <c r="A2869">
        <v>7533</v>
      </c>
      <c r="B2869" t="s">
        <v>3453</v>
      </c>
      <c r="D2869" t="s">
        <v>327</v>
      </c>
      <c r="E2869">
        <v>99999999</v>
      </c>
      <c r="F2869">
        <v>11111111</v>
      </c>
      <c r="G2869">
        <v>1111111111</v>
      </c>
      <c r="H2869" t="s">
        <v>6438</v>
      </c>
      <c r="I2869">
        <v>99999999</v>
      </c>
      <c r="J2869" s="188">
        <v>45236</v>
      </c>
      <c r="K2869" t="s">
        <v>6438</v>
      </c>
      <c r="L2869" t="s">
        <v>6438</v>
      </c>
      <c r="M2869" t="s">
        <v>791</v>
      </c>
      <c r="N2869" t="s">
        <v>99</v>
      </c>
      <c r="O2869">
        <v>950235191</v>
      </c>
      <c r="P2869" t="s">
        <v>221</v>
      </c>
      <c r="Q2869" t="s">
        <v>82</v>
      </c>
      <c r="R2869">
        <v>1</v>
      </c>
      <c r="S2869">
        <v>48.2</v>
      </c>
      <c r="T2869">
        <v>0</v>
      </c>
      <c r="U2869">
        <v>1</v>
      </c>
      <c r="V2869">
        <v>1</v>
      </c>
      <c r="W2869">
        <v>54.03</v>
      </c>
      <c r="X2869">
        <v>0</v>
      </c>
      <c r="Y2869">
        <v>0</v>
      </c>
      <c r="Z2869">
        <v>0</v>
      </c>
      <c r="AA2869">
        <v>1</v>
      </c>
      <c r="AB2869">
        <v>0</v>
      </c>
      <c r="AC2869">
        <v>0</v>
      </c>
      <c r="AD2869">
        <v>0</v>
      </c>
      <c r="AE2869">
        <v>0</v>
      </c>
      <c r="AF2869">
        <v>0</v>
      </c>
      <c r="AG2869">
        <v>0</v>
      </c>
      <c r="AH2869">
        <v>0</v>
      </c>
      <c r="AI2869">
        <v>0</v>
      </c>
      <c r="AJ2869">
        <v>0</v>
      </c>
      <c r="AK2869">
        <v>0</v>
      </c>
    </row>
    <row r="2870" spans="1:37" x14ac:dyDescent="0.3">
      <c r="A2870">
        <v>7533</v>
      </c>
      <c r="B2870" t="s">
        <v>3453</v>
      </c>
      <c r="D2870" t="s">
        <v>327</v>
      </c>
      <c r="E2870">
        <v>99999999</v>
      </c>
      <c r="F2870">
        <v>11111111</v>
      </c>
      <c r="G2870">
        <v>1111111111</v>
      </c>
      <c r="H2870" t="s">
        <v>6439</v>
      </c>
      <c r="I2870">
        <v>99999999</v>
      </c>
      <c r="J2870" s="188">
        <v>45236</v>
      </c>
      <c r="K2870" t="s">
        <v>6439</v>
      </c>
      <c r="L2870" t="s">
        <v>6439</v>
      </c>
      <c r="M2870" t="s">
        <v>1679</v>
      </c>
      <c r="N2870" t="s">
        <v>99</v>
      </c>
      <c r="O2870">
        <v>945953212</v>
      </c>
      <c r="P2870" t="s">
        <v>221</v>
      </c>
      <c r="Q2870" t="s">
        <v>82</v>
      </c>
      <c r="R2870">
        <v>1</v>
      </c>
      <c r="S2870">
        <v>16.600000000000001</v>
      </c>
      <c r="T2870">
        <v>0</v>
      </c>
      <c r="U2870">
        <v>1</v>
      </c>
      <c r="V2870">
        <v>1</v>
      </c>
      <c r="W2870">
        <v>25.62</v>
      </c>
      <c r="X2870">
        <v>0</v>
      </c>
      <c r="Y2870">
        <v>0</v>
      </c>
      <c r="Z2870">
        <v>0</v>
      </c>
      <c r="AA2870">
        <v>1</v>
      </c>
      <c r="AB2870">
        <v>0</v>
      </c>
      <c r="AC2870">
        <v>0</v>
      </c>
      <c r="AD2870">
        <v>0</v>
      </c>
      <c r="AE2870">
        <v>0</v>
      </c>
      <c r="AF2870">
        <v>0</v>
      </c>
      <c r="AG2870">
        <v>0</v>
      </c>
      <c r="AH2870">
        <v>0</v>
      </c>
      <c r="AI2870">
        <v>0</v>
      </c>
      <c r="AJ2870">
        <v>0</v>
      </c>
      <c r="AK2870">
        <v>0</v>
      </c>
    </row>
    <row r="2871" spans="1:37" x14ac:dyDescent="0.3">
      <c r="A2871">
        <v>7533</v>
      </c>
      <c r="B2871" t="s">
        <v>3453</v>
      </c>
      <c r="D2871" t="s">
        <v>327</v>
      </c>
      <c r="E2871">
        <v>99999999</v>
      </c>
      <c r="F2871">
        <v>11111111</v>
      </c>
      <c r="G2871">
        <v>1111111111</v>
      </c>
      <c r="H2871" t="s">
        <v>6440</v>
      </c>
      <c r="I2871">
        <v>99999999</v>
      </c>
      <c r="J2871" s="188">
        <v>45236</v>
      </c>
      <c r="K2871" t="s">
        <v>6440</v>
      </c>
      <c r="L2871" t="s">
        <v>6440</v>
      </c>
      <c r="M2871" t="s">
        <v>3467</v>
      </c>
      <c r="N2871" t="s">
        <v>99</v>
      </c>
      <c r="O2871">
        <v>926793378</v>
      </c>
      <c r="P2871" t="s">
        <v>221</v>
      </c>
      <c r="Q2871" t="s">
        <v>82</v>
      </c>
      <c r="R2871">
        <v>2</v>
      </c>
      <c r="S2871">
        <v>96.4</v>
      </c>
      <c r="T2871">
        <v>0</v>
      </c>
      <c r="U2871">
        <v>2</v>
      </c>
      <c r="V2871">
        <v>1</v>
      </c>
      <c r="W2871">
        <v>116.45</v>
      </c>
      <c r="X2871">
        <v>0</v>
      </c>
      <c r="Y2871">
        <v>0</v>
      </c>
      <c r="Z2871">
        <v>0</v>
      </c>
      <c r="AA2871">
        <v>2</v>
      </c>
      <c r="AB2871">
        <v>0</v>
      </c>
      <c r="AC2871">
        <v>0</v>
      </c>
      <c r="AD2871">
        <v>0</v>
      </c>
      <c r="AE2871">
        <v>0</v>
      </c>
      <c r="AF2871">
        <v>0</v>
      </c>
      <c r="AG2871">
        <v>0</v>
      </c>
      <c r="AH2871">
        <v>0</v>
      </c>
      <c r="AI2871">
        <v>0</v>
      </c>
      <c r="AJ2871">
        <v>0</v>
      </c>
      <c r="AK2871">
        <v>0</v>
      </c>
    </row>
    <row r="2872" spans="1:37" x14ac:dyDescent="0.3">
      <c r="A2872">
        <v>7533</v>
      </c>
      <c r="B2872" t="s">
        <v>3453</v>
      </c>
      <c r="D2872" t="s">
        <v>327</v>
      </c>
      <c r="E2872">
        <v>99999999</v>
      </c>
      <c r="F2872">
        <v>11111111</v>
      </c>
      <c r="G2872">
        <v>1111111111</v>
      </c>
      <c r="H2872" t="s">
        <v>6441</v>
      </c>
      <c r="I2872">
        <v>99999999</v>
      </c>
      <c r="J2872" s="188">
        <v>45236</v>
      </c>
      <c r="K2872" t="s">
        <v>6441</v>
      </c>
      <c r="L2872" t="s">
        <v>6441</v>
      </c>
      <c r="M2872" t="s">
        <v>2158</v>
      </c>
      <c r="N2872" t="s">
        <v>97</v>
      </c>
      <c r="O2872">
        <v>983294640</v>
      </c>
      <c r="P2872" t="s">
        <v>221</v>
      </c>
      <c r="Q2872" t="s">
        <v>82</v>
      </c>
      <c r="R2872">
        <v>1</v>
      </c>
      <c r="S2872">
        <v>35.625</v>
      </c>
      <c r="T2872">
        <v>0</v>
      </c>
      <c r="U2872">
        <v>1</v>
      </c>
      <c r="V2872">
        <v>1</v>
      </c>
      <c r="W2872">
        <v>77.12</v>
      </c>
      <c r="X2872">
        <v>0</v>
      </c>
      <c r="Y2872">
        <v>0</v>
      </c>
      <c r="Z2872">
        <v>0</v>
      </c>
      <c r="AA2872">
        <v>1</v>
      </c>
      <c r="AB2872">
        <v>0</v>
      </c>
      <c r="AC2872">
        <v>0</v>
      </c>
      <c r="AD2872">
        <v>0</v>
      </c>
      <c r="AE2872">
        <v>0</v>
      </c>
      <c r="AF2872">
        <v>0</v>
      </c>
      <c r="AG2872">
        <v>0</v>
      </c>
      <c r="AH2872">
        <v>0</v>
      </c>
      <c r="AI2872">
        <v>0</v>
      </c>
      <c r="AJ2872">
        <v>0</v>
      </c>
      <c r="AK2872">
        <v>0</v>
      </c>
    </row>
    <row r="2873" spans="1:37" x14ac:dyDescent="0.3">
      <c r="A2873">
        <v>7533</v>
      </c>
      <c r="B2873" t="s">
        <v>3453</v>
      </c>
      <c r="D2873" t="s">
        <v>327</v>
      </c>
      <c r="E2873">
        <v>99999999</v>
      </c>
      <c r="F2873">
        <v>11111111</v>
      </c>
      <c r="G2873">
        <v>1111111111</v>
      </c>
      <c r="H2873" t="s">
        <v>6442</v>
      </c>
      <c r="I2873">
        <v>99999999</v>
      </c>
      <c r="J2873" s="188">
        <v>45236</v>
      </c>
      <c r="K2873" t="s">
        <v>6442</v>
      </c>
      <c r="L2873" t="s">
        <v>6442</v>
      </c>
      <c r="M2873" t="s">
        <v>1467</v>
      </c>
      <c r="N2873" t="s">
        <v>99</v>
      </c>
      <c r="O2873">
        <v>940866322</v>
      </c>
      <c r="P2873" t="s">
        <v>221</v>
      </c>
      <c r="Q2873" t="s">
        <v>82</v>
      </c>
      <c r="R2873">
        <v>2</v>
      </c>
      <c r="S2873">
        <v>33.200000000000003</v>
      </c>
      <c r="T2873">
        <v>0</v>
      </c>
      <c r="U2873">
        <v>2</v>
      </c>
      <c r="V2873">
        <v>1</v>
      </c>
      <c r="W2873">
        <v>51.24</v>
      </c>
      <c r="X2873">
        <v>0</v>
      </c>
      <c r="Y2873">
        <v>0</v>
      </c>
      <c r="Z2873">
        <v>0</v>
      </c>
      <c r="AA2873">
        <v>2</v>
      </c>
      <c r="AB2873">
        <v>0</v>
      </c>
      <c r="AC2873">
        <v>0</v>
      </c>
      <c r="AD2873">
        <v>0</v>
      </c>
      <c r="AE2873">
        <v>0</v>
      </c>
      <c r="AF2873">
        <v>0</v>
      </c>
      <c r="AG2873">
        <v>0</v>
      </c>
      <c r="AH2873">
        <v>0</v>
      </c>
      <c r="AI2873">
        <v>0</v>
      </c>
      <c r="AJ2873">
        <v>0</v>
      </c>
      <c r="AK2873">
        <v>0</v>
      </c>
    </row>
    <row r="2874" spans="1:37" x14ac:dyDescent="0.3">
      <c r="A2874">
        <v>7533</v>
      </c>
      <c r="B2874" t="s">
        <v>3453</v>
      </c>
      <c r="D2874" t="s">
        <v>327</v>
      </c>
      <c r="E2874">
        <v>99999999</v>
      </c>
      <c r="F2874">
        <v>11111111</v>
      </c>
      <c r="G2874">
        <v>1111111111</v>
      </c>
      <c r="H2874" t="s">
        <v>6443</v>
      </c>
      <c r="I2874">
        <v>99999999</v>
      </c>
      <c r="J2874" s="188">
        <v>45236</v>
      </c>
      <c r="K2874" t="s">
        <v>6443</v>
      </c>
      <c r="L2874" t="s">
        <v>6443</v>
      </c>
      <c r="M2874" t="s">
        <v>1653</v>
      </c>
      <c r="N2874" t="s">
        <v>97</v>
      </c>
      <c r="O2874">
        <v>983741967</v>
      </c>
      <c r="P2874" t="s">
        <v>221</v>
      </c>
      <c r="Q2874" t="s">
        <v>82</v>
      </c>
      <c r="R2874">
        <v>1</v>
      </c>
      <c r="S2874">
        <v>35.625</v>
      </c>
      <c r="T2874">
        <v>0</v>
      </c>
      <c r="U2874">
        <v>1</v>
      </c>
      <c r="V2874">
        <v>1</v>
      </c>
      <c r="W2874">
        <v>71</v>
      </c>
      <c r="X2874">
        <v>0</v>
      </c>
      <c r="Y2874">
        <v>0</v>
      </c>
      <c r="Z2874">
        <v>0</v>
      </c>
      <c r="AA2874">
        <v>1</v>
      </c>
      <c r="AB2874">
        <v>0</v>
      </c>
      <c r="AC2874">
        <v>0</v>
      </c>
      <c r="AD2874">
        <v>0</v>
      </c>
      <c r="AE2874">
        <v>0</v>
      </c>
      <c r="AF2874">
        <v>0</v>
      </c>
      <c r="AG2874">
        <v>0</v>
      </c>
      <c r="AH2874">
        <v>0</v>
      </c>
      <c r="AI2874">
        <v>0</v>
      </c>
      <c r="AJ2874">
        <v>0</v>
      </c>
      <c r="AK2874">
        <v>0</v>
      </c>
    </row>
    <row r="2875" spans="1:37" x14ac:dyDescent="0.3">
      <c r="A2875">
        <v>7533</v>
      </c>
      <c r="B2875" t="s">
        <v>3453</v>
      </c>
      <c r="D2875" t="s">
        <v>327</v>
      </c>
      <c r="E2875">
        <v>99999999</v>
      </c>
      <c r="F2875">
        <v>11111111</v>
      </c>
      <c r="G2875">
        <v>1111111111</v>
      </c>
      <c r="H2875" t="s">
        <v>6444</v>
      </c>
      <c r="I2875">
        <v>99999999</v>
      </c>
      <c r="J2875" s="188">
        <v>45236</v>
      </c>
      <c r="K2875" t="s">
        <v>6444</v>
      </c>
      <c r="L2875" t="s">
        <v>6444</v>
      </c>
      <c r="M2875" t="s">
        <v>196</v>
      </c>
      <c r="N2875" t="s">
        <v>99</v>
      </c>
      <c r="O2875">
        <v>928695842</v>
      </c>
      <c r="P2875" t="s">
        <v>221</v>
      </c>
      <c r="Q2875" t="s">
        <v>82</v>
      </c>
      <c r="R2875">
        <v>1</v>
      </c>
      <c r="S2875">
        <v>48.2</v>
      </c>
      <c r="T2875">
        <v>0</v>
      </c>
      <c r="U2875">
        <v>1</v>
      </c>
      <c r="V2875">
        <v>1</v>
      </c>
      <c r="W2875">
        <v>52.1</v>
      </c>
      <c r="X2875">
        <v>0</v>
      </c>
      <c r="Y2875">
        <v>0</v>
      </c>
      <c r="Z2875">
        <v>0</v>
      </c>
      <c r="AA2875">
        <v>1</v>
      </c>
      <c r="AB2875">
        <v>0</v>
      </c>
      <c r="AC2875">
        <v>0</v>
      </c>
      <c r="AD2875">
        <v>0</v>
      </c>
      <c r="AE2875">
        <v>0</v>
      </c>
      <c r="AF2875">
        <v>0</v>
      </c>
      <c r="AG2875">
        <v>0</v>
      </c>
      <c r="AH2875">
        <v>0</v>
      </c>
      <c r="AI2875">
        <v>0</v>
      </c>
      <c r="AJ2875">
        <v>0</v>
      </c>
      <c r="AK2875">
        <v>0</v>
      </c>
    </row>
    <row r="2876" spans="1:37" x14ac:dyDescent="0.3">
      <c r="A2876">
        <v>7533</v>
      </c>
      <c r="B2876" t="s">
        <v>3453</v>
      </c>
      <c r="D2876" t="s">
        <v>327</v>
      </c>
      <c r="E2876">
        <v>99999999</v>
      </c>
      <c r="F2876">
        <v>11111111</v>
      </c>
      <c r="G2876">
        <v>1111111111</v>
      </c>
      <c r="H2876" t="s">
        <v>6445</v>
      </c>
      <c r="I2876">
        <v>99999999</v>
      </c>
      <c r="J2876" s="188">
        <v>45236</v>
      </c>
      <c r="K2876" t="s">
        <v>6445</v>
      </c>
      <c r="L2876" t="s">
        <v>6445</v>
      </c>
      <c r="M2876" t="s">
        <v>1172</v>
      </c>
      <c r="N2876" t="s">
        <v>99</v>
      </c>
      <c r="O2876">
        <v>951275410</v>
      </c>
      <c r="P2876" t="s">
        <v>221</v>
      </c>
      <c r="Q2876" t="s">
        <v>82</v>
      </c>
      <c r="R2876">
        <v>1</v>
      </c>
      <c r="S2876">
        <v>16.600000000000001</v>
      </c>
      <c r="T2876">
        <v>0</v>
      </c>
      <c r="U2876">
        <v>1</v>
      </c>
      <c r="V2876">
        <v>1</v>
      </c>
      <c r="W2876">
        <v>25.62</v>
      </c>
      <c r="X2876">
        <v>0</v>
      </c>
      <c r="Y2876">
        <v>0</v>
      </c>
      <c r="Z2876">
        <v>0</v>
      </c>
      <c r="AA2876">
        <v>1</v>
      </c>
      <c r="AB2876">
        <v>0</v>
      </c>
      <c r="AC2876">
        <v>0</v>
      </c>
      <c r="AD2876">
        <v>0</v>
      </c>
      <c r="AE2876">
        <v>0</v>
      </c>
      <c r="AF2876">
        <v>0</v>
      </c>
      <c r="AG2876">
        <v>0</v>
      </c>
      <c r="AH2876">
        <v>0</v>
      </c>
      <c r="AI2876">
        <v>0</v>
      </c>
      <c r="AJ2876">
        <v>0</v>
      </c>
      <c r="AK2876">
        <v>0</v>
      </c>
    </row>
    <row r="2877" spans="1:37" x14ac:dyDescent="0.3">
      <c r="A2877">
        <v>7533</v>
      </c>
      <c r="B2877" t="s">
        <v>3453</v>
      </c>
      <c r="D2877" t="s">
        <v>327</v>
      </c>
      <c r="E2877">
        <v>99999999</v>
      </c>
      <c r="F2877">
        <v>11111111</v>
      </c>
      <c r="G2877">
        <v>1111111111</v>
      </c>
      <c r="H2877" t="s">
        <v>6446</v>
      </c>
      <c r="I2877">
        <v>99999999</v>
      </c>
      <c r="J2877" s="188">
        <v>45236</v>
      </c>
      <c r="K2877" t="s">
        <v>6446</v>
      </c>
      <c r="L2877" t="s">
        <v>6446</v>
      </c>
      <c r="M2877" t="s">
        <v>101</v>
      </c>
      <c r="N2877" t="s">
        <v>97</v>
      </c>
      <c r="O2877">
        <v>981256198</v>
      </c>
      <c r="P2877" t="s">
        <v>221</v>
      </c>
      <c r="Q2877" t="s">
        <v>82</v>
      </c>
      <c r="R2877">
        <v>2</v>
      </c>
      <c r="S2877">
        <v>33.200000000000003</v>
      </c>
      <c r="T2877">
        <v>0</v>
      </c>
      <c r="U2877">
        <v>2</v>
      </c>
      <c r="V2877">
        <v>1</v>
      </c>
      <c r="W2877">
        <v>52.16</v>
      </c>
      <c r="X2877">
        <v>0</v>
      </c>
      <c r="Y2877">
        <v>0</v>
      </c>
      <c r="Z2877">
        <v>0</v>
      </c>
      <c r="AA2877">
        <v>2</v>
      </c>
      <c r="AB2877">
        <v>0</v>
      </c>
      <c r="AC2877">
        <v>0</v>
      </c>
      <c r="AD2877">
        <v>0</v>
      </c>
      <c r="AE2877">
        <v>0</v>
      </c>
      <c r="AF2877">
        <v>0</v>
      </c>
      <c r="AG2877">
        <v>0</v>
      </c>
      <c r="AH2877">
        <v>0</v>
      </c>
      <c r="AI2877">
        <v>0</v>
      </c>
      <c r="AJ2877">
        <v>0</v>
      </c>
      <c r="AK2877">
        <v>0</v>
      </c>
    </row>
    <row r="2878" spans="1:37" x14ac:dyDescent="0.3">
      <c r="A2878">
        <v>7533</v>
      </c>
      <c r="B2878" t="s">
        <v>3453</v>
      </c>
      <c r="D2878" t="s">
        <v>327</v>
      </c>
      <c r="E2878">
        <v>99999999</v>
      </c>
      <c r="F2878">
        <v>11111111</v>
      </c>
      <c r="G2878">
        <v>1111111111</v>
      </c>
      <c r="H2878" t="s">
        <v>6447</v>
      </c>
      <c r="I2878">
        <v>99999999</v>
      </c>
      <c r="J2878" s="188">
        <v>45236</v>
      </c>
      <c r="K2878" t="s">
        <v>6447</v>
      </c>
      <c r="L2878" t="s">
        <v>6447</v>
      </c>
      <c r="M2878" t="s">
        <v>269</v>
      </c>
      <c r="N2878" t="s">
        <v>99</v>
      </c>
      <c r="O2878">
        <v>92802</v>
      </c>
      <c r="P2878" t="s">
        <v>221</v>
      </c>
      <c r="Q2878" t="s">
        <v>82</v>
      </c>
      <c r="R2878">
        <v>1</v>
      </c>
      <c r="S2878">
        <v>48.2</v>
      </c>
      <c r="T2878">
        <v>0</v>
      </c>
      <c r="U2878">
        <v>1</v>
      </c>
      <c r="V2878">
        <v>1</v>
      </c>
      <c r="W2878">
        <v>52.1</v>
      </c>
      <c r="X2878">
        <v>0</v>
      </c>
      <c r="Y2878">
        <v>0</v>
      </c>
      <c r="Z2878">
        <v>0</v>
      </c>
      <c r="AA2878">
        <v>1</v>
      </c>
      <c r="AB2878">
        <v>0</v>
      </c>
      <c r="AC2878">
        <v>0</v>
      </c>
      <c r="AD2878">
        <v>0</v>
      </c>
      <c r="AE2878">
        <v>0</v>
      </c>
      <c r="AF2878">
        <v>0</v>
      </c>
      <c r="AG2878">
        <v>0</v>
      </c>
      <c r="AH2878">
        <v>0</v>
      </c>
      <c r="AI2878">
        <v>0</v>
      </c>
      <c r="AJ2878">
        <v>0</v>
      </c>
      <c r="AK2878">
        <v>0</v>
      </c>
    </row>
    <row r="2879" spans="1:37" x14ac:dyDescent="0.3">
      <c r="A2879">
        <v>7533</v>
      </c>
      <c r="B2879" t="s">
        <v>3453</v>
      </c>
      <c r="D2879" t="s">
        <v>327</v>
      </c>
      <c r="E2879">
        <v>99999999</v>
      </c>
      <c r="F2879">
        <v>11111111</v>
      </c>
      <c r="G2879">
        <v>1111111111</v>
      </c>
      <c r="H2879" t="s">
        <v>6448</v>
      </c>
      <c r="I2879">
        <v>99999999</v>
      </c>
      <c r="J2879" s="188">
        <v>45236</v>
      </c>
      <c r="K2879" t="s">
        <v>6448</v>
      </c>
      <c r="L2879" t="s">
        <v>6448</v>
      </c>
      <c r="M2879" t="s">
        <v>3468</v>
      </c>
      <c r="N2879" t="s">
        <v>97</v>
      </c>
      <c r="O2879">
        <v>99347</v>
      </c>
      <c r="P2879" t="s">
        <v>221</v>
      </c>
      <c r="Q2879" t="s">
        <v>82</v>
      </c>
      <c r="R2879">
        <v>2</v>
      </c>
      <c r="S2879">
        <v>33.200000000000003</v>
      </c>
      <c r="T2879">
        <v>0</v>
      </c>
      <c r="U2879">
        <v>2</v>
      </c>
      <c r="V2879">
        <v>1</v>
      </c>
      <c r="W2879">
        <v>68.680000000000007</v>
      </c>
      <c r="X2879">
        <v>0</v>
      </c>
      <c r="Y2879">
        <v>0</v>
      </c>
      <c r="Z2879">
        <v>0</v>
      </c>
      <c r="AA2879">
        <v>2</v>
      </c>
      <c r="AB2879">
        <v>0</v>
      </c>
      <c r="AC2879">
        <v>0</v>
      </c>
      <c r="AD2879">
        <v>0</v>
      </c>
      <c r="AE2879">
        <v>0</v>
      </c>
      <c r="AF2879">
        <v>0</v>
      </c>
      <c r="AG2879">
        <v>0</v>
      </c>
      <c r="AH2879">
        <v>0</v>
      </c>
      <c r="AI2879">
        <v>0</v>
      </c>
      <c r="AJ2879">
        <v>0</v>
      </c>
      <c r="AK2879">
        <v>0</v>
      </c>
    </row>
    <row r="2880" spans="1:37" x14ac:dyDescent="0.3">
      <c r="A2880">
        <v>7533</v>
      </c>
      <c r="B2880" t="s">
        <v>3453</v>
      </c>
      <c r="D2880" t="s">
        <v>327</v>
      </c>
      <c r="E2880">
        <v>99999999</v>
      </c>
      <c r="F2880">
        <v>11111111</v>
      </c>
      <c r="G2880">
        <v>1111111111</v>
      </c>
      <c r="H2880" t="s">
        <v>6449</v>
      </c>
      <c r="I2880">
        <v>99999999</v>
      </c>
      <c r="J2880" s="188">
        <v>45236</v>
      </c>
      <c r="K2880" t="s">
        <v>6449</v>
      </c>
      <c r="L2880" t="s">
        <v>6449</v>
      </c>
      <c r="M2880" t="s">
        <v>3469</v>
      </c>
      <c r="N2880" t="s">
        <v>130</v>
      </c>
      <c r="O2880">
        <v>80428</v>
      </c>
      <c r="P2880" t="s">
        <v>221</v>
      </c>
      <c r="Q2880" t="s">
        <v>82</v>
      </c>
      <c r="R2880">
        <v>1</v>
      </c>
      <c r="S2880">
        <v>16.600000000000001</v>
      </c>
      <c r="T2880">
        <v>0</v>
      </c>
      <c r="U2880">
        <v>1</v>
      </c>
      <c r="V2880">
        <v>1</v>
      </c>
      <c r="W2880">
        <v>37.43</v>
      </c>
      <c r="X2880">
        <v>0</v>
      </c>
      <c r="Y2880">
        <v>0</v>
      </c>
      <c r="Z2880">
        <v>0</v>
      </c>
      <c r="AA2880">
        <v>1</v>
      </c>
      <c r="AB2880">
        <v>0</v>
      </c>
      <c r="AC2880">
        <v>0</v>
      </c>
      <c r="AD2880">
        <v>0</v>
      </c>
      <c r="AE2880">
        <v>0</v>
      </c>
      <c r="AF2880">
        <v>0</v>
      </c>
      <c r="AG2880">
        <v>0</v>
      </c>
      <c r="AH2880">
        <v>0</v>
      </c>
      <c r="AI2880">
        <v>0</v>
      </c>
      <c r="AJ2880">
        <v>0</v>
      </c>
      <c r="AK2880">
        <v>0</v>
      </c>
    </row>
    <row r="2881" spans="1:37" x14ac:dyDescent="0.3">
      <c r="A2881">
        <v>7533</v>
      </c>
      <c r="B2881" t="s">
        <v>3453</v>
      </c>
      <c r="D2881" t="s">
        <v>327</v>
      </c>
      <c r="E2881">
        <v>99999999</v>
      </c>
      <c r="F2881">
        <v>11111111</v>
      </c>
      <c r="G2881">
        <v>1111111111</v>
      </c>
      <c r="H2881" t="s">
        <v>6450</v>
      </c>
      <c r="I2881">
        <v>99999999</v>
      </c>
      <c r="J2881" s="188">
        <v>45236</v>
      </c>
      <c r="K2881" t="s">
        <v>6450</v>
      </c>
      <c r="L2881" t="s">
        <v>6450</v>
      </c>
      <c r="M2881" t="s">
        <v>493</v>
      </c>
      <c r="N2881" t="s">
        <v>97</v>
      </c>
      <c r="O2881">
        <v>983877656</v>
      </c>
      <c r="P2881" t="s">
        <v>221</v>
      </c>
      <c r="Q2881" t="s">
        <v>82</v>
      </c>
      <c r="R2881">
        <v>2</v>
      </c>
      <c r="S2881">
        <v>96.4</v>
      </c>
      <c r="T2881">
        <v>0</v>
      </c>
      <c r="U2881">
        <v>2</v>
      </c>
      <c r="V2881">
        <v>1</v>
      </c>
      <c r="W2881">
        <v>104.2</v>
      </c>
      <c r="X2881">
        <v>0</v>
      </c>
      <c r="Y2881">
        <v>0</v>
      </c>
      <c r="Z2881">
        <v>0</v>
      </c>
      <c r="AA2881">
        <v>2</v>
      </c>
      <c r="AB2881">
        <v>0</v>
      </c>
      <c r="AC2881">
        <v>0</v>
      </c>
      <c r="AD2881">
        <v>0</v>
      </c>
      <c r="AE2881">
        <v>0</v>
      </c>
      <c r="AF2881">
        <v>0</v>
      </c>
      <c r="AG2881">
        <v>0</v>
      </c>
      <c r="AH2881">
        <v>0</v>
      </c>
      <c r="AI2881">
        <v>0</v>
      </c>
      <c r="AJ2881">
        <v>0</v>
      </c>
      <c r="AK2881">
        <v>0</v>
      </c>
    </row>
    <row r="2882" spans="1:37" x14ac:dyDescent="0.3">
      <c r="A2882">
        <v>7533</v>
      </c>
      <c r="B2882" t="s">
        <v>3453</v>
      </c>
      <c r="D2882" t="s">
        <v>327</v>
      </c>
      <c r="E2882">
        <v>99999999</v>
      </c>
      <c r="F2882">
        <v>11111111</v>
      </c>
      <c r="G2882">
        <v>1111111111</v>
      </c>
      <c r="H2882" t="s">
        <v>6451</v>
      </c>
      <c r="I2882">
        <v>99999999</v>
      </c>
      <c r="J2882" s="188">
        <v>45236</v>
      </c>
      <c r="K2882" t="s">
        <v>6451</v>
      </c>
      <c r="L2882" t="s">
        <v>6451</v>
      </c>
      <c r="M2882" t="s">
        <v>193</v>
      </c>
      <c r="N2882" t="s">
        <v>85</v>
      </c>
      <c r="O2882">
        <v>890524574</v>
      </c>
      <c r="P2882" t="s">
        <v>221</v>
      </c>
      <c r="Q2882" t="s">
        <v>82</v>
      </c>
      <c r="R2882">
        <v>1</v>
      </c>
      <c r="S2882">
        <v>48.2</v>
      </c>
      <c r="T2882">
        <v>0</v>
      </c>
      <c r="U2882">
        <v>1</v>
      </c>
      <c r="V2882">
        <v>1</v>
      </c>
      <c r="W2882">
        <v>52.1</v>
      </c>
      <c r="X2882">
        <v>0</v>
      </c>
      <c r="Y2882">
        <v>0</v>
      </c>
      <c r="Z2882">
        <v>0</v>
      </c>
      <c r="AA2882">
        <v>1</v>
      </c>
      <c r="AB2882">
        <v>0</v>
      </c>
      <c r="AC2882">
        <v>0</v>
      </c>
      <c r="AD2882">
        <v>0</v>
      </c>
      <c r="AE2882">
        <v>0</v>
      </c>
      <c r="AF2882">
        <v>0</v>
      </c>
      <c r="AG2882">
        <v>0</v>
      </c>
      <c r="AH2882">
        <v>0</v>
      </c>
      <c r="AI2882">
        <v>0</v>
      </c>
      <c r="AJ2882">
        <v>0</v>
      </c>
      <c r="AK2882">
        <v>0</v>
      </c>
    </row>
    <row r="2883" spans="1:37" x14ac:dyDescent="0.3">
      <c r="A2883">
        <v>7533</v>
      </c>
      <c r="B2883" t="s">
        <v>3453</v>
      </c>
      <c r="D2883" t="s">
        <v>327</v>
      </c>
      <c r="E2883">
        <v>99999999</v>
      </c>
      <c r="F2883">
        <v>11111111</v>
      </c>
      <c r="G2883">
        <v>1111111111</v>
      </c>
      <c r="H2883" t="s">
        <v>6452</v>
      </c>
      <c r="I2883">
        <v>99999999</v>
      </c>
      <c r="J2883" s="188">
        <v>45236</v>
      </c>
      <c r="K2883" t="s">
        <v>6452</v>
      </c>
      <c r="L2883" t="s">
        <v>6452</v>
      </c>
      <c r="M2883" t="s">
        <v>879</v>
      </c>
      <c r="N2883" t="s">
        <v>164</v>
      </c>
      <c r="O2883">
        <v>973306385</v>
      </c>
      <c r="P2883" t="s">
        <v>221</v>
      </c>
      <c r="Q2883" t="s">
        <v>82</v>
      </c>
      <c r="R2883">
        <v>6</v>
      </c>
      <c r="S2883">
        <v>99.6</v>
      </c>
      <c r="T2883">
        <v>0</v>
      </c>
      <c r="U2883">
        <v>6</v>
      </c>
      <c r="V2883">
        <v>1</v>
      </c>
      <c r="W2883">
        <v>156.47999999999999</v>
      </c>
      <c r="X2883">
        <v>0</v>
      </c>
      <c r="Y2883">
        <v>0</v>
      </c>
      <c r="Z2883">
        <v>0</v>
      </c>
      <c r="AA2883">
        <v>6</v>
      </c>
      <c r="AB2883">
        <v>0</v>
      </c>
      <c r="AC2883">
        <v>0</v>
      </c>
      <c r="AD2883">
        <v>0</v>
      </c>
      <c r="AE2883">
        <v>0</v>
      </c>
      <c r="AF2883">
        <v>0</v>
      </c>
      <c r="AG2883">
        <v>0</v>
      </c>
      <c r="AH2883">
        <v>0</v>
      </c>
      <c r="AI2883">
        <v>0</v>
      </c>
      <c r="AJ2883">
        <v>0</v>
      </c>
      <c r="AK2883">
        <v>0</v>
      </c>
    </row>
    <row r="2884" spans="1:37" x14ac:dyDescent="0.3">
      <c r="A2884">
        <v>7533</v>
      </c>
      <c r="B2884" t="s">
        <v>3453</v>
      </c>
      <c r="D2884" t="s">
        <v>327</v>
      </c>
      <c r="E2884">
        <v>99999999</v>
      </c>
      <c r="F2884">
        <v>11111111</v>
      </c>
      <c r="G2884">
        <v>1111111111</v>
      </c>
      <c r="H2884" t="s">
        <v>6453</v>
      </c>
      <c r="I2884">
        <v>99999999</v>
      </c>
      <c r="J2884" s="188">
        <v>45236</v>
      </c>
      <c r="K2884" t="s">
        <v>6453</v>
      </c>
      <c r="L2884" t="s">
        <v>6453</v>
      </c>
      <c r="M2884" t="s">
        <v>2131</v>
      </c>
      <c r="N2884" t="s">
        <v>99</v>
      </c>
      <c r="O2884">
        <v>953618678</v>
      </c>
      <c r="P2884" t="s">
        <v>221</v>
      </c>
      <c r="Q2884" t="s">
        <v>82</v>
      </c>
      <c r="R2884">
        <v>1</v>
      </c>
      <c r="S2884">
        <v>48.2</v>
      </c>
      <c r="T2884">
        <v>0</v>
      </c>
      <c r="U2884">
        <v>1</v>
      </c>
      <c r="V2884">
        <v>1</v>
      </c>
      <c r="W2884">
        <v>44.85</v>
      </c>
      <c r="X2884">
        <v>0</v>
      </c>
      <c r="Y2884">
        <v>0</v>
      </c>
      <c r="Z2884">
        <v>0</v>
      </c>
      <c r="AA2884">
        <v>1</v>
      </c>
      <c r="AB2884">
        <v>0</v>
      </c>
      <c r="AC2884">
        <v>0</v>
      </c>
      <c r="AD2884">
        <v>0</v>
      </c>
      <c r="AE2884">
        <v>0</v>
      </c>
      <c r="AF2884">
        <v>0</v>
      </c>
      <c r="AG2884">
        <v>0</v>
      </c>
      <c r="AH2884">
        <v>0</v>
      </c>
      <c r="AI2884">
        <v>0</v>
      </c>
      <c r="AJ2884">
        <v>0</v>
      </c>
      <c r="AK2884">
        <v>0</v>
      </c>
    </row>
    <row r="2885" spans="1:37" x14ac:dyDescent="0.3">
      <c r="A2885">
        <v>7533</v>
      </c>
      <c r="B2885" t="s">
        <v>3453</v>
      </c>
      <c r="D2885" t="s">
        <v>327</v>
      </c>
      <c r="E2885">
        <v>99999999</v>
      </c>
      <c r="F2885">
        <v>11111111</v>
      </c>
      <c r="G2885">
        <v>1111111111</v>
      </c>
      <c r="H2885" t="s">
        <v>6454</v>
      </c>
      <c r="I2885">
        <v>99999999</v>
      </c>
      <c r="J2885" s="188">
        <v>45236</v>
      </c>
      <c r="K2885" t="s">
        <v>6454</v>
      </c>
      <c r="L2885" t="s">
        <v>6454</v>
      </c>
      <c r="M2885" t="s">
        <v>3470</v>
      </c>
      <c r="N2885" t="s">
        <v>91</v>
      </c>
      <c r="O2885">
        <v>853615506</v>
      </c>
      <c r="P2885" t="s">
        <v>221</v>
      </c>
      <c r="Q2885" t="s">
        <v>82</v>
      </c>
      <c r="R2885">
        <v>1</v>
      </c>
      <c r="S2885">
        <v>16.600000000000001</v>
      </c>
      <c r="T2885">
        <v>0</v>
      </c>
      <c r="U2885">
        <v>1</v>
      </c>
      <c r="V2885">
        <v>1</v>
      </c>
      <c r="W2885">
        <v>37.43</v>
      </c>
      <c r="X2885">
        <v>0</v>
      </c>
      <c r="Y2885">
        <v>0</v>
      </c>
      <c r="Z2885">
        <v>0</v>
      </c>
      <c r="AA2885">
        <v>1</v>
      </c>
      <c r="AB2885">
        <v>0</v>
      </c>
      <c r="AC2885">
        <v>0</v>
      </c>
      <c r="AD2885">
        <v>0</v>
      </c>
      <c r="AE2885">
        <v>0</v>
      </c>
      <c r="AF2885">
        <v>0</v>
      </c>
      <c r="AG2885">
        <v>0</v>
      </c>
      <c r="AH2885">
        <v>0</v>
      </c>
      <c r="AI2885">
        <v>0</v>
      </c>
      <c r="AJ2885">
        <v>0</v>
      </c>
      <c r="AK2885">
        <v>0</v>
      </c>
    </row>
    <row r="2886" spans="1:37" x14ac:dyDescent="0.3">
      <c r="A2886">
        <v>7533</v>
      </c>
      <c r="B2886" t="s">
        <v>3453</v>
      </c>
      <c r="D2886" t="s">
        <v>327</v>
      </c>
      <c r="E2886">
        <v>99999999</v>
      </c>
      <c r="F2886">
        <v>11111111</v>
      </c>
      <c r="G2886">
        <v>1111111111</v>
      </c>
      <c r="H2886" t="s">
        <v>6455</v>
      </c>
      <c r="I2886">
        <v>99999999</v>
      </c>
      <c r="J2886" s="188">
        <v>45236</v>
      </c>
      <c r="K2886" t="s">
        <v>6455</v>
      </c>
      <c r="L2886" t="s">
        <v>6455</v>
      </c>
      <c r="M2886" t="s">
        <v>3238</v>
      </c>
      <c r="N2886" t="s">
        <v>99</v>
      </c>
      <c r="O2886">
        <v>947021930</v>
      </c>
      <c r="P2886" t="s">
        <v>221</v>
      </c>
      <c r="Q2886" t="s">
        <v>82</v>
      </c>
      <c r="R2886">
        <v>2</v>
      </c>
      <c r="S2886">
        <v>33.200000000000003</v>
      </c>
      <c r="T2886">
        <v>0</v>
      </c>
      <c r="U2886">
        <v>2</v>
      </c>
      <c r="V2886">
        <v>1</v>
      </c>
      <c r="W2886">
        <v>51.24</v>
      </c>
      <c r="X2886">
        <v>0</v>
      </c>
      <c r="Y2886">
        <v>0</v>
      </c>
      <c r="Z2886">
        <v>0</v>
      </c>
      <c r="AA2886">
        <v>2</v>
      </c>
      <c r="AB2886">
        <v>0</v>
      </c>
      <c r="AC2886">
        <v>0</v>
      </c>
      <c r="AD2886">
        <v>0</v>
      </c>
      <c r="AE2886">
        <v>0</v>
      </c>
      <c r="AF2886">
        <v>0</v>
      </c>
      <c r="AG2886">
        <v>0</v>
      </c>
      <c r="AH2886">
        <v>0</v>
      </c>
      <c r="AI2886">
        <v>0</v>
      </c>
      <c r="AJ2886">
        <v>0</v>
      </c>
      <c r="AK2886">
        <v>0</v>
      </c>
    </row>
    <row r="2887" spans="1:37" x14ac:dyDescent="0.3">
      <c r="A2887">
        <v>7533</v>
      </c>
      <c r="B2887" t="s">
        <v>3453</v>
      </c>
      <c r="D2887" t="s">
        <v>327</v>
      </c>
      <c r="E2887">
        <v>99999999</v>
      </c>
      <c r="F2887">
        <v>11111111</v>
      </c>
      <c r="G2887">
        <v>1111111111</v>
      </c>
      <c r="H2887" t="s">
        <v>6456</v>
      </c>
      <c r="I2887">
        <v>99999999</v>
      </c>
      <c r="J2887" s="188">
        <v>45236</v>
      </c>
      <c r="K2887" t="s">
        <v>6456</v>
      </c>
      <c r="L2887" t="s">
        <v>6456</v>
      </c>
      <c r="M2887" t="s">
        <v>3471</v>
      </c>
      <c r="N2887" t="s">
        <v>135</v>
      </c>
      <c r="O2887">
        <v>847413828</v>
      </c>
      <c r="P2887" t="s">
        <v>221</v>
      </c>
      <c r="Q2887" t="s">
        <v>82</v>
      </c>
      <c r="R2887">
        <v>1</v>
      </c>
      <c r="S2887">
        <v>48.2</v>
      </c>
      <c r="T2887">
        <v>0</v>
      </c>
      <c r="U2887">
        <v>1</v>
      </c>
      <c r="V2887">
        <v>1</v>
      </c>
      <c r="W2887">
        <v>60.36</v>
      </c>
      <c r="X2887">
        <v>0</v>
      </c>
      <c r="Y2887">
        <v>0</v>
      </c>
      <c r="Z2887">
        <v>0</v>
      </c>
      <c r="AA2887">
        <v>1</v>
      </c>
      <c r="AB2887">
        <v>0</v>
      </c>
      <c r="AC2887">
        <v>0</v>
      </c>
      <c r="AD2887">
        <v>0</v>
      </c>
      <c r="AE2887">
        <v>0</v>
      </c>
      <c r="AF2887">
        <v>0</v>
      </c>
      <c r="AG2887">
        <v>0</v>
      </c>
      <c r="AH2887">
        <v>0</v>
      </c>
      <c r="AI2887">
        <v>0</v>
      </c>
      <c r="AJ2887">
        <v>0</v>
      </c>
      <c r="AK2887">
        <v>0</v>
      </c>
    </row>
    <row r="2888" spans="1:37" x14ac:dyDescent="0.3">
      <c r="A2888">
        <v>7533</v>
      </c>
      <c r="B2888" t="s">
        <v>3453</v>
      </c>
      <c r="D2888" t="s">
        <v>327</v>
      </c>
      <c r="E2888">
        <v>99999999</v>
      </c>
      <c r="F2888">
        <v>11111111</v>
      </c>
      <c r="G2888">
        <v>1111111111</v>
      </c>
      <c r="H2888" t="s">
        <v>6457</v>
      </c>
      <c r="I2888">
        <v>99999999</v>
      </c>
      <c r="J2888" s="188">
        <v>45236</v>
      </c>
      <c r="K2888" t="s">
        <v>6457</v>
      </c>
      <c r="L2888" t="s">
        <v>6457</v>
      </c>
      <c r="M2888" t="s">
        <v>3472</v>
      </c>
      <c r="N2888" t="s">
        <v>99</v>
      </c>
      <c r="O2888">
        <v>926202522</v>
      </c>
      <c r="P2888" t="s">
        <v>221</v>
      </c>
      <c r="Q2888" t="s">
        <v>82</v>
      </c>
      <c r="R2888">
        <v>2</v>
      </c>
      <c r="S2888">
        <v>33.200000000000003</v>
      </c>
      <c r="T2888">
        <v>0</v>
      </c>
      <c r="U2888">
        <v>2</v>
      </c>
      <c r="V2888">
        <v>1</v>
      </c>
      <c r="W2888">
        <v>52.16</v>
      </c>
      <c r="X2888">
        <v>0</v>
      </c>
      <c r="Y2888">
        <v>0</v>
      </c>
      <c r="Z2888">
        <v>0</v>
      </c>
      <c r="AA2888">
        <v>2</v>
      </c>
      <c r="AB2888">
        <v>0</v>
      </c>
      <c r="AC2888">
        <v>0</v>
      </c>
      <c r="AD2888">
        <v>0</v>
      </c>
      <c r="AE2888">
        <v>0</v>
      </c>
      <c r="AF2888">
        <v>0</v>
      </c>
      <c r="AG2888">
        <v>0</v>
      </c>
      <c r="AH2888">
        <v>0</v>
      </c>
      <c r="AI2888">
        <v>0</v>
      </c>
      <c r="AJ2888">
        <v>0</v>
      </c>
      <c r="AK2888">
        <v>0</v>
      </c>
    </row>
    <row r="2889" spans="1:37" x14ac:dyDescent="0.3">
      <c r="A2889">
        <v>7533</v>
      </c>
      <c r="B2889" t="s">
        <v>3453</v>
      </c>
      <c r="D2889" t="s">
        <v>327</v>
      </c>
      <c r="E2889">
        <v>99999999</v>
      </c>
      <c r="F2889">
        <v>11111111</v>
      </c>
      <c r="G2889">
        <v>1111111111</v>
      </c>
      <c r="H2889" t="s">
        <v>6458</v>
      </c>
      <c r="I2889">
        <v>99999999</v>
      </c>
      <c r="J2889" s="188">
        <v>45236</v>
      </c>
      <c r="K2889" t="s">
        <v>6458</v>
      </c>
      <c r="L2889" t="s">
        <v>6458</v>
      </c>
      <c r="M2889" t="s">
        <v>2772</v>
      </c>
      <c r="N2889" t="s">
        <v>164</v>
      </c>
      <c r="O2889">
        <v>977541071</v>
      </c>
      <c r="P2889" t="s">
        <v>221</v>
      </c>
      <c r="Q2889" t="s">
        <v>82</v>
      </c>
      <c r="R2889">
        <v>1</v>
      </c>
      <c r="S2889">
        <v>35.625</v>
      </c>
      <c r="T2889">
        <v>0</v>
      </c>
      <c r="U2889">
        <v>1</v>
      </c>
      <c r="V2889">
        <v>1</v>
      </c>
      <c r="W2889">
        <v>79.260000000000005</v>
      </c>
      <c r="X2889">
        <v>0</v>
      </c>
      <c r="Y2889">
        <v>0</v>
      </c>
      <c r="Z2889">
        <v>0</v>
      </c>
      <c r="AA2889">
        <v>1</v>
      </c>
      <c r="AB2889">
        <v>0</v>
      </c>
      <c r="AC2889">
        <v>0</v>
      </c>
      <c r="AD2889">
        <v>0</v>
      </c>
      <c r="AE2889">
        <v>0</v>
      </c>
      <c r="AF2889">
        <v>0</v>
      </c>
      <c r="AG2889">
        <v>0</v>
      </c>
      <c r="AH2889">
        <v>0</v>
      </c>
      <c r="AI2889">
        <v>0</v>
      </c>
      <c r="AJ2889">
        <v>0</v>
      </c>
      <c r="AK2889">
        <v>0</v>
      </c>
    </row>
    <row r="2890" spans="1:37" x14ac:dyDescent="0.3">
      <c r="A2890">
        <v>7533</v>
      </c>
      <c r="B2890" t="s">
        <v>3453</v>
      </c>
      <c r="D2890" t="s">
        <v>327</v>
      </c>
      <c r="E2890">
        <v>99999999</v>
      </c>
      <c r="F2890">
        <v>11111111</v>
      </c>
      <c r="G2890">
        <v>1111111111</v>
      </c>
      <c r="H2890" t="s">
        <v>6459</v>
      </c>
      <c r="I2890">
        <v>99999999</v>
      </c>
      <c r="J2890" s="188">
        <v>45236</v>
      </c>
      <c r="K2890" t="s">
        <v>6459</v>
      </c>
      <c r="L2890" t="s">
        <v>6459</v>
      </c>
      <c r="M2890" t="s">
        <v>132</v>
      </c>
      <c r="N2890" t="s">
        <v>99</v>
      </c>
      <c r="O2890">
        <v>945362870</v>
      </c>
      <c r="P2890" t="s">
        <v>221</v>
      </c>
      <c r="Q2890" t="s">
        <v>82</v>
      </c>
      <c r="R2890">
        <v>2</v>
      </c>
      <c r="S2890">
        <v>96.4</v>
      </c>
      <c r="T2890">
        <v>0</v>
      </c>
      <c r="U2890">
        <v>2</v>
      </c>
      <c r="V2890">
        <v>1</v>
      </c>
      <c r="W2890">
        <v>95.82</v>
      </c>
      <c r="X2890">
        <v>0</v>
      </c>
      <c r="Y2890">
        <v>0</v>
      </c>
      <c r="Z2890">
        <v>0</v>
      </c>
      <c r="AA2890">
        <v>2</v>
      </c>
      <c r="AB2890">
        <v>0</v>
      </c>
      <c r="AC2890">
        <v>0</v>
      </c>
      <c r="AD2890">
        <v>0</v>
      </c>
      <c r="AE2890">
        <v>0</v>
      </c>
      <c r="AF2890">
        <v>0</v>
      </c>
      <c r="AG2890">
        <v>0</v>
      </c>
      <c r="AH2890">
        <v>0</v>
      </c>
      <c r="AI2890">
        <v>0</v>
      </c>
      <c r="AJ2890">
        <v>0</v>
      </c>
      <c r="AK2890">
        <v>0</v>
      </c>
    </row>
    <row r="2891" spans="1:37" x14ac:dyDescent="0.3">
      <c r="A2891">
        <v>7533</v>
      </c>
      <c r="B2891" t="s">
        <v>3453</v>
      </c>
      <c r="D2891" t="s">
        <v>327</v>
      </c>
      <c r="E2891">
        <v>99999999</v>
      </c>
      <c r="F2891">
        <v>11111111</v>
      </c>
      <c r="G2891">
        <v>1111111111</v>
      </c>
      <c r="H2891" t="s">
        <v>6460</v>
      </c>
      <c r="I2891">
        <v>99999999</v>
      </c>
      <c r="J2891" s="188">
        <v>45236</v>
      </c>
      <c r="K2891" t="s">
        <v>6460</v>
      </c>
      <c r="L2891" t="s">
        <v>6460</v>
      </c>
      <c r="M2891" t="s">
        <v>598</v>
      </c>
      <c r="N2891" t="s">
        <v>99</v>
      </c>
      <c r="O2891">
        <v>950339205</v>
      </c>
      <c r="P2891" t="s">
        <v>221</v>
      </c>
      <c r="Q2891" t="s">
        <v>82</v>
      </c>
      <c r="R2891">
        <v>1</v>
      </c>
      <c r="S2891">
        <v>48.2</v>
      </c>
      <c r="T2891">
        <v>0</v>
      </c>
      <c r="U2891">
        <v>1</v>
      </c>
      <c r="V2891">
        <v>1</v>
      </c>
      <c r="W2891">
        <v>56.17</v>
      </c>
      <c r="X2891">
        <v>0</v>
      </c>
      <c r="Y2891">
        <v>0</v>
      </c>
      <c r="Z2891">
        <v>0</v>
      </c>
      <c r="AA2891">
        <v>1</v>
      </c>
      <c r="AB2891">
        <v>0</v>
      </c>
      <c r="AC2891">
        <v>0</v>
      </c>
      <c r="AD2891">
        <v>0</v>
      </c>
      <c r="AE2891">
        <v>0</v>
      </c>
      <c r="AF2891">
        <v>0</v>
      </c>
      <c r="AG2891">
        <v>0</v>
      </c>
      <c r="AH2891">
        <v>0</v>
      </c>
      <c r="AI2891">
        <v>0</v>
      </c>
      <c r="AJ2891">
        <v>0</v>
      </c>
      <c r="AK2891">
        <v>0</v>
      </c>
    </row>
    <row r="2892" spans="1:37" x14ac:dyDescent="0.3">
      <c r="A2892">
        <v>7533</v>
      </c>
      <c r="B2892" t="s">
        <v>3453</v>
      </c>
      <c r="D2892" t="s">
        <v>327</v>
      </c>
      <c r="E2892">
        <v>99999999</v>
      </c>
      <c r="F2892">
        <v>11111111</v>
      </c>
      <c r="G2892">
        <v>1111111111</v>
      </c>
      <c r="H2892" t="s">
        <v>6461</v>
      </c>
      <c r="I2892">
        <v>99999999</v>
      </c>
      <c r="J2892" s="188">
        <v>45236</v>
      </c>
      <c r="K2892" t="s">
        <v>6461</v>
      </c>
      <c r="L2892" t="s">
        <v>6461</v>
      </c>
      <c r="M2892" t="s">
        <v>3473</v>
      </c>
      <c r="N2892" t="s">
        <v>99</v>
      </c>
      <c r="O2892">
        <v>910401312</v>
      </c>
      <c r="P2892" t="s">
        <v>221</v>
      </c>
      <c r="Q2892" t="s">
        <v>82</v>
      </c>
      <c r="R2892">
        <v>1</v>
      </c>
      <c r="S2892">
        <v>48.2</v>
      </c>
      <c r="T2892">
        <v>0</v>
      </c>
      <c r="U2892">
        <v>1</v>
      </c>
      <c r="V2892">
        <v>1</v>
      </c>
      <c r="W2892">
        <v>52.1</v>
      </c>
      <c r="X2892">
        <v>0</v>
      </c>
      <c r="Y2892">
        <v>0</v>
      </c>
      <c r="Z2892">
        <v>0</v>
      </c>
      <c r="AA2892">
        <v>1</v>
      </c>
      <c r="AB2892">
        <v>0</v>
      </c>
      <c r="AC2892">
        <v>0</v>
      </c>
      <c r="AD2892">
        <v>0</v>
      </c>
      <c r="AE2892">
        <v>0</v>
      </c>
      <c r="AF2892">
        <v>0</v>
      </c>
      <c r="AG2892">
        <v>0</v>
      </c>
      <c r="AH2892">
        <v>0</v>
      </c>
      <c r="AI2892">
        <v>0</v>
      </c>
      <c r="AJ2892">
        <v>0</v>
      </c>
      <c r="AK2892">
        <v>0</v>
      </c>
    </row>
    <row r="2893" spans="1:37" x14ac:dyDescent="0.3">
      <c r="A2893">
        <v>7533</v>
      </c>
      <c r="B2893" t="s">
        <v>3453</v>
      </c>
      <c r="D2893" t="s">
        <v>327</v>
      </c>
      <c r="E2893">
        <v>99999999</v>
      </c>
      <c r="F2893">
        <v>11111111</v>
      </c>
      <c r="G2893">
        <v>1111111111</v>
      </c>
      <c r="H2893" t="s">
        <v>6462</v>
      </c>
      <c r="I2893">
        <v>99999999</v>
      </c>
      <c r="J2893" s="188">
        <v>45236</v>
      </c>
      <c r="K2893" t="s">
        <v>6462</v>
      </c>
      <c r="L2893" t="s">
        <v>6462</v>
      </c>
      <c r="M2893" t="s">
        <v>2477</v>
      </c>
      <c r="N2893" t="s">
        <v>99</v>
      </c>
      <c r="O2893">
        <v>956884220</v>
      </c>
      <c r="P2893" t="s">
        <v>221</v>
      </c>
      <c r="Q2893" t="s">
        <v>82</v>
      </c>
      <c r="R2893">
        <v>2</v>
      </c>
      <c r="S2893">
        <v>96.4</v>
      </c>
      <c r="T2893">
        <v>0</v>
      </c>
      <c r="U2893">
        <v>2</v>
      </c>
      <c r="V2893">
        <v>1</v>
      </c>
      <c r="W2893">
        <v>77.45</v>
      </c>
      <c r="X2893">
        <v>0</v>
      </c>
      <c r="Y2893">
        <v>0</v>
      </c>
      <c r="Z2893">
        <v>0</v>
      </c>
      <c r="AA2893">
        <v>2</v>
      </c>
      <c r="AB2893">
        <v>0</v>
      </c>
      <c r="AC2893">
        <v>0</v>
      </c>
      <c r="AD2893">
        <v>0</v>
      </c>
      <c r="AE2893">
        <v>0</v>
      </c>
      <c r="AF2893">
        <v>0</v>
      </c>
      <c r="AG2893">
        <v>0</v>
      </c>
      <c r="AH2893">
        <v>0</v>
      </c>
      <c r="AI2893">
        <v>0</v>
      </c>
      <c r="AJ2893">
        <v>0</v>
      </c>
      <c r="AK2893">
        <v>0</v>
      </c>
    </row>
    <row r="2894" spans="1:37" x14ac:dyDescent="0.3">
      <c r="A2894">
        <v>7533</v>
      </c>
      <c r="B2894" t="s">
        <v>3453</v>
      </c>
      <c r="D2894" t="s">
        <v>327</v>
      </c>
      <c r="E2894">
        <v>99999999</v>
      </c>
      <c r="F2894">
        <v>11111111</v>
      </c>
      <c r="G2894">
        <v>1111111111</v>
      </c>
      <c r="H2894" t="s">
        <v>6463</v>
      </c>
      <c r="I2894">
        <v>99999999</v>
      </c>
      <c r="J2894" s="188">
        <v>45236</v>
      </c>
      <c r="K2894" t="s">
        <v>6463</v>
      </c>
      <c r="L2894" t="s">
        <v>6463</v>
      </c>
      <c r="M2894" t="s">
        <v>173</v>
      </c>
      <c r="N2894" t="s">
        <v>164</v>
      </c>
      <c r="O2894">
        <v>972194643</v>
      </c>
      <c r="P2894" t="s">
        <v>221</v>
      </c>
      <c r="Q2894" t="s">
        <v>82</v>
      </c>
      <c r="R2894">
        <v>2</v>
      </c>
      <c r="S2894">
        <v>96.4</v>
      </c>
      <c r="T2894">
        <v>0</v>
      </c>
      <c r="U2894">
        <v>2</v>
      </c>
      <c r="V2894">
        <v>1</v>
      </c>
      <c r="W2894">
        <v>104.2</v>
      </c>
      <c r="X2894">
        <v>0</v>
      </c>
      <c r="Y2894">
        <v>0</v>
      </c>
      <c r="Z2894">
        <v>0</v>
      </c>
      <c r="AA2894">
        <v>2</v>
      </c>
      <c r="AB2894">
        <v>0</v>
      </c>
      <c r="AC2894">
        <v>0</v>
      </c>
      <c r="AD2894">
        <v>0</v>
      </c>
      <c r="AE2894">
        <v>0</v>
      </c>
      <c r="AF2894">
        <v>0</v>
      </c>
      <c r="AG2894">
        <v>0</v>
      </c>
      <c r="AH2894">
        <v>0</v>
      </c>
      <c r="AI2894">
        <v>0</v>
      </c>
      <c r="AJ2894">
        <v>0</v>
      </c>
      <c r="AK2894">
        <v>0</v>
      </c>
    </row>
    <row r="2895" spans="1:37" x14ac:dyDescent="0.3">
      <c r="A2895">
        <v>7533</v>
      </c>
      <c r="B2895" t="s">
        <v>3453</v>
      </c>
      <c r="D2895" t="s">
        <v>327</v>
      </c>
      <c r="E2895">
        <v>99999999</v>
      </c>
      <c r="F2895">
        <v>11111111</v>
      </c>
      <c r="G2895">
        <v>1111111111</v>
      </c>
      <c r="H2895" t="s">
        <v>6464</v>
      </c>
      <c r="I2895">
        <v>99999999</v>
      </c>
      <c r="J2895" s="188">
        <v>45236</v>
      </c>
      <c r="K2895" t="s">
        <v>6464</v>
      </c>
      <c r="L2895" t="s">
        <v>6464</v>
      </c>
      <c r="M2895" t="s">
        <v>1366</v>
      </c>
      <c r="N2895" t="s">
        <v>97</v>
      </c>
      <c r="O2895">
        <v>986844707</v>
      </c>
      <c r="P2895" t="s">
        <v>221</v>
      </c>
      <c r="Q2895" t="s">
        <v>82</v>
      </c>
      <c r="R2895">
        <v>1</v>
      </c>
      <c r="S2895">
        <v>35.625</v>
      </c>
      <c r="T2895">
        <v>0</v>
      </c>
      <c r="U2895">
        <v>1</v>
      </c>
      <c r="V2895">
        <v>1</v>
      </c>
      <c r="W2895">
        <v>71</v>
      </c>
      <c r="X2895">
        <v>0</v>
      </c>
      <c r="Y2895">
        <v>0</v>
      </c>
      <c r="Z2895">
        <v>0</v>
      </c>
      <c r="AA2895">
        <v>1</v>
      </c>
      <c r="AB2895">
        <v>0</v>
      </c>
      <c r="AC2895">
        <v>0</v>
      </c>
      <c r="AD2895">
        <v>0</v>
      </c>
      <c r="AE2895">
        <v>0</v>
      </c>
      <c r="AF2895">
        <v>0</v>
      </c>
      <c r="AG2895">
        <v>0</v>
      </c>
      <c r="AH2895">
        <v>0</v>
      </c>
      <c r="AI2895">
        <v>0</v>
      </c>
      <c r="AJ2895">
        <v>0</v>
      </c>
      <c r="AK2895">
        <v>0</v>
      </c>
    </row>
    <row r="2896" spans="1:37" x14ac:dyDescent="0.3">
      <c r="A2896">
        <v>7533</v>
      </c>
      <c r="B2896" t="s">
        <v>3453</v>
      </c>
      <c r="D2896" t="s">
        <v>327</v>
      </c>
      <c r="E2896">
        <v>99999999</v>
      </c>
      <c r="F2896">
        <v>11111111</v>
      </c>
      <c r="G2896">
        <v>1111111111</v>
      </c>
      <c r="H2896" t="s">
        <v>6465</v>
      </c>
      <c r="I2896">
        <v>99999999</v>
      </c>
      <c r="J2896" s="188">
        <v>45236</v>
      </c>
      <c r="K2896" t="s">
        <v>6465</v>
      </c>
      <c r="L2896" t="s">
        <v>6465</v>
      </c>
      <c r="M2896" t="s">
        <v>1760</v>
      </c>
      <c r="N2896" t="s">
        <v>99</v>
      </c>
      <c r="O2896">
        <v>94520</v>
      </c>
      <c r="P2896" t="s">
        <v>221</v>
      </c>
      <c r="Q2896" t="s">
        <v>82</v>
      </c>
      <c r="R2896">
        <v>1</v>
      </c>
      <c r="S2896">
        <v>48.2</v>
      </c>
      <c r="T2896">
        <v>0</v>
      </c>
      <c r="U2896">
        <v>1</v>
      </c>
      <c r="V2896">
        <v>1</v>
      </c>
      <c r="W2896">
        <v>47.91</v>
      </c>
      <c r="X2896">
        <v>0</v>
      </c>
      <c r="Y2896">
        <v>0</v>
      </c>
      <c r="Z2896">
        <v>0</v>
      </c>
      <c r="AA2896">
        <v>1</v>
      </c>
      <c r="AB2896">
        <v>0</v>
      </c>
      <c r="AC2896">
        <v>0</v>
      </c>
      <c r="AD2896">
        <v>0</v>
      </c>
      <c r="AE2896">
        <v>0</v>
      </c>
      <c r="AF2896">
        <v>0</v>
      </c>
      <c r="AG2896">
        <v>0</v>
      </c>
      <c r="AH2896">
        <v>0</v>
      </c>
      <c r="AI2896">
        <v>0</v>
      </c>
      <c r="AJ2896">
        <v>0</v>
      </c>
      <c r="AK2896">
        <v>0</v>
      </c>
    </row>
    <row r="2897" spans="1:37" x14ac:dyDescent="0.3">
      <c r="A2897">
        <v>7533</v>
      </c>
      <c r="B2897" t="s">
        <v>3453</v>
      </c>
      <c r="D2897" t="s">
        <v>327</v>
      </c>
      <c r="E2897">
        <v>99999999</v>
      </c>
      <c r="F2897">
        <v>11111111</v>
      </c>
      <c r="G2897">
        <v>1111111111</v>
      </c>
      <c r="H2897" t="s">
        <v>6466</v>
      </c>
      <c r="I2897">
        <v>99999999</v>
      </c>
      <c r="J2897" s="188">
        <v>45236</v>
      </c>
      <c r="K2897" t="s">
        <v>6466</v>
      </c>
      <c r="L2897" t="s">
        <v>6466</v>
      </c>
      <c r="M2897" t="s">
        <v>3474</v>
      </c>
      <c r="N2897" t="s">
        <v>135</v>
      </c>
      <c r="O2897">
        <v>841212628</v>
      </c>
      <c r="P2897" t="s">
        <v>221</v>
      </c>
      <c r="Q2897" t="s">
        <v>82</v>
      </c>
      <c r="R2897">
        <v>1</v>
      </c>
      <c r="S2897">
        <v>48.2</v>
      </c>
      <c r="T2897">
        <v>0</v>
      </c>
      <c r="U2897">
        <v>1</v>
      </c>
      <c r="V2897">
        <v>1</v>
      </c>
      <c r="W2897">
        <v>52.1</v>
      </c>
      <c r="X2897">
        <v>0</v>
      </c>
      <c r="Y2897">
        <v>0</v>
      </c>
      <c r="Z2897">
        <v>0</v>
      </c>
      <c r="AA2897">
        <v>1</v>
      </c>
      <c r="AB2897">
        <v>0</v>
      </c>
      <c r="AC2897">
        <v>0</v>
      </c>
      <c r="AD2897">
        <v>0</v>
      </c>
      <c r="AE2897">
        <v>0</v>
      </c>
      <c r="AF2897">
        <v>0</v>
      </c>
      <c r="AG2897">
        <v>0</v>
      </c>
      <c r="AH2897">
        <v>0</v>
      </c>
      <c r="AI2897">
        <v>0</v>
      </c>
      <c r="AJ2897">
        <v>0</v>
      </c>
      <c r="AK2897">
        <v>0</v>
      </c>
    </row>
    <row r="2898" spans="1:37" x14ac:dyDescent="0.3">
      <c r="A2898">
        <v>7533</v>
      </c>
      <c r="B2898" t="s">
        <v>3453</v>
      </c>
      <c r="D2898" t="s">
        <v>327</v>
      </c>
      <c r="E2898">
        <v>99999999</v>
      </c>
      <c r="F2898">
        <v>11111111</v>
      </c>
      <c r="G2898">
        <v>1111111111</v>
      </c>
      <c r="H2898" t="s">
        <v>6467</v>
      </c>
      <c r="I2898">
        <v>99999999</v>
      </c>
      <c r="J2898" s="188">
        <v>45236</v>
      </c>
      <c r="K2898" t="s">
        <v>6467</v>
      </c>
      <c r="L2898" t="s">
        <v>6467</v>
      </c>
      <c r="M2898" t="s">
        <v>3475</v>
      </c>
      <c r="N2898" t="s">
        <v>97</v>
      </c>
      <c r="O2898">
        <v>981983834</v>
      </c>
      <c r="P2898" t="s">
        <v>221</v>
      </c>
      <c r="Q2898" t="s">
        <v>82</v>
      </c>
      <c r="R2898">
        <v>1</v>
      </c>
      <c r="S2898">
        <v>16.600000000000001</v>
      </c>
      <c r="T2898">
        <v>0</v>
      </c>
      <c r="U2898">
        <v>1</v>
      </c>
      <c r="V2898">
        <v>1</v>
      </c>
      <c r="W2898">
        <v>26.08</v>
      </c>
      <c r="X2898">
        <v>0</v>
      </c>
      <c r="Y2898">
        <v>0</v>
      </c>
      <c r="Z2898">
        <v>0</v>
      </c>
      <c r="AA2898">
        <v>1</v>
      </c>
      <c r="AB2898">
        <v>0</v>
      </c>
      <c r="AC2898">
        <v>0</v>
      </c>
      <c r="AD2898">
        <v>0</v>
      </c>
      <c r="AE2898">
        <v>0</v>
      </c>
      <c r="AF2898">
        <v>0</v>
      </c>
      <c r="AG2898">
        <v>0</v>
      </c>
      <c r="AH2898">
        <v>0</v>
      </c>
      <c r="AI2898">
        <v>0</v>
      </c>
      <c r="AJ2898">
        <v>0</v>
      </c>
      <c r="AK2898">
        <v>0</v>
      </c>
    </row>
    <row r="2899" spans="1:37" x14ac:dyDescent="0.3">
      <c r="A2899">
        <v>7533</v>
      </c>
      <c r="B2899" t="s">
        <v>3453</v>
      </c>
      <c r="D2899" t="s">
        <v>327</v>
      </c>
      <c r="E2899">
        <v>99999999</v>
      </c>
      <c r="F2899">
        <v>11111111</v>
      </c>
      <c r="G2899">
        <v>1111111111</v>
      </c>
      <c r="H2899" t="s">
        <v>6468</v>
      </c>
      <c r="I2899">
        <v>99999999</v>
      </c>
      <c r="J2899" s="188">
        <v>45236</v>
      </c>
      <c r="K2899" t="s">
        <v>6468</v>
      </c>
      <c r="L2899" t="s">
        <v>6468</v>
      </c>
      <c r="M2899" t="s">
        <v>1467</v>
      </c>
      <c r="N2899" t="s">
        <v>99</v>
      </c>
      <c r="O2899">
        <v>940871166</v>
      </c>
      <c r="P2899" t="s">
        <v>221</v>
      </c>
      <c r="Q2899" t="s">
        <v>82</v>
      </c>
      <c r="R2899">
        <v>2</v>
      </c>
      <c r="S2899">
        <v>96.4</v>
      </c>
      <c r="T2899">
        <v>0</v>
      </c>
      <c r="U2899">
        <v>2</v>
      </c>
      <c r="V2899">
        <v>1</v>
      </c>
      <c r="W2899">
        <v>95.82</v>
      </c>
      <c r="X2899">
        <v>0</v>
      </c>
      <c r="Y2899">
        <v>0</v>
      </c>
      <c r="Z2899">
        <v>0</v>
      </c>
      <c r="AA2899">
        <v>2</v>
      </c>
      <c r="AB2899">
        <v>0</v>
      </c>
      <c r="AC2899">
        <v>0</v>
      </c>
      <c r="AD2899">
        <v>0</v>
      </c>
      <c r="AE2899">
        <v>0</v>
      </c>
      <c r="AF2899">
        <v>0</v>
      </c>
      <c r="AG2899">
        <v>0</v>
      </c>
      <c r="AH2899">
        <v>0</v>
      </c>
      <c r="AI2899">
        <v>0</v>
      </c>
      <c r="AJ2899">
        <v>0</v>
      </c>
      <c r="AK2899">
        <v>0</v>
      </c>
    </row>
    <row r="2900" spans="1:37" x14ac:dyDescent="0.3">
      <c r="A2900">
        <v>7533</v>
      </c>
      <c r="B2900" t="s">
        <v>3453</v>
      </c>
      <c r="D2900" t="s">
        <v>327</v>
      </c>
      <c r="E2900">
        <v>99999999</v>
      </c>
      <c r="F2900">
        <v>11111111</v>
      </c>
      <c r="G2900">
        <v>1111111111</v>
      </c>
      <c r="H2900" t="s">
        <v>6469</v>
      </c>
      <c r="I2900">
        <v>99999999</v>
      </c>
      <c r="J2900" s="188">
        <v>45236</v>
      </c>
      <c r="K2900" t="s">
        <v>6469</v>
      </c>
      <c r="L2900" t="s">
        <v>6469</v>
      </c>
      <c r="M2900" t="s">
        <v>1184</v>
      </c>
      <c r="N2900" t="s">
        <v>135</v>
      </c>
      <c r="O2900">
        <v>840106415</v>
      </c>
      <c r="P2900" t="s">
        <v>221</v>
      </c>
      <c r="Q2900" t="s">
        <v>82</v>
      </c>
      <c r="R2900">
        <v>3</v>
      </c>
      <c r="S2900">
        <v>144.6</v>
      </c>
      <c r="T2900">
        <v>0</v>
      </c>
      <c r="U2900">
        <v>3</v>
      </c>
      <c r="V2900">
        <v>1</v>
      </c>
      <c r="W2900">
        <v>156.31</v>
      </c>
      <c r="X2900">
        <v>0</v>
      </c>
      <c r="Y2900">
        <v>0</v>
      </c>
      <c r="Z2900">
        <v>0</v>
      </c>
      <c r="AA2900">
        <v>3</v>
      </c>
      <c r="AB2900">
        <v>0</v>
      </c>
      <c r="AC2900">
        <v>0</v>
      </c>
      <c r="AD2900">
        <v>0</v>
      </c>
      <c r="AE2900">
        <v>0</v>
      </c>
      <c r="AF2900">
        <v>0</v>
      </c>
      <c r="AG2900">
        <v>0</v>
      </c>
      <c r="AH2900">
        <v>0</v>
      </c>
      <c r="AI2900">
        <v>0</v>
      </c>
      <c r="AJ2900">
        <v>0</v>
      </c>
      <c r="AK2900">
        <v>0</v>
      </c>
    </row>
    <row r="2901" spans="1:37" x14ac:dyDescent="0.3">
      <c r="A2901">
        <v>7533</v>
      </c>
      <c r="B2901" t="s">
        <v>3453</v>
      </c>
      <c r="D2901" t="s">
        <v>327</v>
      </c>
      <c r="E2901">
        <v>99999999</v>
      </c>
      <c r="F2901">
        <v>11111111</v>
      </c>
      <c r="G2901">
        <v>1111111111</v>
      </c>
      <c r="H2901" t="s">
        <v>6470</v>
      </c>
      <c r="I2901">
        <v>99999999</v>
      </c>
      <c r="J2901" s="188">
        <v>45236</v>
      </c>
      <c r="K2901" t="s">
        <v>6470</v>
      </c>
      <c r="L2901" t="s">
        <v>6470</v>
      </c>
      <c r="M2901" t="s">
        <v>387</v>
      </c>
      <c r="N2901" t="s">
        <v>99</v>
      </c>
      <c r="O2901">
        <v>92504</v>
      </c>
      <c r="P2901" t="s">
        <v>221</v>
      </c>
      <c r="Q2901" t="s">
        <v>82</v>
      </c>
      <c r="R2901">
        <v>2</v>
      </c>
      <c r="S2901">
        <v>33.200000000000003</v>
      </c>
      <c r="T2901">
        <v>0</v>
      </c>
      <c r="U2901">
        <v>2</v>
      </c>
      <c r="V2901">
        <v>1</v>
      </c>
      <c r="W2901">
        <v>52.16</v>
      </c>
      <c r="X2901">
        <v>0</v>
      </c>
      <c r="Y2901">
        <v>0</v>
      </c>
      <c r="Z2901">
        <v>0</v>
      </c>
      <c r="AA2901">
        <v>2</v>
      </c>
      <c r="AB2901">
        <v>0</v>
      </c>
      <c r="AC2901">
        <v>0</v>
      </c>
      <c r="AD2901">
        <v>0</v>
      </c>
      <c r="AE2901">
        <v>0</v>
      </c>
      <c r="AF2901">
        <v>0</v>
      </c>
      <c r="AG2901">
        <v>0</v>
      </c>
      <c r="AH2901">
        <v>0</v>
      </c>
      <c r="AI2901">
        <v>0</v>
      </c>
      <c r="AJ2901">
        <v>0</v>
      </c>
      <c r="AK2901">
        <v>0</v>
      </c>
    </row>
    <row r="2902" spans="1:37" x14ac:dyDescent="0.3">
      <c r="A2902">
        <v>7533</v>
      </c>
      <c r="B2902" t="s">
        <v>3453</v>
      </c>
      <c r="D2902" t="s">
        <v>327</v>
      </c>
      <c r="E2902">
        <v>99999999</v>
      </c>
      <c r="F2902">
        <v>11111111</v>
      </c>
      <c r="G2902">
        <v>1111111111</v>
      </c>
      <c r="H2902" t="s">
        <v>6471</v>
      </c>
      <c r="I2902">
        <v>99999999</v>
      </c>
      <c r="J2902" s="188">
        <v>45236</v>
      </c>
      <c r="K2902" t="s">
        <v>6471</v>
      </c>
      <c r="L2902" t="s">
        <v>6471</v>
      </c>
      <c r="M2902" t="s">
        <v>651</v>
      </c>
      <c r="N2902" t="s">
        <v>99</v>
      </c>
      <c r="O2902">
        <v>934465804</v>
      </c>
      <c r="P2902" t="s">
        <v>221</v>
      </c>
      <c r="Q2902" t="s">
        <v>82</v>
      </c>
      <c r="R2902">
        <v>1</v>
      </c>
      <c r="S2902">
        <v>35.625</v>
      </c>
      <c r="T2902">
        <v>0</v>
      </c>
      <c r="U2902">
        <v>1</v>
      </c>
      <c r="V2902">
        <v>1</v>
      </c>
      <c r="W2902">
        <v>77.12</v>
      </c>
      <c r="X2902">
        <v>0</v>
      </c>
      <c r="Y2902">
        <v>0</v>
      </c>
      <c r="Z2902">
        <v>0</v>
      </c>
      <c r="AA2902">
        <v>1</v>
      </c>
      <c r="AB2902">
        <v>0</v>
      </c>
      <c r="AC2902">
        <v>0</v>
      </c>
      <c r="AD2902">
        <v>0</v>
      </c>
      <c r="AE2902">
        <v>0</v>
      </c>
      <c r="AF2902">
        <v>0</v>
      </c>
      <c r="AG2902">
        <v>0</v>
      </c>
      <c r="AH2902">
        <v>0</v>
      </c>
      <c r="AI2902">
        <v>0</v>
      </c>
      <c r="AJ2902">
        <v>0</v>
      </c>
      <c r="AK2902">
        <v>0</v>
      </c>
    </row>
    <row r="2903" spans="1:37" x14ac:dyDescent="0.3">
      <c r="A2903">
        <v>7533</v>
      </c>
      <c r="B2903" t="s">
        <v>3453</v>
      </c>
      <c r="D2903" t="s">
        <v>327</v>
      </c>
      <c r="E2903">
        <v>99999999</v>
      </c>
      <c r="F2903">
        <v>11111111</v>
      </c>
      <c r="G2903">
        <v>1111111111</v>
      </c>
      <c r="H2903" t="s">
        <v>6472</v>
      </c>
      <c r="I2903">
        <v>99999999</v>
      </c>
      <c r="J2903" s="188">
        <v>45236</v>
      </c>
      <c r="K2903" t="s">
        <v>6472</v>
      </c>
      <c r="L2903" t="s">
        <v>6472</v>
      </c>
      <c r="M2903" t="s">
        <v>1172</v>
      </c>
      <c r="N2903" t="s">
        <v>99</v>
      </c>
      <c r="O2903">
        <v>951182348</v>
      </c>
      <c r="P2903" t="s">
        <v>221</v>
      </c>
      <c r="Q2903" t="s">
        <v>82</v>
      </c>
      <c r="R2903">
        <v>1</v>
      </c>
      <c r="S2903">
        <v>16.600000000000001</v>
      </c>
      <c r="T2903">
        <v>0</v>
      </c>
      <c r="U2903">
        <v>1</v>
      </c>
      <c r="V2903">
        <v>1</v>
      </c>
      <c r="W2903">
        <v>25.62</v>
      </c>
      <c r="X2903">
        <v>0</v>
      </c>
      <c r="Y2903">
        <v>0</v>
      </c>
      <c r="Z2903">
        <v>0</v>
      </c>
      <c r="AA2903">
        <v>1</v>
      </c>
      <c r="AB2903">
        <v>0</v>
      </c>
      <c r="AC2903">
        <v>0</v>
      </c>
      <c r="AD2903">
        <v>0</v>
      </c>
      <c r="AE2903">
        <v>0</v>
      </c>
      <c r="AF2903">
        <v>0</v>
      </c>
      <c r="AG2903">
        <v>0</v>
      </c>
      <c r="AH2903">
        <v>0</v>
      </c>
      <c r="AI2903">
        <v>0</v>
      </c>
      <c r="AJ2903">
        <v>0</v>
      </c>
      <c r="AK2903">
        <v>0</v>
      </c>
    </row>
    <row r="2904" spans="1:37" x14ac:dyDescent="0.3">
      <c r="A2904">
        <v>7533</v>
      </c>
      <c r="B2904" t="s">
        <v>3453</v>
      </c>
      <c r="D2904" t="s">
        <v>327</v>
      </c>
      <c r="E2904">
        <v>99999999</v>
      </c>
      <c r="F2904">
        <v>11111111</v>
      </c>
      <c r="G2904">
        <v>1111111111</v>
      </c>
      <c r="H2904" t="s">
        <v>6473</v>
      </c>
      <c r="I2904">
        <v>99999999</v>
      </c>
      <c r="J2904" s="188">
        <v>45236</v>
      </c>
      <c r="K2904" t="s">
        <v>6473</v>
      </c>
      <c r="L2904" t="s">
        <v>6473</v>
      </c>
      <c r="M2904" t="s">
        <v>3476</v>
      </c>
      <c r="N2904" t="s">
        <v>99</v>
      </c>
      <c r="O2904">
        <v>903033028</v>
      </c>
      <c r="P2904" t="s">
        <v>221</v>
      </c>
      <c r="Q2904" t="s">
        <v>82</v>
      </c>
      <c r="R2904">
        <v>1</v>
      </c>
      <c r="S2904">
        <v>16.600000000000001</v>
      </c>
      <c r="T2904">
        <v>0</v>
      </c>
      <c r="U2904">
        <v>1</v>
      </c>
      <c r="V2904">
        <v>1</v>
      </c>
      <c r="W2904">
        <v>26.08</v>
      </c>
      <c r="X2904">
        <v>0</v>
      </c>
      <c r="Y2904">
        <v>0</v>
      </c>
      <c r="Z2904">
        <v>0</v>
      </c>
      <c r="AA2904">
        <v>1</v>
      </c>
      <c r="AB2904">
        <v>0</v>
      </c>
      <c r="AC2904">
        <v>0</v>
      </c>
      <c r="AD2904">
        <v>0</v>
      </c>
      <c r="AE2904">
        <v>0</v>
      </c>
      <c r="AF2904">
        <v>0</v>
      </c>
      <c r="AG2904">
        <v>0</v>
      </c>
      <c r="AH2904">
        <v>0</v>
      </c>
      <c r="AI2904">
        <v>0</v>
      </c>
      <c r="AJ2904">
        <v>0</v>
      </c>
      <c r="AK2904">
        <v>0</v>
      </c>
    </row>
    <row r="2905" spans="1:37" x14ac:dyDescent="0.3">
      <c r="A2905">
        <v>7533</v>
      </c>
      <c r="B2905" t="s">
        <v>3453</v>
      </c>
      <c r="D2905" t="s">
        <v>327</v>
      </c>
      <c r="E2905">
        <v>99999999</v>
      </c>
      <c r="F2905">
        <v>11111111</v>
      </c>
      <c r="G2905">
        <v>1111111111</v>
      </c>
      <c r="H2905" t="s">
        <v>6474</v>
      </c>
      <c r="I2905">
        <v>99999999</v>
      </c>
      <c r="J2905" s="188">
        <v>45236</v>
      </c>
      <c r="K2905" t="s">
        <v>6474</v>
      </c>
      <c r="L2905" t="s">
        <v>6474</v>
      </c>
      <c r="M2905" t="s">
        <v>3477</v>
      </c>
      <c r="N2905" t="s">
        <v>97</v>
      </c>
      <c r="O2905">
        <v>982755028</v>
      </c>
      <c r="P2905" t="s">
        <v>221</v>
      </c>
      <c r="Q2905" t="s">
        <v>82</v>
      </c>
      <c r="R2905">
        <v>2</v>
      </c>
      <c r="S2905">
        <v>33.200000000000003</v>
      </c>
      <c r="T2905">
        <v>0</v>
      </c>
      <c r="U2905">
        <v>2</v>
      </c>
      <c r="V2905">
        <v>1</v>
      </c>
      <c r="W2905">
        <v>52.16</v>
      </c>
      <c r="X2905">
        <v>0</v>
      </c>
      <c r="Y2905">
        <v>0</v>
      </c>
      <c r="Z2905">
        <v>0</v>
      </c>
      <c r="AA2905">
        <v>2</v>
      </c>
      <c r="AB2905">
        <v>0</v>
      </c>
      <c r="AC2905">
        <v>0</v>
      </c>
      <c r="AD2905">
        <v>0</v>
      </c>
      <c r="AE2905">
        <v>0</v>
      </c>
      <c r="AF2905">
        <v>0</v>
      </c>
      <c r="AG2905">
        <v>0</v>
      </c>
      <c r="AH2905">
        <v>0</v>
      </c>
      <c r="AI2905">
        <v>0</v>
      </c>
      <c r="AJ2905">
        <v>0</v>
      </c>
      <c r="AK2905">
        <v>0</v>
      </c>
    </row>
    <row r="2906" spans="1:37" x14ac:dyDescent="0.3">
      <c r="A2906">
        <v>7533</v>
      </c>
      <c r="B2906" t="s">
        <v>3453</v>
      </c>
      <c r="D2906" t="s">
        <v>327</v>
      </c>
      <c r="E2906">
        <v>99999999</v>
      </c>
      <c r="F2906">
        <v>11111111</v>
      </c>
      <c r="G2906">
        <v>1111111111</v>
      </c>
      <c r="H2906" t="s">
        <v>6475</v>
      </c>
      <c r="I2906">
        <v>99999999</v>
      </c>
      <c r="J2906" s="188">
        <v>45236</v>
      </c>
      <c r="K2906" t="s">
        <v>6475</v>
      </c>
      <c r="L2906" t="s">
        <v>6475</v>
      </c>
      <c r="M2906" t="s">
        <v>3478</v>
      </c>
      <c r="N2906" t="s">
        <v>99</v>
      </c>
      <c r="O2906">
        <v>914363429</v>
      </c>
      <c r="P2906" t="s">
        <v>221</v>
      </c>
      <c r="Q2906" t="s">
        <v>82</v>
      </c>
      <c r="R2906">
        <v>1</v>
      </c>
      <c r="S2906">
        <v>48.2</v>
      </c>
      <c r="T2906">
        <v>0</v>
      </c>
      <c r="U2906">
        <v>1</v>
      </c>
      <c r="V2906">
        <v>1</v>
      </c>
      <c r="W2906">
        <v>52.1</v>
      </c>
      <c r="X2906">
        <v>0</v>
      </c>
      <c r="Y2906">
        <v>0</v>
      </c>
      <c r="Z2906">
        <v>0</v>
      </c>
      <c r="AA2906">
        <v>1</v>
      </c>
      <c r="AB2906">
        <v>0</v>
      </c>
      <c r="AC2906">
        <v>0</v>
      </c>
      <c r="AD2906">
        <v>0</v>
      </c>
      <c r="AE2906">
        <v>0</v>
      </c>
      <c r="AF2906">
        <v>0</v>
      </c>
      <c r="AG2906">
        <v>0</v>
      </c>
      <c r="AH2906">
        <v>0</v>
      </c>
      <c r="AI2906">
        <v>0</v>
      </c>
      <c r="AJ2906">
        <v>0</v>
      </c>
      <c r="AK2906">
        <v>0</v>
      </c>
    </row>
    <row r="2907" spans="1:37" x14ac:dyDescent="0.3">
      <c r="A2907">
        <v>7533</v>
      </c>
      <c r="B2907" t="s">
        <v>3453</v>
      </c>
      <c r="D2907" t="s">
        <v>327</v>
      </c>
      <c r="E2907">
        <v>99999999</v>
      </c>
      <c r="F2907">
        <v>11111111</v>
      </c>
      <c r="G2907">
        <v>1111111111</v>
      </c>
      <c r="H2907" t="s">
        <v>6476</v>
      </c>
      <c r="I2907">
        <v>99999999</v>
      </c>
      <c r="J2907" s="188">
        <v>45236</v>
      </c>
      <c r="K2907" t="s">
        <v>6476</v>
      </c>
      <c r="L2907" t="s">
        <v>6476</v>
      </c>
      <c r="M2907" t="s">
        <v>3479</v>
      </c>
      <c r="N2907" t="s">
        <v>130</v>
      </c>
      <c r="O2907">
        <v>804989209</v>
      </c>
      <c r="P2907" t="s">
        <v>221</v>
      </c>
      <c r="Q2907" t="s">
        <v>82</v>
      </c>
      <c r="R2907">
        <v>2</v>
      </c>
      <c r="S2907">
        <v>33.200000000000003</v>
      </c>
      <c r="T2907">
        <v>0</v>
      </c>
      <c r="U2907">
        <v>2</v>
      </c>
      <c r="V2907">
        <v>1</v>
      </c>
      <c r="W2907">
        <v>70.59</v>
      </c>
      <c r="X2907">
        <v>0</v>
      </c>
      <c r="Y2907">
        <v>0</v>
      </c>
      <c r="Z2907">
        <v>0</v>
      </c>
      <c r="AA2907">
        <v>2</v>
      </c>
      <c r="AB2907">
        <v>0</v>
      </c>
      <c r="AC2907">
        <v>0</v>
      </c>
      <c r="AD2907">
        <v>0</v>
      </c>
      <c r="AE2907">
        <v>0</v>
      </c>
      <c r="AF2907">
        <v>0</v>
      </c>
      <c r="AG2907">
        <v>0</v>
      </c>
      <c r="AH2907">
        <v>0</v>
      </c>
      <c r="AI2907">
        <v>0</v>
      </c>
      <c r="AJ2907">
        <v>0</v>
      </c>
      <c r="AK2907">
        <v>0</v>
      </c>
    </row>
    <row r="2908" spans="1:37" x14ac:dyDescent="0.3">
      <c r="A2908">
        <v>7533</v>
      </c>
      <c r="B2908" t="s">
        <v>3453</v>
      </c>
      <c r="D2908" t="s">
        <v>327</v>
      </c>
      <c r="E2908">
        <v>99999999</v>
      </c>
      <c r="F2908">
        <v>11111111</v>
      </c>
      <c r="G2908">
        <v>1111111111</v>
      </c>
      <c r="H2908" t="s">
        <v>6477</v>
      </c>
      <c r="I2908">
        <v>99999999</v>
      </c>
      <c r="J2908" s="188">
        <v>45236</v>
      </c>
      <c r="K2908" t="s">
        <v>6477</v>
      </c>
      <c r="L2908" t="s">
        <v>6477</v>
      </c>
      <c r="M2908" t="s">
        <v>3480</v>
      </c>
      <c r="N2908" t="s">
        <v>99</v>
      </c>
      <c r="O2908">
        <v>913565625</v>
      </c>
      <c r="P2908" t="s">
        <v>221</v>
      </c>
      <c r="Q2908" t="s">
        <v>82</v>
      </c>
      <c r="R2908">
        <v>2</v>
      </c>
      <c r="S2908">
        <v>96.4</v>
      </c>
      <c r="T2908">
        <v>0</v>
      </c>
      <c r="U2908">
        <v>2</v>
      </c>
      <c r="V2908">
        <v>1</v>
      </c>
      <c r="W2908">
        <v>104.2</v>
      </c>
      <c r="X2908">
        <v>0</v>
      </c>
      <c r="Y2908">
        <v>0</v>
      </c>
      <c r="Z2908">
        <v>0</v>
      </c>
      <c r="AA2908">
        <v>2</v>
      </c>
      <c r="AB2908">
        <v>0</v>
      </c>
      <c r="AC2908">
        <v>0</v>
      </c>
      <c r="AD2908">
        <v>0</v>
      </c>
      <c r="AE2908">
        <v>0</v>
      </c>
      <c r="AF2908">
        <v>0</v>
      </c>
      <c r="AG2908">
        <v>0</v>
      </c>
      <c r="AH2908">
        <v>0</v>
      </c>
      <c r="AI2908">
        <v>0</v>
      </c>
      <c r="AJ2908">
        <v>0</v>
      </c>
      <c r="AK2908">
        <v>0</v>
      </c>
    </row>
    <row r="2909" spans="1:37" x14ac:dyDescent="0.3">
      <c r="A2909">
        <v>7533</v>
      </c>
      <c r="B2909" t="s">
        <v>3453</v>
      </c>
      <c r="D2909" t="s">
        <v>327</v>
      </c>
      <c r="E2909">
        <v>99999999</v>
      </c>
      <c r="F2909">
        <v>11111111</v>
      </c>
      <c r="G2909">
        <v>1111111111</v>
      </c>
      <c r="H2909" t="s">
        <v>6478</v>
      </c>
      <c r="I2909">
        <v>99999999</v>
      </c>
      <c r="J2909" s="188">
        <v>45236</v>
      </c>
      <c r="K2909" t="s">
        <v>6478</v>
      </c>
      <c r="L2909" t="s">
        <v>6478</v>
      </c>
      <c r="M2909" t="s">
        <v>1197</v>
      </c>
      <c r="N2909" t="s">
        <v>99</v>
      </c>
      <c r="O2909">
        <v>945461201</v>
      </c>
      <c r="P2909" t="s">
        <v>221</v>
      </c>
      <c r="Q2909" t="s">
        <v>82</v>
      </c>
      <c r="R2909">
        <v>2</v>
      </c>
      <c r="S2909">
        <v>96.4</v>
      </c>
      <c r="T2909">
        <v>0</v>
      </c>
      <c r="U2909">
        <v>2</v>
      </c>
      <c r="V2909">
        <v>1</v>
      </c>
      <c r="W2909">
        <v>95.82</v>
      </c>
      <c r="X2909">
        <v>0</v>
      </c>
      <c r="Y2909">
        <v>0</v>
      </c>
      <c r="Z2909">
        <v>0</v>
      </c>
      <c r="AA2909">
        <v>2</v>
      </c>
      <c r="AB2909">
        <v>0</v>
      </c>
      <c r="AC2909">
        <v>0</v>
      </c>
      <c r="AD2909">
        <v>0</v>
      </c>
      <c r="AE2909">
        <v>0</v>
      </c>
      <c r="AF2909">
        <v>0</v>
      </c>
      <c r="AG2909">
        <v>0</v>
      </c>
      <c r="AH2909">
        <v>0</v>
      </c>
      <c r="AI2909">
        <v>0</v>
      </c>
      <c r="AJ2909">
        <v>0</v>
      </c>
      <c r="AK2909">
        <v>0</v>
      </c>
    </row>
    <row r="2910" spans="1:37" x14ac:dyDescent="0.3">
      <c r="A2910">
        <v>7533</v>
      </c>
      <c r="B2910" t="s">
        <v>3453</v>
      </c>
      <c r="D2910" t="s">
        <v>327</v>
      </c>
      <c r="E2910">
        <v>99999999</v>
      </c>
      <c r="F2910">
        <v>11111111</v>
      </c>
      <c r="G2910">
        <v>1111111111</v>
      </c>
      <c r="H2910" t="s">
        <v>6479</v>
      </c>
      <c r="I2910">
        <v>99999999</v>
      </c>
      <c r="J2910" s="188">
        <v>45236</v>
      </c>
      <c r="K2910" t="s">
        <v>6479</v>
      </c>
      <c r="L2910" t="s">
        <v>6479</v>
      </c>
      <c r="M2910" t="s">
        <v>618</v>
      </c>
      <c r="N2910" t="s">
        <v>99</v>
      </c>
      <c r="O2910">
        <v>940614303</v>
      </c>
      <c r="P2910" t="s">
        <v>221</v>
      </c>
      <c r="Q2910" t="s">
        <v>82</v>
      </c>
      <c r="R2910">
        <v>1</v>
      </c>
      <c r="S2910">
        <v>35.625</v>
      </c>
      <c r="T2910">
        <v>0</v>
      </c>
      <c r="U2910">
        <v>1</v>
      </c>
      <c r="V2910">
        <v>1</v>
      </c>
      <c r="W2910">
        <v>67.239999999999995</v>
      </c>
      <c r="X2910">
        <v>0</v>
      </c>
      <c r="Y2910">
        <v>0</v>
      </c>
      <c r="Z2910">
        <v>0</v>
      </c>
      <c r="AA2910">
        <v>1</v>
      </c>
      <c r="AB2910">
        <v>0</v>
      </c>
      <c r="AC2910">
        <v>0</v>
      </c>
      <c r="AD2910">
        <v>0</v>
      </c>
      <c r="AE2910">
        <v>0</v>
      </c>
      <c r="AF2910">
        <v>0</v>
      </c>
      <c r="AG2910">
        <v>0</v>
      </c>
      <c r="AH2910">
        <v>0</v>
      </c>
      <c r="AI2910">
        <v>0</v>
      </c>
      <c r="AJ2910">
        <v>0</v>
      </c>
      <c r="AK2910">
        <v>0</v>
      </c>
    </row>
    <row r="2911" spans="1:37" x14ac:dyDescent="0.3">
      <c r="A2911">
        <v>7533</v>
      </c>
      <c r="B2911" t="s">
        <v>3453</v>
      </c>
      <c r="D2911" t="s">
        <v>327</v>
      </c>
      <c r="E2911">
        <v>99999999</v>
      </c>
      <c r="F2911">
        <v>11111111</v>
      </c>
      <c r="G2911">
        <v>1111111111</v>
      </c>
      <c r="H2911" t="s">
        <v>6480</v>
      </c>
      <c r="I2911">
        <v>99999999</v>
      </c>
      <c r="J2911" s="188">
        <v>45236</v>
      </c>
      <c r="K2911" t="s">
        <v>6480</v>
      </c>
      <c r="L2911" t="s">
        <v>6480</v>
      </c>
      <c r="M2911" t="s">
        <v>1556</v>
      </c>
      <c r="N2911" t="s">
        <v>99</v>
      </c>
      <c r="O2911">
        <v>927082317</v>
      </c>
      <c r="P2911" t="s">
        <v>221</v>
      </c>
      <c r="Q2911" t="s">
        <v>82</v>
      </c>
      <c r="R2911">
        <v>1</v>
      </c>
      <c r="S2911">
        <v>48.2</v>
      </c>
      <c r="T2911">
        <v>0</v>
      </c>
      <c r="U2911">
        <v>1</v>
      </c>
      <c r="V2911">
        <v>1</v>
      </c>
      <c r="W2911">
        <v>52.1</v>
      </c>
      <c r="X2911">
        <v>0</v>
      </c>
      <c r="Y2911">
        <v>0</v>
      </c>
      <c r="Z2911">
        <v>0</v>
      </c>
      <c r="AA2911">
        <v>1</v>
      </c>
      <c r="AB2911">
        <v>0</v>
      </c>
      <c r="AC2911">
        <v>0</v>
      </c>
      <c r="AD2911">
        <v>0</v>
      </c>
      <c r="AE2911">
        <v>0</v>
      </c>
      <c r="AF2911">
        <v>0</v>
      </c>
      <c r="AG2911">
        <v>0</v>
      </c>
      <c r="AH2911">
        <v>0</v>
      </c>
      <c r="AI2911">
        <v>0</v>
      </c>
      <c r="AJ2911">
        <v>0</v>
      </c>
      <c r="AK2911">
        <v>0</v>
      </c>
    </row>
    <row r="2912" spans="1:37" x14ac:dyDescent="0.3">
      <c r="A2912">
        <v>7533</v>
      </c>
      <c r="B2912" t="s">
        <v>3453</v>
      </c>
      <c r="D2912" t="s">
        <v>327</v>
      </c>
      <c r="E2912">
        <v>99999999</v>
      </c>
      <c r="F2912">
        <v>11111111</v>
      </c>
      <c r="G2912">
        <v>1111111111</v>
      </c>
      <c r="H2912" t="s">
        <v>6481</v>
      </c>
      <c r="I2912">
        <v>99999999</v>
      </c>
      <c r="J2912" s="188">
        <v>45236</v>
      </c>
      <c r="K2912" t="s">
        <v>6481</v>
      </c>
      <c r="L2912" t="s">
        <v>6481</v>
      </c>
      <c r="M2912" t="s">
        <v>1556</v>
      </c>
      <c r="N2912" t="s">
        <v>99</v>
      </c>
      <c r="O2912">
        <v>927082317</v>
      </c>
      <c r="P2912" t="s">
        <v>221</v>
      </c>
      <c r="Q2912" t="s">
        <v>82</v>
      </c>
      <c r="R2912">
        <v>1</v>
      </c>
      <c r="S2912">
        <v>48.2</v>
      </c>
      <c r="T2912">
        <v>0</v>
      </c>
      <c r="U2912">
        <v>1</v>
      </c>
      <c r="V2912">
        <v>1</v>
      </c>
      <c r="W2912">
        <v>52.1</v>
      </c>
      <c r="X2912">
        <v>0</v>
      </c>
      <c r="Y2912">
        <v>0</v>
      </c>
      <c r="Z2912">
        <v>0</v>
      </c>
      <c r="AA2912">
        <v>1</v>
      </c>
      <c r="AB2912">
        <v>0</v>
      </c>
      <c r="AC2912">
        <v>0</v>
      </c>
      <c r="AD2912">
        <v>0</v>
      </c>
      <c r="AE2912">
        <v>0</v>
      </c>
      <c r="AF2912">
        <v>0</v>
      </c>
      <c r="AG2912">
        <v>0</v>
      </c>
      <c r="AH2912">
        <v>0</v>
      </c>
      <c r="AI2912">
        <v>0</v>
      </c>
      <c r="AJ2912">
        <v>0</v>
      </c>
      <c r="AK2912">
        <v>0</v>
      </c>
    </row>
    <row r="2913" spans="1:37" x14ac:dyDescent="0.3">
      <c r="A2913">
        <v>7533</v>
      </c>
      <c r="B2913" t="s">
        <v>3453</v>
      </c>
      <c r="D2913" t="s">
        <v>327</v>
      </c>
      <c r="E2913">
        <v>99999999</v>
      </c>
      <c r="F2913">
        <v>11111111</v>
      </c>
      <c r="G2913">
        <v>1111111111</v>
      </c>
      <c r="H2913" t="s">
        <v>6482</v>
      </c>
      <c r="I2913">
        <v>99999999</v>
      </c>
      <c r="J2913" s="188">
        <v>45236</v>
      </c>
      <c r="K2913" t="s">
        <v>6482</v>
      </c>
      <c r="L2913" t="s">
        <v>6482</v>
      </c>
      <c r="M2913" t="s">
        <v>3481</v>
      </c>
      <c r="N2913" t="s">
        <v>99</v>
      </c>
      <c r="O2913">
        <v>922512520</v>
      </c>
      <c r="P2913" t="s">
        <v>221</v>
      </c>
      <c r="Q2913" t="s">
        <v>82</v>
      </c>
      <c r="R2913">
        <v>1</v>
      </c>
      <c r="S2913">
        <v>48.2</v>
      </c>
      <c r="T2913">
        <v>0</v>
      </c>
      <c r="U2913">
        <v>1</v>
      </c>
      <c r="V2913">
        <v>1</v>
      </c>
      <c r="W2913">
        <v>69.75</v>
      </c>
      <c r="X2913">
        <v>0</v>
      </c>
      <c r="Y2913">
        <v>0</v>
      </c>
      <c r="Z2913">
        <v>0</v>
      </c>
      <c r="AA2913">
        <v>1</v>
      </c>
      <c r="AB2913">
        <v>0</v>
      </c>
      <c r="AC2913">
        <v>0</v>
      </c>
      <c r="AD2913">
        <v>0</v>
      </c>
      <c r="AE2913">
        <v>0</v>
      </c>
      <c r="AF2913">
        <v>0</v>
      </c>
      <c r="AG2913">
        <v>0</v>
      </c>
      <c r="AH2913">
        <v>0</v>
      </c>
      <c r="AI2913">
        <v>0</v>
      </c>
      <c r="AJ2913">
        <v>0</v>
      </c>
      <c r="AK2913">
        <v>0</v>
      </c>
    </row>
    <row r="2914" spans="1:37" x14ac:dyDescent="0.3">
      <c r="A2914">
        <v>7533</v>
      </c>
      <c r="B2914" t="s">
        <v>3453</v>
      </c>
      <c r="D2914" t="s">
        <v>327</v>
      </c>
      <c r="E2914">
        <v>99999999</v>
      </c>
      <c r="F2914">
        <v>11111111</v>
      </c>
      <c r="G2914">
        <v>1111111111</v>
      </c>
      <c r="H2914" t="s">
        <v>6483</v>
      </c>
      <c r="I2914">
        <v>99999999</v>
      </c>
      <c r="J2914" s="188">
        <v>45236</v>
      </c>
      <c r="K2914" t="s">
        <v>6483</v>
      </c>
      <c r="L2914" t="s">
        <v>6483</v>
      </c>
      <c r="M2914" t="s">
        <v>3219</v>
      </c>
      <c r="N2914" t="s">
        <v>91</v>
      </c>
      <c r="O2914">
        <v>853408100</v>
      </c>
      <c r="P2914" t="s">
        <v>221</v>
      </c>
      <c r="Q2914" t="s">
        <v>82</v>
      </c>
      <c r="R2914">
        <v>1</v>
      </c>
      <c r="S2914">
        <v>48.2</v>
      </c>
      <c r="T2914">
        <v>0</v>
      </c>
      <c r="U2914">
        <v>1</v>
      </c>
      <c r="V2914">
        <v>1</v>
      </c>
      <c r="W2914">
        <v>63.63</v>
      </c>
      <c r="X2914">
        <v>0</v>
      </c>
      <c r="Y2914">
        <v>0</v>
      </c>
      <c r="Z2914">
        <v>0</v>
      </c>
      <c r="AA2914">
        <v>1</v>
      </c>
      <c r="AB2914">
        <v>0</v>
      </c>
      <c r="AC2914">
        <v>0</v>
      </c>
      <c r="AD2914">
        <v>0</v>
      </c>
      <c r="AE2914">
        <v>0</v>
      </c>
      <c r="AF2914">
        <v>0</v>
      </c>
      <c r="AG2914">
        <v>0</v>
      </c>
      <c r="AH2914">
        <v>0</v>
      </c>
      <c r="AI2914">
        <v>0</v>
      </c>
      <c r="AJ2914">
        <v>0</v>
      </c>
      <c r="AK2914">
        <v>0</v>
      </c>
    </row>
    <row r="2915" spans="1:37" x14ac:dyDescent="0.3">
      <c r="A2915">
        <v>7533</v>
      </c>
      <c r="B2915" t="s">
        <v>3453</v>
      </c>
      <c r="D2915" t="s">
        <v>327</v>
      </c>
      <c r="E2915">
        <v>99999999</v>
      </c>
      <c r="F2915">
        <v>11111111</v>
      </c>
      <c r="G2915">
        <v>1111111111</v>
      </c>
      <c r="H2915" t="s">
        <v>6484</v>
      </c>
      <c r="I2915">
        <v>99999999</v>
      </c>
      <c r="J2915" s="188">
        <v>45236</v>
      </c>
      <c r="K2915" t="s">
        <v>6484</v>
      </c>
      <c r="L2915" t="s">
        <v>6484</v>
      </c>
      <c r="M2915" t="s">
        <v>684</v>
      </c>
      <c r="N2915" t="s">
        <v>99</v>
      </c>
      <c r="O2915">
        <v>904051969</v>
      </c>
      <c r="P2915" t="s">
        <v>221</v>
      </c>
      <c r="Q2915" t="s">
        <v>82</v>
      </c>
      <c r="R2915">
        <v>1</v>
      </c>
      <c r="S2915">
        <v>48.2</v>
      </c>
      <c r="T2915">
        <v>0</v>
      </c>
      <c r="U2915">
        <v>1</v>
      </c>
      <c r="V2915">
        <v>1</v>
      </c>
      <c r="W2915">
        <v>52.1</v>
      </c>
      <c r="X2915">
        <v>0</v>
      </c>
      <c r="Y2915">
        <v>0</v>
      </c>
      <c r="Z2915">
        <v>0</v>
      </c>
      <c r="AA2915">
        <v>1</v>
      </c>
      <c r="AB2915">
        <v>0</v>
      </c>
      <c r="AC2915">
        <v>0</v>
      </c>
      <c r="AD2915">
        <v>0</v>
      </c>
      <c r="AE2915">
        <v>0</v>
      </c>
      <c r="AF2915">
        <v>0</v>
      </c>
      <c r="AG2915">
        <v>0</v>
      </c>
      <c r="AH2915">
        <v>0</v>
      </c>
      <c r="AI2915">
        <v>0</v>
      </c>
      <c r="AJ2915">
        <v>0</v>
      </c>
      <c r="AK2915">
        <v>0</v>
      </c>
    </row>
    <row r="2916" spans="1:37" x14ac:dyDescent="0.3">
      <c r="A2916">
        <v>7533</v>
      </c>
      <c r="B2916" t="s">
        <v>3453</v>
      </c>
      <c r="D2916" t="s">
        <v>327</v>
      </c>
      <c r="E2916">
        <v>99999999</v>
      </c>
      <c r="F2916">
        <v>11111111</v>
      </c>
      <c r="G2916">
        <v>1111111111</v>
      </c>
      <c r="H2916" t="s">
        <v>6485</v>
      </c>
      <c r="I2916">
        <v>99999999</v>
      </c>
      <c r="J2916" s="188">
        <v>45236</v>
      </c>
      <c r="K2916" t="s">
        <v>6485</v>
      </c>
      <c r="L2916" t="s">
        <v>6485</v>
      </c>
      <c r="M2916" t="s">
        <v>792</v>
      </c>
      <c r="N2916" t="s">
        <v>104</v>
      </c>
      <c r="O2916">
        <v>836464861</v>
      </c>
      <c r="P2916" t="s">
        <v>221</v>
      </c>
      <c r="Q2916" t="s">
        <v>82</v>
      </c>
      <c r="R2916">
        <v>1</v>
      </c>
      <c r="S2916">
        <v>48.2</v>
      </c>
      <c r="T2916">
        <v>0</v>
      </c>
      <c r="U2916">
        <v>1</v>
      </c>
      <c r="V2916">
        <v>1</v>
      </c>
      <c r="W2916">
        <v>52.1</v>
      </c>
      <c r="X2916">
        <v>0</v>
      </c>
      <c r="Y2916">
        <v>0</v>
      </c>
      <c r="Z2916">
        <v>0</v>
      </c>
      <c r="AA2916">
        <v>1</v>
      </c>
      <c r="AB2916">
        <v>0</v>
      </c>
      <c r="AC2916">
        <v>0</v>
      </c>
      <c r="AD2916">
        <v>0</v>
      </c>
      <c r="AE2916">
        <v>0</v>
      </c>
      <c r="AF2916">
        <v>0</v>
      </c>
      <c r="AG2916">
        <v>0</v>
      </c>
      <c r="AH2916">
        <v>0</v>
      </c>
      <c r="AI2916">
        <v>0</v>
      </c>
      <c r="AJ2916">
        <v>0</v>
      </c>
      <c r="AK2916">
        <v>0</v>
      </c>
    </row>
    <row r="2917" spans="1:37" x14ac:dyDescent="0.3">
      <c r="A2917">
        <v>7533</v>
      </c>
      <c r="B2917" t="s">
        <v>3453</v>
      </c>
      <c r="D2917" t="s">
        <v>327</v>
      </c>
      <c r="E2917">
        <v>99999999</v>
      </c>
      <c r="F2917">
        <v>11111111</v>
      </c>
      <c r="G2917">
        <v>1111111111</v>
      </c>
      <c r="H2917" t="s">
        <v>6486</v>
      </c>
      <c r="I2917">
        <v>99999999</v>
      </c>
      <c r="J2917" s="188">
        <v>45236</v>
      </c>
      <c r="K2917" t="s">
        <v>6486</v>
      </c>
      <c r="L2917" t="s">
        <v>6486</v>
      </c>
      <c r="M2917" t="s">
        <v>3482</v>
      </c>
      <c r="N2917" t="s">
        <v>99</v>
      </c>
      <c r="O2917">
        <v>940609715</v>
      </c>
      <c r="P2917" t="s">
        <v>221</v>
      </c>
      <c r="Q2917" t="s">
        <v>82</v>
      </c>
      <c r="R2917">
        <v>1</v>
      </c>
      <c r="S2917">
        <v>48.2</v>
      </c>
      <c r="T2917">
        <v>0</v>
      </c>
      <c r="U2917">
        <v>1</v>
      </c>
      <c r="V2917">
        <v>1</v>
      </c>
      <c r="W2917">
        <v>62.98</v>
      </c>
      <c r="X2917">
        <v>0</v>
      </c>
      <c r="Y2917">
        <v>0</v>
      </c>
      <c r="Z2917">
        <v>0</v>
      </c>
      <c r="AA2917">
        <v>1</v>
      </c>
      <c r="AB2917">
        <v>0</v>
      </c>
      <c r="AC2917">
        <v>0</v>
      </c>
      <c r="AD2917">
        <v>0</v>
      </c>
      <c r="AE2917">
        <v>0</v>
      </c>
      <c r="AF2917">
        <v>0</v>
      </c>
      <c r="AG2917">
        <v>0</v>
      </c>
      <c r="AH2917">
        <v>0</v>
      </c>
      <c r="AI2917">
        <v>0</v>
      </c>
      <c r="AJ2917">
        <v>0</v>
      </c>
      <c r="AK2917">
        <v>0</v>
      </c>
    </row>
    <row r="2918" spans="1:37" x14ac:dyDescent="0.3">
      <c r="A2918">
        <v>7533</v>
      </c>
      <c r="B2918" t="s">
        <v>3453</v>
      </c>
      <c r="D2918" t="s">
        <v>327</v>
      </c>
      <c r="E2918">
        <v>99999999</v>
      </c>
      <c r="F2918">
        <v>11111111</v>
      </c>
      <c r="G2918">
        <v>1111111111</v>
      </c>
      <c r="H2918" t="s">
        <v>6487</v>
      </c>
      <c r="I2918">
        <v>99999999</v>
      </c>
      <c r="J2918" s="188">
        <v>45236</v>
      </c>
      <c r="K2918" t="s">
        <v>6487</v>
      </c>
      <c r="L2918" t="s">
        <v>6487</v>
      </c>
      <c r="M2918" t="s">
        <v>3483</v>
      </c>
      <c r="N2918" t="s">
        <v>99</v>
      </c>
      <c r="O2918">
        <v>961305832</v>
      </c>
      <c r="P2918" t="s">
        <v>221</v>
      </c>
      <c r="Q2918" t="s">
        <v>82</v>
      </c>
      <c r="R2918">
        <v>1</v>
      </c>
      <c r="S2918">
        <v>48.2</v>
      </c>
      <c r="T2918">
        <v>0</v>
      </c>
      <c r="U2918">
        <v>1</v>
      </c>
      <c r="V2918">
        <v>1</v>
      </c>
      <c r="W2918">
        <v>46.99</v>
      </c>
      <c r="X2918">
        <v>0</v>
      </c>
      <c r="Y2918">
        <v>0</v>
      </c>
      <c r="Z2918">
        <v>0</v>
      </c>
      <c r="AA2918">
        <v>1</v>
      </c>
      <c r="AB2918">
        <v>0</v>
      </c>
      <c r="AC2918">
        <v>0</v>
      </c>
      <c r="AD2918">
        <v>0</v>
      </c>
      <c r="AE2918">
        <v>0</v>
      </c>
      <c r="AF2918">
        <v>0</v>
      </c>
      <c r="AG2918">
        <v>0</v>
      </c>
      <c r="AH2918">
        <v>0</v>
      </c>
      <c r="AI2918">
        <v>0</v>
      </c>
      <c r="AJ2918">
        <v>0</v>
      </c>
      <c r="AK2918">
        <v>0</v>
      </c>
    </row>
    <row r="2919" spans="1:37" x14ac:dyDescent="0.3">
      <c r="A2919">
        <v>7533</v>
      </c>
      <c r="B2919" t="s">
        <v>3453</v>
      </c>
      <c r="D2919" t="s">
        <v>327</v>
      </c>
      <c r="E2919">
        <v>99999999</v>
      </c>
      <c r="F2919">
        <v>11111111</v>
      </c>
      <c r="G2919">
        <v>1111111111</v>
      </c>
      <c r="H2919" t="s">
        <v>6488</v>
      </c>
      <c r="I2919">
        <v>99999999</v>
      </c>
      <c r="J2919" s="188">
        <v>45236</v>
      </c>
      <c r="K2919" t="s">
        <v>6488</v>
      </c>
      <c r="L2919" t="s">
        <v>6488</v>
      </c>
      <c r="M2919" t="s">
        <v>3484</v>
      </c>
      <c r="N2919" t="s">
        <v>99</v>
      </c>
      <c r="O2919">
        <v>907204752</v>
      </c>
      <c r="P2919" t="s">
        <v>221</v>
      </c>
      <c r="Q2919" t="s">
        <v>82</v>
      </c>
      <c r="R2919">
        <v>2</v>
      </c>
      <c r="S2919">
        <v>96.4</v>
      </c>
      <c r="T2919">
        <v>0</v>
      </c>
      <c r="U2919">
        <v>2</v>
      </c>
      <c r="V2919">
        <v>1</v>
      </c>
      <c r="W2919">
        <v>104.2</v>
      </c>
      <c r="X2919">
        <v>0</v>
      </c>
      <c r="Y2919">
        <v>0</v>
      </c>
      <c r="Z2919">
        <v>0</v>
      </c>
      <c r="AA2919">
        <v>2</v>
      </c>
      <c r="AB2919">
        <v>0</v>
      </c>
      <c r="AC2919">
        <v>0</v>
      </c>
      <c r="AD2919">
        <v>0</v>
      </c>
      <c r="AE2919">
        <v>0</v>
      </c>
      <c r="AF2919">
        <v>0</v>
      </c>
      <c r="AG2919">
        <v>0</v>
      </c>
      <c r="AH2919">
        <v>0</v>
      </c>
      <c r="AI2919">
        <v>0</v>
      </c>
      <c r="AJ2919">
        <v>0</v>
      </c>
      <c r="AK2919">
        <v>0</v>
      </c>
    </row>
    <row r="2920" spans="1:37" x14ac:dyDescent="0.3">
      <c r="A2920">
        <v>7533</v>
      </c>
      <c r="B2920" t="s">
        <v>3453</v>
      </c>
      <c r="D2920" t="s">
        <v>327</v>
      </c>
      <c r="E2920">
        <v>99999999</v>
      </c>
      <c r="F2920">
        <v>11111111</v>
      </c>
      <c r="G2920">
        <v>1111111111</v>
      </c>
      <c r="H2920" t="s">
        <v>6489</v>
      </c>
      <c r="I2920">
        <v>99999999</v>
      </c>
      <c r="J2920" s="188">
        <v>45236</v>
      </c>
      <c r="K2920" t="s">
        <v>6489</v>
      </c>
      <c r="L2920" t="s">
        <v>6489</v>
      </c>
      <c r="M2920" t="s">
        <v>2511</v>
      </c>
      <c r="N2920" t="s">
        <v>97</v>
      </c>
      <c r="O2920">
        <v>985038609</v>
      </c>
      <c r="P2920" t="s">
        <v>221</v>
      </c>
      <c r="Q2920" t="s">
        <v>82</v>
      </c>
      <c r="R2920">
        <v>1</v>
      </c>
      <c r="S2920">
        <v>16.600000000000001</v>
      </c>
      <c r="T2920">
        <v>0</v>
      </c>
      <c r="U2920">
        <v>1</v>
      </c>
      <c r="V2920">
        <v>1</v>
      </c>
      <c r="W2920">
        <v>26.08</v>
      </c>
      <c r="X2920">
        <v>0</v>
      </c>
      <c r="Y2920">
        <v>0</v>
      </c>
      <c r="Z2920">
        <v>0</v>
      </c>
      <c r="AA2920">
        <v>1</v>
      </c>
      <c r="AB2920">
        <v>0</v>
      </c>
      <c r="AC2920">
        <v>0</v>
      </c>
      <c r="AD2920">
        <v>0</v>
      </c>
      <c r="AE2920">
        <v>0</v>
      </c>
      <c r="AF2920">
        <v>0</v>
      </c>
      <c r="AG2920">
        <v>0</v>
      </c>
      <c r="AH2920">
        <v>0</v>
      </c>
      <c r="AI2920">
        <v>0</v>
      </c>
      <c r="AJ2920">
        <v>0</v>
      </c>
      <c r="AK2920">
        <v>0</v>
      </c>
    </row>
    <row r="2921" spans="1:37" x14ac:dyDescent="0.3">
      <c r="A2921">
        <v>7533</v>
      </c>
      <c r="B2921" t="s">
        <v>3453</v>
      </c>
      <c r="D2921" t="s">
        <v>327</v>
      </c>
      <c r="E2921">
        <v>99999999</v>
      </c>
      <c r="F2921">
        <v>11111111</v>
      </c>
      <c r="G2921">
        <v>1111111111</v>
      </c>
      <c r="H2921" t="s">
        <v>6490</v>
      </c>
      <c r="I2921">
        <v>99999999</v>
      </c>
      <c r="J2921" s="188">
        <v>45236</v>
      </c>
      <c r="K2921" t="s">
        <v>6490</v>
      </c>
      <c r="L2921" t="s">
        <v>6490</v>
      </c>
      <c r="M2921" t="s">
        <v>2859</v>
      </c>
      <c r="N2921" t="s">
        <v>99</v>
      </c>
      <c r="O2921">
        <v>933124668</v>
      </c>
      <c r="P2921" t="s">
        <v>221</v>
      </c>
      <c r="Q2921" t="s">
        <v>82</v>
      </c>
      <c r="R2921">
        <v>1</v>
      </c>
      <c r="S2921">
        <v>48.2</v>
      </c>
      <c r="T2921">
        <v>0</v>
      </c>
      <c r="U2921">
        <v>1</v>
      </c>
      <c r="V2921">
        <v>1</v>
      </c>
      <c r="W2921">
        <v>52.1</v>
      </c>
      <c r="X2921">
        <v>0</v>
      </c>
      <c r="Y2921">
        <v>0</v>
      </c>
      <c r="Z2921">
        <v>0</v>
      </c>
      <c r="AA2921">
        <v>1</v>
      </c>
      <c r="AB2921">
        <v>0</v>
      </c>
      <c r="AC2921">
        <v>0</v>
      </c>
      <c r="AD2921">
        <v>0</v>
      </c>
      <c r="AE2921">
        <v>0</v>
      </c>
      <c r="AF2921">
        <v>0</v>
      </c>
      <c r="AG2921">
        <v>0</v>
      </c>
      <c r="AH2921">
        <v>0</v>
      </c>
      <c r="AI2921">
        <v>0</v>
      </c>
      <c r="AJ2921">
        <v>0</v>
      </c>
      <c r="AK2921">
        <v>0</v>
      </c>
    </row>
    <row r="2922" spans="1:37" x14ac:dyDescent="0.3">
      <c r="A2922">
        <v>7533</v>
      </c>
      <c r="B2922" t="s">
        <v>3453</v>
      </c>
      <c r="D2922" t="s">
        <v>327</v>
      </c>
      <c r="E2922">
        <v>99999999</v>
      </c>
      <c r="F2922">
        <v>11111111</v>
      </c>
      <c r="G2922">
        <v>1111111111</v>
      </c>
      <c r="H2922" t="s">
        <v>6491</v>
      </c>
      <c r="I2922">
        <v>99999999</v>
      </c>
      <c r="J2922" s="188">
        <v>45236</v>
      </c>
      <c r="K2922" t="s">
        <v>6491</v>
      </c>
      <c r="L2922" t="s">
        <v>6491</v>
      </c>
      <c r="M2922" t="s">
        <v>1349</v>
      </c>
      <c r="N2922" t="s">
        <v>99</v>
      </c>
      <c r="O2922">
        <v>945603539</v>
      </c>
      <c r="P2922" t="s">
        <v>221</v>
      </c>
      <c r="Q2922" t="s">
        <v>82</v>
      </c>
      <c r="R2922">
        <v>1</v>
      </c>
      <c r="S2922">
        <v>35.625</v>
      </c>
      <c r="T2922">
        <v>0</v>
      </c>
      <c r="U2922">
        <v>1</v>
      </c>
      <c r="V2922">
        <v>1</v>
      </c>
      <c r="W2922">
        <v>67.239999999999995</v>
      </c>
      <c r="X2922">
        <v>0</v>
      </c>
      <c r="Y2922">
        <v>0</v>
      </c>
      <c r="Z2922">
        <v>0</v>
      </c>
      <c r="AA2922">
        <v>1</v>
      </c>
      <c r="AB2922">
        <v>0</v>
      </c>
      <c r="AC2922">
        <v>0</v>
      </c>
      <c r="AD2922">
        <v>0</v>
      </c>
      <c r="AE2922">
        <v>0</v>
      </c>
      <c r="AF2922">
        <v>0</v>
      </c>
      <c r="AG2922">
        <v>0</v>
      </c>
      <c r="AH2922">
        <v>0</v>
      </c>
      <c r="AI2922">
        <v>0</v>
      </c>
      <c r="AJ2922">
        <v>0</v>
      </c>
      <c r="AK2922">
        <v>0</v>
      </c>
    </row>
    <row r="2923" spans="1:37" x14ac:dyDescent="0.3">
      <c r="A2923">
        <v>7533</v>
      </c>
      <c r="B2923" t="s">
        <v>3453</v>
      </c>
      <c r="D2923" t="s">
        <v>327</v>
      </c>
      <c r="E2923">
        <v>99999999</v>
      </c>
      <c r="F2923">
        <v>11111111</v>
      </c>
      <c r="G2923">
        <v>1111111111</v>
      </c>
      <c r="H2923" t="s">
        <v>6492</v>
      </c>
      <c r="I2923">
        <v>99999999</v>
      </c>
      <c r="J2923" s="188">
        <v>45236</v>
      </c>
      <c r="K2923" t="s">
        <v>6492</v>
      </c>
      <c r="L2923" t="s">
        <v>6492</v>
      </c>
      <c r="M2923" t="s">
        <v>879</v>
      </c>
      <c r="N2923" t="s">
        <v>164</v>
      </c>
      <c r="O2923">
        <v>973303173</v>
      </c>
      <c r="P2923" t="s">
        <v>221</v>
      </c>
      <c r="Q2923" t="s">
        <v>82</v>
      </c>
      <c r="R2923">
        <v>2</v>
      </c>
      <c r="S2923">
        <v>96.4</v>
      </c>
      <c r="T2923">
        <v>0</v>
      </c>
      <c r="U2923">
        <v>2</v>
      </c>
      <c r="V2923">
        <v>1</v>
      </c>
      <c r="W2923">
        <v>104.2</v>
      </c>
      <c r="X2923">
        <v>0</v>
      </c>
      <c r="Y2923">
        <v>0</v>
      </c>
      <c r="Z2923">
        <v>0</v>
      </c>
      <c r="AA2923">
        <v>2</v>
      </c>
      <c r="AB2923">
        <v>0</v>
      </c>
      <c r="AC2923">
        <v>0</v>
      </c>
      <c r="AD2923">
        <v>0</v>
      </c>
      <c r="AE2923">
        <v>0</v>
      </c>
      <c r="AF2923">
        <v>0</v>
      </c>
      <c r="AG2923">
        <v>0</v>
      </c>
      <c r="AH2923">
        <v>0</v>
      </c>
      <c r="AI2923">
        <v>0</v>
      </c>
      <c r="AJ2923">
        <v>0</v>
      </c>
      <c r="AK2923">
        <v>0</v>
      </c>
    </row>
    <row r="2924" spans="1:37" x14ac:dyDescent="0.3">
      <c r="A2924">
        <v>7533</v>
      </c>
      <c r="B2924" t="s">
        <v>3453</v>
      </c>
      <c r="D2924" t="s">
        <v>327</v>
      </c>
      <c r="E2924">
        <v>99999999</v>
      </c>
      <c r="F2924">
        <v>11111111</v>
      </c>
      <c r="G2924">
        <v>1111111111</v>
      </c>
      <c r="H2924" t="s">
        <v>6493</v>
      </c>
      <c r="I2924">
        <v>99999999</v>
      </c>
      <c r="J2924" s="188">
        <v>45236</v>
      </c>
      <c r="K2924" t="s">
        <v>6493</v>
      </c>
      <c r="L2924" t="s">
        <v>6493</v>
      </c>
      <c r="M2924" t="s">
        <v>749</v>
      </c>
      <c r="N2924" t="s">
        <v>130</v>
      </c>
      <c r="O2924">
        <v>809222582</v>
      </c>
      <c r="P2924" t="s">
        <v>221</v>
      </c>
      <c r="Q2924" t="s">
        <v>82</v>
      </c>
      <c r="R2924">
        <v>1</v>
      </c>
      <c r="S2924">
        <v>48.2</v>
      </c>
      <c r="T2924">
        <v>0</v>
      </c>
      <c r="U2924">
        <v>1</v>
      </c>
      <c r="V2924">
        <v>1</v>
      </c>
      <c r="W2924">
        <v>63.63</v>
      </c>
      <c r="X2924">
        <v>0</v>
      </c>
      <c r="Y2924">
        <v>0</v>
      </c>
      <c r="Z2924">
        <v>0</v>
      </c>
      <c r="AA2924">
        <v>1</v>
      </c>
      <c r="AB2924">
        <v>0</v>
      </c>
      <c r="AC2924">
        <v>0</v>
      </c>
      <c r="AD2924">
        <v>0</v>
      </c>
      <c r="AE2924">
        <v>0</v>
      </c>
      <c r="AF2924">
        <v>0</v>
      </c>
      <c r="AG2924">
        <v>0</v>
      </c>
      <c r="AH2924">
        <v>0</v>
      </c>
      <c r="AI2924">
        <v>0</v>
      </c>
      <c r="AJ2924">
        <v>0</v>
      </c>
      <c r="AK2924">
        <v>0</v>
      </c>
    </row>
    <row r="2925" spans="1:37" x14ac:dyDescent="0.3">
      <c r="A2925">
        <v>7533</v>
      </c>
      <c r="B2925" t="s">
        <v>3453</v>
      </c>
      <c r="D2925" t="s">
        <v>327</v>
      </c>
      <c r="E2925">
        <v>99999999</v>
      </c>
      <c r="F2925">
        <v>11111111</v>
      </c>
      <c r="G2925">
        <v>1111111111</v>
      </c>
      <c r="H2925" t="s">
        <v>6494</v>
      </c>
      <c r="I2925">
        <v>99999999</v>
      </c>
      <c r="J2925" s="188">
        <v>45236</v>
      </c>
      <c r="K2925" t="s">
        <v>6494</v>
      </c>
      <c r="L2925" t="s">
        <v>6494</v>
      </c>
      <c r="M2925" t="s">
        <v>1366</v>
      </c>
      <c r="N2925" t="s">
        <v>97</v>
      </c>
      <c r="O2925">
        <v>986833491</v>
      </c>
      <c r="P2925" t="s">
        <v>221</v>
      </c>
      <c r="Q2925" t="s">
        <v>82</v>
      </c>
      <c r="R2925">
        <v>1</v>
      </c>
      <c r="S2925">
        <v>16.600000000000001</v>
      </c>
      <c r="T2925">
        <v>0</v>
      </c>
      <c r="U2925">
        <v>1</v>
      </c>
      <c r="V2925">
        <v>1</v>
      </c>
      <c r="W2925">
        <v>26.08</v>
      </c>
      <c r="X2925">
        <v>0</v>
      </c>
      <c r="Y2925">
        <v>0</v>
      </c>
      <c r="Z2925">
        <v>0</v>
      </c>
      <c r="AA2925">
        <v>1</v>
      </c>
      <c r="AB2925">
        <v>0</v>
      </c>
      <c r="AC2925">
        <v>0</v>
      </c>
      <c r="AD2925">
        <v>0</v>
      </c>
      <c r="AE2925">
        <v>0</v>
      </c>
      <c r="AF2925">
        <v>0</v>
      </c>
      <c r="AG2925">
        <v>0</v>
      </c>
      <c r="AH2925">
        <v>0</v>
      </c>
      <c r="AI2925">
        <v>0</v>
      </c>
      <c r="AJ2925">
        <v>0</v>
      </c>
      <c r="AK2925">
        <v>0</v>
      </c>
    </row>
    <row r="2926" spans="1:37" x14ac:dyDescent="0.3">
      <c r="A2926">
        <v>7533</v>
      </c>
      <c r="B2926" t="s">
        <v>3453</v>
      </c>
      <c r="D2926" t="s">
        <v>327</v>
      </c>
      <c r="E2926">
        <v>99999999</v>
      </c>
      <c r="F2926">
        <v>11111111</v>
      </c>
      <c r="G2926">
        <v>1111111111</v>
      </c>
      <c r="H2926" t="s">
        <v>6495</v>
      </c>
      <c r="I2926">
        <v>99999999</v>
      </c>
      <c r="J2926" s="188">
        <v>45236</v>
      </c>
      <c r="K2926" t="s">
        <v>6495</v>
      </c>
      <c r="L2926" t="s">
        <v>6495</v>
      </c>
      <c r="M2926" t="s">
        <v>2115</v>
      </c>
      <c r="N2926" t="s">
        <v>99</v>
      </c>
      <c r="O2926">
        <v>956679701</v>
      </c>
      <c r="P2926" t="s">
        <v>221</v>
      </c>
      <c r="Q2926" t="s">
        <v>82</v>
      </c>
      <c r="R2926">
        <v>1</v>
      </c>
      <c r="S2926">
        <v>35.625</v>
      </c>
      <c r="T2926">
        <v>0</v>
      </c>
      <c r="U2926">
        <v>1</v>
      </c>
      <c r="V2926">
        <v>1</v>
      </c>
      <c r="W2926">
        <v>68.19</v>
      </c>
      <c r="X2926">
        <v>0</v>
      </c>
      <c r="Y2926">
        <v>0</v>
      </c>
      <c r="Z2926">
        <v>0</v>
      </c>
      <c r="AA2926">
        <v>1</v>
      </c>
      <c r="AB2926">
        <v>0</v>
      </c>
      <c r="AC2926">
        <v>0</v>
      </c>
      <c r="AD2926">
        <v>0</v>
      </c>
      <c r="AE2926">
        <v>0</v>
      </c>
      <c r="AF2926">
        <v>0</v>
      </c>
      <c r="AG2926">
        <v>0</v>
      </c>
      <c r="AH2926">
        <v>0</v>
      </c>
      <c r="AI2926">
        <v>0</v>
      </c>
      <c r="AJ2926">
        <v>0</v>
      </c>
      <c r="AK2926">
        <v>0</v>
      </c>
    </row>
    <row r="2927" spans="1:37" x14ac:dyDescent="0.3">
      <c r="A2927">
        <v>7533</v>
      </c>
      <c r="B2927" t="s">
        <v>3453</v>
      </c>
      <c r="D2927" t="s">
        <v>327</v>
      </c>
      <c r="E2927">
        <v>99999999</v>
      </c>
      <c r="F2927">
        <v>11111111</v>
      </c>
      <c r="G2927">
        <v>1111111111</v>
      </c>
      <c r="H2927" t="s">
        <v>6496</v>
      </c>
      <c r="I2927">
        <v>99999999</v>
      </c>
      <c r="J2927" s="188">
        <v>45237</v>
      </c>
      <c r="K2927" t="s">
        <v>6496</v>
      </c>
      <c r="L2927" t="s">
        <v>6496</v>
      </c>
      <c r="M2927" t="s">
        <v>334</v>
      </c>
      <c r="N2927" t="s">
        <v>97</v>
      </c>
      <c r="O2927">
        <v>982968698</v>
      </c>
      <c r="P2927" t="s">
        <v>221</v>
      </c>
      <c r="Q2927" t="s">
        <v>82</v>
      </c>
      <c r="R2927">
        <v>2</v>
      </c>
      <c r="S2927">
        <v>33.200000000000003</v>
      </c>
      <c r="T2927">
        <v>0</v>
      </c>
      <c r="U2927">
        <v>2</v>
      </c>
      <c r="V2927">
        <v>1</v>
      </c>
      <c r="W2927">
        <v>64.400000000000006</v>
      </c>
      <c r="X2927">
        <v>0</v>
      </c>
      <c r="Y2927">
        <v>0</v>
      </c>
      <c r="Z2927">
        <v>0</v>
      </c>
      <c r="AA2927">
        <v>2</v>
      </c>
      <c r="AB2927">
        <v>0</v>
      </c>
      <c r="AC2927">
        <v>0</v>
      </c>
      <c r="AD2927">
        <v>0</v>
      </c>
      <c r="AE2927">
        <v>0</v>
      </c>
      <c r="AF2927">
        <v>0</v>
      </c>
      <c r="AG2927">
        <v>0</v>
      </c>
      <c r="AH2927">
        <v>0</v>
      </c>
      <c r="AI2927">
        <v>0</v>
      </c>
      <c r="AJ2927">
        <v>0</v>
      </c>
      <c r="AK2927">
        <v>0</v>
      </c>
    </row>
    <row r="2928" spans="1:37" x14ac:dyDescent="0.3">
      <c r="A2928">
        <v>7533</v>
      </c>
      <c r="B2928" t="s">
        <v>3453</v>
      </c>
      <c r="D2928" t="s">
        <v>327</v>
      </c>
      <c r="E2928">
        <v>99999999</v>
      </c>
      <c r="F2928">
        <v>11111111</v>
      </c>
      <c r="G2928">
        <v>1111111111</v>
      </c>
      <c r="H2928" t="s">
        <v>6497</v>
      </c>
      <c r="I2928">
        <v>99999999</v>
      </c>
      <c r="J2928" s="188">
        <v>45237</v>
      </c>
      <c r="K2928" t="s">
        <v>6497</v>
      </c>
      <c r="L2928" t="s">
        <v>6497</v>
      </c>
      <c r="M2928" t="s">
        <v>207</v>
      </c>
      <c r="N2928" t="s">
        <v>99</v>
      </c>
      <c r="O2928">
        <v>923365637</v>
      </c>
      <c r="P2928" t="s">
        <v>221</v>
      </c>
      <c r="Q2928" t="s">
        <v>82</v>
      </c>
      <c r="R2928">
        <v>1</v>
      </c>
      <c r="S2928">
        <v>48.2</v>
      </c>
      <c r="T2928">
        <v>0</v>
      </c>
      <c r="U2928">
        <v>1</v>
      </c>
      <c r="V2928">
        <v>1</v>
      </c>
      <c r="W2928">
        <v>52.1</v>
      </c>
      <c r="X2928">
        <v>0</v>
      </c>
      <c r="Y2928">
        <v>0</v>
      </c>
      <c r="Z2928">
        <v>0</v>
      </c>
      <c r="AA2928">
        <v>1</v>
      </c>
      <c r="AB2928">
        <v>0</v>
      </c>
      <c r="AC2928">
        <v>0</v>
      </c>
      <c r="AD2928">
        <v>0</v>
      </c>
      <c r="AE2928">
        <v>0</v>
      </c>
      <c r="AF2928">
        <v>0</v>
      </c>
      <c r="AG2928">
        <v>0</v>
      </c>
      <c r="AH2928">
        <v>0</v>
      </c>
      <c r="AI2928">
        <v>0</v>
      </c>
      <c r="AJ2928">
        <v>0</v>
      </c>
      <c r="AK2928">
        <v>0</v>
      </c>
    </row>
    <row r="2929" spans="1:37" x14ac:dyDescent="0.3">
      <c r="A2929">
        <v>7533</v>
      </c>
      <c r="B2929" t="s">
        <v>3453</v>
      </c>
      <c r="D2929" t="s">
        <v>327</v>
      </c>
      <c r="E2929">
        <v>99999999</v>
      </c>
      <c r="F2929">
        <v>11111111</v>
      </c>
      <c r="G2929">
        <v>1111111111</v>
      </c>
      <c r="H2929" t="s">
        <v>6498</v>
      </c>
      <c r="I2929">
        <v>99999999</v>
      </c>
      <c r="J2929" s="188">
        <v>45237</v>
      </c>
      <c r="K2929" t="s">
        <v>6498</v>
      </c>
      <c r="L2929" t="s">
        <v>6498</v>
      </c>
      <c r="M2929" t="s">
        <v>195</v>
      </c>
      <c r="N2929" t="s">
        <v>130</v>
      </c>
      <c r="O2929">
        <v>80031</v>
      </c>
      <c r="P2929" t="s">
        <v>221</v>
      </c>
      <c r="Q2929" t="s">
        <v>82</v>
      </c>
      <c r="R2929">
        <v>1</v>
      </c>
      <c r="S2929">
        <v>48.2</v>
      </c>
      <c r="T2929">
        <v>0</v>
      </c>
      <c r="U2929">
        <v>1</v>
      </c>
      <c r="V2929">
        <v>1</v>
      </c>
      <c r="W2929">
        <v>63.63</v>
      </c>
      <c r="X2929">
        <v>0</v>
      </c>
      <c r="Y2929">
        <v>0</v>
      </c>
      <c r="Z2929">
        <v>0</v>
      </c>
      <c r="AA2929">
        <v>1</v>
      </c>
      <c r="AB2929">
        <v>0</v>
      </c>
      <c r="AC2929">
        <v>0</v>
      </c>
      <c r="AD2929">
        <v>0</v>
      </c>
      <c r="AE2929">
        <v>0</v>
      </c>
      <c r="AF2929">
        <v>0</v>
      </c>
      <c r="AG2929">
        <v>0</v>
      </c>
      <c r="AH2929">
        <v>0</v>
      </c>
      <c r="AI2929">
        <v>0</v>
      </c>
      <c r="AJ2929">
        <v>0</v>
      </c>
      <c r="AK2929">
        <v>0</v>
      </c>
    </row>
    <row r="2930" spans="1:37" x14ac:dyDescent="0.3">
      <c r="A2930">
        <v>7533</v>
      </c>
      <c r="B2930" t="s">
        <v>3453</v>
      </c>
      <c r="D2930" t="s">
        <v>327</v>
      </c>
      <c r="E2930">
        <v>99999999</v>
      </c>
      <c r="F2930">
        <v>11111111</v>
      </c>
      <c r="G2930">
        <v>1111111111</v>
      </c>
      <c r="H2930" t="s">
        <v>6499</v>
      </c>
      <c r="I2930">
        <v>99999999</v>
      </c>
      <c r="J2930" s="188">
        <v>45237</v>
      </c>
      <c r="K2930" t="s">
        <v>6499</v>
      </c>
      <c r="L2930" t="s">
        <v>6499</v>
      </c>
      <c r="M2930" t="s">
        <v>3485</v>
      </c>
      <c r="N2930" t="s">
        <v>99</v>
      </c>
      <c r="O2930">
        <v>956083335</v>
      </c>
      <c r="P2930" t="s">
        <v>221</v>
      </c>
      <c r="Q2930" t="s">
        <v>82</v>
      </c>
      <c r="R2930">
        <v>1</v>
      </c>
      <c r="S2930">
        <v>48.2</v>
      </c>
      <c r="T2930">
        <v>0</v>
      </c>
      <c r="U2930">
        <v>1</v>
      </c>
      <c r="V2930">
        <v>1</v>
      </c>
      <c r="W2930">
        <v>38.729999999999997</v>
      </c>
      <c r="X2930">
        <v>0</v>
      </c>
      <c r="Y2930">
        <v>0</v>
      </c>
      <c r="Z2930">
        <v>0</v>
      </c>
      <c r="AA2930">
        <v>1</v>
      </c>
      <c r="AB2930">
        <v>0</v>
      </c>
      <c r="AC2930">
        <v>0</v>
      </c>
      <c r="AD2930">
        <v>0</v>
      </c>
      <c r="AE2930">
        <v>0</v>
      </c>
      <c r="AF2930">
        <v>0</v>
      </c>
      <c r="AG2930">
        <v>0</v>
      </c>
      <c r="AH2930">
        <v>0</v>
      </c>
      <c r="AI2930">
        <v>0</v>
      </c>
      <c r="AJ2930">
        <v>0</v>
      </c>
      <c r="AK2930">
        <v>0</v>
      </c>
    </row>
    <row r="2931" spans="1:37" x14ac:dyDescent="0.3">
      <c r="A2931">
        <v>7533</v>
      </c>
      <c r="B2931" t="s">
        <v>3453</v>
      </c>
      <c r="D2931" t="s">
        <v>327</v>
      </c>
      <c r="E2931">
        <v>99999999</v>
      </c>
      <c r="F2931">
        <v>11111111</v>
      </c>
      <c r="G2931">
        <v>1111111111</v>
      </c>
      <c r="H2931" t="s">
        <v>6500</v>
      </c>
      <c r="I2931">
        <v>99999999</v>
      </c>
      <c r="J2931" s="188">
        <v>45237</v>
      </c>
      <c r="K2931" t="s">
        <v>6500</v>
      </c>
      <c r="L2931" t="s">
        <v>6500</v>
      </c>
      <c r="M2931" t="s">
        <v>677</v>
      </c>
      <c r="N2931" t="s">
        <v>85</v>
      </c>
      <c r="O2931">
        <v>891666714</v>
      </c>
      <c r="P2931" t="s">
        <v>221</v>
      </c>
      <c r="Q2931" t="s">
        <v>82</v>
      </c>
      <c r="R2931">
        <v>1</v>
      </c>
      <c r="S2931">
        <v>48.2</v>
      </c>
      <c r="T2931">
        <v>0</v>
      </c>
      <c r="U2931">
        <v>1</v>
      </c>
      <c r="V2931">
        <v>1</v>
      </c>
      <c r="W2931">
        <v>58.22</v>
      </c>
      <c r="X2931">
        <v>0</v>
      </c>
      <c r="Y2931">
        <v>0</v>
      </c>
      <c r="Z2931">
        <v>0</v>
      </c>
      <c r="AA2931">
        <v>1</v>
      </c>
      <c r="AB2931">
        <v>0</v>
      </c>
      <c r="AC2931">
        <v>0</v>
      </c>
      <c r="AD2931">
        <v>0</v>
      </c>
      <c r="AE2931">
        <v>0</v>
      </c>
      <c r="AF2931">
        <v>0</v>
      </c>
      <c r="AG2931">
        <v>0</v>
      </c>
      <c r="AH2931">
        <v>0</v>
      </c>
      <c r="AI2931">
        <v>0</v>
      </c>
      <c r="AJ2931">
        <v>0</v>
      </c>
      <c r="AK2931">
        <v>0</v>
      </c>
    </row>
    <row r="2932" spans="1:37" x14ac:dyDescent="0.3">
      <c r="A2932">
        <v>7533</v>
      </c>
      <c r="B2932" t="s">
        <v>3453</v>
      </c>
      <c r="D2932" t="s">
        <v>327</v>
      </c>
      <c r="E2932">
        <v>99999999</v>
      </c>
      <c r="F2932">
        <v>11111111</v>
      </c>
      <c r="G2932">
        <v>1111111111</v>
      </c>
      <c r="H2932" t="s">
        <v>6501</v>
      </c>
      <c r="I2932">
        <v>99999999</v>
      </c>
      <c r="J2932" s="188">
        <v>45237</v>
      </c>
      <c r="K2932" t="s">
        <v>6501</v>
      </c>
      <c r="L2932" t="s">
        <v>6501</v>
      </c>
      <c r="M2932" t="s">
        <v>3486</v>
      </c>
      <c r="N2932" t="s">
        <v>91</v>
      </c>
      <c r="O2932">
        <v>851383033</v>
      </c>
      <c r="P2932" t="s">
        <v>221</v>
      </c>
      <c r="Q2932" t="s">
        <v>82</v>
      </c>
      <c r="R2932">
        <v>1</v>
      </c>
      <c r="S2932">
        <v>16.600000000000001</v>
      </c>
      <c r="T2932">
        <v>0</v>
      </c>
      <c r="U2932">
        <v>1</v>
      </c>
      <c r="V2932">
        <v>1</v>
      </c>
      <c r="W2932">
        <v>35.299999999999997</v>
      </c>
      <c r="X2932">
        <v>0</v>
      </c>
      <c r="Y2932">
        <v>0</v>
      </c>
      <c r="Z2932">
        <v>0</v>
      </c>
      <c r="AA2932">
        <v>1</v>
      </c>
      <c r="AB2932">
        <v>0</v>
      </c>
      <c r="AC2932">
        <v>0</v>
      </c>
      <c r="AD2932">
        <v>0</v>
      </c>
      <c r="AE2932">
        <v>0</v>
      </c>
      <c r="AF2932">
        <v>0</v>
      </c>
      <c r="AG2932">
        <v>0</v>
      </c>
      <c r="AH2932">
        <v>0</v>
      </c>
      <c r="AI2932">
        <v>0</v>
      </c>
      <c r="AJ2932">
        <v>0</v>
      </c>
      <c r="AK2932">
        <v>0</v>
      </c>
    </row>
    <row r="2933" spans="1:37" x14ac:dyDescent="0.3">
      <c r="A2933">
        <v>7533</v>
      </c>
      <c r="B2933" t="s">
        <v>3453</v>
      </c>
      <c r="D2933" t="s">
        <v>327</v>
      </c>
      <c r="E2933">
        <v>99999999</v>
      </c>
      <c r="F2933">
        <v>11111111</v>
      </c>
      <c r="G2933">
        <v>1111111111</v>
      </c>
      <c r="H2933" t="s">
        <v>6502</v>
      </c>
      <c r="I2933">
        <v>99999999</v>
      </c>
      <c r="J2933" s="188">
        <v>45237</v>
      </c>
      <c r="K2933" t="s">
        <v>6502</v>
      </c>
      <c r="L2933" t="s">
        <v>6502</v>
      </c>
      <c r="M2933" t="s">
        <v>142</v>
      </c>
      <c r="N2933" t="s">
        <v>97</v>
      </c>
      <c r="O2933">
        <v>992238346</v>
      </c>
      <c r="P2933" t="s">
        <v>221</v>
      </c>
      <c r="Q2933" t="s">
        <v>82</v>
      </c>
      <c r="R2933">
        <v>1</v>
      </c>
      <c r="S2933">
        <v>16.600000000000001</v>
      </c>
      <c r="T2933">
        <v>0</v>
      </c>
      <c r="U2933">
        <v>1</v>
      </c>
      <c r="V2933">
        <v>1</v>
      </c>
      <c r="W2933">
        <v>26.08</v>
      </c>
      <c r="X2933">
        <v>0</v>
      </c>
      <c r="Y2933">
        <v>0</v>
      </c>
      <c r="Z2933">
        <v>0</v>
      </c>
      <c r="AA2933">
        <v>1</v>
      </c>
      <c r="AB2933">
        <v>0</v>
      </c>
      <c r="AC2933">
        <v>0</v>
      </c>
      <c r="AD2933">
        <v>0</v>
      </c>
      <c r="AE2933">
        <v>0</v>
      </c>
      <c r="AF2933">
        <v>0</v>
      </c>
      <c r="AG2933">
        <v>0</v>
      </c>
      <c r="AH2933">
        <v>0</v>
      </c>
      <c r="AI2933">
        <v>0</v>
      </c>
      <c r="AJ2933">
        <v>0</v>
      </c>
      <c r="AK2933">
        <v>0</v>
      </c>
    </row>
    <row r="2934" spans="1:37" x14ac:dyDescent="0.3">
      <c r="A2934">
        <v>7533</v>
      </c>
      <c r="B2934" t="s">
        <v>3453</v>
      </c>
      <c r="D2934" t="s">
        <v>327</v>
      </c>
      <c r="E2934">
        <v>99999999</v>
      </c>
      <c r="F2934">
        <v>11111111</v>
      </c>
      <c r="G2934">
        <v>1111111111</v>
      </c>
      <c r="H2934" t="s">
        <v>6503</v>
      </c>
      <c r="I2934">
        <v>99999999</v>
      </c>
      <c r="J2934" s="188">
        <v>45237</v>
      </c>
      <c r="K2934" t="s">
        <v>6503</v>
      </c>
      <c r="L2934" t="s">
        <v>6503</v>
      </c>
      <c r="M2934" t="s">
        <v>458</v>
      </c>
      <c r="N2934" t="s">
        <v>99</v>
      </c>
      <c r="O2934">
        <v>910013412</v>
      </c>
      <c r="P2934" t="s">
        <v>221</v>
      </c>
      <c r="Q2934" t="s">
        <v>82</v>
      </c>
      <c r="R2934">
        <v>1</v>
      </c>
      <c r="S2934">
        <v>35.625</v>
      </c>
      <c r="T2934">
        <v>0</v>
      </c>
      <c r="U2934">
        <v>1</v>
      </c>
      <c r="V2934">
        <v>1</v>
      </c>
      <c r="W2934">
        <v>71</v>
      </c>
      <c r="X2934">
        <v>0</v>
      </c>
      <c r="Y2934">
        <v>0</v>
      </c>
      <c r="Z2934">
        <v>0</v>
      </c>
      <c r="AA2934">
        <v>1</v>
      </c>
      <c r="AB2934">
        <v>0</v>
      </c>
      <c r="AC2934">
        <v>0</v>
      </c>
      <c r="AD2934">
        <v>0</v>
      </c>
      <c r="AE2934">
        <v>0</v>
      </c>
      <c r="AF2934">
        <v>0</v>
      </c>
      <c r="AG2934">
        <v>0</v>
      </c>
      <c r="AH2934">
        <v>0</v>
      </c>
      <c r="AI2934">
        <v>0</v>
      </c>
      <c r="AJ2934">
        <v>0</v>
      </c>
      <c r="AK2934">
        <v>0</v>
      </c>
    </row>
    <row r="2935" spans="1:37" x14ac:dyDescent="0.3">
      <c r="A2935">
        <v>7533</v>
      </c>
      <c r="B2935" t="s">
        <v>3453</v>
      </c>
      <c r="D2935" t="s">
        <v>327</v>
      </c>
      <c r="E2935">
        <v>99999999</v>
      </c>
      <c r="F2935">
        <v>11111111</v>
      </c>
      <c r="G2935">
        <v>1111111111</v>
      </c>
      <c r="H2935" t="s">
        <v>6504</v>
      </c>
      <c r="I2935">
        <v>99999999</v>
      </c>
      <c r="J2935" s="188">
        <v>45237</v>
      </c>
      <c r="K2935" t="s">
        <v>6504</v>
      </c>
      <c r="L2935" t="s">
        <v>6504</v>
      </c>
      <c r="M2935" t="s">
        <v>699</v>
      </c>
      <c r="N2935" t="s">
        <v>99</v>
      </c>
      <c r="O2935">
        <v>954074544</v>
      </c>
      <c r="P2935" t="s">
        <v>221</v>
      </c>
      <c r="Q2935" t="s">
        <v>82</v>
      </c>
      <c r="R2935">
        <v>2</v>
      </c>
      <c r="S2935">
        <v>96.4</v>
      </c>
      <c r="T2935">
        <v>0</v>
      </c>
      <c r="U2935">
        <v>2</v>
      </c>
      <c r="V2935">
        <v>1</v>
      </c>
      <c r="W2935">
        <v>95.82</v>
      </c>
      <c r="X2935">
        <v>0</v>
      </c>
      <c r="Y2935">
        <v>0</v>
      </c>
      <c r="Z2935">
        <v>0</v>
      </c>
      <c r="AA2935">
        <v>2</v>
      </c>
      <c r="AB2935">
        <v>0</v>
      </c>
      <c r="AC2935">
        <v>0</v>
      </c>
      <c r="AD2935">
        <v>0</v>
      </c>
      <c r="AE2935">
        <v>0</v>
      </c>
      <c r="AF2935">
        <v>0</v>
      </c>
      <c r="AG2935">
        <v>0</v>
      </c>
      <c r="AH2935">
        <v>0</v>
      </c>
      <c r="AI2935">
        <v>0</v>
      </c>
      <c r="AJ2935">
        <v>0</v>
      </c>
      <c r="AK2935">
        <v>0</v>
      </c>
    </row>
    <row r="2936" spans="1:37" x14ac:dyDescent="0.3">
      <c r="A2936">
        <v>7533</v>
      </c>
      <c r="B2936" t="s">
        <v>3453</v>
      </c>
      <c r="D2936" t="s">
        <v>327</v>
      </c>
      <c r="E2936">
        <v>99999999</v>
      </c>
      <c r="F2936">
        <v>11111111</v>
      </c>
      <c r="G2936">
        <v>1111111111</v>
      </c>
      <c r="H2936" t="s">
        <v>6505</v>
      </c>
      <c r="I2936">
        <v>99999999</v>
      </c>
      <c r="J2936" s="188">
        <v>45237</v>
      </c>
      <c r="K2936" t="s">
        <v>6505</v>
      </c>
      <c r="L2936" t="s">
        <v>6505</v>
      </c>
      <c r="M2936" t="s">
        <v>129</v>
      </c>
      <c r="N2936" t="s">
        <v>130</v>
      </c>
      <c r="O2936">
        <v>805263452</v>
      </c>
      <c r="P2936" t="s">
        <v>221</v>
      </c>
      <c r="Q2936" t="s">
        <v>82</v>
      </c>
      <c r="R2936">
        <v>2</v>
      </c>
      <c r="S2936">
        <v>33.200000000000003</v>
      </c>
      <c r="T2936">
        <v>0</v>
      </c>
      <c r="U2936">
        <v>2</v>
      </c>
      <c r="V2936">
        <v>1</v>
      </c>
      <c r="W2936">
        <v>58.35</v>
      </c>
      <c r="X2936">
        <v>0</v>
      </c>
      <c r="Y2936">
        <v>0</v>
      </c>
      <c r="Z2936">
        <v>0</v>
      </c>
      <c r="AA2936">
        <v>2</v>
      </c>
      <c r="AB2936">
        <v>0</v>
      </c>
      <c r="AC2936">
        <v>0</v>
      </c>
      <c r="AD2936">
        <v>0</v>
      </c>
      <c r="AE2936">
        <v>0</v>
      </c>
      <c r="AF2936">
        <v>0</v>
      </c>
      <c r="AG2936">
        <v>0</v>
      </c>
      <c r="AH2936">
        <v>0</v>
      </c>
      <c r="AI2936">
        <v>0</v>
      </c>
      <c r="AJ2936">
        <v>0</v>
      </c>
      <c r="AK2936">
        <v>0</v>
      </c>
    </row>
    <row r="2937" spans="1:37" x14ac:dyDescent="0.3">
      <c r="A2937">
        <v>7533</v>
      </c>
      <c r="B2937" t="s">
        <v>3453</v>
      </c>
      <c r="D2937" t="s">
        <v>327</v>
      </c>
      <c r="E2937">
        <v>99999999</v>
      </c>
      <c r="F2937">
        <v>11111111</v>
      </c>
      <c r="G2937">
        <v>1111111111</v>
      </c>
      <c r="H2937" t="s">
        <v>6506</v>
      </c>
      <c r="I2937">
        <v>99999999</v>
      </c>
      <c r="J2937" s="188">
        <v>45237</v>
      </c>
      <c r="K2937" t="s">
        <v>6506</v>
      </c>
      <c r="L2937" t="s">
        <v>6506</v>
      </c>
      <c r="M2937" t="s">
        <v>1445</v>
      </c>
      <c r="N2937" t="s">
        <v>99</v>
      </c>
      <c r="O2937">
        <v>950651600</v>
      </c>
      <c r="P2937" t="s">
        <v>221</v>
      </c>
      <c r="Q2937" t="s">
        <v>82</v>
      </c>
      <c r="R2937">
        <v>2</v>
      </c>
      <c r="S2937">
        <v>96.4</v>
      </c>
      <c r="T2937">
        <v>0</v>
      </c>
      <c r="U2937">
        <v>2</v>
      </c>
      <c r="V2937">
        <v>1</v>
      </c>
      <c r="W2937">
        <v>95.82</v>
      </c>
      <c r="X2937">
        <v>0</v>
      </c>
      <c r="Y2937">
        <v>0</v>
      </c>
      <c r="Z2937">
        <v>0</v>
      </c>
      <c r="AA2937">
        <v>2</v>
      </c>
      <c r="AB2937">
        <v>0</v>
      </c>
      <c r="AC2937">
        <v>0</v>
      </c>
      <c r="AD2937">
        <v>0</v>
      </c>
      <c r="AE2937">
        <v>0</v>
      </c>
      <c r="AF2937">
        <v>0</v>
      </c>
      <c r="AG2937">
        <v>0</v>
      </c>
      <c r="AH2937">
        <v>0</v>
      </c>
      <c r="AI2937">
        <v>0</v>
      </c>
      <c r="AJ2937">
        <v>0</v>
      </c>
      <c r="AK2937">
        <v>0</v>
      </c>
    </row>
    <row r="2938" spans="1:37" x14ac:dyDescent="0.3">
      <c r="A2938">
        <v>7533</v>
      </c>
      <c r="B2938" t="s">
        <v>3453</v>
      </c>
      <c r="D2938" t="s">
        <v>327</v>
      </c>
      <c r="E2938">
        <v>99999999</v>
      </c>
      <c r="F2938">
        <v>11111111</v>
      </c>
      <c r="G2938">
        <v>1111111111</v>
      </c>
      <c r="H2938" t="s">
        <v>6507</v>
      </c>
      <c r="I2938">
        <v>99999999</v>
      </c>
      <c r="J2938" s="188">
        <v>45237</v>
      </c>
      <c r="K2938" t="s">
        <v>6507</v>
      </c>
      <c r="L2938" t="s">
        <v>6507</v>
      </c>
      <c r="M2938" t="s">
        <v>1719</v>
      </c>
      <c r="N2938" t="s">
        <v>99</v>
      </c>
      <c r="O2938">
        <v>956615828</v>
      </c>
      <c r="P2938" t="s">
        <v>221</v>
      </c>
      <c r="Q2938" t="s">
        <v>82</v>
      </c>
      <c r="R2938">
        <v>2</v>
      </c>
      <c r="S2938">
        <v>33.200000000000003</v>
      </c>
      <c r="T2938">
        <v>0</v>
      </c>
      <c r="U2938">
        <v>2</v>
      </c>
      <c r="V2938">
        <v>1</v>
      </c>
      <c r="W2938">
        <v>47.77</v>
      </c>
      <c r="X2938">
        <v>0</v>
      </c>
      <c r="Y2938">
        <v>0</v>
      </c>
      <c r="Z2938">
        <v>0</v>
      </c>
      <c r="AA2938">
        <v>2</v>
      </c>
      <c r="AB2938">
        <v>0</v>
      </c>
      <c r="AC2938">
        <v>0</v>
      </c>
      <c r="AD2938">
        <v>0</v>
      </c>
      <c r="AE2938">
        <v>0</v>
      </c>
      <c r="AF2938">
        <v>0</v>
      </c>
      <c r="AG2938">
        <v>0</v>
      </c>
      <c r="AH2938">
        <v>0</v>
      </c>
      <c r="AI2938">
        <v>0</v>
      </c>
      <c r="AJ2938">
        <v>0</v>
      </c>
      <c r="AK2938">
        <v>0</v>
      </c>
    </row>
    <row r="2939" spans="1:37" x14ac:dyDescent="0.3">
      <c r="A2939">
        <v>7533</v>
      </c>
      <c r="B2939" t="s">
        <v>3453</v>
      </c>
      <c r="D2939" t="s">
        <v>327</v>
      </c>
      <c r="E2939">
        <v>99999999</v>
      </c>
      <c r="F2939">
        <v>11111111</v>
      </c>
      <c r="G2939">
        <v>1111111111</v>
      </c>
      <c r="H2939" t="s">
        <v>6508</v>
      </c>
      <c r="I2939">
        <v>99999999</v>
      </c>
      <c r="J2939" s="188">
        <v>45237</v>
      </c>
      <c r="K2939" t="s">
        <v>6508</v>
      </c>
      <c r="L2939" t="s">
        <v>6508</v>
      </c>
      <c r="M2939" t="s">
        <v>129</v>
      </c>
      <c r="N2939" t="s">
        <v>130</v>
      </c>
      <c r="O2939">
        <v>805266501</v>
      </c>
      <c r="P2939" t="s">
        <v>221</v>
      </c>
      <c r="Q2939" t="s">
        <v>82</v>
      </c>
      <c r="R2939">
        <v>1</v>
      </c>
      <c r="S2939">
        <v>16.600000000000001</v>
      </c>
      <c r="T2939">
        <v>0</v>
      </c>
      <c r="U2939">
        <v>1</v>
      </c>
      <c r="V2939">
        <v>1</v>
      </c>
      <c r="W2939">
        <v>29.18</v>
      </c>
      <c r="X2939">
        <v>0</v>
      </c>
      <c r="Y2939">
        <v>0</v>
      </c>
      <c r="Z2939">
        <v>0</v>
      </c>
      <c r="AA2939">
        <v>1</v>
      </c>
      <c r="AB2939">
        <v>0</v>
      </c>
      <c r="AC2939">
        <v>0</v>
      </c>
      <c r="AD2939">
        <v>0</v>
      </c>
      <c r="AE2939">
        <v>0</v>
      </c>
      <c r="AF2939">
        <v>0</v>
      </c>
      <c r="AG2939">
        <v>0</v>
      </c>
      <c r="AH2939">
        <v>0</v>
      </c>
      <c r="AI2939">
        <v>0</v>
      </c>
      <c r="AJ2939">
        <v>0</v>
      </c>
      <c r="AK2939">
        <v>0</v>
      </c>
    </row>
    <row r="2940" spans="1:37" x14ac:dyDescent="0.3">
      <c r="A2940">
        <v>7533</v>
      </c>
      <c r="B2940" t="s">
        <v>3453</v>
      </c>
      <c r="D2940" t="s">
        <v>327</v>
      </c>
      <c r="E2940">
        <v>99999999</v>
      </c>
      <c r="F2940">
        <v>11111111</v>
      </c>
      <c r="G2940">
        <v>1111111111</v>
      </c>
      <c r="H2940" t="s">
        <v>6509</v>
      </c>
      <c r="I2940">
        <v>99999999</v>
      </c>
      <c r="J2940" s="188">
        <v>45237</v>
      </c>
      <c r="K2940" t="s">
        <v>6509</v>
      </c>
      <c r="L2940" t="s">
        <v>6509</v>
      </c>
      <c r="M2940" t="s">
        <v>677</v>
      </c>
      <c r="N2940" t="s">
        <v>85</v>
      </c>
      <c r="O2940">
        <v>891491343</v>
      </c>
      <c r="P2940" t="s">
        <v>221</v>
      </c>
      <c r="Q2940" t="s">
        <v>82</v>
      </c>
      <c r="R2940">
        <v>1</v>
      </c>
      <c r="S2940">
        <v>16.600000000000001</v>
      </c>
      <c r="T2940">
        <v>0</v>
      </c>
      <c r="U2940">
        <v>1</v>
      </c>
      <c r="V2940">
        <v>1</v>
      </c>
      <c r="W2940">
        <v>26.08</v>
      </c>
      <c r="X2940">
        <v>0</v>
      </c>
      <c r="Y2940">
        <v>0</v>
      </c>
      <c r="Z2940">
        <v>0</v>
      </c>
      <c r="AA2940">
        <v>1</v>
      </c>
      <c r="AB2940">
        <v>0</v>
      </c>
      <c r="AC2940">
        <v>0</v>
      </c>
      <c r="AD2940">
        <v>0</v>
      </c>
      <c r="AE2940">
        <v>0</v>
      </c>
      <c r="AF2940">
        <v>0</v>
      </c>
      <c r="AG2940">
        <v>0</v>
      </c>
      <c r="AH2940">
        <v>0</v>
      </c>
      <c r="AI2940">
        <v>0</v>
      </c>
      <c r="AJ2940">
        <v>0</v>
      </c>
      <c r="AK2940">
        <v>0</v>
      </c>
    </row>
    <row r="2941" spans="1:37" x14ac:dyDescent="0.3">
      <c r="A2941">
        <v>7533</v>
      </c>
      <c r="B2941" t="s">
        <v>3453</v>
      </c>
      <c r="D2941" t="s">
        <v>327</v>
      </c>
      <c r="E2941">
        <v>99999999</v>
      </c>
      <c r="F2941">
        <v>11111111</v>
      </c>
      <c r="G2941">
        <v>1111111111</v>
      </c>
      <c r="H2941" t="s">
        <v>6510</v>
      </c>
      <c r="I2941">
        <v>99999999</v>
      </c>
      <c r="J2941" s="188">
        <v>45237</v>
      </c>
      <c r="K2941" t="s">
        <v>6510</v>
      </c>
      <c r="L2941" t="s">
        <v>6510</v>
      </c>
      <c r="M2941" t="s">
        <v>142</v>
      </c>
      <c r="N2941" t="s">
        <v>97</v>
      </c>
      <c r="O2941">
        <v>992052564</v>
      </c>
      <c r="P2941" t="s">
        <v>221</v>
      </c>
      <c r="Q2941" t="s">
        <v>82</v>
      </c>
      <c r="R2941">
        <v>4</v>
      </c>
      <c r="S2941">
        <v>192.8</v>
      </c>
      <c r="T2941">
        <v>0</v>
      </c>
      <c r="U2941">
        <v>4</v>
      </c>
      <c r="V2941">
        <v>1</v>
      </c>
      <c r="W2941">
        <v>243.4</v>
      </c>
      <c r="X2941">
        <v>0</v>
      </c>
      <c r="Y2941">
        <v>0</v>
      </c>
      <c r="Z2941">
        <v>0</v>
      </c>
      <c r="AA2941">
        <v>4</v>
      </c>
      <c r="AB2941">
        <v>0</v>
      </c>
      <c r="AC2941">
        <v>0</v>
      </c>
      <c r="AD2941">
        <v>0</v>
      </c>
      <c r="AE2941">
        <v>0</v>
      </c>
      <c r="AF2941">
        <v>0</v>
      </c>
      <c r="AG2941">
        <v>0</v>
      </c>
      <c r="AH2941">
        <v>0</v>
      </c>
      <c r="AI2941">
        <v>0</v>
      </c>
      <c r="AJ2941">
        <v>0</v>
      </c>
      <c r="AK2941">
        <v>0</v>
      </c>
    </row>
    <row r="2942" spans="1:37" x14ac:dyDescent="0.3">
      <c r="A2942">
        <v>7533</v>
      </c>
      <c r="B2942" t="s">
        <v>3453</v>
      </c>
      <c r="D2942" t="s">
        <v>327</v>
      </c>
      <c r="E2942">
        <v>99999999</v>
      </c>
      <c r="F2942">
        <v>11111111</v>
      </c>
      <c r="G2942">
        <v>1111111111</v>
      </c>
      <c r="H2942" t="s">
        <v>6511</v>
      </c>
      <c r="I2942">
        <v>99999999</v>
      </c>
      <c r="J2942" s="188">
        <v>45237</v>
      </c>
      <c r="K2942" t="s">
        <v>6511</v>
      </c>
      <c r="L2942" t="s">
        <v>6511</v>
      </c>
      <c r="M2942" t="s">
        <v>3033</v>
      </c>
      <c r="N2942" t="s">
        <v>99</v>
      </c>
      <c r="O2942">
        <v>956202345</v>
      </c>
      <c r="P2942" t="s">
        <v>221</v>
      </c>
      <c r="Q2942" t="s">
        <v>82</v>
      </c>
      <c r="R2942">
        <v>1</v>
      </c>
      <c r="S2942">
        <v>48.2</v>
      </c>
      <c r="T2942">
        <v>0</v>
      </c>
      <c r="U2942">
        <v>1</v>
      </c>
      <c r="V2942">
        <v>1</v>
      </c>
      <c r="W2942">
        <v>44.85</v>
      </c>
      <c r="X2942">
        <v>0</v>
      </c>
      <c r="Y2942">
        <v>0</v>
      </c>
      <c r="Z2942">
        <v>0</v>
      </c>
      <c r="AA2942">
        <v>1</v>
      </c>
      <c r="AB2942">
        <v>0</v>
      </c>
      <c r="AC2942">
        <v>0</v>
      </c>
      <c r="AD2942">
        <v>0</v>
      </c>
      <c r="AE2942">
        <v>0</v>
      </c>
      <c r="AF2942">
        <v>0</v>
      </c>
      <c r="AG2942">
        <v>0</v>
      </c>
      <c r="AH2942">
        <v>0</v>
      </c>
      <c r="AI2942">
        <v>0</v>
      </c>
      <c r="AJ2942">
        <v>0</v>
      </c>
      <c r="AK2942">
        <v>0</v>
      </c>
    </row>
    <row r="2943" spans="1:37" x14ac:dyDescent="0.3">
      <c r="A2943">
        <v>7533</v>
      </c>
      <c r="B2943" t="s">
        <v>3453</v>
      </c>
      <c r="D2943" t="s">
        <v>327</v>
      </c>
      <c r="E2943">
        <v>99999999</v>
      </c>
      <c r="F2943">
        <v>11111111</v>
      </c>
      <c r="G2943">
        <v>1111111111</v>
      </c>
      <c r="H2943" t="s">
        <v>6512</v>
      </c>
      <c r="I2943">
        <v>99999999</v>
      </c>
      <c r="J2943" s="188">
        <v>45237</v>
      </c>
      <c r="K2943" t="s">
        <v>6512</v>
      </c>
      <c r="L2943" t="s">
        <v>6512</v>
      </c>
      <c r="M2943" t="s">
        <v>193</v>
      </c>
      <c r="N2943" t="s">
        <v>85</v>
      </c>
      <c r="O2943">
        <v>890126156</v>
      </c>
      <c r="P2943" t="s">
        <v>221</v>
      </c>
      <c r="Q2943" t="s">
        <v>82</v>
      </c>
      <c r="R2943">
        <v>1</v>
      </c>
      <c r="S2943">
        <v>35.625</v>
      </c>
      <c r="T2943">
        <v>0</v>
      </c>
      <c r="U2943">
        <v>1</v>
      </c>
      <c r="V2943">
        <v>1</v>
      </c>
      <c r="W2943">
        <v>71</v>
      </c>
      <c r="X2943">
        <v>0</v>
      </c>
      <c r="Y2943">
        <v>0</v>
      </c>
      <c r="Z2943">
        <v>0</v>
      </c>
      <c r="AA2943">
        <v>1</v>
      </c>
      <c r="AB2943">
        <v>0</v>
      </c>
      <c r="AC2943">
        <v>0</v>
      </c>
      <c r="AD2943">
        <v>0</v>
      </c>
      <c r="AE2943">
        <v>0</v>
      </c>
      <c r="AF2943">
        <v>0</v>
      </c>
      <c r="AG2943">
        <v>0</v>
      </c>
      <c r="AH2943">
        <v>0</v>
      </c>
      <c r="AI2943">
        <v>0</v>
      </c>
      <c r="AJ2943">
        <v>0</v>
      </c>
      <c r="AK2943">
        <v>0</v>
      </c>
    </row>
    <row r="2944" spans="1:37" x14ac:dyDescent="0.3">
      <c r="A2944">
        <v>7533</v>
      </c>
      <c r="B2944" t="s">
        <v>3453</v>
      </c>
      <c r="D2944" t="s">
        <v>327</v>
      </c>
      <c r="E2944">
        <v>99999999</v>
      </c>
      <c r="F2944">
        <v>11111111</v>
      </c>
      <c r="G2944">
        <v>1111111111</v>
      </c>
      <c r="H2944" t="s">
        <v>6513</v>
      </c>
      <c r="I2944">
        <v>99999999</v>
      </c>
      <c r="J2944" s="188">
        <v>45237</v>
      </c>
      <c r="K2944" t="s">
        <v>6513</v>
      </c>
      <c r="L2944" t="s">
        <v>6513</v>
      </c>
      <c r="M2944" t="s">
        <v>3487</v>
      </c>
      <c r="N2944" t="s">
        <v>91</v>
      </c>
      <c r="O2944">
        <v>856140004</v>
      </c>
      <c r="P2944" t="s">
        <v>221</v>
      </c>
      <c r="Q2944" t="s">
        <v>82</v>
      </c>
      <c r="R2944">
        <v>1</v>
      </c>
      <c r="S2944">
        <v>35.625</v>
      </c>
      <c r="T2944">
        <v>0</v>
      </c>
      <c r="U2944">
        <v>1</v>
      </c>
      <c r="V2944">
        <v>1</v>
      </c>
      <c r="W2944">
        <v>78.02</v>
      </c>
      <c r="X2944">
        <v>0</v>
      </c>
      <c r="Y2944">
        <v>0</v>
      </c>
      <c r="Z2944">
        <v>0</v>
      </c>
      <c r="AA2944">
        <v>1</v>
      </c>
      <c r="AB2944">
        <v>0</v>
      </c>
      <c r="AC2944">
        <v>0</v>
      </c>
      <c r="AD2944">
        <v>0</v>
      </c>
      <c r="AE2944">
        <v>0</v>
      </c>
      <c r="AF2944">
        <v>0</v>
      </c>
      <c r="AG2944">
        <v>0</v>
      </c>
      <c r="AH2944">
        <v>0</v>
      </c>
      <c r="AI2944">
        <v>0</v>
      </c>
      <c r="AJ2944">
        <v>0</v>
      </c>
      <c r="AK2944">
        <v>0</v>
      </c>
    </row>
    <row r="2945" spans="1:37" x14ac:dyDescent="0.3">
      <c r="A2945">
        <v>7533</v>
      </c>
      <c r="B2945" t="s">
        <v>3453</v>
      </c>
      <c r="D2945" t="s">
        <v>327</v>
      </c>
      <c r="E2945">
        <v>99999999</v>
      </c>
      <c r="F2945">
        <v>11111111</v>
      </c>
      <c r="G2945">
        <v>1111111111</v>
      </c>
      <c r="H2945" t="s">
        <v>6514</v>
      </c>
      <c r="I2945">
        <v>99999999</v>
      </c>
      <c r="J2945" s="188">
        <v>45237</v>
      </c>
      <c r="K2945" t="s">
        <v>6514</v>
      </c>
      <c r="L2945" t="s">
        <v>6514</v>
      </c>
      <c r="M2945" t="s">
        <v>132</v>
      </c>
      <c r="N2945" t="s">
        <v>99</v>
      </c>
      <c r="O2945">
        <v>945385404</v>
      </c>
      <c r="P2945" t="s">
        <v>221</v>
      </c>
      <c r="Q2945" t="s">
        <v>82</v>
      </c>
      <c r="R2945">
        <v>1</v>
      </c>
      <c r="S2945">
        <v>16.600000000000001</v>
      </c>
      <c r="T2945">
        <v>0</v>
      </c>
      <c r="U2945">
        <v>1</v>
      </c>
      <c r="V2945">
        <v>1</v>
      </c>
      <c r="W2945">
        <v>25.62</v>
      </c>
      <c r="X2945">
        <v>0</v>
      </c>
      <c r="Y2945">
        <v>0</v>
      </c>
      <c r="Z2945">
        <v>0</v>
      </c>
      <c r="AA2945">
        <v>1</v>
      </c>
      <c r="AB2945">
        <v>0</v>
      </c>
      <c r="AC2945">
        <v>0</v>
      </c>
      <c r="AD2945">
        <v>0</v>
      </c>
      <c r="AE2945">
        <v>0</v>
      </c>
      <c r="AF2945">
        <v>0</v>
      </c>
      <c r="AG2945">
        <v>0</v>
      </c>
      <c r="AH2945">
        <v>0</v>
      </c>
      <c r="AI2945">
        <v>0</v>
      </c>
      <c r="AJ2945">
        <v>0</v>
      </c>
      <c r="AK2945">
        <v>0</v>
      </c>
    </row>
    <row r="2946" spans="1:37" x14ac:dyDescent="0.3">
      <c r="A2946">
        <v>7533</v>
      </c>
      <c r="B2946" t="s">
        <v>3453</v>
      </c>
      <c r="D2946" t="s">
        <v>327</v>
      </c>
      <c r="E2946">
        <v>99999999</v>
      </c>
      <c r="F2946">
        <v>11111111</v>
      </c>
      <c r="G2946">
        <v>1111111111</v>
      </c>
      <c r="H2946" t="s">
        <v>6515</v>
      </c>
      <c r="I2946">
        <v>99999999</v>
      </c>
      <c r="J2946" s="188">
        <v>45237</v>
      </c>
      <c r="K2946" t="s">
        <v>6515</v>
      </c>
      <c r="L2946" t="s">
        <v>6515</v>
      </c>
      <c r="M2946" t="s">
        <v>1026</v>
      </c>
      <c r="N2946" t="s">
        <v>99</v>
      </c>
      <c r="O2946">
        <v>949033701</v>
      </c>
      <c r="P2946" t="s">
        <v>221</v>
      </c>
      <c r="Q2946" t="s">
        <v>82</v>
      </c>
      <c r="R2946">
        <v>1</v>
      </c>
      <c r="S2946">
        <v>16.600000000000001</v>
      </c>
      <c r="T2946">
        <v>0</v>
      </c>
      <c r="U2946">
        <v>1</v>
      </c>
      <c r="V2946">
        <v>1</v>
      </c>
      <c r="W2946">
        <v>25.62</v>
      </c>
      <c r="X2946">
        <v>0</v>
      </c>
      <c r="Y2946">
        <v>0</v>
      </c>
      <c r="Z2946">
        <v>0</v>
      </c>
      <c r="AA2946">
        <v>1</v>
      </c>
      <c r="AB2946">
        <v>0</v>
      </c>
      <c r="AC2946">
        <v>0</v>
      </c>
      <c r="AD2946">
        <v>0</v>
      </c>
      <c r="AE2946">
        <v>0</v>
      </c>
      <c r="AF2946">
        <v>0</v>
      </c>
      <c r="AG2946">
        <v>0</v>
      </c>
      <c r="AH2946">
        <v>0</v>
      </c>
      <c r="AI2946">
        <v>0</v>
      </c>
      <c r="AJ2946">
        <v>0</v>
      </c>
      <c r="AK2946">
        <v>0</v>
      </c>
    </row>
    <row r="2947" spans="1:37" x14ac:dyDescent="0.3">
      <c r="A2947">
        <v>7533</v>
      </c>
      <c r="B2947" t="s">
        <v>3453</v>
      </c>
      <c r="D2947" t="s">
        <v>327</v>
      </c>
      <c r="E2947">
        <v>99999999</v>
      </c>
      <c r="F2947">
        <v>11111111</v>
      </c>
      <c r="G2947">
        <v>1111111111</v>
      </c>
      <c r="H2947" t="s">
        <v>6516</v>
      </c>
      <c r="I2947">
        <v>99999999</v>
      </c>
      <c r="J2947" s="188">
        <v>45237</v>
      </c>
      <c r="K2947" t="s">
        <v>6516</v>
      </c>
      <c r="L2947" t="s">
        <v>6516</v>
      </c>
      <c r="M2947" t="s">
        <v>1026</v>
      </c>
      <c r="N2947" t="s">
        <v>99</v>
      </c>
      <c r="O2947">
        <v>949033701</v>
      </c>
      <c r="P2947" t="s">
        <v>221</v>
      </c>
      <c r="Q2947" t="s">
        <v>82</v>
      </c>
      <c r="R2947">
        <v>1</v>
      </c>
      <c r="S2947">
        <v>16.600000000000001</v>
      </c>
      <c r="T2947">
        <v>0</v>
      </c>
      <c r="U2947">
        <v>1</v>
      </c>
      <c r="V2947">
        <v>1</v>
      </c>
      <c r="W2947">
        <v>25.62</v>
      </c>
      <c r="X2947">
        <v>0</v>
      </c>
      <c r="Y2947">
        <v>0</v>
      </c>
      <c r="Z2947">
        <v>0</v>
      </c>
      <c r="AA2947">
        <v>1</v>
      </c>
      <c r="AB2947">
        <v>0</v>
      </c>
      <c r="AC2947">
        <v>0</v>
      </c>
      <c r="AD2947">
        <v>0</v>
      </c>
      <c r="AE2947">
        <v>0</v>
      </c>
      <c r="AF2947">
        <v>0</v>
      </c>
      <c r="AG2947">
        <v>0</v>
      </c>
      <c r="AH2947">
        <v>0</v>
      </c>
      <c r="AI2947">
        <v>0</v>
      </c>
      <c r="AJ2947">
        <v>0</v>
      </c>
      <c r="AK2947">
        <v>0</v>
      </c>
    </row>
    <row r="2948" spans="1:37" x14ac:dyDescent="0.3">
      <c r="A2948">
        <v>7533</v>
      </c>
      <c r="B2948" t="s">
        <v>3453</v>
      </c>
      <c r="D2948" t="s">
        <v>327</v>
      </c>
      <c r="E2948">
        <v>99999999</v>
      </c>
      <c r="F2948">
        <v>11111111</v>
      </c>
      <c r="G2948">
        <v>1111111111</v>
      </c>
      <c r="H2948" t="s">
        <v>6517</v>
      </c>
      <c r="I2948">
        <v>99999999</v>
      </c>
      <c r="J2948" s="188">
        <v>45237</v>
      </c>
      <c r="K2948" t="s">
        <v>6517</v>
      </c>
      <c r="L2948" t="s">
        <v>6517</v>
      </c>
      <c r="M2948" t="s">
        <v>1922</v>
      </c>
      <c r="N2948" t="s">
        <v>99</v>
      </c>
      <c r="O2948">
        <v>944033050</v>
      </c>
      <c r="P2948" t="s">
        <v>221</v>
      </c>
      <c r="Q2948" t="s">
        <v>82</v>
      </c>
      <c r="R2948">
        <v>2</v>
      </c>
      <c r="S2948">
        <v>52.225000000000001</v>
      </c>
      <c r="T2948">
        <v>0</v>
      </c>
      <c r="U2948">
        <v>2</v>
      </c>
      <c r="V2948">
        <v>2</v>
      </c>
      <c r="W2948">
        <v>92.86</v>
      </c>
      <c r="X2948">
        <v>0</v>
      </c>
      <c r="Y2948">
        <v>0</v>
      </c>
      <c r="Z2948">
        <v>0</v>
      </c>
      <c r="AA2948">
        <v>2</v>
      </c>
      <c r="AB2948">
        <v>0</v>
      </c>
      <c r="AC2948">
        <v>0</v>
      </c>
      <c r="AD2948">
        <v>0</v>
      </c>
      <c r="AE2948">
        <v>0</v>
      </c>
      <c r="AF2948">
        <v>0</v>
      </c>
      <c r="AG2948">
        <v>0</v>
      </c>
      <c r="AH2948">
        <v>0</v>
      </c>
      <c r="AI2948">
        <v>0</v>
      </c>
      <c r="AJ2948">
        <v>0</v>
      </c>
      <c r="AK2948">
        <v>0</v>
      </c>
    </row>
    <row r="2949" spans="1:37" x14ac:dyDescent="0.3">
      <c r="A2949">
        <v>7533</v>
      </c>
      <c r="B2949" t="s">
        <v>3453</v>
      </c>
      <c r="D2949" t="s">
        <v>327</v>
      </c>
      <c r="E2949">
        <v>99999999</v>
      </c>
      <c r="F2949">
        <v>11111111</v>
      </c>
      <c r="G2949">
        <v>1111111111</v>
      </c>
      <c r="H2949" t="s">
        <v>6518</v>
      </c>
      <c r="I2949">
        <v>99999999</v>
      </c>
      <c r="J2949" s="188">
        <v>45237</v>
      </c>
      <c r="K2949" t="s">
        <v>6518</v>
      </c>
      <c r="L2949" t="s">
        <v>6518</v>
      </c>
      <c r="M2949" t="s">
        <v>1445</v>
      </c>
      <c r="N2949" t="s">
        <v>99</v>
      </c>
      <c r="O2949">
        <v>950602601</v>
      </c>
      <c r="P2949" t="s">
        <v>221</v>
      </c>
      <c r="Q2949" t="s">
        <v>82</v>
      </c>
      <c r="R2949">
        <v>1</v>
      </c>
      <c r="S2949">
        <v>16.600000000000001</v>
      </c>
      <c r="T2949">
        <v>0</v>
      </c>
      <c r="U2949">
        <v>1</v>
      </c>
      <c r="V2949">
        <v>1</v>
      </c>
      <c r="W2949">
        <v>25.62</v>
      </c>
      <c r="X2949">
        <v>0</v>
      </c>
      <c r="Y2949">
        <v>0</v>
      </c>
      <c r="Z2949">
        <v>0</v>
      </c>
      <c r="AA2949">
        <v>1</v>
      </c>
      <c r="AB2949">
        <v>0</v>
      </c>
      <c r="AC2949">
        <v>0</v>
      </c>
      <c r="AD2949">
        <v>0</v>
      </c>
      <c r="AE2949">
        <v>0</v>
      </c>
      <c r="AF2949">
        <v>0</v>
      </c>
      <c r="AG2949">
        <v>0</v>
      </c>
      <c r="AH2949">
        <v>0</v>
      </c>
      <c r="AI2949">
        <v>0</v>
      </c>
      <c r="AJ2949">
        <v>0</v>
      </c>
      <c r="AK2949">
        <v>0</v>
      </c>
    </row>
    <row r="2950" spans="1:37" x14ac:dyDescent="0.3">
      <c r="A2950">
        <v>7533</v>
      </c>
      <c r="B2950" t="s">
        <v>3453</v>
      </c>
      <c r="D2950" t="s">
        <v>327</v>
      </c>
      <c r="E2950">
        <v>99999999</v>
      </c>
      <c r="F2950">
        <v>11111111</v>
      </c>
      <c r="G2950">
        <v>1111111111</v>
      </c>
      <c r="H2950" t="s">
        <v>6519</v>
      </c>
      <c r="I2950">
        <v>99999999</v>
      </c>
      <c r="J2950" s="188">
        <v>45237</v>
      </c>
      <c r="K2950" t="s">
        <v>6519</v>
      </c>
      <c r="L2950" t="s">
        <v>6519</v>
      </c>
      <c r="M2950" t="s">
        <v>246</v>
      </c>
      <c r="N2950" t="s">
        <v>99</v>
      </c>
      <c r="O2950">
        <v>941121650</v>
      </c>
      <c r="P2950" t="s">
        <v>221</v>
      </c>
      <c r="Q2950" t="s">
        <v>82</v>
      </c>
      <c r="R2950">
        <v>1</v>
      </c>
      <c r="S2950">
        <v>48.2</v>
      </c>
      <c r="T2950">
        <v>0</v>
      </c>
      <c r="U2950">
        <v>1</v>
      </c>
      <c r="V2950">
        <v>1</v>
      </c>
      <c r="W2950">
        <v>47.91</v>
      </c>
      <c r="X2950">
        <v>0</v>
      </c>
      <c r="Y2950">
        <v>0</v>
      </c>
      <c r="Z2950">
        <v>0</v>
      </c>
      <c r="AA2950">
        <v>1</v>
      </c>
      <c r="AB2950">
        <v>0</v>
      </c>
      <c r="AC2950">
        <v>0</v>
      </c>
      <c r="AD2950">
        <v>0</v>
      </c>
      <c r="AE2950">
        <v>0</v>
      </c>
      <c r="AF2950">
        <v>0</v>
      </c>
      <c r="AG2950">
        <v>0</v>
      </c>
      <c r="AH2950">
        <v>0</v>
      </c>
      <c r="AI2950">
        <v>0</v>
      </c>
      <c r="AJ2950">
        <v>0</v>
      </c>
      <c r="AK2950">
        <v>0</v>
      </c>
    </row>
    <row r="2951" spans="1:37" x14ac:dyDescent="0.3">
      <c r="A2951">
        <v>7533</v>
      </c>
      <c r="B2951" t="s">
        <v>3453</v>
      </c>
      <c r="D2951" t="s">
        <v>327</v>
      </c>
      <c r="E2951">
        <v>99999999</v>
      </c>
      <c r="F2951">
        <v>11111111</v>
      </c>
      <c r="G2951">
        <v>1111111111</v>
      </c>
      <c r="H2951" t="s">
        <v>6520</v>
      </c>
      <c r="I2951">
        <v>99999999</v>
      </c>
      <c r="J2951" s="188">
        <v>45237</v>
      </c>
      <c r="K2951" t="s">
        <v>6520</v>
      </c>
      <c r="L2951" t="s">
        <v>6520</v>
      </c>
      <c r="M2951" t="s">
        <v>369</v>
      </c>
      <c r="N2951" t="s">
        <v>99</v>
      </c>
      <c r="O2951">
        <v>900191939</v>
      </c>
      <c r="P2951" t="s">
        <v>221</v>
      </c>
      <c r="Q2951" t="s">
        <v>82</v>
      </c>
      <c r="R2951">
        <v>1</v>
      </c>
      <c r="S2951">
        <v>48.2</v>
      </c>
      <c r="T2951">
        <v>0</v>
      </c>
      <c r="U2951">
        <v>1</v>
      </c>
      <c r="V2951">
        <v>1</v>
      </c>
      <c r="W2951">
        <v>52.1</v>
      </c>
      <c r="X2951">
        <v>0</v>
      </c>
      <c r="Y2951">
        <v>0</v>
      </c>
      <c r="Z2951">
        <v>0</v>
      </c>
      <c r="AA2951">
        <v>1</v>
      </c>
      <c r="AB2951">
        <v>0</v>
      </c>
      <c r="AC2951">
        <v>0</v>
      </c>
      <c r="AD2951">
        <v>0</v>
      </c>
      <c r="AE2951">
        <v>0</v>
      </c>
      <c r="AF2951">
        <v>0</v>
      </c>
      <c r="AG2951">
        <v>0</v>
      </c>
      <c r="AH2951">
        <v>0</v>
      </c>
      <c r="AI2951">
        <v>0</v>
      </c>
      <c r="AJ2951">
        <v>0</v>
      </c>
      <c r="AK2951">
        <v>0</v>
      </c>
    </row>
    <row r="2952" spans="1:37" x14ac:dyDescent="0.3">
      <c r="A2952">
        <v>7533</v>
      </c>
      <c r="B2952" t="s">
        <v>3453</v>
      </c>
      <c r="D2952" t="s">
        <v>327</v>
      </c>
      <c r="E2952">
        <v>99999999</v>
      </c>
      <c r="F2952">
        <v>11111111</v>
      </c>
      <c r="G2952">
        <v>1111111111</v>
      </c>
      <c r="H2952" t="s">
        <v>6521</v>
      </c>
      <c r="I2952">
        <v>99999999</v>
      </c>
      <c r="J2952" s="188">
        <v>45237</v>
      </c>
      <c r="K2952" t="s">
        <v>6521</v>
      </c>
      <c r="L2952" t="s">
        <v>6521</v>
      </c>
      <c r="M2952" t="s">
        <v>155</v>
      </c>
      <c r="N2952" t="s">
        <v>99</v>
      </c>
      <c r="O2952">
        <v>921173102</v>
      </c>
      <c r="P2952" t="s">
        <v>221</v>
      </c>
      <c r="Q2952" t="s">
        <v>82</v>
      </c>
      <c r="R2952">
        <v>1</v>
      </c>
      <c r="S2952">
        <v>48.2</v>
      </c>
      <c r="T2952">
        <v>0</v>
      </c>
      <c r="U2952">
        <v>1</v>
      </c>
      <c r="V2952">
        <v>1</v>
      </c>
      <c r="W2952">
        <v>52.1</v>
      </c>
      <c r="X2952">
        <v>0</v>
      </c>
      <c r="Y2952">
        <v>0</v>
      </c>
      <c r="Z2952">
        <v>0</v>
      </c>
      <c r="AA2952">
        <v>1</v>
      </c>
      <c r="AB2952">
        <v>0</v>
      </c>
      <c r="AC2952">
        <v>0</v>
      </c>
      <c r="AD2952">
        <v>0</v>
      </c>
      <c r="AE2952">
        <v>0</v>
      </c>
      <c r="AF2952">
        <v>0</v>
      </c>
      <c r="AG2952">
        <v>0</v>
      </c>
      <c r="AH2952">
        <v>0</v>
      </c>
      <c r="AI2952">
        <v>0</v>
      </c>
      <c r="AJ2952">
        <v>0</v>
      </c>
      <c r="AK2952">
        <v>0</v>
      </c>
    </row>
    <row r="2953" spans="1:37" x14ac:dyDescent="0.3">
      <c r="A2953">
        <v>7533</v>
      </c>
      <c r="B2953" t="s">
        <v>3453</v>
      </c>
      <c r="D2953" t="s">
        <v>327</v>
      </c>
      <c r="E2953">
        <v>99999999</v>
      </c>
      <c r="F2953">
        <v>11111111</v>
      </c>
      <c r="G2953">
        <v>1111111111</v>
      </c>
      <c r="H2953" t="s">
        <v>6522</v>
      </c>
      <c r="I2953">
        <v>99999999</v>
      </c>
      <c r="J2953" s="188">
        <v>45237</v>
      </c>
      <c r="K2953" t="s">
        <v>6522</v>
      </c>
      <c r="L2953" t="s">
        <v>6522</v>
      </c>
      <c r="M2953" t="s">
        <v>173</v>
      </c>
      <c r="N2953" t="s">
        <v>164</v>
      </c>
      <c r="O2953">
        <v>972133173</v>
      </c>
      <c r="P2953" t="s">
        <v>221</v>
      </c>
      <c r="Q2953" t="s">
        <v>82</v>
      </c>
      <c r="R2953">
        <v>3</v>
      </c>
      <c r="S2953">
        <v>49.8</v>
      </c>
      <c r="T2953">
        <v>0</v>
      </c>
      <c r="U2953">
        <v>3</v>
      </c>
      <c r="V2953">
        <v>1</v>
      </c>
      <c r="W2953">
        <v>78.239999999999995</v>
      </c>
      <c r="X2953">
        <v>0</v>
      </c>
      <c r="Y2953">
        <v>0</v>
      </c>
      <c r="Z2953">
        <v>0</v>
      </c>
      <c r="AA2953">
        <v>3</v>
      </c>
      <c r="AB2953">
        <v>0</v>
      </c>
      <c r="AC2953">
        <v>0</v>
      </c>
      <c r="AD2953">
        <v>0</v>
      </c>
      <c r="AE2953">
        <v>0</v>
      </c>
      <c r="AF2953">
        <v>0</v>
      </c>
      <c r="AG2953">
        <v>0</v>
      </c>
      <c r="AH2953">
        <v>0</v>
      </c>
      <c r="AI2953">
        <v>0</v>
      </c>
      <c r="AJ2953">
        <v>0</v>
      </c>
      <c r="AK2953">
        <v>0</v>
      </c>
    </row>
    <row r="2954" spans="1:37" x14ac:dyDescent="0.3">
      <c r="A2954">
        <v>7533</v>
      </c>
      <c r="B2954" t="s">
        <v>3453</v>
      </c>
      <c r="D2954" t="s">
        <v>327</v>
      </c>
      <c r="E2954">
        <v>99999999</v>
      </c>
      <c r="F2954">
        <v>11111111</v>
      </c>
      <c r="G2954">
        <v>1111111111</v>
      </c>
      <c r="H2954" t="s">
        <v>6523</v>
      </c>
      <c r="I2954">
        <v>99999999</v>
      </c>
      <c r="J2954" s="188">
        <v>45237</v>
      </c>
      <c r="K2954" t="s">
        <v>6523</v>
      </c>
      <c r="L2954" t="s">
        <v>6523</v>
      </c>
      <c r="M2954" t="s">
        <v>659</v>
      </c>
      <c r="N2954" t="s">
        <v>99</v>
      </c>
      <c r="O2954">
        <v>949522409</v>
      </c>
      <c r="P2954" t="s">
        <v>221</v>
      </c>
      <c r="Q2954" t="s">
        <v>82</v>
      </c>
      <c r="R2954">
        <v>1</v>
      </c>
      <c r="S2954">
        <v>48.2</v>
      </c>
      <c r="T2954">
        <v>0</v>
      </c>
      <c r="U2954">
        <v>1</v>
      </c>
      <c r="V2954">
        <v>1</v>
      </c>
      <c r="W2954">
        <v>54.03</v>
      </c>
      <c r="X2954">
        <v>0</v>
      </c>
      <c r="Y2954">
        <v>0</v>
      </c>
      <c r="Z2954">
        <v>0</v>
      </c>
      <c r="AA2954">
        <v>1</v>
      </c>
      <c r="AB2954">
        <v>0</v>
      </c>
      <c r="AC2954">
        <v>0</v>
      </c>
      <c r="AD2954">
        <v>0</v>
      </c>
      <c r="AE2954">
        <v>0</v>
      </c>
      <c r="AF2954">
        <v>0</v>
      </c>
      <c r="AG2954">
        <v>0</v>
      </c>
      <c r="AH2954">
        <v>0</v>
      </c>
      <c r="AI2954">
        <v>0</v>
      </c>
      <c r="AJ2954">
        <v>0</v>
      </c>
      <c r="AK2954">
        <v>0</v>
      </c>
    </row>
    <row r="2955" spans="1:37" x14ac:dyDescent="0.3">
      <c r="A2955">
        <v>7533</v>
      </c>
      <c r="B2955" t="s">
        <v>3453</v>
      </c>
      <c r="D2955" t="s">
        <v>327</v>
      </c>
      <c r="E2955">
        <v>99999999</v>
      </c>
      <c r="F2955">
        <v>11111111</v>
      </c>
      <c r="G2955">
        <v>1111111111</v>
      </c>
      <c r="H2955" t="s">
        <v>6524</v>
      </c>
      <c r="I2955">
        <v>99999999</v>
      </c>
      <c r="J2955" s="188">
        <v>45237</v>
      </c>
      <c r="K2955" t="s">
        <v>6524</v>
      </c>
      <c r="L2955" t="s">
        <v>6524</v>
      </c>
      <c r="M2955" t="s">
        <v>2101</v>
      </c>
      <c r="N2955" t="s">
        <v>99</v>
      </c>
      <c r="O2955">
        <v>919416978</v>
      </c>
      <c r="P2955" t="s">
        <v>221</v>
      </c>
      <c r="Q2955" t="s">
        <v>82</v>
      </c>
      <c r="R2955">
        <v>1</v>
      </c>
      <c r="S2955">
        <v>48.2</v>
      </c>
      <c r="T2955">
        <v>0</v>
      </c>
      <c r="U2955">
        <v>1</v>
      </c>
      <c r="V2955">
        <v>1</v>
      </c>
      <c r="W2955">
        <v>52.1</v>
      </c>
      <c r="X2955">
        <v>0</v>
      </c>
      <c r="Y2955">
        <v>0</v>
      </c>
      <c r="Z2955">
        <v>0</v>
      </c>
      <c r="AA2955">
        <v>1</v>
      </c>
      <c r="AB2955">
        <v>0</v>
      </c>
      <c r="AC2955">
        <v>0</v>
      </c>
      <c r="AD2955">
        <v>0</v>
      </c>
      <c r="AE2955">
        <v>0</v>
      </c>
      <c r="AF2955">
        <v>0</v>
      </c>
      <c r="AG2955">
        <v>0</v>
      </c>
      <c r="AH2955">
        <v>0</v>
      </c>
      <c r="AI2955">
        <v>0</v>
      </c>
      <c r="AJ2955">
        <v>0</v>
      </c>
      <c r="AK2955">
        <v>0</v>
      </c>
    </row>
    <row r="2956" spans="1:37" x14ac:dyDescent="0.3">
      <c r="A2956">
        <v>7533</v>
      </c>
      <c r="B2956" t="s">
        <v>3453</v>
      </c>
      <c r="D2956" t="s">
        <v>327</v>
      </c>
      <c r="E2956">
        <v>99999999</v>
      </c>
      <c r="F2956">
        <v>11111111</v>
      </c>
      <c r="G2956">
        <v>1111111111</v>
      </c>
      <c r="H2956" t="s">
        <v>6525</v>
      </c>
      <c r="I2956">
        <v>99999999</v>
      </c>
      <c r="J2956" s="188">
        <v>45237</v>
      </c>
      <c r="K2956" t="s">
        <v>6525</v>
      </c>
      <c r="L2956" t="s">
        <v>6525</v>
      </c>
      <c r="M2956" t="s">
        <v>3488</v>
      </c>
      <c r="N2956" t="s">
        <v>99</v>
      </c>
      <c r="O2956">
        <v>926571221</v>
      </c>
      <c r="P2956" t="s">
        <v>221</v>
      </c>
      <c r="Q2956" t="s">
        <v>82</v>
      </c>
      <c r="R2956">
        <v>4</v>
      </c>
      <c r="S2956">
        <v>192.8</v>
      </c>
      <c r="T2956">
        <v>0</v>
      </c>
      <c r="U2956">
        <v>4</v>
      </c>
      <c r="V2956">
        <v>1</v>
      </c>
      <c r="W2956">
        <v>243.4</v>
      </c>
      <c r="X2956">
        <v>0</v>
      </c>
      <c r="Y2956">
        <v>0</v>
      </c>
      <c r="Z2956">
        <v>0</v>
      </c>
      <c r="AA2956">
        <v>4</v>
      </c>
      <c r="AB2956">
        <v>0</v>
      </c>
      <c r="AC2956">
        <v>0</v>
      </c>
      <c r="AD2956">
        <v>0</v>
      </c>
      <c r="AE2956">
        <v>0</v>
      </c>
      <c r="AF2956">
        <v>0</v>
      </c>
      <c r="AG2956">
        <v>0</v>
      </c>
      <c r="AH2956">
        <v>0</v>
      </c>
      <c r="AI2956">
        <v>0</v>
      </c>
      <c r="AJ2956">
        <v>0</v>
      </c>
      <c r="AK2956">
        <v>0</v>
      </c>
    </row>
    <row r="2957" spans="1:37" x14ac:dyDescent="0.3">
      <c r="A2957">
        <v>7533</v>
      </c>
      <c r="B2957" t="s">
        <v>3453</v>
      </c>
      <c r="D2957" t="s">
        <v>327</v>
      </c>
      <c r="E2957">
        <v>99999999</v>
      </c>
      <c r="F2957">
        <v>11111111</v>
      </c>
      <c r="G2957">
        <v>1111111111</v>
      </c>
      <c r="H2957" t="s">
        <v>6526</v>
      </c>
      <c r="I2957">
        <v>99999999</v>
      </c>
      <c r="J2957" s="188">
        <v>45237</v>
      </c>
      <c r="K2957" t="s">
        <v>6526</v>
      </c>
      <c r="L2957" t="s">
        <v>6526</v>
      </c>
      <c r="M2957" t="s">
        <v>2509</v>
      </c>
      <c r="N2957" t="s">
        <v>97</v>
      </c>
      <c r="O2957">
        <v>983828847</v>
      </c>
      <c r="P2957" t="s">
        <v>221</v>
      </c>
      <c r="Q2957" t="s">
        <v>82</v>
      </c>
      <c r="R2957">
        <v>1</v>
      </c>
      <c r="S2957">
        <v>16.600000000000001</v>
      </c>
      <c r="T2957">
        <v>0</v>
      </c>
      <c r="U2957">
        <v>1</v>
      </c>
      <c r="V2957">
        <v>1</v>
      </c>
      <c r="W2957">
        <v>32.200000000000003</v>
      </c>
      <c r="X2957">
        <v>0</v>
      </c>
      <c r="Y2957">
        <v>0</v>
      </c>
      <c r="Z2957">
        <v>0</v>
      </c>
      <c r="AA2957">
        <v>1</v>
      </c>
      <c r="AB2957">
        <v>0</v>
      </c>
      <c r="AC2957">
        <v>0</v>
      </c>
      <c r="AD2957">
        <v>0</v>
      </c>
      <c r="AE2957">
        <v>0</v>
      </c>
      <c r="AF2957">
        <v>0</v>
      </c>
      <c r="AG2957">
        <v>0</v>
      </c>
      <c r="AH2957">
        <v>0</v>
      </c>
      <c r="AI2957">
        <v>0</v>
      </c>
      <c r="AJ2957">
        <v>0</v>
      </c>
      <c r="AK2957">
        <v>0</v>
      </c>
    </row>
    <row r="2958" spans="1:37" x14ac:dyDescent="0.3">
      <c r="A2958">
        <v>7533</v>
      </c>
      <c r="B2958" t="s">
        <v>3453</v>
      </c>
      <c r="D2958" t="s">
        <v>327</v>
      </c>
      <c r="E2958">
        <v>99999999</v>
      </c>
      <c r="F2958">
        <v>11111111</v>
      </c>
      <c r="G2958">
        <v>1111111111</v>
      </c>
      <c r="H2958" t="s">
        <v>6527</v>
      </c>
      <c r="I2958">
        <v>99999999</v>
      </c>
      <c r="J2958" s="188">
        <v>45237</v>
      </c>
      <c r="K2958" t="s">
        <v>6527</v>
      </c>
      <c r="L2958" t="s">
        <v>6527</v>
      </c>
      <c r="M2958" t="s">
        <v>101</v>
      </c>
      <c r="N2958" t="s">
        <v>97</v>
      </c>
      <c r="O2958">
        <v>981027604</v>
      </c>
      <c r="P2958" t="s">
        <v>221</v>
      </c>
      <c r="Q2958" t="s">
        <v>82</v>
      </c>
      <c r="R2958">
        <v>2</v>
      </c>
      <c r="S2958">
        <v>33.200000000000003</v>
      </c>
      <c r="T2958">
        <v>0</v>
      </c>
      <c r="U2958">
        <v>2</v>
      </c>
      <c r="V2958">
        <v>1</v>
      </c>
      <c r="W2958">
        <v>52.16</v>
      </c>
      <c r="X2958">
        <v>0</v>
      </c>
      <c r="Y2958">
        <v>0</v>
      </c>
      <c r="Z2958">
        <v>0</v>
      </c>
      <c r="AA2958">
        <v>2</v>
      </c>
      <c r="AB2958">
        <v>0</v>
      </c>
      <c r="AC2958">
        <v>0</v>
      </c>
      <c r="AD2958">
        <v>0</v>
      </c>
      <c r="AE2958">
        <v>0</v>
      </c>
      <c r="AF2958">
        <v>0</v>
      </c>
      <c r="AG2958">
        <v>0</v>
      </c>
      <c r="AH2958">
        <v>0</v>
      </c>
      <c r="AI2958">
        <v>0</v>
      </c>
      <c r="AJ2958">
        <v>0</v>
      </c>
      <c r="AK2958">
        <v>0</v>
      </c>
    </row>
    <row r="2959" spans="1:37" x14ac:dyDescent="0.3">
      <c r="A2959">
        <v>7533</v>
      </c>
      <c r="B2959" t="s">
        <v>3453</v>
      </c>
      <c r="D2959" t="s">
        <v>327</v>
      </c>
      <c r="E2959">
        <v>99999999</v>
      </c>
      <c r="F2959">
        <v>11111111</v>
      </c>
      <c r="G2959">
        <v>1111111111</v>
      </c>
      <c r="H2959" t="s">
        <v>6528</v>
      </c>
      <c r="I2959">
        <v>99999999</v>
      </c>
      <c r="J2959" s="188">
        <v>45237</v>
      </c>
      <c r="K2959" t="s">
        <v>6528</v>
      </c>
      <c r="L2959" t="s">
        <v>6528</v>
      </c>
      <c r="M2959" t="s">
        <v>2115</v>
      </c>
      <c r="N2959" t="s">
        <v>99</v>
      </c>
      <c r="O2959">
        <v>956674803</v>
      </c>
      <c r="P2959" t="s">
        <v>221</v>
      </c>
      <c r="Q2959" t="s">
        <v>82</v>
      </c>
      <c r="R2959">
        <v>1</v>
      </c>
      <c r="S2959">
        <v>16.600000000000001</v>
      </c>
      <c r="T2959">
        <v>0</v>
      </c>
      <c r="U2959">
        <v>1</v>
      </c>
      <c r="V2959">
        <v>1</v>
      </c>
      <c r="W2959">
        <v>30.01</v>
      </c>
      <c r="X2959">
        <v>0</v>
      </c>
      <c r="Y2959">
        <v>0</v>
      </c>
      <c r="Z2959">
        <v>0</v>
      </c>
      <c r="AA2959">
        <v>1</v>
      </c>
      <c r="AB2959">
        <v>0</v>
      </c>
      <c r="AC2959">
        <v>0</v>
      </c>
      <c r="AD2959">
        <v>0</v>
      </c>
      <c r="AE2959">
        <v>0</v>
      </c>
      <c r="AF2959">
        <v>0</v>
      </c>
      <c r="AG2959">
        <v>0</v>
      </c>
      <c r="AH2959">
        <v>0</v>
      </c>
      <c r="AI2959">
        <v>0</v>
      </c>
      <c r="AJ2959">
        <v>0</v>
      </c>
      <c r="AK2959">
        <v>0</v>
      </c>
    </row>
    <row r="2960" spans="1:37" x14ac:dyDescent="0.3">
      <c r="A2960">
        <v>7533</v>
      </c>
      <c r="B2960" t="s">
        <v>3453</v>
      </c>
      <c r="D2960" t="s">
        <v>327</v>
      </c>
      <c r="E2960">
        <v>99999999</v>
      </c>
      <c r="F2960">
        <v>11111111</v>
      </c>
      <c r="G2960">
        <v>1111111111</v>
      </c>
      <c r="H2960" t="s">
        <v>6529</v>
      </c>
      <c r="I2960">
        <v>99999999</v>
      </c>
      <c r="J2960" s="188">
        <v>45237</v>
      </c>
      <c r="K2960" t="s">
        <v>6529</v>
      </c>
      <c r="L2960" t="s">
        <v>6529</v>
      </c>
      <c r="M2960" t="s">
        <v>699</v>
      </c>
      <c r="N2960" t="s">
        <v>99</v>
      </c>
      <c r="O2960">
        <v>954095301</v>
      </c>
      <c r="P2960" t="s">
        <v>221</v>
      </c>
      <c r="Q2960" t="s">
        <v>82</v>
      </c>
      <c r="R2960">
        <v>1</v>
      </c>
      <c r="S2960">
        <v>48.2</v>
      </c>
      <c r="T2960">
        <v>0</v>
      </c>
      <c r="U2960">
        <v>1</v>
      </c>
      <c r="V2960">
        <v>1</v>
      </c>
      <c r="W2960">
        <v>47.91</v>
      </c>
      <c r="X2960">
        <v>0</v>
      </c>
      <c r="Y2960">
        <v>0</v>
      </c>
      <c r="Z2960">
        <v>0</v>
      </c>
      <c r="AA2960">
        <v>1</v>
      </c>
      <c r="AB2960">
        <v>0</v>
      </c>
      <c r="AC2960">
        <v>0</v>
      </c>
      <c r="AD2960">
        <v>0</v>
      </c>
      <c r="AE2960">
        <v>0</v>
      </c>
      <c r="AF2960">
        <v>0</v>
      </c>
      <c r="AG2960">
        <v>0</v>
      </c>
      <c r="AH2960">
        <v>0</v>
      </c>
      <c r="AI2960">
        <v>0</v>
      </c>
      <c r="AJ2960">
        <v>0</v>
      </c>
      <c r="AK2960">
        <v>0</v>
      </c>
    </row>
    <row r="2961" spans="1:37" x14ac:dyDescent="0.3">
      <c r="A2961">
        <v>7533</v>
      </c>
      <c r="B2961" t="s">
        <v>3453</v>
      </c>
      <c r="D2961" t="s">
        <v>327</v>
      </c>
      <c r="E2961">
        <v>99999999</v>
      </c>
      <c r="F2961">
        <v>11111111</v>
      </c>
      <c r="G2961">
        <v>1111111111</v>
      </c>
      <c r="H2961" t="s">
        <v>6530</v>
      </c>
      <c r="I2961">
        <v>99999999</v>
      </c>
      <c r="J2961" s="188">
        <v>45237</v>
      </c>
      <c r="K2961" t="s">
        <v>6530</v>
      </c>
      <c r="L2961" t="s">
        <v>6530</v>
      </c>
      <c r="M2961" t="s">
        <v>1634</v>
      </c>
      <c r="N2961" t="s">
        <v>130</v>
      </c>
      <c r="O2961">
        <v>80601</v>
      </c>
      <c r="P2961" t="s">
        <v>221</v>
      </c>
      <c r="Q2961" t="s">
        <v>82</v>
      </c>
      <c r="R2961">
        <v>1</v>
      </c>
      <c r="S2961">
        <v>48.2</v>
      </c>
      <c r="T2961">
        <v>0</v>
      </c>
      <c r="U2961">
        <v>1</v>
      </c>
      <c r="V2961">
        <v>1</v>
      </c>
      <c r="W2961">
        <v>63.63</v>
      </c>
      <c r="X2961">
        <v>0</v>
      </c>
      <c r="Y2961">
        <v>0</v>
      </c>
      <c r="Z2961">
        <v>0</v>
      </c>
      <c r="AA2961">
        <v>1</v>
      </c>
      <c r="AB2961">
        <v>0</v>
      </c>
      <c r="AC2961">
        <v>0</v>
      </c>
      <c r="AD2961">
        <v>0</v>
      </c>
      <c r="AE2961">
        <v>0</v>
      </c>
      <c r="AF2961">
        <v>0</v>
      </c>
      <c r="AG2961">
        <v>0</v>
      </c>
      <c r="AH2961">
        <v>0</v>
      </c>
      <c r="AI2961">
        <v>0</v>
      </c>
      <c r="AJ2961">
        <v>0</v>
      </c>
      <c r="AK2961">
        <v>0</v>
      </c>
    </row>
    <row r="2962" spans="1:37" x14ac:dyDescent="0.3">
      <c r="A2962">
        <v>7533</v>
      </c>
      <c r="B2962" t="s">
        <v>3453</v>
      </c>
      <c r="D2962" t="s">
        <v>327</v>
      </c>
      <c r="E2962">
        <v>99999999</v>
      </c>
      <c r="F2962">
        <v>11111111</v>
      </c>
      <c r="G2962">
        <v>1111111111</v>
      </c>
      <c r="H2962" t="s">
        <v>6531</v>
      </c>
      <c r="I2962">
        <v>99999999</v>
      </c>
      <c r="J2962" s="188">
        <v>45237</v>
      </c>
      <c r="K2962" t="s">
        <v>6531</v>
      </c>
      <c r="L2962" t="s">
        <v>6531</v>
      </c>
      <c r="M2962" t="s">
        <v>677</v>
      </c>
      <c r="N2962" t="s">
        <v>85</v>
      </c>
      <c r="O2962">
        <v>891381560</v>
      </c>
      <c r="P2962" t="s">
        <v>221</v>
      </c>
      <c r="Q2962" t="s">
        <v>82</v>
      </c>
      <c r="R2962">
        <v>1</v>
      </c>
      <c r="S2962">
        <v>48.2</v>
      </c>
      <c r="T2962">
        <v>0</v>
      </c>
      <c r="U2962">
        <v>1</v>
      </c>
      <c r="V2962">
        <v>1</v>
      </c>
      <c r="W2962">
        <v>52.1</v>
      </c>
      <c r="X2962">
        <v>0</v>
      </c>
      <c r="Y2962">
        <v>0</v>
      </c>
      <c r="Z2962">
        <v>0</v>
      </c>
      <c r="AA2962">
        <v>1</v>
      </c>
      <c r="AB2962">
        <v>0</v>
      </c>
      <c r="AC2962">
        <v>0</v>
      </c>
      <c r="AD2962">
        <v>0</v>
      </c>
      <c r="AE2962">
        <v>0</v>
      </c>
      <c r="AF2962">
        <v>0</v>
      </c>
      <c r="AG2962">
        <v>0</v>
      </c>
      <c r="AH2962">
        <v>0</v>
      </c>
      <c r="AI2962">
        <v>0</v>
      </c>
      <c r="AJ2962">
        <v>0</v>
      </c>
      <c r="AK2962">
        <v>0</v>
      </c>
    </row>
    <row r="2963" spans="1:37" x14ac:dyDescent="0.3">
      <c r="A2963">
        <v>7533</v>
      </c>
      <c r="B2963" t="s">
        <v>3453</v>
      </c>
      <c r="D2963" t="s">
        <v>327</v>
      </c>
      <c r="E2963">
        <v>99999999</v>
      </c>
      <c r="F2963">
        <v>11111111</v>
      </c>
      <c r="G2963">
        <v>1111111111</v>
      </c>
      <c r="H2963" t="s">
        <v>6532</v>
      </c>
      <c r="I2963">
        <v>99999999</v>
      </c>
      <c r="J2963" s="188">
        <v>45238</v>
      </c>
      <c r="K2963" t="s">
        <v>6532</v>
      </c>
      <c r="L2963" t="s">
        <v>6532</v>
      </c>
      <c r="M2963" t="s">
        <v>573</v>
      </c>
      <c r="N2963" t="s">
        <v>97</v>
      </c>
      <c r="O2963">
        <v>990379244</v>
      </c>
      <c r="P2963" t="s">
        <v>221</v>
      </c>
      <c r="Q2963" t="s">
        <v>82</v>
      </c>
      <c r="R2963">
        <v>1</v>
      </c>
      <c r="S2963">
        <v>48.2</v>
      </c>
      <c r="T2963">
        <v>0</v>
      </c>
      <c r="U2963">
        <v>1</v>
      </c>
      <c r="V2963">
        <v>1</v>
      </c>
      <c r="W2963">
        <v>51.99</v>
      </c>
      <c r="X2963">
        <v>0</v>
      </c>
      <c r="Y2963">
        <v>0</v>
      </c>
      <c r="Z2963">
        <v>0</v>
      </c>
      <c r="AA2963">
        <v>1</v>
      </c>
      <c r="AB2963">
        <v>0</v>
      </c>
      <c r="AC2963">
        <v>0</v>
      </c>
      <c r="AD2963">
        <v>0</v>
      </c>
      <c r="AE2963">
        <v>0</v>
      </c>
      <c r="AF2963">
        <v>0</v>
      </c>
      <c r="AG2963">
        <v>0</v>
      </c>
      <c r="AH2963">
        <v>0</v>
      </c>
      <c r="AI2963">
        <v>0</v>
      </c>
      <c r="AJ2963">
        <v>0</v>
      </c>
      <c r="AK2963">
        <v>0</v>
      </c>
    </row>
    <row r="2964" spans="1:37" x14ac:dyDescent="0.3">
      <c r="A2964">
        <v>7533</v>
      </c>
      <c r="B2964" t="s">
        <v>3453</v>
      </c>
      <c r="D2964" t="s">
        <v>327</v>
      </c>
      <c r="E2964">
        <v>99999999</v>
      </c>
      <c r="F2964">
        <v>11111111</v>
      </c>
      <c r="G2964">
        <v>1111111111</v>
      </c>
      <c r="H2964" t="s">
        <v>6533</v>
      </c>
      <c r="I2964">
        <v>99999999</v>
      </c>
      <c r="J2964" s="188">
        <v>45238</v>
      </c>
      <c r="K2964" t="s">
        <v>6533</v>
      </c>
      <c r="L2964" t="s">
        <v>6533</v>
      </c>
      <c r="M2964" t="s">
        <v>474</v>
      </c>
      <c r="N2964" t="s">
        <v>135</v>
      </c>
      <c r="O2964">
        <v>840926533</v>
      </c>
      <c r="P2964" t="s">
        <v>221</v>
      </c>
      <c r="Q2964" t="s">
        <v>82</v>
      </c>
      <c r="R2964">
        <v>1</v>
      </c>
      <c r="S2964">
        <v>48.2</v>
      </c>
      <c r="T2964">
        <v>0</v>
      </c>
      <c r="U2964">
        <v>1</v>
      </c>
      <c r="V2964">
        <v>1</v>
      </c>
      <c r="W2964">
        <v>51.99</v>
      </c>
      <c r="X2964">
        <v>0</v>
      </c>
      <c r="Y2964">
        <v>0</v>
      </c>
      <c r="Z2964">
        <v>0</v>
      </c>
      <c r="AA2964">
        <v>1</v>
      </c>
      <c r="AB2964">
        <v>0</v>
      </c>
      <c r="AC2964">
        <v>0</v>
      </c>
      <c r="AD2964">
        <v>0</v>
      </c>
      <c r="AE2964">
        <v>0</v>
      </c>
      <c r="AF2964">
        <v>0</v>
      </c>
      <c r="AG2964">
        <v>0</v>
      </c>
      <c r="AH2964">
        <v>0</v>
      </c>
      <c r="AI2964">
        <v>0</v>
      </c>
      <c r="AJ2964">
        <v>0</v>
      </c>
      <c r="AK2964">
        <v>0</v>
      </c>
    </row>
    <row r="2965" spans="1:37" x14ac:dyDescent="0.3">
      <c r="A2965">
        <v>7533</v>
      </c>
      <c r="B2965" t="s">
        <v>3453</v>
      </c>
      <c r="D2965" t="s">
        <v>327</v>
      </c>
      <c r="E2965">
        <v>99999999</v>
      </c>
      <c r="F2965">
        <v>11111111</v>
      </c>
      <c r="G2965">
        <v>1111111111</v>
      </c>
      <c r="H2965" t="s">
        <v>6534</v>
      </c>
      <c r="I2965">
        <v>99999999</v>
      </c>
      <c r="J2965" s="188">
        <v>45238</v>
      </c>
      <c r="K2965" t="s">
        <v>6534</v>
      </c>
      <c r="L2965" t="s">
        <v>6534</v>
      </c>
      <c r="M2965" t="s">
        <v>3489</v>
      </c>
      <c r="N2965" t="s">
        <v>164</v>
      </c>
      <c r="O2965">
        <v>973673213</v>
      </c>
      <c r="P2965" t="s">
        <v>221</v>
      </c>
      <c r="Q2965" t="s">
        <v>82</v>
      </c>
      <c r="R2965">
        <v>1</v>
      </c>
      <c r="S2965">
        <v>48.2</v>
      </c>
      <c r="T2965">
        <v>0</v>
      </c>
      <c r="U2965">
        <v>1</v>
      </c>
      <c r="V2965">
        <v>1</v>
      </c>
      <c r="W2965">
        <v>51.99</v>
      </c>
      <c r="X2965">
        <v>0</v>
      </c>
      <c r="Y2965">
        <v>0</v>
      </c>
      <c r="Z2965">
        <v>0</v>
      </c>
      <c r="AA2965">
        <v>1</v>
      </c>
      <c r="AB2965">
        <v>0</v>
      </c>
      <c r="AC2965">
        <v>0</v>
      </c>
      <c r="AD2965">
        <v>0</v>
      </c>
      <c r="AE2965">
        <v>0</v>
      </c>
      <c r="AF2965">
        <v>0</v>
      </c>
      <c r="AG2965">
        <v>0</v>
      </c>
      <c r="AH2965">
        <v>0</v>
      </c>
      <c r="AI2965">
        <v>0</v>
      </c>
      <c r="AJ2965">
        <v>0</v>
      </c>
      <c r="AK2965">
        <v>0</v>
      </c>
    </row>
    <row r="2966" spans="1:37" x14ac:dyDescent="0.3">
      <c r="A2966">
        <v>7533</v>
      </c>
      <c r="B2966" t="s">
        <v>3453</v>
      </c>
      <c r="D2966" t="s">
        <v>327</v>
      </c>
      <c r="E2966">
        <v>99999999</v>
      </c>
      <c r="F2966">
        <v>11111111</v>
      </c>
      <c r="G2966">
        <v>1111111111</v>
      </c>
      <c r="H2966" t="s">
        <v>6535</v>
      </c>
      <c r="I2966">
        <v>99999999</v>
      </c>
      <c r="J2966" s="188">
        <v>45238</v>
      </c>
      <c r="K2966" t="s">
        <v>6535</v>
      </c>
      <c r="L2966" t="s">
        <v>6535</v>
      </c>
      <c r="M2966" t="s">
        <v>3490</v>
      </c>
      <c r="N2966" t="s">
        <v>381</v>
      </c>
      <c r="O2966">
        <v>592541515</v>
      </c>
      <c r="P2966" t="s">
        <v>221</v>
      </c>
      <c r="Q2966" t="s">
        <v>82</v>
      </c>
      <c r="R2966">
        <v>1</v>
      </c>
      <c r="S2966">
        <v>48.2</v>
      </c>
      <c r="T2966">
        <v>0</v>
      </c>
      <c r="U2966">
        <v>1</v>
      </c>
      <c r="V2966">
        <v>1</v>
      </c>
      <c r="W2966">
        <v>71.73</v>
      </c>
      <c r="X2966">
        <v>0</v>
      </c>
      <c r="Y2966">
        <v>0</v>
      </c>
      <c r="Z2966">
        <v>0</v>
      </c>
      <c r="AA2966">
        <v>1</v>
      </c>
      <c r="AB2966">
        <v>0</v>
      </c>
      <c r="AC2966">
        <v>0</v>
      </c>
      <c r="AD2966">
        <v>0</v>
      </c>
      <c r="AE2966">
        <v>0</v>
      </c>
      <c r="AF2966">
        <v>0</v>
      </c>
      <c r="AG2966">
        <v>0</v>
      </c>
      <c r="AH2966">
        <v>0</v>
      </c>
      <c r="AI2966">
        <v>0</v>
      </c>
      <c r="AJ2966">
        <v>0</v>
      </c>
      <c r="AK2966">
        <v>0</v>
      </c>
    </row>
    <row r="2967" spans="1:37" x14ac:dyDescent="0.3">
      <c r="A2967">
        <v>7533</v>
      </c>
      <c r="B2967" t="s">
        <v>3453</v>
      </c>
      <c r="D2967" t="s">
        <v>327</v>
      </c>
      <c r="E2967">
        <v>99999999</v>
      </c>
      <c r="F2967">
        <v>11111111</v>
      </c>
      <c r="G2967">
        <v>1111111111</v>
      </c>
      <c r="H2967" t="s">
        <v>6536</v>
      </c>
      <c r="I2967">
        <v>99999999</v>
      </c>
      <c r="J2967" s="188">
        <v>45238</v>
      </c>
      <c r="K2967" t="s">
        <v>6536</v>
      </c>
      <c r="L2967" t="s">
        <v>6536</v>
      </c>
      <c r="M2967" t="s">
        <v>2295</v>
      </c>
      <c r="N2967" t="s">
        <v>99</v>
      </c>
      <c r="O2967">
        <v>945582578</v>
      </c>
      <c r="P2967" t="s">
        <v>221</v>
      </c>
      <c r="Q2967" t="s">
        <v>82</v>
      </c>
      <c r="R2967">
        <v>1</v>
      </c>
      <c r="S2967">
        <v>35.625</v>
      </c>
      <c r="T2967">
        <v>0</v>
      </c>
      <c r="U2967">
        <v>1</v>
      </c>
      <c r="V2967">
        <v>1</v>
      </c>
      <c r="W2967">
        <v>73.209999999999994</v>
      </c>
      <c r="X2967">
        <v>0</v>
      </c>
      <c r="Y2967">
        <v>0</v>
      </c>
      <c r="Z2967">
        <v>0</v>
      </c>
      <c r="AA2967">
        <v>1</v>
      </c>
      <c r="AB2967">
        <v>0</v>
      </c>
      <c r="AC2967">
        <v>0</v>
      </c>
      <c r="AD2967">
        <v>0</v>
      </c>
      <c r="AE2967">
        <v>0</v>
      </c>
      <c r="AF2967">
        <v>0</v>
      </c>
      <c r="AG2967">
        <v>0</v>
      </c>
      <c r="AH2967">
        <v>0</v>
      </c>
      <c r="AI2967">
        <v>0</v>
      </c>
      <c r="AJ2967">
        <v>0</v>
      </c>
      <c r="AK2967">
        <v>0</v>
      </c>
    </row>
    <row r="2968" spans="1:37" x14ac:dyDescent="0.3">
      <c r="A2968">
        <v>7533</v>
      </c>
      <c r="B2968" t="s">
        <v>3453</v>
      </c>
      <c r="D2968" t="s">
        <v>327</v>
      </c>
      <c r="E2968">
        <v>99999999</v>
      </c>
      <c r="F2968">
        <v>11111111</v>
      </c>
      <c r="G2968">
        <v>1111111111</v>
      </c>
      <c r="H2968" t="s">
        <v>6537</v>
      </c>
      <c r="I2968">
        <v>99999999</v>
      </c>
      <c r="J2968" s="188">
        <v>45238</v>
      </c>
      <c r="K2968" t="s">
        <v>6537</v>
      </c>
      <c r="L2968" t="s">
        <v>6537</v>
      </c>
      <c r="M2968" t="s">
        <v>1375</v>
      </c>
      <c r="N2968" t="s">
        <v>91</v>
      </c>
      <c r="O2968">
        <v>852151727</v>
      </c>
      <c r="P2968" t="s">
        <v>221</v>
      </c>
      <c r="Q2968" t="s">
        <v>82</v>
      </c>
      <c r="R2968">
        <v>4</v>
      </c>
      <c r="S2968">
        <v>192.8</v>
      </c>
      <c r="T2968">
        <v>0</v>
      </c>
      <c r="U2968">
        <v>4</v>
      </c>
      <c r="V2968">
        <v>1</v>
      </c>
      <c r="W2968">
        <v>288.89</v>
      </c>
      <c r="X2968">
        <v>0</v>
      </c>
      <c r="Y2968">
        <v>0</v>
      </c>
      <c r="Z2968">
        <v>0</v>
      </c>
      <c r="AA2968">
        <v>4</v>
      </c>
      <c r="AB2968">
        <v>0</v>
      </c>
      <c r="AC2968">
        <v>0</v>
      </c>
      <c r="AD2968">
        <v>0</v>
      </c>
      <c r="AE2968">
        <v>0</v>
      </c>
      <c r="AF2968">
        <v>0</v>
      </c>
      <c r="AG2968">
        <v>0</v>
      </c>
      <c r="AH2968">
        <v>0</v>
      </c>
      <c r="AI2968">
        <v>0</v>
      </c>
      <c r="AJ2968">
        <v>0</v>
      </c>
      <c r="AK2968">
        <v>0</v>
      </c>
    </row>
    <row r="2969" spans="1:37" x14ac:dyDescent="0.3">
      <c r="A2969">
        <v>7533</v>
      </c>
      <c r="B2969" t="s">
        <v>3453</v>
      </c>
      <c r="D2969" t="s">
        <v>327</v>
      </c>
      <c r="E2969">
        <v>99999999</v>
      </c>
      <c r="F2969">
        <v>11111111</v>
      </c>
      <c r="G2969">
        <v>1111111111</v>
      </c>
      <c r="H2969" t="s">
        <v>6538</v>
      </c>
      <c r="I2969">
        <v>99999999</v>
      </c>
      <c r="J2969" s="188">
        <v>45238</v>
      </c>
      <c r="K2969" t="s">
        <v>6538</v>
      </c>
      <c r="L2969" t="s">
        <v>6538</v>
      </c>
      <c r="M2969" t="s">
        <v>1492</v>
      </c>
      <c r="N2969" t="s">
        <v>164</v>
      </c>
      <c r="O2969">
        <v>973069526</v>
      </c>
      <c r="P2969" t="s">
        <v>221</v>
      </c>
      <c r="Q2969" t="s">
        <v>82</v>
      </c>
      <c r="R2969">
        <v>3</v>
      </c>
      <c r="S2969">
        <v>144.6</v>
      </c>
      <c r="T2969">
        <v>0</v>
      </c>
      <c r="U2969">
        <v>3</v>
      </c>
      <c r="V2969">
        <v>1</v>
      </c>
      <c r="W2969">
        <v>155.97</v>
      </c>
      <c r="X2969">
        <v>0</v>
      </c>
      <c r="Y2969">
        <v>0</v>
      </c>
      <c r="Z2969">
        <v>0</v>
      </c>
      <c r="AA2969">
        <v>3</v>
      </c>
      <c r="AB2969">
        <v>0</v>
      </c>
      <c r="AC2969">
        <v>0</v>
      </c>
      <c r="AD2969">
        <v>0</v>
      </c>
      <c r="AE2969">
        <v>0</v>
      </c>
      <c r="AF2969">
        <v>0</v>
      </c>
      <c r="AG2969">
        <v>0</v>
      </c>
      <c r="AH2969">
        <v>0</v>
      </c>
      <c r="AI2969">
        <v>0</v>
      </c>
      <c r="AJ2969">
        <v>0</v>
      </c>
      <c r="AK2969">
        <v>0</v>
      </c>
    </row>
    <row r="2970" spans="1:37" x14ac:dyDescent="0.3">
      <c r="A2970">
        <v>7533</v>
      </c>
      <c r="B2970" t="s">
        <v>3453</v>
      </c>
      <c r="D2970" t="s">
        <v>327</v>
      </c>
      <c r="E2970">
        <v>99999999</v>
      </c>
      <c r="F2970">
        <v>11111111</v>
      </c>
      <c r="G2970">
        <v>1111111111</v>
      </c>
      <c r="H2970" t="s">
        <v>6539</v>
      </c>
      <c r="I2970">
        <v>99999999</v>
      </c>
      <c r="J2970" s="188">
        <v>45238</v>
      </c>
      <c r="K2970" t="s">
        <v>6539</v>
      </c>
      <c r="L2970" t="s">
        <v>6539</v>
      </c>
      <c r="M2970" t="s">
        <v>1550</v>
      </c>
      <c r="N2970" t="s">
        <v>99</v>
      </c>
      <c r="O2970">
        <v>930652432</v>
      </c>
      <c r="P2970" t="s">
        <v>221</v>
      </c>
      <c r="Q2970" t="s">
        <v>82</v>
      </c>
      <c r="R2970">
        <v>2</v>
      </c>
      <c r="S2970">
        <v>96.4</v>
      </c>
      <c r="T2970">
        <v>0</v>
      </c>
      <c r="U2970">
        <v>2</v>
      </c>
      <c r="V2970">
        <v>1</v>
      </c>
      <c r="W2970">
        <v>103.98</v>
      </c>
      <c r="X2970">
        <v>0</v>
      </c>
      <c r="Y2970">
        <v>0</v>
      </c>
      <c r="Z2970">
        <v>0</v>
      </c>
      <c r="AA2970">
        <v>2</v>
      </c>
      <c r="AB2970">
        <v>0</v>
      </c>
      <c r="AC2970">
        <v>0</v>
      </c>
      <c r="AD2970">
        <v>0</v>
      </c>
      <c r="AE2970">
        <v>0</v>
      </c>
      <c r="AF2970">
        <v>0</v>
      </c>
      <c r="AG2970">
        <v>0</v>
      </c>
      <c r="AH2970">
        <v>0</v>
      </c>
      <c r="AI2970">
        <v>0</v>
      </c>
      <c r="AJ2970">
        <v>0</v>
      </c>
      <c r="AK2970">
        <v>0</v>
      </c>
    </row>
    <row r="2971" spans="1:37" x14ac:dyDescent="0.3">
      <c r="A2971">
        <v>7533</v>
      </c>
      <c r="B2971" t="s">
        <v>3453</v>
      </c>
      <c r="D2971" t="s">
        <v>327</v>
      </c>
      <c r="E2971">
        <v>99999999</v>
      </c>
      <c r="F2971">
        <v>11111111</v>
      </c>
      <c r="G2971">
        <v>1111111111</v>
      </c>
      <c r="H2971" t="s">
        <v>6540</v>
      </c>
      <c r="I2971">
        <v>99999999</v>
      </c>
      <c r="J2971" s="188">
        <v>45238</v>
      </c>
      <c r="K2971" t="s">
        <v>6540</v>
      </c>
      <c r="L2971" t="s">
        <v>6540</v>
      </c>
      <c r="M2971" t="s">
        <v>2317</v>
      </c>
      <c r="N2971" t="s">
        <v>99</v>
      </c>
      <c r="O2971">
        <v>94502</v>
      </c>
      <c r="P2971" t="s">
        <v>221</v>
      </c>
      <c r="Q2971" t="s">
        <v>82</v>
      </c>
      <c r="R2971">
        <v>1</v>
      </c>
      <c r="S2971">
        <v>48.2</v>
      </c>
      <c r="T2971">
        <v>0</v>
      </c>
      <c r="U2971">
        <v>1</v>
      </c>
      <c r="V2971">
        <v>1</v>
      </c>
      <c r="W2971">
        <v>47.81</v>
      </c>
      <c r="X2971">
        <v>0</v>
      </c>
      <c r="Y2971">
        <v>0</v>
      </c>
      <c r="Z2971">
        <v>0</v>
      </c>
      <c r="AA2971">
        <v>1</v>
      </c>
      <c r="AB2971">
        <v>0</v>
      </c>
      <c r="AC2971">
        <v>0</v>
      </c>
      <c r="AD2971">
        <v>0</v>
      </c>
      <c r="AE2971">
        <v>0</v>
      </c>
      <c r="AF2971">
        <v>0</v>
      </c>
      <c r="AG2971">
        <v>0</v>
      </c>
      <c r="AH2971">
        <v>0</v>
      </c>
      <c r="AI2971">
        <v>0</v>
      </c>
      <c r="AJ2971">
        <v>0</v>
      </c>
      <c r="AK2971">
        <v>0</v>
      </c>
    </row>
    <row r="2972" spans="1:37" x14ac:dyDescent="0.3">
      <c r="A2972">
        <v>7533</v>
      </c>
      <c r="B2972" t="s">
        <v>3453</v>
      </c>
      <c r="D2972" t="s">
        <v>327</v>
      </c>
      <c r="E2972">
        <v>99999999</v>
      </c>
      <c r="F2972">
        <v>11111111</v>
      </c>
      <c r="G2972">
        <v>1111111111</v>
      </c>
      <c r="H2972" t="s">
        <v>6541</v>
      </c>
      <c r="I2972">
        <v>99999999</v>
      </c>
      <c r="J2972" s="188">
        <v>45238</v>
      </c>
      <c r="K2972" t="s">
        <v>6541</v>
      </c>
      <c r="L2972" t="s">
        <v>6541</v>
      </c>
      <c r="M2972" t="s">
        <v>3491</v>
      </c>
      <c r="N2972" t="s">
        <v>135</v>
      </c>
      <c r="O2972">
        <v>840572449</v>
      </c>
      <c r="P2972" t="s">
        <v>221</v>
      </c>
      <c r="Q2972" t="s">
        <v>82</v>
      </c>
      <c r="R2972">
        <v>3</v>
      </c>
      <c r="S2972">
        <v>144.6</v>
      </c>
      <c r="T2972">
        <v>0</v>
      </c>
      <c r="U2972">
        <v>3</v>
      </c>
      <c r="V2972">
        <v>1</v>
      </c>
      <c r="W2972">
        <v>155.97</v>
      </c>
      <c r="X2972">
        <v>0</v>
      </c>
      <c r="Y2972">
        <v>0</v>
      </c>
      <c r="Z2972">
        <v>0</v>
      </c>
      <c r="AA2972">
        <v>3</v>
      </c>
      <c r="AB2972">
        <v>0</v>
      </c>
      <c r="AC2972">
        <v>0</v>
      </c>
      <c r="AD2972">
        <v>0</v>
      </c>
      <c r="AE2972">
        <v>0</v>
      </c>
      <c r="AF2972">
        <v>0</v>
      </c>
      <c r="AG2972">
        <v>0</v>
      </c>
      <c r="AH2972">
        <v>0</v>
      </c>
      <c r="AI2972">
        <v>0</v>
      </c>
      <c r="AJ2972">
        <v>0</v>
      </c>
      <c r="AK2972">
        <v>0</v>
      </c>
    </row>
    <row r="2973" spans="1:37" x14ac:dyDescent="0.3">
      <c r="A2973">
        <v>7533</v>
      </c>
      <c r="B2973" t="s">
        <v>3453</v>
      </c>
      <c r="D2973" t="s">
        <v>327</v>
      </c>
      <c r="E2973">
        <v>99999999</v>
      </c>
      <c r="F2973">
        <v>11111111</v>
      </c>
      <c r="G2973">
        <v>1111111111</v>
      </c>
      <c r="H2973" t="s">
        <v>6542</v>
      </c>
      <c r="I2973">
        <v>99999999</v>
      </c>
      <c r="J2973" s="188">
        <v>45238</v>
      </c>
      <c r="K2973" t="s">
        <v>6542</v>
      </c>
      <c r="L2973" t="s">
        <v>6542</v>
      </c>
      <c r="M2973" t="s">
        <v>2049</v>
      </c>
      <c r="N2973" t="s">
        <v>99</v>
      </c>
      <c r="O2973">
        <v>93420</v>
      </c>
      <c r="P2973" t="s">
        <v>221</v>
      </c>
      <c r="Q2973" t="s">
        <v>82</v>
      </c>
      <c r="R2973">
        <v>3</v>
      </c>
      <c r="S2973">
        <v>49.8</v>
      </c>
      <c r="T2973">
        <v>0</v>
      </c>
      <c r="U2973">
        <v>3</v>
      </c>
      <c r="V2973">
        <v>1</v>
      </c>
      <c r="W2973">
        <v>96.4</v>
      </c>
      <c r="X2973">
        <v>0</v>
      </c>
      <c r="Y2973">
        <v>0</v>
      </c>
      <c r="Z2973">
        <v>0</v>
      </c>
      <c r="AA2973">
        <v>3</v>
      </c>
      <c r="AB2973">
        <v>0</v>
      </c>
      <c r="AC2973">
        <v>0</v>
      </c>
      <c r="AD2973">
        <v>0</v>
      </c>
      <c r="AE2973">
        <v>0</v>
      </c>
      <c r="AF2973">
        <v>0</v>
      </c>
      <c r="AG2973">
        <v>0</v>
      </c>
      <c r="AH2973">
        <v>0</v>
      </c>
      <c r="AI2973">
        <v>0</v>
      </c>
      <c r="AJ2973">
        <v>0</v>
      </c>
      <c r="AK2973">
        <v>0</v>
      </c>
    </row>
    <row r="2974" spans="1:37" x14ac:dyDescent="0.3">
      <c r="A2974">
        <v>7533</v>
      </c>
      <c r="B2974" t="s">
        <v>3453</v>
      </c>
      <c r="D2974" t="s">
        <v>327</v>
      </c>
      <c r="E2974">
        <v>99999999</v>
      </c>
      <c r="F2974">
        <v>11111111</v>
      </c>
      <c r="G2974">
        <v>1111111111</v>
      </c>
      <c r="H2974" t="s">
        <v>6543</v>
      </c>
      <c r="I2974">
        <v>99999999</v>
      </c>
      <c r="J2974" s="188">
        <v>45238</v>
      </c>
      <c r="K2974" t="s">
        <v>6543</v>
      </c>
      <c r="L2974" t="s">
        <v>6543</v>
      </c>
      <c r="M2974" t="s">
        <v>3238</v>
      </c>
      <c r="N2974" t="s">
        <v>99</v>
      </c>
      <c r="O2974">
        <v>947022617</v>
      </c>
      <c r="P2974" t="s">
        <v>221</v>
      </c>
      <c r="Q2974" t="s">
        <v>82</v>
      </c>
      <c r="R2974">
        <v>1</v>
      </c>
      <c r="S2974">
        <v>48.2</v>
      </c>
      <c r="T2974">
        <v>0</v>
      </c>
      <c r="U2974">
        <v>1</v>
      </c>
      <c r="V2974">
        <v>1</v>
      </c>
      <c r="W2974">
        <v>47.81</v>
      </c>
      <c r="X2974">
        <v>0</v>
      </c>
      <c r="Y2974">
        <v>0</v>
      </c>
      <c r="Z2974">
        <v>0</v>
      </c>
      <c r="AA2974">
        <v>1</v>
      </c>
      <c r="AB2974">
        <v>0</v>
      </c>
      <c r="AC2974">
        <v>0</v>
      </c>
      <c r="AD2974">
        <v>0</v>
      </c>
      <c r="AE2974">
        <v>0</v>
      </c>
      <c r="AF2974">
        <v>0</v>
      </c>
      <c r="AG2974">
        <v>0</v>
      </c>
      <c r="AH2974">
        <v>0</v>
      </c>
      <c r="AI2974">
        <v>0</v>
      </c>
      <c r="AJ2974">
        <v>0</v>
      </c>
      <c r="AK2974">
        <v>0</v>
      </c>
    </row>
    <row r="2975" spans="1:37" x14ac:dyDescent="0.3">
      <c r="A2975">
        <v>7533</v>
      </c>
      <c r="B2975" t="s">
        <v>3453</v>
      </c>
      <c r="D2975" t="s">
        <v>327</v>
      </c>
      <c r="E2975">
        <v>99999999</v>
      </c>
      <c r="F2975">
        <v>11111111</v>
      </c>
      <c r="G2975">
        <v>1111111111</v>
      </c>
      <c r="H2975" t="s">
        <v>6544</v>
      </c>
      <c r="I2975">
        <v>99999999</v>
      </c>
      <c r="J2975" s="188">
        <v>45238</v>
      </c>
      <c r="K2975" t="s">
        <v>6544</v>
      </c>
      <c r="L2975" t="s">
        <v>6544</v>
      </c>
      <c r="M2975" t="s">
        <v>3463</v>
      </c>
      <c r="N2975" t="s">
        <v>99</v>
      </c>
      <c r="O2975">
        <v>913255810</v>
      </c>
      <c r="P2975" t="s">
        <v>221</v>
      </c>
      <c r="Q2975" t="s">
        <v>82</v>
      </c>
      <c r="R2975">
        <v>1</v>
      </c>
      <c r="S2975">
        <v>35.625</v>
      </c>
      <c r="T2975">
        <v>0</v>
      </c>
      <c r="U2975">
        <v>1</v>
      </c>
      <c r="V2975">
        <v>1</v>
      </c>
      <c r="W2975">
        <v>70.84</v>
      </c>
      <c r="X2975">
        <v>0</v>
      </c>
      <c r="Y2975">
        <v>0</v>
      </c>
      <c r="Z2975">
        <v>0</v>
      </c>
      <c r="AA2975">
        <v>1</v>
      </c>
      <c r="AB2975">
        <v>0</v>
      </c>
      <c r="AC2975">
        <v>0</v>
      </c>
      <c r="AD2975">
        <v>0</v>
      </c>
      <c r="AE2975">
        <v>0</v>
      </c>
      <c r="AF2975">
        <v>0</v>
      </c>
      <c r="AG2975">
        <v>0</v>
      </c>
      <c r="AH2975">
        <v>0</v>
      </c>
      <c r="AI2975">
        <v>0</v>
      </c>
      <c r="AJ2975">
        <v>0</v>
      </c>
      <c r="AK2975">
        <v>0</v>
      </c>
    </row>
    <row r="2976" spans="1:37" x14ac:dyDescent="0.3">
      <c r="A2976">
        <v>7533</v>
      </c>
      <c r="B2976" t="s">
        <v>3453</v>
      </c>
      <c r="D2976" t="s">
        <v>327</v>
      </c>
      <c r="E2976">
        <v>99999999</v>
      </c>
      <c r="F2976">
        <v>11111111</v>
      </c>
      <c r="G2976">
        <v>1111111111</v>
      </c>
      <c r="H2976" t="s">
        <v>6545</v>
      </c>
      <c r="I2976">
        <v>99999999</v>
      </c>
      <c r="J2976" s="188">
        <v>45238</v>
      </c>
      <c r="K2976" t="s">
        <v>6545</v>
      </c>
      <c r="L2976" t="s">
        <v>6545</v>
      </c>
      <c r="M2976" t="s">
        <v>1026</v>
      </c>
      <c r="N2976" t="s">
        <v>99</v>
      </c>
      <c r="O2976">
        <v>949031253</v>
      </c>
      <c r="P2976" t="s">
        <v>221</v>
      </c>
      <c r="Q2976" t="s">
        <v>82</v>
      </c>
      <c r="R2976">
        <v>2</v>
      </c>
      <c r="S2976">
        <v>33.200000000000003</v>
      </c>
      <c r="T2976">
        <v>0</v>
      </c>
      <c r="U2976">
        <v>2</v>
      </c>
      <c r="V2976">
        <v>1</v>
      </c>
      <c r="W2976">
        <v>51.12</v>
      </c>
      <c r="X2976">
        <v>0</v>
      </c>
      <c r="Y2976">
        <v>0</v>
      </c>
      <c r="Z2976">
        <v>0</v>
      </c>
      <c r="AA2976">
        <v>2</v>
      </c>
      <c r="AB2976">
        <v>0</v>
      </c>
      <c r="AC2976">
        <v>0</v>
      </c>
      <c r="AD2976">
        <v>0</v>
      </c>
      <c r="AE2976">
        <v>0</v>
      </c>
      <c r="AF2976">
        <v>0</v>
      </c>
      <c r="AG2976">
        <v>0</v>
      </c>
      <c r="AH2976">
        <v>0</v>
      </c>
      <c r="AI2976">
        <v>0</v>
      </c>
      <c r="AJ2976">
        <v>0</v>
      </c>
      <c r="AK2976">
        <v>0</v>
      </c>
    </row>
    <row r="2977" spans="1:37" x14ac:dyDescent="0.3">
      <c r="A2977">
        <v>7533</v>
      </c>
      <c r="B2977" t="s">
        <v>3453</v>
      </c>
      <c r="D2977" t="s">
        <v>327</v>
      </c>
      <c r="E2977">
        <v>99999999</v>
      </c>
      <c r="F2977">
        <v>11111111</v>
      </c>
      <c r="G2977">
        <v>1111111111</v>
      </c>
      <c r="H2977" t="s">
        <v>6546</v>
      </c>
      <c r="I2977">
        <v>99999999</v>
      </c>
      <c r="J2977" s="188">
        <v>45238</v>
      </c>
      <c r="K2977" t="s">
        <v>6546</v>
      </c>
      <c r="L2977" t="s">
        <v>6546</v>
      </c>
      <c r="M2977" t="s">
        <v>1051</v>
      </c>
      <c r="N2977" t="s">
        <v>135</v>
      </c>
      <c r="O2977">
        <v>847906749</v>
      </c>
      <c r="P2977" t="s">
        <v>221</v>
      </c>
      <c r="Q2977" t="s">
        <v>82</v>
      </c>
      <c r="R2977">
        <v>1</v>
      </c>
      <c r="S2977">
        <v>48.2</v>
      </c>
      <c r="T2977">
        <v>0</v>
      </c>
      <c r="U2977">
        <v>1</v>
      </c>
      <c r="V2977">
        <v>1</v>
      </c>
      <c r="W2977">
        <v>51.99</v>
      </c>
      <c r="X2977">
        <v>0</v>
      </c>
      <c r="Y2977">
        <v>0</v>
      </c>
      <c r="Z2977">
        <v>0</v>
      </c>
      <c r="AA2977">
        <v>1</v>
      </c>
      <c r="AB2977">
        <v>0</v>
      </c>
      <c r="AC2977">
        <v>0</v>
      </c>
      <c r="AD2977">
        <v>0</v>
      </c>
      <c r="AE2977">
        <v>0</v>
      </c>
      <c r="AF2977">
        <v>0</v>
      </c>
      <c r="AG2977">
        <v>0</v>
      </c>
      <c r="AH2977">
        <v>0</v>
      </c>
      <c r="AI2977">
        <v>0</v>
      </c>
      <c r="AJ2977">
        <v>0</v>
      </c>
      <c r="AK2977">
        <v>0</v>
      </c>
    </row>
    <row r="2978" spans="1:37" x14ac:dyDescent="0.3">
      <c r="A2978">
        <v>7533</v>
      </c>
      <c r="B2978" t="s">
        <v>3453</v>
      </c>
      <c r="D2978" t="s">
        <v>327</v>
      </c>
      <c r="E2978">
        <v>99999999</v>
      </c>
      <c r="F2978">
        <v>11111111</v>
      </c>
      <c r="G2978">
        <v>1111111111</v>
      </c>
      <c r="H2978" t="s">
        <v>6547</v>
      </c>
      <c r="I2978">
        <v>99999999</v>
      </c>
      <c r="J2978" s="188">
        <v>45238</v>
      </c>
      <c r="K2978" t="s">
        <v>6547</v>
      </c>
      <c r="L2978" t="s">
        <v>6547</v>
      </c>
      <c r="M2978" t="s">
        <v>423</v>
      </c>
      <c r="N2978" t="s">
        <v>130</v>
      </c>
      <c r="O2978">
        <v>801344399</v>
      </c>
      <c r="P2978" t="s">
        <v>221</v>
      </c>
      <c r="Q2978" t="s">
        <v>82</v>
      </c>
      <c r="R2978">
        <v>1</v>
      </c>
      <c r="S2978">
        <v>16.600000000000001</v>
      </c>
      <c r="T2978">
        <v>0</v>
      </c>
      <c r="U2978">
        <v>1</v>
      </c>
      <c r="V2978">
        <v>1</v>
      </c>
      <c r="W2978">
        <v>29.11</v>
      </c>
      <c r="X2978">
        <v>0</v>
      </c>
      <c r="Y2978">
        <v>0</v>
      </c>
      <c r="Z2978">
        <v>0</v>
      </c>
      <c r="AA2978">
        <v>1</v>
      </c>
      <c r="AB2978">
        <v>0</v>
      </c>
      <c r="AC2978">
        <v>0</v>
      </c>
      <c r="AD2978">
        <v>0</v>
      </c>
      <c r="AE2978">
        <v>0</v>
      </c>
      <c r="AF2978">
        <v>0</v>
      </c>
      <c r="AG2978">
        <v>0</v>
      </c>
      <c r="AH2978">
        <v>0</v>
      </c>
      <c r="AI2978">
        <v>0</v>
      </c>
      <c r="AJ2978">
        <v>0</v>
      </c>
      <c r="AK2978">
        <v>0</v>
      </c>
    </row>
    <row r="2979" spans="1:37" x14ac:dyDescent="0.3">
      <c r="A2979">
        <v>7533</v>
      </c>
      <c r="B2979" t="s">
        <v>3453</v>
      </c>
      <c r="D2979" t="s">
        <v>327</v>
      </c>
      <c r="E2979">
        <v>99999999</v>
      </c>
      <c r="F2979">
        <v>11111111</v>
      </c>
      <c r="G2979">
        <v>1111111111</v>
      </c>
      <c r="H2979" t="s">
        <v>6548</v>
      </c>
      <c r="I2979">
        <v>99999999</v>
      </c>
      <c r="J2979" s="188">
        <v>45238</v>
      </c>
      <c r="K2979" t="s">
        <v>6548</v>
      </c>
      <c r="L2979" t="s">
        <v>6548</v>
      </c>
      <c r="M2979" t="s">
        <v>3492</v>
      </c>
      <c r="N2979" t="s">
        <v>135</v>
      </c>
      <c r="O2979">
        <v>846275527</v>
      </c>
      <c r="P2979" t="s">
        <v>221</v>
      </c>
      <c r="Q2979" t="s">
        <v>82</v>
      </c>
      <c r="R2979">
        <v>2</v>
      </c>
      <c r="S2979">
        <v>96.4</v>
      </c>
      <c r="T2979">
        <v>0</v>
      </c>
      <c r="U2979">
        <v>2</v>
      </c>
      <c r="V2979">
        <v>1</v>
      </c>
      <c r="W2979">
        <v>120.46</v>
      </c>
      <c r="X2979">
        <v>0</v>
      </c>
      <c r="Y2979">
        <v>0</v>
      </c>
      <c r="Z2979">
        <v>0</v>
      </c>
      <c r="AA2979">
        <v>2</v>
      </c>
      <c r="AB2979">
        <v>0</v>
      </c>
      <c r="AC2979">
        <v>0</v>
      </c>
      <c r="AD2979">
        <v>0</v>
      </c>
      <c r="AE2979">
        <v>0</v>
      </c>
      <c r="AF2979">
        <v>0</v>
      </c>
      <c r="AG2979">
        <v>0</v>
      </c>
      <c r="AH2979">
        <v>0</v>
      </c>
      <c r="AI2979">
        <v>0</v>
      </c>
      <c r="AJ2979">
        <v>0</v>
      </c>
      <c r="AK2979">
        <v>0</v>
      </c>
    </row>
    <row r="2980" spans="1:37" x14ac:dyDescent="0.3">
      <c r="A2980">
        <v>7533</v>
      </c>
      <c r="B2980" t="s">
        <v>3453</v>
      </c>
      <c r="D2980" t="s">
        <v>327</v>
      </c>
      <c r="E2980">
        <v>99999999</v>
      </c>
      <c r="F2980">
        <v>11111111</v>
      </c>
      <c r="G2980">
        <v>1111111111</v>
      </c>
      <c r="H2980" t="s">
        <v>6549</v>
      </c>
      <c r="I2980">
        <v>99999999</v>
      </c>
      <c r="J2980" s="188">
        <v>45238</v>
      </c>
      <c r="K2980" t="s">
        <v>6549</v>
      </c>
      <c r="L2980" t="s">
        <v>6549</v>
      </c>
      <c r="M2980" t="s">
        <v>3493</v>
      </c>
      <c r="N2980" t="s">
        <v>99</v>
      </c>
      <c r="O2980">
        <v>939303793</v>
      </c>
      <c r="P2980" t="s">
        <v>221</v>
      </c>
      <c r="Q2980" t="s">
        <v>82</v>
      </c>
      <c r="R2980">
        <v>1</v>
      </c>
      <c r="S2980">
        <v>48.2</v>
      </c>
      <c r="T2980">
        <v>0</v>
      </c>
      <c r="U2980">
        <v>1</v>
      </c>
      <c r="V2980">
        <v>1</v>
      </c>
      <c r="W2980">
        <v>56.05</v>
      </c>
      <c r="X2980">
        <v>0</v>
      </c>
      <c r="Y2980">
        <v>0</v>
      </c>
      <c r="Z2980">
        <v>0</v>
      </c>
      <c r="AA2980">
        <v>1</v>
      </c>
      <c r="AB2980">
        <v>0</v>
      </c>
      <c r="AC2980">
        <v>0</v>
      </c>
      <c r="AD2980">
        <v>0</v>
      </c>
      <c r="AE2980">
        <v>0</v>
      </c>
      <c r="AF2980">
        <v>0</v>
      </c>
      <c r="AG2980">
        <v>0</v>
      </c>
      <c r="AH2980">
        <v>0</v>
      </c>
      <c r="AI2980">
        <v>0</v>
      </c>
      <c r="AJ2980">
        <v>0</v>
      </c>
      <c r="AK2980">
        <v>0</v>
      </c>
    </row>
    <row r="2981" spans="1:37" x14ac:dyDescent="0.3">
      <c r="A2981">
        <v>7533</v>
      </c>
      <c r="B2981" t="s">
        <v>3453</v>
      </c>
      <c r="D2981" t="s">
        <v>327</v>
      </c>
      <c r="E2981">
        <v>99999999</v>
      </c>
      <c r="F2981">
        <v>11111111</v>
      </c>
      <c r="G2981">
        <v>1111111111</v>
      </c>
      <c r="H2981" t="s">
        <v>6550</v>
      </c>
      <c r="I2981">
        <v>99999999</v>
      </c>
      <c r="J2981" s="188">
        <v>45238</v>
      </c>
      <c r="K2981" t="s">
        <v>6550</v>
      </c>
      <c r="L2981" t="s">
        <v>6550</v>
      </c>
      <c r="M2981" t="s">
        <v>875</v>
      </c>
      <c r="N2981" t="s">
        <v>97</v>
      </c>
      <c r="O2981">
        <v>980756022</v>
      </c>
      <c r="P2981" t="s">
        <v>221</v>
      </c>
      <c r="Q2981" t="s">
        <v>82</v>
      </c>
      <c r="R2981">
        <v>1</v>
      </c>
      <c r="S2981">
        <v>48.2</v>
      </c>
      <c r="T2981">
        <v>0</v>
      </c>
      <c r="U2981">
        <v>1</v>
      </c>
      <c r="V2981">
        <v>1</v>
      </c>
      <c r="W2981">
        <v>51.99</v>
      </c>
      <c r="X2981">
        <v>0</v>
      </c>
      <c r="Y2981">
        <v>0</v>
      </c>
      <c r="Z2981">
        <v>0</v>
      </c>
      <c r="AA2981">
        <v>1</v>
      </c>
      <c r="AB2981">
        <v>0</v>
      </c>
      <c r="AC2981">
        <v>0</v>
      </c>
      <c r="AD2981">
        <v>0</v>
      </c>
      <c r="AE2981">
        <v>0</v>
      </c>
      <c r="AF2981">
        <v>0</v>
      </c>
      <c r="AG2981">
        <v>0</v>
      </c>
      <c r="AH2981">
        <v>0</v>
      </c>
      <c r="AI2981">
        <v>0</v>
      </c>
      <c r="AJ2981">
        <v>0</v>
      </c>
      <c r="AK2981">
        <v>0</v>
      </c>
    </row>
    <row r="2982" spans="1:37" x14ac:dyDescent="0.3">
      <c r="A2982">
        <v>7533</v>
      </c>
      <c r="B2982" t="s">
        <v>3453</v>
      </c>
      <c r="D2982" t="s">
        <v>327</v>
      </c>
      <c r="E2982">
        <v>99999999</v>
      </c>
      <c r="F2982">
        <v>11111111</v>
      </c>
      <c r="G2982">
        <v>1111111111</v>
      </c>
      <c r="H2982" t="s">
        <v>6551</v>
      </c>
      <c r="I2982">
        <v>99999999</v>
      </c>
      <c r="J2982" s="188">
        <v>45238</v>
      </c>
      <c r="K2982" t="s">
        <v>6551</v>
      </c>
      <c r="L2982" t="s">
        <v>6551</v>
      </c>
      <c r="M2982" t="s">
        <v>246</v>
      </c>
      <c r="N2982" t="s">
        <v>99</v>
      </c>
      <c r="O2982">
        <v>941071901</v>
      </c>
      <c r="P2982" t="s">
        <v>221</v>
      </c>
      <c r="Q2982" t="s">
        <v>82</v>
      </c>
      <c r="R2982">
        <v>2</v>
      </c>
      <c r="S2982">
        <v>96.4</v>
      </c>
      <c r="T2982">
        <v>0</v>
      </c>
      <c r="U2982">
        <v>2</v>
      </c>
      <c r="V2982">
        <v>1</v>
      </c>
      <c r="W2982">
        <v>95.61</v>
      </c>
      <c r="X2982">
        <v>0</v>
      </c>
      <c r="Y2982">
        <v>0</v>
      </c>
      <c r="Z2982">
        <v>0</v>
      </c>
      <c r="AA2982">
        <v>2</v>
      </c>
      <c r="AB2982">
        <v>0</v>
      </c>
      <c r="AC2982">
        <v>0</v>
      </c>
      <c r="AD2982">
        <v>0</v>
      </c>
      <c r="AE2982">
        <v>0</v>
      </c>
      <c r="AF2982">
        <v>0</v>
      </c>
      <c r="AG2982">
        <v>0</v>
      </c>
      <c r="AH2982">
        <v>0</v>
      </c>
      <c r="AI2982">
        <v>0</v>
      </c>
      <c r="AJ2982">
        <v>0</v>
      </c>
      <c r="AK2982">
        <v>0</v>
      </c>
    </row>
    <row r="2983" spans="1:37" x14ac:dyDescent="0.3">
      <c r="A2983">
        <v>7533</v>
      </c>
      <c r="B2983" t="s">
        <v>3453</v>
      </c>
      <c r="D2983" t="s">
        <v>327</v>
      </c>
      <c r="E2983">
        <v>99999999</v>
      </c>
      <c r="F2983">
        <v>11111111</v>
      </c>
      <c r="G2983">
        <v>1111111111</v>
      </c>
      <c r="H2983" t="s">
        <v>6552</v>
      </c>
      <c r="I2983">
        <v>99999999</v>
      </c>
      <c r="J2983" s="188">
        <v>45238</v>
      </c>
      <c r="K2983" t="s">
        <v>6552</v>
      </c>
      <c r="L2983" t="s">
        <v>6552</v>
      </c>
      <c r="M2983" t="s">
        <v>3494</v>
      </c>
      <c r="N2983" t="s">
        <v>135</v>
      </c>
      <c r="O2983">
        <v>840958244</v>
      </c>
      <c r="P2983" t="s">
        <v>221</v>
      </c>
      <c r="Q2983" t="s">
        <v>82</v>
      </c>
      <c r="R2983">
        <v>1</v>
      </c>
      <c r="S2983">
        <v>48.2</v>
      </c>
      <c r="T2983">
        <v>0</v>
      </c>
      <c r="U2983">
        <v>1</v>
      </c>
      <c r="V2983">
        <v>1</v>
      </c>
      <c r="W2983">
        <v>51.99</v>
      </c>
      <c r="X2983">
        <v>0</v>
      </c>
      <c r="Y2983">
        <v>0</v>
      </c>
      <c r="Z2983">
        <v>0</v>
      </c>
      <c r="AA2983">
        <v>1</v>
      </c>
      <c r="AB2983">
        <v>0</v>
      </c>
      <c r="AC2983">
        <v>0</v>
      </c>
      <c r="AD2983">
        <v>0</v>
      </c>
      <c r="AE2983">
        <v>0</v>
      </c>
      <c r="AF2983">
        <v>0</v>
      </c>
      <c r="AG2983">
        <v>0</v>
      </c>
      <c r="AH2983">
        <v>0</v>
      </c>
      <c r="AI2983">
        <v>0</v>
      </c>
      <c r="AJ2983">
        <v>0</v>
      </c>
      <c r="AK2983">
        <v>0</v>
      </c>
    </row>
    <row r="2984" spans="1:37" x14ac:dyDescent="0.3">
      <c r="A2984">
        <v>7533</v>
      </c>
      <c r="B2984" t="s">
        <v>3453</v>
      </c>
      <c r="D2984" t="s">
        <v>327</v>
      </c>
      <c r="E2984">
        <v>99999999</v>
      </c>
      <c r="F2984">
        <v>11111111</v>
      </c>
      <c r="G2984">
        <v>1111111111</v>
      </c>
      <c r="H2984" t="s">
        <v>6553</v>
      </c>
      <c r="I2984">
        <v>99999999</v>
      </c>
      <c r="J2984" s="188">
        <v>45238</v>
      </c>
      <c r="K2984" t="s">
        <v>6553</v>
      </c>
      <c r="L2984" t="s">
        <v>6553</v>
      </c>
      <c r="M2984" t="s">
        <v>173</v>
      </c>
      <c r="N2984" t="s">
        <v>164</v>
      </c>
      <c r="O2984">
        <v>972322532</v>
      </c>
      <c r="P2984" t="s">
        <v>221</v>
      </c>
      <c r="Q2984" t="s">
        <v>82</v>
      </c>
      <c r="R2984">
        <v>1</v>
      </c>
      <c r="S2984">
        <v>48.2</v>
      </c>
      <c r="T2984">
        <v>0</v>
      </c>
      <c r="U2984">
        <v>1</v>
      </c>
      <c r="V2984">
        <v>1</v>
      </c>
      <c r="W2984">
        <v>51.99</v>
      </c>
      <c r="X2984">
        <v>0</v>
      </c>
      <c r="Y2984">
        <v>0</v>
      </c>
      <c r="Z2984">
        <v>0</v>
      </c>
      <c r="AA2984">
        <v>1</v>
      </c>
      <c r="AB2984">
        <v>0</v>
      </c>
      <c r="AC2984">
        <v>0</v>
      </c>
      <c r="AD2984">
        <v>0</v>
      </c>
      <c r="AE2984">
        <v>0</v>
      </c>
      <c r="AF2984">
        <v>0</v>
      </c>
      <c r="AG2984">
        <v>0</v>
      </c>
      <c r="AH2984">
        <v>0</v>
      </c>
      <c r="AI2984">
        <v>0</v>
      </c>
      <c r="AJ2984">
        <v>0</v>
      </c>
      <c r="AK2984">
        <v>0</v>
      </c>
    </row>
    <row r="2985" spans="1:37" x14ac:dyDescent="0.3">
      <c r="A2985">
        <v>7533</v>
      </c>
      <c r="B2985" t="s">
        <v>3453</v>
      </c>
      <c r="D2985" t="s">
        <v>327</v>
      </c>
      <c r="E2985">
        <v>99999999</v>
      </c>
      <c r="F2985">
        <v>11111111</v>
      </c>
      <c r="G2985">
        <v>1111111111</v>
      </c>
      <c r="H2985" t="s">
        <v>6554</v>
      </c>
      <c r="I2985">
        <v>99999999</v>
      </c>
      <c r="J2985" s="188">
        <v>45238</v>
      </c>
      <c r="K2985" t="s">
        <v>6554</v>
      </c>
      <c r="L2985" t="s">
        <v>6554</v>
      </c>
      <c r="M2985" t="s">
        <v>677</v>
      </c>
      <c r="N2985" t="s">
        <v>85</v>
      </c>
      <c r="O2985">
        <v>891446618</v>
      </c>
      <c r="P2985" t="s">
        <v>221</v>
      </c>
      <c r="Q2985" t="s">
        <v>82</v>
      </c>
      <c r="R2985">
        <v>1</v>
      </c>
      <c r="S2985">
        <v>35.625</v>
      </c>
      <c r="T2985">
        <v>0</v>
      </c>
      <c r="U2985">
        <v>1</v>
      </c>
      <c r="V2985">
        <v>1</v>
      </c>
      <c r="W2985">
        <v>70.84</v>
      </c>
      <c r="X2985">
        <v>0</v>
      </c>
      <c r="Y2985">
        <v>0</v>
      </c>
      <c r="Z2985">
        <v>0</v>
      </c>
      <c r="AA2985">
        <v>1</v>
      </c>
      <c r="AB2985">
        <v>0</v>
      </c>
      <c r="AC2985">
        <v>0</v>
      </c>
      <c r="AD2985">
        <v>0</v>
      </c>
      <c r="AE2985">
        <v>0</v>
      </c>
      <c r="AF2985">
        <v>0</v>
      </c>
      <c r="AG2985">
        <v>0</v>
      </c>
      <c r="AH2985">
        <v>0</v>
      </c>
      <c r="AI2985">
        <v>0</v>
      </c>
      <c r="AJ2985">
        <v>0</v>
      </c>
      <c r="AK2985">
        <v>0</v>
      </c>
    </row>
    <row r="2986" spans="1:37" x14ac:dyDescent="0.3">
      <c r="A2986">
        <v>7533</v>
      </c>
      <c r="B2986" t="s">
        <v>3453</v>
      </c>
      <c r="D2986" t="s">
        <v>327</v>
      </c>
      <c r="E2986">
        <v>99999999</v>
      </c>
      <c r="F2986">
        <v>11111111</v>
      </c>
      <c r="G2986">
        <v>1111111111</v>
      </c>
      <c r="H2986" t="s">
        <v>6555</v>
      </c>
      <c r="I2986">
        <v>99999999</v>
      </c>
      <c r="J2986" s="188">
        <v>45238</v>
      </c>
      <c r="K2986" t="s">
        <v>6555</v>
      </c>
      <c r="L2986" t="s">
        <v>6555</v>
      </c>
      <c r="M2986" t="s">
        <v>1579</v>
      </c>
      <c r="N2986" t="s">
        <v>99</v>
      </c>
      <c r="O2986">
        <v>959639150</v>
      </c>
      <c r="P2986" t="s">
        <v>221</v>
      </c>
      <c r="Q2986" t="s">
        <v>82</v>
      </c>
      <c r="R2986">
        <v>2</v>
      </c>
      <c r="S2986">
        <v>33.200000000000003</v>
      </c>
      <c r="T2986">
        <v>0</v>
      </c>
      <c r="U2986">
        <v>2</v>
      </c>
      <c r="V2986">
        <v>1</v>
      </c>
      <c r="W2986">
        <v>64.150000000000006</v>
      </c>
      <c r="X2986">
        <v>0</v>
      </c>
      <c r="Y2986">
        <v>0</v>
      </c>
      <c r="Z2986">
        <v>0</v>
      </c>
      <c r="AA2986">
        <v>2</v>
      </c>
      <c r="AB2986">
        <v>0</v>
      </c>
      <c r="AC2986">
        <v>0</v>
      </c>
      <c r="AD2986">
        <v>0</v>
      </c>
      <c r="AE2986">
        <v>0</v>
      </c>
      <c r="AF2986">
        <v>0</v>
      </c>
      <c r="AG2986">
        <v>0</v>
      </c>
      <c r="AH2986">
        <v>0</v>
      </c>
      <c r="AI2986">
        <v>0</v>
      </c>
      <c r="AJ2986">
        <v>0</v>
      </c>
      <c r="AK2986">
        <v>0</v>
      </c>
    </row>
    <row r="2987" spans="1:37" x14ac:dyDescent="0.3">
      <c r="A2987">
        <v>7533</v>
      </c>
      <c r="B2987" t="s">
        <v>3453</v>
      </c>
      <c r="D2987" t="s">
        <v>327</v>
      </c>
      <c r="E2987">
        <v>99999999</v>
      </c>
      <c r="F2987">
        <v>11111111</v>
      </c>
      <c r="G2987">
        <v>1111111111</v>
      </c>
      <c r="H2987" t="s">
        <v>6556</v>
      </c>
      <c r="I2987">
        <v>99999999</v>
      </c>
      <c r="J2987" s="188">
        <v>45238</v>
      </c>
      <c r="K2987" t="s">
        <v>6556</v>
      </c>
      <c r="L2987" t="s">
        <v>6556</v>
      </c>
      <c r="M2987" t="s">
        <v>149</v>
      </c>
      <c r="N2987" t="s">
        <v>99</v>
      </c>
      <c r="O2987">
        <v>937110515</v>
      </c>
      <c r="P2987" t="s">
        <v>221</v>
      </c>
      <c r="Q2987" t="s">
        <v>82</v>
      </c>
      <c r="R2987">
        <v>1</v>
      </c>
      <c r="S2987">
        <v>48.2</v>
      </c>
      <c r="T2987">
        <v>0</v>
      </c>
      <c r="U2987">
        <v>1</v>
      </c>
      <c r="V2987">
        <v>1</v>
      </c>
      <c r="W2987">
        <v>47.81</v>
      </c>
      <c r="X2987">
        <v>0</v>
      </c>
      <c r="Y2987">
        <v>0</v>
      </c>
      <c r="Z2987">
        <v>0</v>
      </c>
      <c r="AA2987">
        <v>1</v>
      </c>
      <c r="AB2987">
        <v>0</v>
      </c>
      <c r="AC2987">
        <v>0</v>
      </c>
      <c r="AD2987">
        <v>0</v>
      </c>
      <c r="AE2987">
        <v>0</v>
      </c>
      <c r="AF2987">
        <v>0</v>
      </c>
      <c r="AG2987">
        <v>0</v>
      </c>
      <c r="AH2987">
        <v>0</v>
      </c>
      <c r="AI2987">
        <v>0</v>
      </c>
      <c r="AJ2987">
        <v>0</v>
      </c>
      <c r="AK2987">
        <v>0</v>
      </c>
    </row>
    <row r="2988" spans="1:37" x14ac:dyDescent="0.3">
      <c r="A2988">
        <v>7533</v>
      </c>
      <c r="B2988" t="s">
        <v>3453</v>
      </c>
      <c r="D2988" t="s">
        <v>327</v>
      </c>
      <c r="E2988">
        <v>99999999</v>
      </c>
      <c r="F2988">
        <v>11111111</v>
      </c>
      <c r="G2988">
        <v>1111111111</v>
      </c>
      <c r="H2988" t="s">
        <v>6557</v>
      </c>
      <c r="I2988">
        <v>99999999</v>
      </c>
      <c r="J2988" s="188">
        <v>45238</v>
      </c>
      <c r="K2988" t="s">
        <v>6557</v>
      </c>
      <c r="L2988" t="s">
        <v>6557</v>
      </c>
      <c r="M2988" t="s">
        <v>1985</v>
      </c>
      <c r="N2988" t="s">
        <v>130</v>
      </c>
      <c r="O2988">
        <v>801089597</v>
      </c>
      <c r="P2988" t="s">
        <v>221</v>
      </c>
      <c r="Q2988" t="s">
        <v>82</v>
      </c>
      <c r="R2988">
        <v>2</v>
      </c>
      <c r="S2988">
        <v>96.4</v>
      </c>
      <c r="T2988">
        <v>0</v>
      </c>
      <c r="U2988">
        <v>2</v>
      </c>
      <c r="V2988">
        <v>1</v>
      </c>
      <c r="W2988">
        <v>126.98</v>
      </c>
      <c r="X2988">
        <v>0</v>
      </c>
      <c r="Y2988">
        <v>0</v>
      </c>
      <c r="Z2988">
        <v>0</v>
      </c>
      <c r="AA2988">
        <v>2</v>
      </c>
      <c r="AB2988">
        <v>0</v>
      </c>
      <c r="AC2988">
        <v>0</v>
      </c>
      <c r="AD2988">
        <v>0</v>
      </c>
      <c r="AE2988">
        <v>0</v>
      </c>
      <c r="AF2988">
        <v>0</v>
      </c>
      <c r="AG2988">
        <v>0</v>
      </c>
      <c r="AH2988">
        <v>0</v>
      </c>
      <c r="AI2988">
        <v>0</v>
      </c>
      <c r="AJ2988">
        <v>0</v>
      </c>
      <c r="AK2988">
        <v>0</v>
      </c>
    </row>
    <row r="2989" spans="1:37" x14ac:dyDescent="0.3">
      <c r="A2989">
        <v>3740</v>
      </c>
      <c r="B2989" t="s">
        <v>211</v>
      </c>
      <c r="D2989" t="s">
        <v>212</v>
      </c>
      <c r="E2989">
        <v>99999999</v>
      </c>
      <c r="F2989">
        <v>11111111</v>
      </c>
      <c r="G2989">
        <v>1111111111</v>
      </c>
      <c r="H2989" t="s">
        <v>6558</v>
      </c>
      <c r="I2989">
        <v>99999999</v>
      </c>
      <c r="J2989" s="188">
        <v>45237</v>
      </c>
      <c r="K2989" t="s">
        <v>6558</v>
      </c>
      <c r="L2989" t="s">
        <v>6558</v>
      </c>
      <c r="M2989" t="s">
        <v>448</v>
      </c>
      <c r="N2989" t="s">
        <v>197</v>
      </c>
      <c r="O2989">
        <v>77029</v>
      </c>
      <c r="P2989" t="s">
        <v>214</v>
      </c>
      <c r="Q2989" t="s">
        <v>130</v>
      </c>
      <c r="R2989">
        <v>42417</v>
      </c>
      <c r="S2989">
        <v>42417</v>
      </c>
      <c r="T2989">
        <v>0</v>
      </c>
      <c r="U2989">
        <v>42417</v>
      </c>
      <c r="V2989">
        <v>1</v>
      </c>
      <c r="W2989">
        <v>0</v>
      </c>
      <c r="X2989">
        <v>0</v>
      </c>
      <c r="Y2989">
        <v>0</v>
      </c>
      <c r="Z2989">
        <v>0</v>
      </c>
      <c r="AA2989">
        <v>0</v>
      </c>
      <c r="AB2989">
        <v>0</v>
      </c>
      <c r="AC2989">
        <v>42417</v>
      </c>
      <c r="AD2989">
        <v>0</v>
      </c>
      <c r="AE2989">
        <v>0</v>
      </c>
      <c r="AF2989">
        <v>0</v>
      </c>
      <c r="AG2989">
        <v>0</v>
      </c>
      <c r="AH2989">
        <v>0</v>
      </c>
      <c r="AI2989">
        <v>0</v>
      </c>
      <c r="AJ2989">
        <v>0</v>
      </c>
      <c r="AK2989">
        <v>0</v>
      </c>
    </row>
    <row r="2990" spans="1:37" x14ac:dyDescent="0.3">
      <c r="A2990">
        <v>4450</v>
      </c>
      <c r="B2990" t="s">
        <v>77</v>
      </c>
      <c r="D2990" t="s">
        <v>83</v>
      </c>
      <c r="E2990">
        <v>99999999</v>
      </c>
      <c r="F2990">
        <v>11111111</v>
      </c>
      <c r="G2990">
        <v>1111111111</v>
      </c>
      <c r="H2990" t="s">
        <v>6559</v>
      </c>
      <c r="I2990">
        <v>99999999</v>
      </c>
      <c r="J2990" s="188">
        <v>45236</v>
      </c>
      <c r="K2990" t="s">
        <v>6559</v>
      </c>
      <c r="L2990" t="s">
        <v>6559</v>
      </c>
      <c r="M2990" t="s">
        <v>98</v>
      </c>
      <c r="N2990" t="s">
        <v>99</v>
      </c>
      <c r="O2990" t="s">
        <v>105</v>
      </c>
      <c r="Q2990" t="s">
        <v>82</v>
      </c>
      <c r="R2990">
        <v>190</v>
      </c>
      <c r="S2990">
        <v>837.36</v>
      </c>
      <c r="T2990">
        <v>1</v>
      </c>
      <c r="U2990">
        <v>23</v>
      </c>
      <c r="V2990">
        <v>4</v>
      </c>
      <c r="W2990">
        <v>0</v>
      </c>
      <c r="X2990">
        <v>0</v>
      </c>
      <c r="Y2990">
        <v>0</v>
      </c>
      <c r="Z2990">
        <v>0</v>
      </c>
      <c r="AA2990">
        <v>23</v>
      </c>
      <c r="AB2990">
        <v>0</v>
      </c>
      <c r="AC2990">
        <v>0</v>
      </c>
      <c r="AD2990">
        <v>0</v>
      </c>
      <c r="AE2990">
        <v>0</v>
      </c>
      <c r="AF2990">
        <v>0</v>
      </c>
      <c r="AG2990">
        <v>0</v>
      </c>
      <c r="AH2990">
        <v>0</v>
      </c>
      <c r="AI2990">
        <v>0</v>
      </c>
      <c r="AJ2990">
        <v>0</v>
      </c>
      <c r="AK2990">
        <v>0</v>
      </c>
    </row>
    <row r="2991" spans="1:37" x14ac:dyDescent="0.3">
      <c r="A2991">
        <v>4450</v>
      </c>
      <c r="B2991" t="s">
        <v>77</v>
      </c>
      <c r="D2991" t="s">
        <v>83</v>
      </c>
      <c r="E2991">
        <v>99999999</v>
      </c>
      <c r="F2991">
        <v>11111111</v>
      </c>
      <c r="G2991">
        <v>1111111111</v>
      </c>
      <c r="H2991" t="s">
        <v>6560</v>
      </c>
      <c r="I2991">
        <v>99999999</v>
      </c>
      <c r="J2991" s="188">
        <v>45236</v>
      </c>
      <c r="K2991" t="s">
        <v>6560</v>
      </c>
      <c r="L2991" t="s">
        <v>6560</v>
      </c>
      <c r="M2991" t="s">
        <v>3495</v>
      </c>
      <c r="N2991" t="s">
        <v>122</v>
      </c>
      <c r="O2991">
        <v>88256</v>
      </c>
      <c r="Q2991" t="s">
        <v>82</v>
      </c>
      <c r="R2991">
        <v>120</v>
      </c>
      <c r="S2991">
        <v>288</v>
      </c>
      <c r="T2991">
        <v>1</v>
      </c>
      <c r="U2991">
        <v>6</v>
      </c>
      <c r="V2991">
        <v>1</v>
      </c>
      <c r="W2991">
        <v>0</v>
      </c>
      <c r="X2991">
        <v>0</v>
      </c>
      <c r="Y2991">
        <v>0</v>
      </c>
      <c r="Z2991">
        <v>0</v>
      </c>
      <c r="AA2991">
        <v>6</v>
      </c>
      <c r="AB2991">
        <v>0</v>
      </c>
      <c r="AC2991">
        <v>0</v>
      </c>
      <c r="AD2991">
        <v>0</v>
      </c>
      <c r="AE2991">
        <v>0</v>
      </c>
      <c r="AF2991">
        <v>0</v>
      </c>
      <c r="AG2991">
        <v>0</v>
      </c>
      <c r="AH2991">
        <v>0</v>
      </c>
      <c r="AI2991">
        <v>0</v>
      </c>
      <c r="AJ2991">
        <v>0</v>
      </c>
      <c r="AK2991">
        <v>0</v>
      </c>
    </row>
    <row r="2992" spans="1:37" x14ac:dyDescent="0.3">
      <c r="A2992">
        <v>4450</v>
      </c>
      <c r="B2992" t="s">
        <v>77</v>
      </c>
      <c r="D2992" t="s">
        <v>83</v>
      </c>
      <c r="E2992">
        <v>99999999</v>
      </c>
      <c r="F2992">
        <v>11111111</v>
      </c>
      <c r="G2992">
        <v>1111111111</v>
      </c>
      <c r="H2992" t="s">
        <v>6561</v>
      </c>
      <c r="I2992">
        <v>99999999</v>
      </c>
      <c r="J2992" s="188">
        <v>45236</v>
      </c>
      <c r="K2992" t="s">
        <v>6561</v>
      </c>
      <c r="L2992" t="s">
        <v>6561</v>
      </c>
      <c r="M2992" t="s">
        <v>173</v>
      </c>
      <c r="N2992" t="s">
        <v>164</v>
      </c>
      <c r="O2992">
        <v>97230</v>
      </c>
      <c r="Q2992" t="s">
        <v>82</v>
      </c>
      <c r="R2992">
        <v>222</v>
      </c>
      <c r="S2992">
        <v>610.44000000000005</v>
      </c>
      <c r="T2992">
        <v>1</v>
      </c>
      <c r="U2992">
        <v>37</v>
      </c>
      <c r="V2992">
        <v>8</v>
      </c>
      <c r="W2992">
        <v>0</v>
      </c>
      <c r="X2992">
        <v>186</v>
      </c>
      <c r="Y2992">
        <v>0</v>
      </c>
      <c r="Z2992">
        <v>0</v>
      </c>
      <c r="AA2992">
        <v>36</v>
      </c>
      <c r="AB2992">
        <v>0</v>
      </c>
      <c r="AC2992">
        <v>0</v>
      </c>
      <c r="AD2992">
        <v>0</v>
      </c>
      <c r="AE2992">
        <v>0</v>
      </c>
      <c r="AF2992">
        <v>0</v>
      </c>
      <c r="AG2992">
        <v>0</v>
      </c>
      <c r="AH2992">
        <v>0</v>
      </c>
      <c r="AI2992">
        <v>0</v>
      </c>
      <c r="AJ2992">
        <v>0</v>
      </c>
      <c r="AK2992">
        <v>0</v>
      </c>
    </row>
    <row r="2993" spans="1:37" x14ac:dyDescent="0.3">
      <c r="A2993">
        <v>4450</v>
      </c>
      <c r="B2993" t="s">
        <v>77</v>
      </c>
      <c r="D2993" t="s">
        <v>83</v>
      </c>
      <c r="E2993">
        <v>99999999</v>
      </c>
      <c r="F2993">
        <v>11111111</v>
      </c>
      <c r="G2993">
        <v>1111111111</v>
      </c>
      <c r="H2993" t="s">
        <v>6562</v>
      </c>
      <c r="I2993">
        <v>99999999</v>
      </c>
      <c r="J2993" s="188">
        <v>45236</v>
      </c>
      <c r="K2993" t="s">
        <v>6562</v>
      </c>
      <c r="L2993" t="s">
        <v>6562</v>
      </c>
      <c r="M2993" t="s">
        <v>1336</v>
      </c>
      <c r="N2993" t="s">
        <v>97</v>
      </c>
      <c r="O2993">
        <v>98354</v>
      </c>
      <c r="Q2993" t="s">
        <v>82</v>
      </c>
      <c r="R2993">
        <v>84</v>
      </c>
      <c r="S2993">
        <v>630</v>
      </c>
      <c r="T2993">
        <v>1</v>
      </c>
      <c r="U2993">
        <v>14</v>
      </c>
      <c r="V2993">
        <v>2</v>
      </c>
      <c r="W2993">
        <v>0</v>
      </c>
      <c r="X2993">
        <v>0</v>
      </c>
      <c r="Y2993">
        <v>0</v>
      </c>
      <c r="Z2993">
        <v>0</v>
      </c>
      <c r="AA2993">
        <v>14</v>
      </c>
      <c r="AB2993">
        <v>0</v>
      </c>
      <c r="AC2993">
        <v>0</v>
      </c>
      <c r="AD2993">
        <v>0</v>
      </c>
      <c r="AE2993">
        <v>0</v>
      </c>
      <c r="AF2993">
        <v>0</v>
      </c>
      <c r="AG2993">
        <v>0</v>
      </c>
      <c r="AH2993">
        <v>0</v>
      </c>
      <c r="AI2993">
        <v>0</v>
      </c>
      <c r="AJ2993">
        <v>0</v>
      </c>
      <c r="AK2993">
        <v>0</v>
      </c>
    </row>
    <row r="2994" spans="1:37" x14ac:dyDescent="0.3">
      <c r="A2994">
        <v>4450</v>
      </c>
      <c r="B2994" t="s">
        <v>77</v>
      </c>
      <c r="D2994" t="s">
        <v>83</v>
      </c>
      <c r="E2994">
        <v>99999999</v>
      </c>
      <c r="F2994">
        <v>11111111</v>
      </c>
      <c r="G2994">
        <v>1111111111</v>
      </c>
      <c r="H2994" t="s">
        <v>6563</v>
      </c>
      <c r="I2994">
        <v>99999999</v>
      </c>
      <c r="J2994" s="188">
        <v>45236</v>
      </c>
      <c r="K2994" t="s">
        <v>6563</v>
      </c>
      <c r="L2994" t="s">
        <v>6563</v>
      </c>
      <c r="M2994" t="s">
        <v>98</v>
      </c>
      <c r="N2994" t="s">
        <v>99</v>
      </c>
      <c r="O2994" t="s">
        <v>100</v>
      </c>
      <c r="Q2994" t="s">
        <v>82</v>
      </c>
      <c r="R2994">
        <v>102</v>
      </c>
      <c r="S2994">
        <v>375.3</v>
      </c>
      <c r="T2994">
        <v>1</v>
      </c>
      <c r="U2994">
        <v>11</v>
      </c>
      <c r="V2994">
        <v>13</v>
      </c>
      <c r="W2994">
        <v>0</v>
      </c>
      <c r="X2994">
        <v>0</v>
      </c>
      <c r="Y2994">
        <v>0</v>
      </c>
      <c r="Z2994">
        <v>44</v>
      </c>
      <c r="AA2994">
        <v>9</v>
      </c>
      <c r="AB2994">
        <v>0</v>
      </c>
      <c r="AC2994">
        <v>0</v>
      </c>
      <c r="AD2994">
        <v>3</v>
      </c>
      <c r="AE2994">
        <v>0</v>
      </c>
      <c r="AF2994">
        <v>0</v>
      </c>
      <c r="AG2994">
        <v>0</v>
      </c>
      <c r="AH2994">
        <v>0</v>
      </c>
      <c r="AI2994">
        <v>0</v>
      </c>
      <c r="AJ2994">
        <v>0</v>
      </c>
      <c r="AK2994">
        <v>0</v>
      </c>
    </row>
    <row r="2995" spans="1:37" x14ac:dyDescent="0.3">
      <c r="A2995">
        <v>7721</v>
      </c>
      <c r="B2995" t="s">
        <v>215</v>
      </c>
      <c r="D2995" t="s">
        <v>3496</v>
      </c>
      <c r="E2995">
        <v>99999999</v>
      </c>
      <c r="F2995">
        <v>11111111</v>
      </c>
      <c r="G2995">
        <v>1111111111</v>
      </c>
      <c r="H2995" t="s">
        <v>6564</v>
      </c>
      <c r="I2995">
        <v>99999999</v>
      </c>
      <c r="J2995" s="188">
        <v>45236</v>
      </c>
      <c r="K2995" t="s">
        <v>6564</v>
      </c>
      <c r="L2995" t="s">
        <v>6564</v>
      </c>
      <c r="M2995" t="s">
        <v>84</v>
      </c>
      <c r="N2995" t="s">
        <v>85</v>
      </c>
      <c r="O2995">
        <v>89434</v>
      </c>
      <c r="P2995" t="s">
        <v>214</v>
      </c>
      <c r="Q2995" t="s">
        <v>130</v>
      </c>
      <c r="R2995">
        <v>2</v>
      </c>
      <c r="S2995">
        <v>4769.24</v>
      </c>
      <c r="T2995">
        <v>2</v>
      </c>
      <c r="U2995">
        <v>2</v>
      </c>
      <c r="V2995">
        <v>1</v>
      </c>
      <c r="W2995">
        <v>0</v>
      </c>
      <c r="X2995">
        <v>0</v>
      </c>
      <c r="Y2995">
        <v>0</v>
      </c>
      <c r="Z2995">
        <v>0</v>
      </c>
      <c r="AA2995">
        <v>0</v>
      </c>
      <c r="AB2995">
        <v>0</v>
      </c>
      <c r="AC2995">
        <v>0</v>
      </c>
      <c r="AD2995">
        <v>0</v>
      </c>
      <c r="AE2995">
        <v>0</v>
      </c>
      <c r="AF2995">
        <v>2</v>
      </c>
      <c r="AG2995">
        <v>0</v>
      </c>
      <c r="AH2995">
        <v>0</v>
      </c>
      <c r="AI2995">
        <v>0</v>
      </c>
      <c r="AJ2995">
        <v>0</v>
      </c>
      <c r="AK2995">
        <v>0</v>
      </c>
    </row>
    <row r="2996" spans="1:37" x14ac:dyDescent="0.3">
      <c r="A2996">
        <v>7721</v>
      </c>
      <c r="B2996" t="s">
        <v>215</v>
      </c>
      <c r="D2996" t="s">
        <v>3496</v>
      </c>
      <c r="E2996">
        <v>99999999</v>
      </c>
      <c r="F2996">
        <v>11111111</v>
      </c>
      <c r="G2996">
        <v>1111111111</v>
      </c>
      <c r="H2996" t="s">
        <v>6565</v>
      </c>
      <c r="I2996">
        <v>99999999</v>
      </c>
      <c r="J2996" s="188">
        <v>45236</v>
      </c>
      <c r="K2996" t="s">
        <v>6565</v>
      </c>
      <c r="L2996" t="s">
        <v>6565</v>
      </c>
      <c r="M2996" t="s">
        <v>84</v>
      </c>
      <c r="N2996" t="s">
        <v>85</v>
      </c>
      <c r="O2996">
        <v>89434</v>
      </c>
      <c r="P2996" t="s">
        <v>214</v>
      </c>
      <c r="Q2996" t="s">
        <v>130</v>
      </c>
      <c r="R2996">
        <v>2</v>
      </c>
      <c r="S2996">
        <v>4769.2</v>
      </c>
      <c r="T2996">
        <v>2</v>
      </c>
      <c r="U2996">
        <v>2</v>
      </c>
      <c r="V2996">
        <v>1</v>
      </c>
      <c r="W2996">
        <v>0</v>
      </c>
      <c r="X2996">
        <v>0</v>
      </c>
      <c r="Y2996">
        <v>0</v>
      </c>
      <c r="Z2996">
        <v>0</v>
      </c>
      <c r="AA2996">
        <v>0</v>
      </c>
      <c r="AB2996">
        <v>0</v>
      </c>
      <c r="AC2996">
        <v>0</v>
      </c>
      <c r="AD2996">
        <v>0</v>
      </c>
      <c r="AE2996">
        <v>0</v>
      </c>
      <c r="AF2996">
        <v>2</v>
      </c>
      <c r="AG2996">
        <v>0</v>
      </c>
      <c r="AH2996">
        <v>0</v>
      </c>
      <c r="AI2996">
        <v>0</v>
      </c>
      <c r="AJ2996">
        <v>0</v>
      </c>
      <c r="AK2996">
        <v>0</v>
      </c>
    </row>
    <row r="2997" spans="1:37" x14ac:dyDescent="0.3">
      <c r="A2997">
        <v>7721</v>
      </c>
      <c r="B2997" t="s">
        <v>215</v>
      </c>
      <c r="D2997" t="s">
        <v>3496</v>
      </c>
      <c r="E2997">
        <v>99999999</v>
      </c>
      <c r="F2997">
        <v>11111111</v>
      </c>
      <c r="G2997">
        <v>1111111111</v>
      </c>
      <c r="H2997" t="s">
        <v>6566</v>
      </c>
      <c r="I2997">
        <v>99999999</v>
      </c>
      <c r="J2997" s="188">
        <v>45237</v>
      </c>
      <c r="K2997" t="s">
        <v>6566</v>
      </c>
      <c r="L2997" t="s">
        <v>6566</v>
      </c>
      <c r="M2997" t="s">
        <v>84</v>
      </c>
      <c r="N2997" t="s">
        <v>85</v>
      </c>
      <c r="O2997">
        <v>89434</v>
      </c>
      <c r="P2997" t="s">
        <v>214</v>
      </c>
      <c r="Q2997" t="s">
        <v>130</v>
      </c>
      <c r="R2997">
        <v>2</v>
      </c>
      <c r="S2997">
        <v>4769.24</v>
      </c>
      <c r="T2997">
        <v>2</v>
      </c>
      <c r="U2997">
        <v>2</v>
      </c>
      <c r="V2997">
        <v>1</v>
      </c>
      <c r="W2997">
        <v>0</v>
      </c>
      <c r="X2997">
        <v>0</v>
      </c>
      <c r="Y2997">
        <v>0</v>
      </c>
      <c r="Z2997">
        <v>0</v>
      </c>
      <c r="AA2997">
        <v>0</v>
      </c>
      <c r="AB2997">
        <v>0</v>
      </c>
      <c r="AC2997">
        <v>0</v>
      </c>
      <c r="AD2997">
        <v>0</v>
      </c>
      <c r="AE2997">
        <v>0</v>
      </c>
      <c r="AF2997">
        <v>2</v>
      </c>
      <c r="AG2997">
        <v>0</v>
      </c>
      <c r="AH2997">
        <v>0</v>
      </c>
      <c r="AI2997">
        <v>0</v>
      </c>
      <c r="AJ2997">
        <v>0</v>
      </c>
      <c r="AK2997">
        <v>0</v>
      </c>
    </row>
    <row r="2998" spans="1:37" x14ac:dyDescent="0.3">
      <c r="A2998">
        <v>7134</v>
      </c>
      <c r="B2998" t="s">
        <v>28</v>
      </c>
      <c r="C2998" t="s">
        <v>3497</v>
      </c>
      <c r="D2998" t="s">
        <v>94</v>
      </c>
      <c r="E2998">
        <v>99999999</v>
      </c>
      <c r="F2998">
        <v>11111111</v>
      </c>
      <c r="G2998">
        <v>1111111111</v>
      </c>
      <c r="H2998" t="s">
        <v>6567</v>
      </c>
      <c r="I2998">
        <v>99999999</v>
      </c>
      <c r="J2998" s="188">
        <v>45238</v>
      </c>
      <c r="K2998" t="s">
        <v>6567</v>
      </c>
      <c r="L2998" t="s">
        <v>6567</v>
      </c>
      <c r="M2998" t="s">
        <v>2952</v>
      </c>
      <c r="N2998" t="s">
        <v>99</v>
      </c>
      <c r="O2998">
        <v>92307</v>
      </c>
      <c r="P2998" t="s">
        <v>214</v>
      </c>
      <c r="Q2998" t="s">
        <v>93</v>
      </c>
      <c r="R2998">
        <v>12</v>
      </c>
      <c r="S2998">
        <v>14.04</v>
      </c>
      <c r="T2998">
        <v>0</v>
      </c>
      <c r="U2998">
        <v>1</v>
      </c>
      <c r="V2998">
        <v>1</v>
      </c>
      <c r="W2998">
        <v>0</v>
      </c>
      <c r="X2998">
        <v>0</v>
      </c>
      <c r="Y2998">
        <v>0</v>
      </c>
      <c r="Z2998">
        <v>0</v>
      </c>
      <c r="AA2998">
        <v>1</v>
      </c>
      <c r="AB2998">
        <v>0</v>
      </c>
      <c r="AC2998">
        <v>0</v>
      </c>
      <c r="AD2998">
        <v>0</v>
      </c>
      <c r="AE2998">
        <v>0</v>
      </c>
      <c r="AF2998">
        <v>0</v>
      </c>
      <c r="AG2998">
        <v>0</v>
      </c>
      <c r="AH2998">
        <v>0</v>
      </c>
      <c r="AI2998">
        <v>0</v>
      </c>
      <c r="AJ2998">
        <v>0</v>
      </c>
      <c r="AK2998">
        <v>0</v>
      </c>
    </row>
    <row r="2999" spans="1:37" x14ac:dyDescent="0.3">
      <c r="A2999">
        <v>7484</v>
      </c>
      <c r="B2999" t="s">
        <v>33</v>
      </c>
      <c r="D2999" t="s">
        <v>3498</v>
      </c>
      <c r="E2999">
        <v>99999999</v>
      </c>
      <c r="F2999">
        <v>11111111</v>
      </c>
      <c r="G2999">
        <v>1111111111</v>
      </c>
      <c r="H2999" t="s">
        <v>6568</v>
      </c>
      <c r="I2999">
        <v>99999999</v>
      </c>
      <c r="J2999" s="188">
        <v>45236</v>
      </c>
      <c r="K2999" t="s">
        <v>6568</v>
      </c>
      <c r="L2999" t="s">
        <v>6568</v>
      </c>
      <c r="M2999" t="s">
        <v>369</v>
      </c>
      <c r="N2999" t="s">
        <v>99</v>
      </c>
      <c r="O2999">
        <v>90039</v>
      </c>
      <c r="P2999" t="s">
        <v>221</v>
      </c>
      <c r="Q2999" t="s">
        <v>82</v>
      </c>
      <c r="R2999">
        <v>5</v>
      </c>
      <c r="S2999">
        <v>5775</v>
      </c>
      <c r="T2999">
        <v>5</v>
      </c>
      <c r="U2999">
        <v>5</v>
      </c>
      <c r="V2999">
        <v>1</v>
      </c>
      <c r="W2999">
        <v>0</v>
      </c>
      <c r="X2999">
        <v>0</v>
      </c>
      <c r="Y2999">
        <v>0</v>
      </c>
      <c r="Z2999">
        <v>0</v>
      </c>
      <c r="AA2999">
        <v>5</v>
      </c>
      <c r="AB2999">
        <v>0</v>
      </c>
      <c r="AC2999">
        <v>0</v>
      </c>
      <c r="AD2999">
        <v>0</v>
      </c>
      <c r="AE2999">
        <v>0</v>
      </c>
      <c r="AF2999">
        <v>0</v>
      </c>
      <c r="AG2999">
        <v>0</v>
      </c>
      <c r="AH2999">
        <v>0</v>
      </c>
      <c r="AI2999">
        <v>0</v>
      </c>
      <c r="AJ2999">
        <v>0</v>
      </c>
      <c r="AK2999">
        <v>0</v>
      </c>
    </row>
    <row r="3000" spans="1:37" x14ac:dyDescent="0.3">
      <c r="A3000">
        <v>7484</v>
      </c>
      <c r="B3000" t="s">
        <v>33</v>
      </c>
      <c r="D3000" t="s">
        <v>3498</v>
      </c>
      <c r="E3000">
        <v>99999999</v>
      </c>
      <c r="F3000">
        <v>11111111</v>
      </c>
      <c r="G3000">
        <v>1111111111</v>
      </c>
      <c r="H3000" t="s">
        <v>6569</v>
      </c>
      <c r="I3000">
        <v>99999999</v>
      </c>
      <c r="J3000" s="188">
        <v>45238</v>
      </c>
      <c r="K3000" t="s">
        <v>6569</v>
      </c>
      <c r="L3000" t="s">
        <v>6569</v>
      </c>
      <c r="M3000" t="s">
        <v>3499</v>
      </c>
      <c r="N3000" t="s">
        <v>99</v>
      </c>
      <c r="O3000">
        <v>90040</v>
      </c>
      <c r="P3000" t="s">
        <v>221</v>
      </c>
      <c r="Q3000" t="s">
        <v>82</v>
      </c>
      <c r="R3000">
        <v>9</v>
      </c>
      <c r="S3000">
        <v>1360.8</v>
      </c>
      <c r="T3000">
        <v>1</v>
      </c>
      <c r="U3000">
        <v>9</v>
      </c>
      <c r="V3000">
        <v>1</v>
      </c>
      <c r="W3000">
        <v>0</v>
      </c>
      <c r="X3000">
        <v>0</v>
      </c>
      <c r="Y3000">
        <v>0</v>
      </c>
      <c r="Z3000">
        <v>0</v>
      </c>
      <c r="AA3000">
        <v>9</v>
      </c>
      <c r="AB3000">
        <v>0</v>
      </c>
      <c r="AC3000">
        <v>0</v>
      </c>
      <c r="AD3000">
        <v>0</v>
      </c>
      <c r="AE3000">
        <v>0</v>
      </c>
      <c r="AF3000">
        <v>0</v>
      </c>
      <c r="AG3000">
        <v>0</v>
      </c>
      <c r="AH3000">
        <v>0</v>
      </c>
      <c r="AI3000">
        <v>0</v>
      </c>
      <c r="AJ3000">
        <v>0</v>
      </c>
      <c r="AK3000">
        <v>0</v>
      </c>
    </row>
    <row r="3001" spans="1:37" x14ac:dyDescent="0.3">
      <c r="A3001">
        <v>7484</v>
      </c>
      <c r="B3001" t="s">
        <v>33</v>
      </c>
      <c r="D3001" t="s">
        <v>3498</v>
      </c>
      <c r="E3001">
        <v>99999999</v>
      </c>
      <c r="F3001">
        <v>11111111</v>
      </c>
      <c r="G3001">
        <v>1111111111</v>
      </c>
      <c r="H3001" t="s">
        <v>6570</v>
      </c>
      <c r="I3001">
        <v>99999999</v>
      </c>
      <c r="J3001" s="188">
        <v>45238</v>
      </c>
      <c r="K3001" t="s">
        <v>6570</v>
      </c>
      <c r="L3001" t="s">
        <v>6570</v>
      </c>
      <c r="M3001" t="s">
        <v>95</v>
      </c>
      <c r="N3001" t="s">
        <v>91</v>
      </c>
      <c r="O3001">
        <v>85009</v>
      </c>
      <c r="P3001" t="s">
        <v>221</v>
      </c>
      <c r="Q3001" t="s">
        <v>82</v>
      </c>
      <c r="R3001">
        <v>40</v>
      </c>
      <c r="S3001">
        <v>1806.0429999999999</v>
      </c>
      <c r="T3001">
        <v>1</v>
      </c>
      <c r="U3001">
        <v>40</v>
      </c>
      <c r="V3001">
        <v>13</v>
      </c>
      <c r="W3001">
        <v>0</v>
      </c>
      <c r="X3001">
        <v>0</v>
      </c>
      <c r="Y3001">
        <v>0</v>
      </c>
      <c r="Z3001">
        <v>0</v>
      </c>
      <c r="AA3001">
        <v>40</v>
      </c>
      <c r="AB3001">
        <v>0</v>
      </c>
      <c r="AC3001">
        <v>0</v>
      </c>
      <c r="AD3001">
        <v>0</v>
      </c>
      <c r="AE3001">
        <v>0</v>
      </c>
      <c r="AF3001">
        <v>0</v>
      </c>
      <c r="AG3001">
        <v>0</v>
      </c>
      <c r="AH3001">
        <v>0</v>
      </c>
      <c r="AI3001">
        <v>0</v>
      </c>
      <c r="AJ3001">
        <v>0</v>
      </c>
      <c r="AK3001">
        <v>0</v>
      </c>
    </row>
    <row r="3002" spans="1:37" x14ac:dyDescent="0.3">
      <c r="A3002">
        <v>7382</v>
      </c>
      <c r="B3002" t="s">
        <v>3451</v>
      </c>
      <c r="D3002" t="s">
        <v>3500</v>
      </c>
      <c r="E3002">
        <v>99999999</v>
      </c>
      <c r="F3002">
        <v>11111111</v>
      </c>
      <c r="G3002">
        <v>1111111111</v>
      </c>
      <c r="H3002" t="s">
        <v>6571</v>
      </c>
      <c r="I3002">
        <v>99999999</v>
      </c>
      <c r="J3002" s="188">
        <v>45237</v>
      </c>
      <c r="K3002" t="s">
        <v>6571</v>
      </c>
      <c r="L3002" t="s">
        <v>6571</v>
      </c>
      <c r="M3002" t="s">
        <v>3501</v>
      </c>
      <c r="N3002" t="s">
        <v>144</v>
      </c>
      <c r="O3002">
        <v>72347</v>
      </c>
      <c r="P3002" t="s">
        <v>221</v>
      </c>
      <c r="Q3002" t="s">
        <v>124</v>
      </c>
      <c r="R3002">
        <v>16</v>
      </c>
      <c r="S3002">
        <v>672</v>
      </c>
      <c r="T3002">
        <v>1</v>
      </c>
      <c r="U3002">
        <v>16</v>
      </c>
      <c r="V3002">
        <v>1</v>
      </c>
      <c r="W3002">
        <v>0</v>
      </c>
      <c r="X3002">
        <v>0</v>
      </c>
      <c r="Y3002">
        <v>0</v>
      </c>
      <c r="Z3002">
        <v>0</v>
      </c>
      <c r="AA3002">
        <v>0</v>
      </c>
      <c r="AB3002">
        <v>0</v>
      </c>
      <c r="AC3002">
        <v>0</v>
      </c>
      <c r="AD3002">
        <v>16</v>
      </c>
      <c r="AE3002">
        <v>0</v>
      </c>
      <c r="AF3002">
        <v>0</v>
      </c>
      <c r="AG3002">
        <v>0</v>
      </c>
      <c r="AH3002">
        <v>0</v>
      </c>
      <c r="AI3002">
        <v>0</v>
      </c>
      <c r="AJ3002">
        <v>0</v>
      </c>
      <c r="AK3002">
        <v>0</v>
      </c>
    </row>
    <row r="3003" spans="1:37" x14ac:dyDescent="0.3">
      <c r="A3003">
        <v>6178</v>
      </c>
      <c r="B3003" t="s">
        <v>3368</v>
      </c>
      <c r="D3003" t="s">
        <v>3502</v>
      </c>
      <c r="E3003">
        <v>99999999</v>
      </c>
      <c r="F3003">
        <v>11111111</v>
      </c>
      <c r="G3003">
        <v>1111111111</v>
      </c>
      <c r="H3003" t="s">
        <v>6572</v>
      </c>
      <c r="I3003">
        <v>99999999</v>
      </c>
      <c r="J3003" s="188">
        <v>45236</v>
      </c>
      <c r="K3003" t="s">
        <v>6572</v>
      </c>
      <c r="L3003" t="s">
        <v>6572</v>
      </c>
      <c r="M3003" t="s">
        <v>3503</v>
      </c>
      <c r="N3003" t="s">
        <v>144</v>
      </c>
      <c r="O3003">
        <v>72032</v>
      </c>
      <c r="P3003" t="s">
        <v>221</v>
      </c>
      <c r="Q3003" t="s">
        <v>124</v>
      </c>
      <c r="R3003">
        <v>1</v>
      </c>
      <c r="S3003">
        <v>13.7</v>
      </c>
      <c r="T3003">
        <v>0</v>
      </c>
      <c r="U3003">
        <v>1</v>
      </c>
      <c r="V3003">
        <v>1</v>
      </c>
      <c r="W3003">
        <v>0</v>
      </c>
      <c r="X3003">
        <v>0</v>
      </c>
      <c r="Y3003">
        <v>0</v>
      </c>
      <c r="Z3003">
        <v>0</v>
      </c>
      <c r="AA3003">
        <v>0</v>
      </c>
      <c r="AB3003">
        <v>0</v>
      </c>
      <c r="AC3003">
        <v>0</v>
      </c>
      <c r="AD3003">
        <v>1</v>
      </c>
      <c r="AE3003">
        <v>0</v>
      </c>
      <c r="AF3003">
        <v>0</v>
      </c>
      <c r="AG3003">
        <v>0</v>
      </c>
      <c r="AH3003">
        <v>0</v>
      </c>
      <c r="AI3003">
        <v>0</v>
      </c>
      <c r="AJ3003">
        <v>0</v>
      </c>
      <c r="AK3003">
        <v>0</v>
      </c>
    </row>
    <row r="3004" spans="1:37" x14ac:dyDescent="0.3">
      <c r="A3004">
        <v>6178</v>
      </c>
      <c r="B3004" t="s">
        <v>3368</v>
      </c>
      <c r="D3004" t="s">
        <v>3502</v>
      </c>
      <c r="E3004">
        <v>99999999</v>
      </c>
      <c r="F3004">
        <v>11111111</v>
      </c>
      <c r="G3004">
        <v>1111111111</v>
      </c>
      <c r="H3004" t="s">
        <v>6573</v>
      </c>
      <c r="I3004">
        <v>99999999</v>
      </c>
      <c r="J3004" s="188">
        <v>45236</v>
      </c>
      <c r="K3004" t="s">
        <v>6573</v>
      </c>
      <c r="L3004" t="s">
        <v>6573</v>
      </c>
      <c r="M3004" t="s">
        <v>3504</v>
      </c>
      <c r="N3004" t="s">
        <v>144</v>
      </c>
      <c r="O3004" t="s">
        <v>3505</v>
      </c>
      <c r="P3004" t="s">
        <v>221</v>
      </c>
      <c r="Q3004" t="s">
        <v>124</v>
      </c>
      <c r="R3004">
        <v>1</v>
      </c>
      <c r="S3004">
        <v>8.26</v>
      </c>
      <c r="T3004">
        <v>0</v>
      </c>
      <c r="U3004">
        <v>1</v>
      </c>
      <c r="V3004">
        <v>1</v>
      </c>
      <c r="W3004">
        <v>0</v>
      </c>
      <c r="X3004">
        <v>0</v>
      </c>
      <c r="Y3004">
        <v>0</v>
      </c>
      <c r="Z3004">
        <v>0</v>
      </c>
      <c r="AA3004">
        <v>1</v>
      </c>
      <c r="AB3004">
        <v>0</v>
      </c>
      <c r="AC3004">
        <v>0</v>
      </c>
      <c r="AD3004">
        <v>0</v>
      </c>
      <c r="AE3004">
        <v>0</v>
      </c>
      <c r="AF3004">
        <v>0</v>
      </c>
      <c r="AG3004">
        <v>0</v>
      </c>
      <c r="AH3004">
        <v>0</v>
      </c>
      <c r="AI3004">
        <v>0</v>
      </c>
      <c r="AJ3004">
        <v>0</v>
      </c>
      <c r="AK3004">
        <v>0</v>
      </c>
    </row>
    <row r="3005" spans="1:37" x14ac:dyDescent="0.3">
      <c r="A3005">
        <v>6178</v>
      </c>
      <c r="B3005" t="s">
        <v>3368</v>
      </c>
      <c r="D3005" t="s">
        <v>3502</v>
      </c>
      <c r="E3005">
        <v>99999999</v>
      </c>
      <c r="F3005">
        <v>11111111</v>
      </c>
      <c r="G3005">
        <v>1111111111</v>
      </c>
      <c r="H3005" t="s">
        <v>6574</v>
      </c>
      <c r="I3005">
        <v>99999999</v>
      </c>
      <c r="J3005" s="188">
        <v>45236</v>
      </c>
      <c r="K3005" t="s">
        <v>6574</v>
      </c>
      <c r="L3005" t="s">
        <v>6574</v>
      </c>
      <c r="M3005" t="s">
        <v>3506</v>
      </c>
      <c r="N3005" t="s">
        <v>402</v>
      </c>
      <c r="O3005" t="s">
        <v>3507</v>
      </c>
      <c r="P3005" t="s">
        <v>221</v>
      </c>
      <c r="Q3005" t="s">
        <v>124</v>
      </c>
      <c r="R3005">
        <v>1</v>
      </c>
      <c r="S3005">
        <v>9.5</v>
      </c>
      <c r="T3005">
        <v>0</v>
      </c>
      <c r="U3005">
        <v>1</v>
      </c>
      <c r="V3005">
        <v>1</v>
      </c>
      <c r="W3005">
        <v>0</v>
      </c>
      <c r="X3005">
        <v>0</v>
      </c>
      <c r="Y3005">
        <v>0</v>
      </c>
      <c r="Z3005">
        <v>0</v>
      </c>
      <c r="AA3005">
        <v>0</v>
      </c>
      <c r="AB3005">
        <v>0</v>
      </c>
      <c r="AC3005">
        <v>0</v>
      </c>
      <c r="AD3005">
        <v>1</v>
      </c>
      <c r="AE3005">
        <v>0</v>
      </c>
      <c r="AF3005">
        <v>0</v>
      </c>
      <c r="AG3005">
        <v>0</v>
      </c>
      <c r="AH3005">
        <v>0</v>
      </c>
      <c r="AI3005">
        <v>0</v>
      </c>
      <c r="AJ3005">
        <v>0</v>
      </c>
      <c r="AK3005">
        <v>0</v>
      </c>
    </row>
    <row r="3006" spans="1:37" x14ac:dyDescent="0.3">
      <c r="A3006">
        <v>6178</v>
      </c>
      <c r="B3006" t="s">
        <v>3368</v>
      </c>
      <c r="D3006" t="s">
        <v>94</v>
      </c>
      <c r="E3006">
        <v>99999999</v>
      </c>
      <c r="F3006">
        <v>11111111</v>
      </c>
      <c r="G3006">
        <v>1111111111</v>
      </c>
      <c r="H3006" t="s">
        <v>6575</v>
      </c>
      <c r="I3006">
        <v>99999999</v>
      </c>
      <c r="J3006" s="188">
        <v>45236</v>
      </c>
      <c r="K3006" t="s">
        <v>6575</v>
      </c>
      <c r="L3006" t="s">
        <v>6575</v>
      </c>
      <c r="M3006" t="s">
        <v>677</v>
      </c>
      <c r="N3006" t="s">
        <v>85</v>
      </c>
      <c r="O3006" t="s">
        <v>3508</v>
      </c>
      <c r="P3006" t="s">
        <v>221</v>
      </c>
      <c r="Q3006" t="s">
        <v>124</v>
      </c>
      <c r="R3006">
        <v>2</v>
      </c>
      <c r="S3006">
        <v>12.8</v>
      </c>
      <c r="T3006">
        <v>0</v>
      </c>
      <c r="U3006">
        <v>2</v>
      </c>
      <c r="V3006">
        <v>2</v>
      </c>
      <c r="W3006">
        <v>0</v>
      </c>
      <c r="X3006">
        <v>0</v>
      </c>
      <c r="Y3006">
        <v>0</v>
      </c>
      <c r="Z3006">
        <v>0</v>
      </c>
      <c r="AA3006">
        <v>1</v>
      </c>
      <c r="AB3006">
        <v>0</v>
      </c>
      <c r="AC3006">
        <v>0</v>
      </c>
      <c r="AD3006">
        <v>1</v>
      </c>
      <c r="AE3006">
        <v>0</v>
      </c>
      <c r="AF3006">
        <v>0</v>
      </c>
      <c r="AG3006">
        <v>0</v>
      </c>
      <c r="AH3006">
        <v>0</v>
      </c>
      <c r="AI3006">
        <v>0</v>
      </c>
      <c r="AJ3006">
        <v>0</v>
      </c>
      <c r="AK3006">
        <v>0</v>
      </c>
    </row>
    <row r="3007" spans="1:37" x14ac:dyDescent="0.3">
      <c r="A3007">
        <v>6178</v>
      </c>
      <c r="B3007" t="s">
        <v>3368</v>
      </c>
      <c r="D3007" t="s">
        <v>94</v>
      </c>
      <c r="E3007">
        <v>99999999</v>
      </c>
      <c r="F3007">
        <v>11111111</v>
      </c>
      <c r="G3007">
        <v>1111111111</v>
      </c>
      <c r="H3007" t="s">
        <v>6576</v>
      </c>
      <c r="I3007">
        <v>99999999</v>
      </c>
      <c r="J3007" s="188">
        <v>45236</v>
      </c>
      <c r="K3007" t="s">
        <v>6576</v>
      </c>
      <c r="L3007" t="s">
        <v>6576</v>
      </c>
      <c r="M3007" t="s">
        <v>108</v>
      </c>
      <c r="N3007" t="s">
        <v>99</v>
      </c>
      <c r="O3007">
        <v>95330</v>
      </c>
      <c r="P3007" t="s">
        <v>221</v>
      </c>
      <c r="Q3007" t="s">
        <v>124</v>
      </c>
      <c r="R3007">
        <v>1</v>
      </c>
      <c r="S3007">
        <v>3.27</v>
      </c>
      <c r="T3007">
        <v>0</v>
      </c>
      <c r="U3007">
        <v>1</v>
      </c>
      <c r="V3007">
        <v>1</v>
      </c>
      <c r="W3007">
        <v>0</v>
      </c>
      <c r="X3007">
        <v>0</v>
      </c>
      <c r="Y3007">
        <v>0</v>
      </c>
      <c r="Z3007">
        <v>0</v>
      </c>
      <c r="AA3007">
        <v>0</v>
      </c>
      <c r="AB3007">
        <v>0</v>
      </c>
      <c r="AC3007">
        <v>0</v>
      </c>
      <c r="AD3007">
        <v>1</v>
      </c>
      <c r="AE3007">
        <v>0</v>
      </c>
      <c r="AF3007">
        <v>0</v>
      </c>
      <c r="AG3007">
        <v>0</v>
      </c>
      <c r="AH3007">
        <v>0</v>
      </c>
      <c r="AI3007">
        <v>0</v>
      </c>
      <c r="AJ3007">
        <v>0</v>
      </c>
      <c r="AK3007">
        <v>0</v>
      </c>
    </row>
    <row r="3008" spans="1:37" x14ac:dyDescent="0.3">
      <c r="A3008">
        <v>6178</v>
      </c>
      <c r="B3008" t="s">
        <v>3368</v>
      </c>
      <c r="D3008" t="s">
        <v>3502</v>
      </c>
      <c r="E3008">
        <v>99999999</v>
      </c>
      <c r="F3008">
        <v>11111111</v>
      </c>
      <c r="G3008">
        <v>1111111111</v>
      </c>
      <c r="H3008" t="s">
        <v>6577</v>
      </c>
      <c r="I3008">
        <v>99999999</v>
      </c>
      <c r="J3008" s="188">
        <v>45236</v>
      </c>
      <c r="K3008" t="s">
        <v>6577</v>
      </c>
      <c r="L3008" t="s">
        <v>6577</v>
      </c>
      <c r="M3008" t="s">
        <v>3509</v>
      </c>
      <c r="N3008" t="s">
        <v>317</v>
      </c>
      <c r="O3008">
        <v>64133</v>
      </c>
      <c r="P3008" t="s">
        <v>221</v>
      </c>
      <c r="Q3008" t="s">
        <v>124</v>
      </c>
      <c r="R3008">
        <v>1</v>
      </c>
      <c r="S3008">
        <v>13.7</v>
      </c>
      <c r="T3008">
        <v>0</v>
      </c>
      <c r="U3008">
        <v>1</v>
      </c>
      <c r="V3008">
        <v>1</v>
      </c>
      <c r="W3008">
        <v>0</v>
      </c>
      <c r="X3008">
        <v>0</v>
      </c>
      <c r="Y3008">
        <v>0</v>
      </c>
      <c r="Z3008">
        <v>0</v>
      </c>
      <c r="AA3008">
        <v>0</v>
      </c>
      <c r="AB3008">
        <v>0</v>
      </c>
      <c r="AC3008">
        <v>0</v>
      </c>
      <c r="AD3008">
        <v>1</v>
      </c>
      <c r="AE3008">
        <v>0</v>
      </c>
      <c r="AF3008">
        <v>0</v>
      </c>
      <c r="AG3008">
        <v>0</v>
      </c>
      <c r="AH3008">
        <v>0</v>
      </c>
      <c r="AI3008">
        <v>0</v>
      </c>
      <c r="AJ3008">
        <v>0</v>
      </c>
      <c r="AK3008">
        <v>0</v>
      </c>
    </row>
    <row r="3009" spans="1:37" x14ac:dyDescent="0.3">
      <c r="A3009">
        <v>6178</v>
      </c>
      <c r="B3009" t="s">
        <v>3368</v>
      </c>
      <c r="D3009" t="s">
        <v>3502</v>
      </c>
      <c r="E3009">
        <v>99999999</v>
      </c>
      <c r="F3009">
        <v>11111111</v>
      </c>
      <c r="G3009">
        <v>1111111111</v>
      </c>
      <c r="H3009" t="s">
        <v>6578</v>
      </c>
      <c r="I3009">
        <v>99999999</v>
      </c>
      <c r="J3009" s="188">
        <v>45236</v>
      </c>
      <c r="K3009" t="s">
        <v>6578</v>
      </c>
      <c r="L3009" t="s">
        <v>6578</v>
      </c>
      <c r="M3009" t="s">
        <v>3510</v>
      </c>
      <c r="N3009" t="s">
        <v>206</v>
      </c>
      <c r="O3009" t="s">
        <v>3511</v>
      </c>
      <c r="P3009" t="s">
        <v>221</v>
      </c>
      <c r="Q3009" t="s">
        <v>124</v>
      </c>
      <c r="R3009">
        <v>1</v>
      </c>
      <c r="S3009">
        <v>13.7</v>
      </c>
      <c r="T3009">
        <v>0</v>
      </c>
      <c r="U3009">
        <v>1</v>
      </c>
      <c r="V3009">
        <v>1</v>
      </c>
      <c r="W3009">
        <v>0</v>
      </c>
      <c r="X3009">
        <v>0</v>
      </c>
      <c r="Y3009">
        <v>0</v>
      </c>
      <c r="Z3009">
        <v>0</v>
      </c>
      <c r="AA3009">
        <v>0</v>
      </c>
      <c r="AB3009">
        <v>0</v>
      </c>
      <c r="AC3009">
        <v>0</v>
      </c>
      <c r="AD3009">
        <v>1</v>
      </c>
      <c r="AE3009">
        <v>0</v>
      </c>
      <c r="AF3009">
        <v>0</v>
      </c>
      <c r="AG3009">
        <v>0</v>
      </c>
      <c r="AH3009">
        <v>0</v>
      </c>
      <c r="AI3009">
        <v>0</v>
      </c>
      <c r="AJ3009">
        <v>0</v>
      </c>
      <c r="AK3009">
        <v>0</v>
      </c>
    </row>
    <row r="3010" spans="1:37" x14ac:dyDescent="0.3">
      <c r="A3010">
        <v>6178</v>
      </c>
      <c r="B3010" t="s">
        <v>3368</v>
      </c>
      <c r="D3010" t="s">
        <v>3502</v>
      </c>
      <c r="E3010">
        <v>99999999</v>
      </c>
      <c r="F3010">
        <v>11111111</v>
      </c>
      <c r="G3010">
        <v>1111111111</v>
      </c>
      <c r="H3010" t="s">
        <v>6579</v>
      </c>
      <c r="I3010">
        <v>99999999</v>
      </c>
      <c r="J3010" s="188">
        <v>45236</v>
      </c>
      <c r="K3010" t="s">
        <v>6579</v>
      </c>
      <c r="L3010" t="s">
        <v>6579</v>
      </c>
      <c r="M3010" t="s">
        <v>3512</v>
      </c>
      <c r="N3010" t="s">
        <v>402</v>
      </c>
      <c r="O3010">
        <v>22546</v>
      </c>
      <c r="P3010" t="s">
        <v>221</v>
      </c>
      <c r="Q3010" t="s">
        <v>124</v>
      </c>
      <c r="R3010">
        <v>2</v>
      </c>
      <c r="S3010">
        <v>10.66</v>
      </c>
      <c r="T3010">
        <v>0</v>
      </c>
      <c r="U3010">
        <v>2</v>
      </c>
      <c r="V3010">
        <v>2</v>
      </c>
      <c r="W3010">
        <v>0</v>
      </c>
      <c r="X3010">
        <v>0</v>
      </c>
      <c r="Y3010">
        <v>0</v>
      </c>
      <c r="Z3010">
        <v>0</v>
      </c>
      <c r="AA3010">
        <v>1</v>
      </c>
      <c r="AB3010">
        <v>0</v>
      </c>
      <c r="AC3010">
        <v>0</v>
      </c>
      <c r="AD3010">
        <v>1</v>
      </c>
      <c r="AE3010">
        <v>0</v>
      </c>
      <c r="AF3010">
        <v>0</v>
      </c>
      <c r="AG3010">
        <v>0</v>
      </c>
      <c r="AH3010">
        <v>0</v>
      </c>
      <c r="AI3010">
        <v>0</v>
      </c>
      <c r="AJ3010">
        <v>0</v>
      </c>
      <c r="AK3010">
        <v>0</v>
      </c>
    </row>
    <row r="3011" spans="1:37" x14ac:dyDescent="0.3">
      <c r="A3011">
        <v>6178</v>
      </c>
      <c r="B3011" t="s">
        <v>3368</v>
      </c>
      <c r="D3011" t="s">
        <v>3502</v>
      </c>
      <c r="E3011">
        <v>99999999</v>
      </c>
      <c r="F3011">
        <v>11111111</v>
      </c>
      <c r="G3011">
        <v>1111111111</v>
      </c>
      <c r="H3011" t="s">
        <v>6580</v>
      </c>
      <c r="I3011">
        <v>99999999</v>
      </c>
      <c r="J3011" s="188">
        <v>45236</v>
      </c>
      <c r="K3011" t="s">
        <v>6580</v>
      </c>
      <c r="L3011" t="s">
        <v>6580</v>
      </c>
      <c r="M3011" t="s">
        <v>3513</v>
      </c>
      <c r="N3011" t="s">
        <v>141</v>
      </c>
      <c r="O3011" t="s">
        <v>3514</v>
      </c>
      <c r="P3011" t="s">
        <v>221</v>
      </c>
      <c r="Q3011" t="s">
        <v>124</v>
      </c>
      <c r="R3011">
        <v>1</v>
      </c>
      <c r="S3011">
        <v>2.54</v>
      </c>
      <c r="T3011">
        <v>0</v>
      </c>
      <c r="U3011">
        <v>1</v>
      </c>
      <c r="V3011">
        <v>1</v>
      </c>
      <c r="W3011">
        <v>0</v>
      </c>
      <c r="X3011">
        <v>0</v>
      </c>
      <c r="Y3011">
        <v>0</v>
      </c>
      <c r="Z3011">
        <v>0</v>
      </c>
      <c r="AA3011">
        <v>0</v>
      </c>
      <c r="AB3011">
        <v>0</v>
      </c>
      <c r="AC3011">
        <v>0</v>
      </c>
      <c r="AD3011">
        <v>1</v>
      </c>
      <c r="AE3011">
        <v>0</v>
      </c>
      <c r="AF3011">
        <v>0</v>
      </c>
      <c r="AG3011">
        <v>0</v>
      </c>
      <c r="AH3011">
        <v>0</v>
      </c>
      <c r="AI3011">
        <v>0</v>
      </c>
      <c r="AJ3011">
        <v>0</v>
      </c>
      <c r="AK3011">
        <v>0</v>
      </c>
    </row>
    <row r="3012" spans="1:37" x14ac:dyDescent="0.3">
      <c r="A3012">
        <v>6178</v>
      </c>
      <c r="B3012" t="s">
        <v>3368</v>
      </c>
      <c r="D3012" t="s">
        <v>3502</v>
      </c>
      <c r="E3012">
        <v>99999999</v>
      </c>
      <c r="F3012">
        <v>11111111</v>
      </c>
      <c r="G3012">
        <v>1111111111</v>
      </c>
      <c r="H3012" t="s">
        <v>6581</v>
      </c>
      <c r="I3012">
        <v>99999999</v>
      </c>
      <c r="J3012" s="188">
        <v>45236</v>
      </c>
      <c r="K3012" t="s">
        <v>6581</v>
      </c>
      <c r="L3012" t="s">
        <v>6581</v>
      </c>
      <c r="M3012" t="s">
        <v>173</v>
      </c>
      <c r="N3012" t="s">
        <v>164</v>
      </c>
      <c r="O3012" t="s">
        <v>3515</v>
      </c>
      <c r="P3012" t="s">
        <v>221</v>
      </c>
      <c r="Q3012" t="s">
        <v>124</v>
      </c>
      <c r="R3012">
        <v>1</v>
      </c>
      <c r="S3012">
        <v>8.0500000000000007</v>
      </c>
      <c r="T3012">
        <v>0</v>
      </c>
      <c r="U3012">
        <v>1</v>
      </c>
      <c r="V3012">
        <v>1</v>
      </c>
      <c r="W3012">
        <v>0</v>
      </c>
      <c r="X3012">
        <v>0</v>
      </c>
      <c r="Y3012">
        <v>0</v>
      </c>
      <c r="Z3012">
        <v>0</v>
      </c>
      <c r="AA3012">
        <v>0</v>
      </c>
      <c r="AB3012">
        <v>0</v>
      </c>
      <c r="AC3012">
        <v>0</v>
      </c>
      <c r="AD3012">
        <v>1</v>
      </c>
      <c r="AE3012">
        <v>0</v>
      </c>
      <c r="AF3012">
        <v>0</v>
      </c>
      <c r="AG3012">
        <v>0</v>
      </c>
      <c r="AH3012">
        <v>0</v>
      </c>
      <c r="AI3012">
        <v>0</v>
      </c>
      <c r="AJ3012">
        <v>0</v>
      </c>
      <c r="AK3012">
        <v>0</v>
      </c>
    </row>
    <row r="3013" spans="1:37" x14ac:dyDescent="0.3">
      <c r="A3013">
        <v>6178</v>
      </c>
      <c r="B3013" t="s">
        <v>3368</v>
      </c>
      <c r="D3013" t="s">
        <v>3502</v>
      </c>
      <c r="E3013">
        <v>99999999</v>
      </c>
      <c r="F3013">
        <v>11111111</v>
      </c>
      <c r="G3013">
        <v>1111111111</v>
      </c>
      <c r="H3013" t="s">
        <v>6582</v>
      </c>
      <c r="I3013">
        <v>99999999</v>
      </c>
      <c r="J3013" s="188">
        <v>45236</v>
      </c>
      <c r="K3013" t="s">
        <v>6582</v>
      </c>
      <c r="L3013" t="s">
        <v>6582</v>
      </c>
      <c r="M3013" t="s">
        <v>3516</v>
      </c>
      <c r="N3013" t="s">
        <v>206</v>
      </c>
      <c r="O3013" t="s">
        <v>3517</v>
      </c>
      <c r="P3013" t="s">
        <v>221</v>
      </c>
      <c r="Q3013" t="s">
        <v>124</v>
      </c>
      <c r="R3013">
        <v>1</v>
      </c>
      <c r="S3013">
        <v>1.68</v>
      </c>
      <c r="T3013">
        <v>0</v>
      </c>
      <c r="U3013">
        <v>1</v>
      </c>
      <c r="V3013">
        <v>1</v>
      </c>
      <c r="W3013">
        <v>0</v>
      </c>
      <c r="X3013">
        <v>0</v>
      </c>
      <c r="Y3013">
        <v>0</v>
      </c>
      <c r="Z3013">
        <v>0</v>
      </c>
      <c r="AA3013">
        <v>0</v>
      </c>
      <c r="AB3013">
        <v>0</v>
      </c>
      <c r="AC3013">
        <v>0</v>
      </c>
      <c r="AD3013">
        <v>1</v>
      </c>
      <c r="AE3013">
        <v>0</v>
      </c>
      <c r="AF3013">
        <v>0</v>
      </c>
      <c r="AG3013">
        <v>0</v>
      </c>
      <c r="AH3013">
        <v>0</v>
      </c>
      <c r="AI3013">
        <v>0</v>
      </c>
      <c r="AJ3013">
        <v>0</v>
      </c>
      <c r="AK3013">
        <v>0</v>
      </c>
    </row>
    <row r="3014" spans="1:37" x14ac:dyDescent="0.3">
      <c r="A3014">
        <v>6178</v>
      </c>
      <c r="B3014" t="s">
        <v>3368</v>
      </c>
      <c r="D3014" t="s">
        <v>94</v>
      </c>
      <c r="E3014">
        <v>99999999</v>
      </c>
      <c r="F3014">
        <v>11111111</v>
      </c>
      <c r="G3014">
        <v>1111111111</v>
      </c>
      <c r="H3014" t="s">
        <v>6583</v>
      </c>
      <c r="I3014">
        <v>99999999</v>
      </c>
      <c r="J3014" s="188">
        <v>45236</v>
      </c>
      <c r="K3014" t="s">
        <v>6583</v>
      </c>
      <c r="L3014" t="s">
        <v>6583</v>
      </c>
      <c r="M3014" t="s">
        <v>3518</v>
      </c>
      <c r="N3014" t="s">
        <v>80</v>
      </c>
      <c r="O3014">
        <v>41018</v>
      </c>
      <c r="P3014" t="s">
        <v>221</v>
      </c>
      <c r="Q3014" t="s">
        <v>124</v>
      </c>
      <c r="R3014">
        <v>1</v>
      </c>
      <c r="S3014">
        <v>17.16</v>
      </c>
      <c r="T3014">
        <v>0</v>
      </c>
      <c r="U3014">
        <v>1</v>
      </c>
      <c r="V3014">
        <v>1</v>
      </c>
      <c r="W3014">
        <v>0</v>
      </c>
      <c r="X3014">
        <v>0</v>
      </c>
      <c r="Y3014">
        <v>0</v>
      </c>
      <c r="Z3014">
        <v>0</v>
      </c>
      <c r="AA3014">
        <v>1</v>
      </c>
      <c r="AB3014">
        <v>0</v>
      </c>
      <c r="AC3014">
        <v>0</v>
      </c>
      <c r="AD3014">
        <v>0</v>
      </c>
      <c r="AE3014">
        <v>0</v>
      </c>
      <c r="AF3014">
        <v>0</v>
      </c>
      <c r="AG3014">
        <v>0</v>
      </c>
      <c r="AH3014">
        <v>0</v>
      </c>
      <c r="AI3014">
        <v>0</v>
      </c>
      <c r="AJ3014">
        <v>0</v>
      </c>
      <c r="AK3014">
        <v>0</v>
      </c>
    </row>
    <row r="3015" spans="1:37" x14ac:dyDescent="0.3">
      <c r="A3015">
        <v>6178</v>
      </c>
      <c r="B3015" t="s">
        <v>3368</v>
      </c>
      <c r="D3015" t="s">
        <v>3502</v>
      </c>
      <c r="E3015">
        <v>99999999</v>
      </c>
      <c r="F3015">
        <v>11111111</v>
      </c>
      <c r="G3015">
        <v>1111111111</v>
      </c>
      <c r="H3015" t="s">
        <v>6584</v>
      </c>
      <c r="I3015">
        <v>99999999</v>
      </c>
      <c r="J3015" s="188">
        <v>45237</v>
      </c>
      <c r="K3015" t="s">
        <v>6584</v>
      </c>
      <c r="L3015" t="s">
        <v>6584</v>
      </c>
      <c r="M3015" t="s">
        <v>3519</v>
      </c>
      <c r="N3015" t="s">
        <v>197</v>
      </c>
      <c r="O3015">
        <v>75845</v>
      </c>
      <c r="P3015" t="s">
        <v>221</v>
      </c>
      <c r="Q3015" t="s">
        <v>124</v>
      </c>
      <c r="R3015">
        <v>2</v>
      </c>
      <c r="S3015">
        <v>27.4</v>
      </c>
      <c r="T3015">
        <v>0</v>
      </c>
      <c r="U3015">
        <v>1</v>
      </c>
      <c r="V3015">
        <v>2</v>
      </c>
      <c r="W3015">
        <v>0</v>
      </c>
      <c r="X3015">
        <v>0</v>
      </c>
      <c r="Y3015">
        <v>0</v>
      </c>
      <c r="Z3015">
        <v>0</v>
      </c>
      <c r="AA3015">
        <v>0</v>
      </c>
      <c r="AB3015">
        <v>0</v>
      </c>
      <c r="AC3015">
        <v>0</v>
      </c>
      <c r="AD3015">
        <v>2</v>
      </c>
      <c r="AE3015">
        <v>0</v>
      </c>
      <c r="AF3015">
        <v>0</v>
      </c>
      <c r="AG3015">
        <v>0</v>
      </c>
      <c r="AH3015">
        <v>0</v>
      </c>
      <c r="AI3015">
        <v>0</v>
      </c>
      <c r="AJ3015">
        <v>0</v>
      </c>
      <c r="AK3015">
        <v>0</v>
      </c>
    </row>
    <row r="3016" spans="1:37" x14ac:dyDescent="0.3">
      <c r="A3016">
        <v>6178</v>
      </c>
      <c r="B3016" t="s">
        <v>3368</v>
      </c>
      <c r="D3016" t="s">
        <v>94</v>
      </c>
      <c r="E3016">
        <v>99999999</v>
      </c>
      <c r="F3016">
        <v>11111111</v>
      </c>
      <c r="G3016">
        <v>1111111111</v>
      </c>
      <c r="H3016" t="s">
        <v>6585</v>
      </c>
      <c r="I3016">
        <v>99999999</v>
      </c>
      <c r="J3016" s="188">
        <v>45237</v>
      </c>
      <c r="K3016" t="s">
        <v>6585</v>
      </c>
      <c r="L3016" t="s">
        <v>6585</v>
      </c>
      <c r="M3016" t="s">
        <v>108</v>
      </c>
      <c r="N3016" t="s">
        <v>99</v>
      </c>
      <c r="O3016">
        <v>95330</v>
      </c>
      <c r="P3016" t="s">
        <v>221</v>
      </c>
      <c r="Q3016" t="s">
        <v>124</v>
      </c>
      <c r="R3016">
        <v>1</v>
      </c>
      <c r="S3016">
        <v>13.7</v>
      </c>
      <c r="T3016">
        <v>0</v>
      </c>
      <c r="U3016">
        <v>1</v>
      </c>
      <c r="V3016">
        <v>1</v>
      </c>
      <c r="W3016">
        <v>0</v>
      </c>
      <c r="X3016">
        <v>0</v>
      </c>
      <c r="Y3016">
        <v>0</v>
      </c>
      <c r="Z3016">
        <v>0</v>
      </c>
      <c r="AA3016">
        <v>0</v>
      </c>
      <c r="AB3016">
        <v>0</v>
      </c>
      <c r="AC3016">
        <v>0</v>
      </c>
      <c r="AD3016">
        <v>1</v>
      </c>
      <c r="AE3016">
        <v>0</v>
      </c>
      <c r="AF3016">
        <v>0</v>
      </c>
      <c r="AG3016">
        <v>0</v>
      </c>
      <c r="AH3016">
        <v>0</v>
      </c>
      <c r="AI3016">
        <v>0</v>
      </c>
      <c r="AJ3016">
        <v>0</v>
      </c>
      <c r="AK3016">
        <v>0</v>
      </c>
    </row>
    <row r="3017" spans="1:37" x14ac:dyDescent="0.3">
      <c r="A3017">
        <v>6178</v>
      </c>
      <c r="B3017" t="s">
        <v>3368</v>
      </c>
      <c r="D3017" t="s">
        <v>3502</v>
      </c>
      <c r="E3017">
        <v>99999999</v>
      </c>
      <c r="F3017">
        <v>11111111</v>
      </c>
      <c r="G3017">
        <v>1111111111</v>
      </c>
      <c r="H3017" t="s">
        <v>6586</v>
      </c>
      <c r="I3017">
        <v>99999999</v>
      </c>
      <c r="J3017" s="188">
        <v>45237</v>
      </c>
      <c r="K3017" t="s">
        <v>6586</v>
      </c>
      <c r="L3017" t="s">
        <v>6586</v>
      </c>
      <c r="M3017" t="s">
        <v>3520</v>
      </c>
      <c r="N3017" t="s">
        <v>206</v>
      </c>
      <c r="O3017" t="s">
        <v>3521</v>
      </c>
      <c r="P3017" t="s">
        <v>221</v>
      </c>
      <c r="Q3017" t="s">
        <v>124</v>
      </c>
      <c r="R3017">
        <v>1</v>
      </c>
      <c r="S3017">
        <v>13.7</v>
      </c>
      <c r="T3017">
        <v>0</v>
      </c>
      <c r="U3017">
        <v>1</v>
      </c>
      <c r="V3017">
        <v>1</v>
      </c>
      <c r="W3017">
        <v>0</v>
      </c>
      <c r="X3017">
        <v>0</v>
      </c>
      <c r="Y3017">
        <v>0</v>
      </c>
      <c r="Z3017">
        <v>0</v>
      </c>
      <c r="AA3017">
        <v>0</v>
      </c>
      <c r="AB3017">
        <v>0</v>
      </c>
      <c r="AC3017">
        <v>0</v>
      </c>
      <c r="AD3017">
        <v>1</v>
      </c>
      <c r="AE3017">
        <v>0</v>
      </c>
      <c r="AF3017">
        <v>0</v>
      </c>
      <c r="AG3017">
        <v>0</v>
      </c>
      <c r="AH3017">
        <v>0</v>
      </c>
      <c r="AI3017">
        <v>0</v>
      </c>
      <c r="AJ3017">
        <v>0</v>
      </c>
      <c r="AK3017">
        <v>0</v>
      </c>
    </row>
    <row r="3018" spans="1:37" x14ac:dyDescent="0.3">
      <c r="A3018">
        <v>6178</v>
      </c>
      <c r="B3018" t="s">
        <v>3368</v>
      </c>
      <c r="D3018" t="s">
        <v>3502</v>
      </c>
      <c r="E3018">
        <v>99999999</v>
      </c>
      <c r="F3018">
        <v>11111111</v>
      </c>
      <c r="G3018">
        <v>1111111111</v>
      </c>
      <c r="H3018" t="s">
        <v>6587</v>
      </c>
      <c r="I3018">
        <v>99999999</v>
      </c>
      <c r="J3018" s="188">
        <v>45237</v>
      </c>
      <c r="K3018" t="s">
        <v>6587</v>
      </c>
      <c r="L3018" t="s">
        <v>6587</v>
      </c>
      <c r="M3018" t="s">
        <v>3522</v>
      </c>
      <c r="N3018" t="s">
        <v>1350</v>
      </c>
      <c r="O3018">
        <v>19953</v>
      </c>
      <c r="P3018" t="s">
        <v>221</v>
      </c>
      <c r="Q3018" t="s">
        <v>124</v>
      </c>
      <c r="R3018">
        <v>1</v>
      </c>
      <c r="S3018">
        <v>13.7</v>
      </c>
      <c r="T3018">
        <v>0</v>
      </c>
      <c r="U3018">
        <v>1</v>
      </c>
      <c r="V3018">
        <v>1</v>
      </c>
      <c r="W3018">
        <v>0</v>
      </c>
      <c r="X3018">
        <v>0</v>
      </c>
      <c r="Y3018">
        <v>0</v>
      </c>
      <c r="Z3018">
        <v>0</v>
      </c>
      <c r="AA3018">
        <v>0</v>
      </c>
      <c r="AB3018">
        <v>0</v>
      </c>
      <c r="AC3018">
        <v>0</v>
      </c>
      <c r="AD3018">
        <v>1</v>
      </c>
      <c r="AE3018">
        <v>0</v>
      </c>
      <c r="AF3018">
        <v>0</v>
      </c>
      <c r="AG3018">
        <v>0</v>
      </c>
      <c r="AH3018">
        <v>0</v>
      </c>
      <c r="AI3018">
        <v>0</v>
      </c>
      <c r="AJ3018">
        <v>0</v>
      </c>
      <c r="AK3018">
        <v>0</v>
      </c>
    </row>
    <row r="3019" spans="1:37" x14ac:dyDescent="0.3">
      <c r="A3019">
        <v>6178</v>
      </c>
      <c r="B3019" t="s">
        <v>3368</v>
      </c>
      <c r="D3019" t="s">
        <v>3502</v>
      </c>
      <c r="E3019">
        <v>99999999</v>
      </c>
      <c r="F3019">
        <v>11111111</v>
      </c>
      <c r="G3019">
        <v>1111111111</v>
      </c>
      <c r="H3019" t="s">
        <v>6588</v>
      </c>
      <c r="I3019">
        <v>99999999</v>
      </c>
      <c r="J3019" s="188">
        <v>45237</v>
      </c>
      <c r="K3019" t="s">
        <v>6588</v>
      </c>
      <c r="L3019" t="s">
        <v>6588</v>
      </c>
      <c r="M3019" t="s">
        <v>111</v>
      </c>
      <c r="N3019" t="s">
        <v>243</v>
      </c>
      <c r="O3019">
        <v>36832</v>
      </c>
      <c r="P3019" t="s">
        <v>221</v>
      </c>
      <c r="Q3019" t="s">
        <v>124</v>
      </c>
      <c r="R3019">
        <v>1</v>
      </c>
      <c r="S3019">
        <v>8.26</v>
      </c>
      <c r="T3019">
        <v>0</v>
      </c>
      <c r="U3019">
        <v>1</v>
      </c>
      <c r="V3019">
        <v>1</v>
      </c>
      <c r="W3019">
        <v>0</v>
      </c>
      <c r="X3019">
        <v>0</v>
      </c>
      <c r="Y3019">
        <v>0</v>
      </c>
      <c r="Z3019">
        <v>0</v>
      </c>
      <c r="AA3019">
        <v>1</v>
      </c>
      <c r="AB3019">
        <v>0</v>
      </c>
      <c r="AC3019">
        <v>0</v>
      </c>
      <c r="AD3019">
        <v>0</v>
      </c>
      <c r="AE3019">
        <v>0</v>
      </c>
      <c r="AF3019">
        <v>0</v>
      </c>
      <c r="AG3019">
        <v>0</v>
      </c>
      <c r="AH3019">
        <v>0</v>
      </c>
      <c r="AI3019">
        <v>0</v>
      </c>
      <c r="AJ3019">
        <v>0</v>
      </c>
      <c r="AK3019">
        <v>0</v>
      </c>
    </row>
    <row r="3020" spans="1:37" x14ac:dyDescent="0.3">
      <c r="A3020">
        <v>6178</v>
      </c>
      <c r="B3020" t="s">
        <v>3368</v>
      </c>
      <c r="D3020" t="s">
        <v>94</v>
      </c>
      <c r="E3020">
        <v>99999999</v>
      </c>
      <c r="F3020">
        <v>11111111</v>
      </c>
      <c r="G3020">
        <v>1111111111</v>
      </c>
      <c r="H3020" t="s">
        <v>6589</v>
      </c>
      <c r="I3020">
        <v>99999999</v>
      </c>
      <c r="J3020" s="188">
        <v>45238</v>
      </c>
      <c r="K3020" t="s">
        <v>6589</v>
      </c>
      <c r="L3020" t="s">
        <v>6589</v>
      </c>
      <c r="M3020" t="s">
        <v>3518</v>
      </c>
      <c r="N3020" t="s">
        <v>80</v>
      </c>
      <c r="O3020">
        <v>41018</v>
      </c>
      <c r="P3020" t="s">
        <v>221</v>
      </c>
      <c r="Q3020" t="s">
        <v>124</v>
      </c>
      <c r="R3020">
        <v>1</v>
      </c>
      <c r="S3020">
        <v>17.16</v>
      </c>
      <c r="T3020">
        <v>0</v>
      </c>
      <c r="U3020">
        <v>1</v>
      </c>
      <c r="V3020">
        <v>1</v>
      </c>
      <c r="W3020">
        <v>0</v>
      </c>
      <c r="X3020">
        <v>0</v>
      </c>
      <c r="Y3020">
        <v>0</v>
      </c>
      <c r="Z3020">
        <v>0</v>
      </c>
      <c r="AA3020">
        <v>1</v>
      </c>
      <c r="AB3020">
        <v>0</v>
      </c>
      <c r="AC3020">
        <v>0</v>
      </c>
      <c r="AD3020">
        <v>0</v>
      </c>
      <c r="AE3020">
        <v>0</v>
      </c>
      <c r="AF3020">
        <v>0</v>
      </c>
      <c r="AG3020">
        <v>0</v>
      </c>
      <c r="AH3020">
        <v>0</v>
      </c>
      <c r="AI3020">
        <v>0</v>
      </c>
      <c r="AJ3020">
        <v>0</v>
      </c>
      <c r="AK3020">
        <v>0</v>
      </c>
    </row>
    <row r="3021" spans="1:37" x14ac:dyDescent="0.3">
      <c r="A3021">
        <v>6178</v>
      </c>
      <c r="B3021" t="s">
        <v>3368</v>
      </c>
      <c r="D3021" t="s">
        <v>3502</v>
      </c>
      <c r="E3021">
        <v>99999999</v>
      </c>
      <c r="F3021">
        <v>11111111</v>
      </c>
      <c r="G3021">
        <v>1111111111</v>
      </c>
      <c r="H3021" t="s">
        <v>6590</v>
      </c>
      <c r="I3021">
        <v>99999999</v>
      </c>
      <c r="J3021" s="188">
        <v>45238</v>
      </c>
      <c r="K3021" t="s">
        <v>6590</v>
      </c>
      <c r="L3021" t="s">
        <v>6590</v>
      </c>
      <c r="M3021" t="s">
        <v>3523</v>
      </c>
      <c r="N3021" t="s">
        <v>99</v>
      </c>
      <c r="O3021">
        <v>92648</v>
      </c>
      <c r="P3021" t="s">
        <v>221</v>
      </c>
      <c r="Q3021" t="s">
        <v>124</v>
      </c>
      <c r="R3021">
        <v>2</v>
      </c>
      <c r="S3021">
        <v>27.4</v>
      </c>
      <c r="T3021">
        <v>0</v>
      </c>
      <c r="U3021">
        <v>1</v>
      </c>
      <c r="V3021">
        <v>1</v>
      </c>
      <c r="W3021">
        <v>0</v>
      </c>
      <c r="X3021">
        <v>0</v>
      </c>
      <c r="Y3021">
        <v>0</v>
      </c>
      <c r="Z3021">
        <v>0</v>
      </c>
      <c r="AA3021">
        <v>0</v>
      </c>
      <c r="AB3021">
        <v>0</v>
      </c>
      <c r="AC3021">
        <v>0</v>
      </c>
      <c r="AD3021">
        <v>2</v>
      </c>
      <c r="AE3021">
        <v>0</v>
      </c>
      <c r="AF3021">
        <v>0</v>
      </c>
      <c r="AG3021">
        <v>0</v>
      </c>
      <c r="AH3021">
        <v>0</v>
      </c>
      <c r="AI3021">
        <v>0</v>
      </c>
      <c r="AJ3021">
        <v>0</v>
      </c>
      <c r="AK3021">
        <v>0</v>
      </c>
    </row>
    <row r="3022" spans="1:37" x14ac:dyDescent="0.3">
      <c r="A3022">
        <v>7382</v>
      </c>
      <c r="B3022" t="s">
        <v>3451</v>
      </c>
      <c r="D3022" t="s">
        <v>94</v>
      </c>
      <c r="E3022">
        <v>99999999</v>
      </c>
      <c r="F3022">
        <v>11111111</v>
      </c>
      <c r="G3022">
        <v>1111111111</v>
      </c>
      <c r="H3022" t="s">
        <v>6591</v>
      </c>
      <c r="I3022">
        <v>99999999</v>
      </c>
      <c r="J3022" s="188">
        <v>45236</v>
      </c>
      <c r="K3022" t="s">
        <v>6591</v>
      </c>
      <c r="L3022" t="s">
        <v>6591</v>
      </c>
      <c r="M3022" t="s">
        <v>2555</v>
      </c>
      <c r="N3022" t="s">
        <v>950</v>
      </c>
      <c r="O3022" t="s">
        <v>3524</v>
      </c>
      <c r="P3022" t="s">
        <v>221</v>
      </c>
      <c r="Q3022" t="s">
        <v>93</v>
      </c>
      <c r="R3022">
        <v>1</v>
      </c>
      <c r="S3022">
        <v>18</v>
      </c>
      <c r="T3022">
        <v>0</v>
      </c>
      <c r="U3022">
        <v>1</v>
      </c>
      <c r="V3022">
        <v>1</v>
      </c>
      <c r="W3022">
        <v>0</v>
      </c>
      <c r="X3022">
        <v>0</v>
      </c>
      <c r="Y3022">
        <v>0</v>
      </c>
      <c r="Z3022">
        <v>0</v>
      </c>
      <c r="AA3022">
        <v>0</v>
      </c>
      <c r="AB3022">
        <v>0</v>
      </c>
      <c r="AC3022">
        <v>0</v>
      </c>
      <c r="AD3022">
        <v>1</v>
      </c>
      <c r="AE3022">
        <v>0</v>
      </c>
      <c r="AF3022">
        <v>0</v>
      </c>
      <c r="AG3022">
        <v>0</v>
      </c>
      <c r="AH3022">
        <v>0</v>
      </c>
      <c r="AI3022">
        <v>0</v>
      </c>
      <c r="AJ3022">
        <v>0</v>
      </c>
      <c r="AK3022">
        <v>0</v>
      </c>
    </row>
    <row r="3023" spans="1:37" x14ac:dyDescent="0.3">
      <c r="A3023">
        <v>7382</v>
      </c>
      <c r="B3023" t="s">
        <v>3451</v>
      </c>
      <c r="D3023" t="s">
        <v>94</v>
      </c>
      <c r="E3023">
        <v>99999999</v>
      </c>
      <c r="F3023">
        <v>11111111</v>
      </c>
      <c r="G3023">
        <v>1111111111</v>
      </c>
      <c r="H3023" t="s">
        <v>6592</v>
      </c>
      <c r="I3023">
        <v>99999999</v>
      </c>
      <c r="J3023" s="188">
        <v>45237</v>
      </c>
      <c r="K3023" t="s">
        <v>6592</v>
      </c>
      <c r="L3023" t="s">
        <v>6592</v>
      </c>
      <c r="M3023" t="s">
        <v>84</v>
      </c>
      <c r="N3023" t="s">
        <v>85</v>
      </c>
      <c r="O3023">
        <v>89431</v>
      </c>
      <c r="P3023" t="s">
        <v>221</v>
      </c>
      <c r="Q3023" t="s">
        <v>82</v>
      </c>
      <c r="R3023">
        <v>2</v>
      </c>
      <c r="S3023">
        <v>14.2</v>
      </c>
      <c r="T3023">
        <v>0</v>
      </c>
      <c r="U3023">
        <v>1</v>
      </c>
      <c r="V3023">
        <v>2</v>
      </c>
      <c r="W3023">
        <v>16.34</v>
      </c>
      <c r="X3023">
        <v>0</v>
      </c>
      <c r="Y3023">
        <v>0</v>
      </c>
      <c r="Z3023">
        <v>0</v>
      </c>
      <c r="AA3023">
        <v>0</v>
      </c>
      <c r="AB3023">
        <v>0</v>
      </c>
      <c r="AC3023">
        <v>0</v>
      </c>
      <c r="AD3023">
        <v>2</v>
      </c>
      <c r="AE3023">
        <v>0</v>
      </c>
      <c r="AF3023">
        <v>0</v>
      </c>
      <c r="AG3023">
        <v>0</v>
      </c>
      <c r="AH3023">
        <v>0</v>
      </c>
      <c r="AI3023">
        <v>0</v>
      </c>
      <c r="AJ3023">
        <v>0</v>
      </c>
      <c r="AK3023">
        <v>0</v>
      </c>
    </row>
    <row r="3024" spans="1:37" x14ac:dyDescent="0.3">
      <c r="A3024">
        <v>7382</v>
      </c>
      <c r="B3024" t="s">
        <v>3451</v>
      </c>
      <c r="D3024" t="s">
        <v>94</v>
      </c>
      <c r="E3024">
        <v>99999999</v>
      </c>
      <c r="F3024">
        <v>11111111</v>
      </c>
      <c r="G3024">
        <v>1111111111</v>
      </c>
      <c r="H3024" t="s">
        <v>6593</v>
      </c>
      <c r="I3024">
        <v>99999999</v>
      </c>
      <c r="J3024" s="188">
        <v>45237</v>
      </c>
      <c r="K3024" t="s">
        <v>6593</v>
      </c>
      <c r="L3024" t="s">
        <v>6593</v>
      </c>
      <c r="M3024" t="s">
        <v>126</v>
      </c>
      <c r="N3024" t="s">
        <v>104</v>
      </c>
      <c r="O3024" t="s">
        <v>3525</v>
      </c>
      <c r="P3024" t="s">
        <v>221</v>
      </c>
      <c r="Q3024" t="s">
        <v>82</v>
      </c>
      <c r="R3024">
        <v>3</v>
      </c>
      <c r="S3024">
        <v>26.25</v>
      </c>
      <c r="T3024">
        <v>0</v>
      </c>
      <c r="U3024">
        <v>1</v>
      </c>
      <c r="V3024">
        <v>1</v>
      </c>
      <c r="W3024">
        <v>27.8</v>
      </c>
      <c r="X3024">
        <v>0</v>
      </c>
      <c r="Y3024">
        <v>0</v>
      </c>
      <c r="Z3024">
        <v>0</v>
      </c>
      <c r="AA3024">
        <v>0</v>
      </c>
      <c r="AB3024">
        <v>0</v>
      </c>
      <c r="AC3024">
        <v>0</v>
      </c>
      <c r="AD3024">
        <v>3</v>
      </c>
      <c r="AE3024">
        <v>0</v>
      </c>
      <c r="AF3024">
        <v>0</v>
      </c>
      <c r="AG3024">
        <v>0</v>
      </c>
      <c r="AH3024">
        <v>0</v>
      </c>
      <c r="AI3024">
        <v>0</v>
      </c>
      <c r="AJ3024">
        <v>0</v>
      </c>
      <c r="AK3024">
        <v>0</v>
      </c>
    </row>
    <row r="3025" spans="1:37" x14ac:dyDescent="0.3">
      <c r="A3025">
        <v>7382</v>
      </c>
      <c r="B3025" t="s">
        <v>3451</v>
      </c>
      <c r="D3025" t="s">
        <v>94</v>
      </c>
      <c r="E3025">
        <v>99999999</v>
      </c>
      <c r="F3025">
        <v>11111111</v>
      </c>
      <c r="G3025">
        <v>1111111111</v>
      </c>
      <c r="H3025" t="s">
        <v>6594</v>
      </c>
      <c r="I3025">
        <v>99999999</v>
      </c>
      <c r="J3025" s="188">
        <v>45237</v>
      </c>
      <c r="K3025" t="s">
        <v>6594</v>
      </c>
      <c r="L3025" t="s">
        <v>6594</v>
      </c>
      <c r="M3025" t="s">
        <v>3526</v>
      </c>
      <c r="N3025" t="s">
        <v>118</v>
      </c>
      <c r="O3025">
        <v>18690</v>
      </c>
      <c r="P3025" t="s">
        <v>221</v>
      </c>
      <c r="Q3025" t="s">
        <v>82</v>
      </c>
      <c r="R3025">
        <v>1</v>
      </c>
      <c r="S3025">
        <v>14.77</v>
      </c>
      <c r="T3025">
        <v>0</v>
      </c>
      <c r="U3025">
        <v>1</v>
      </c>
      <c r="V3025">
        <v>1</v>
      </c>
      <c r="W3025">
        <v>32.94</v>
      </c>
      <c r="X3025">
        <v>0</v>
      </c>
      <c r="Y3025">
        <v>0</v>
      </c>
      <c r="Z3025">
        <v>0</v>
      </c>
      <c r="AA3025">
        <v>0</v>
      </c>
      <c r="AB3025">
        <v>0</v>
      </c>
      <c r="AC3025">
        <v>0</v>
      </c>
      <c r="AD3025">
        <v>1</v>
      </c>
      <c r="AE3025">
        <v>0</v>
      </c>
      <c r="AF3025">
        <v>0</v>
      </c>
      <c r="AG3025">
        <v>0</v>
      </c>
      <c r="AH3025">
        <v>0</v>
      </c>
      <c r="AI3025">
        <v>0</v>
      </c>
      <c r="AJ3025">
        <v>0</v>
      </c>
      <c r="AK3025">
        <v>0</v>
      </c>
    </row>
    <row r="3026" spans="1:37" x14ac:dyDescent="0.3">
      <c r="A3026">
        <v>7382</v>
      </c>
      <c r="B3026" t="s">
        <v>3451</v>
      </c>
      <c r="D3026" t="s">
        <v>94</v>
      </c>
      <c r="E3026">
        <v>99999999</v>
      </c>
      <c r="F3026">
        <v>11111111</v>
      </c>
      <c r="G3026">
        <v>1111111111</v>
      </c>
      <c r="H3026" t="s">
        <v>6595</v>
      </c>
      <c r="I3026">
        <v>99999999</v>
      </c>
      <c r="J3026" s="188">
        <v>45238</v>
      </c>
      <c r="K3026" t="s">
        <v>6595</v>
      </c>
      <c r="L3026" t="s">
        <v>6595</v>
      </c>
      <c r="M3026" t="s">
        <v>123</v>
      </c>
      <c r="N3026" t="s">
        <v>104</v>
      </c>
      <c r="O3026">
        <v>83501</v>
      </c>
      <c r="P3026" t="s">
        <v>221</v>
      </c>
      <c r="Q3026" t="s">
        <v>82</v>
      </c>
      <c r="R3026">
        <v>4</v>
      </c>
      <c r="S3026">
        <v>1.2</v>
      </c>
      <c r="T3026">
        <v>0</v>
      </c>
      <c r="U3026">
        <v>1</v>
      </c>
      <c r="V3026">
        <v>1</v>
      </c>
      <c r="W3026">
        <v>14.44</v>
      </c>
      <c r="X3026">
        <v>0</v>
      </c>
      <c r="Y3026">
        <v>0</v>
      </c>
      <c r="Z3026">
        <v>0</v>
      </c>
      <c r="AA3026">
        <v>0</v>
      </c>
      <c r="AB3026">
        <v>0</v>
      </c>
      <c r="AC3026">
        <v>0</v>
      </c>
      <c r="AD3026">
        <v>4</v>
      </c>
      <c r="AE3026">
        <v>0</v>
      </c>
      <c r="AF3026">
        <v>0</v>
      </c>
      <c r="AG3026">
        <v>0</v>
      </c>
      <c r="AH3026">
        <v>0</v>
      </c>
      <c r="AI3026">
        <v>0</v>
      </c>
      <c r="AJ3026">
        <v>0</v>
      </c>
      <c r="AK3026">
        <v>0</v>
      </c>
    </row>
    <row r="3027" spans="1:37" x14ac:dyDescent="0.3">
      <c r="A3027">
        <v>7382</v>
      </c>
      <c r="B3027" t="s">
        <v>3451</v>
      </c>
      <c r="D3027" t="s">
        <v>94</v>
      </c>
      <c r="E3027">
        <v>99999999</v>
      </c>
      <c r="F3027">
        <v>11111111</v>
      </c>
      <c r="G3027">
        <v>1111111111</v>
      </c>
      <c r="H3027" t="s">
        <v>6596</v>
      </c>
      <c r="I3027">
        <v>99999999</v>
      </c>
      <c r="J3027" s="188">
        <v>45238</v>
      </c>
      <c r="K3027" t="s">
        <v>6596</v>
      </c>
      <c r="L3027" t="s">
        <v>6596</v>
      </c>
      <c r="M3027" t="s">
        <v>3527</v>
      </c>
      <c r="N3027" t="s">
        <v>183</v>
      </c>
      <c r="O3027">
        <v>46534</v>
      </c>
      <c r="P3027" t="s">
        <v>221</v>
      </c>
      <c r="Q3027" t="s">
        <v>82</v>
      </c>
      <c r="R3027">
        <v>2</v>
      </c>
      <c r="S3027">
        <v>36</v>
      </c>
      <c r="T3027">
        <v>0</v>
      </c>
      <c r="U3027">
        <v>1</v>
      </c>
      <c r="V3027">
        <v>1</v>
      </c>
      <c r="W3027">
        <v>58.55</v>
      </c>
      <c r="X3027">
        <v>0</v>
      </c>
      <c r="Y3027">
        <v>0</v>
      </c>
      <c r="Z3027">
        <v>0</v>
      </c>
      <c r="AA3027">
        <v>0</v>
      </c>
      <c r="AB3027">
        <v>0</v>
      </c>
      <c r="AC3027">
        <v>0</v>
      </c>
      <c r="AD3027">
        <v>2</v>
      </c>
      <c r="AE3027">
        <v>0</v>
      </c>
      <c r="AF3027">
        <v>0</v>
      </c>
      <c r="AG3027">
        <v>0</v>
      </c>
      <c r="AH3027">
        <v>0</v>
      </c>
      <c r="AI3027">
        <v>0</v>
      </c>
      <c r="AJ3027">
        <v>0</v>
      </c>
      <c r="AK3027">
        <v>0</v>
      </c>
    </row>
    <row r="3028" spans="1:37" x14ac:dyDescent="0.3">
      <c r="A3028">
        <v>7382</v>
      </c>
      <c r="B3028" t="s">
        <v>3451</v>
      </c>
      <c r="D3028" t="s">
        <v>94</v>
      </c>
      <c r="E3028">
        <v>99999999</v>
      </c>
      <c r="F3028">
        <v>11111111</v>
      </c>
      <c r="G3028">
        <v>1111111111</v>
      </c>
      <c r="H3028" t="s">
        <v>6597</v>
      </c>
      <c r="I3028">
        <v>99999999</v>
      </c>
      <c r="J3028" s="188">
        <v>45238</v>
      </c>
      <c r="K3028" t="s">
        <v>6597</v>
      </c>
      <c r="L3028" t="s">
        <v>6597</v>
      </c>
      <c r="M3028" t="s">
        <v>126</v>
      </c>
      <c r="N3028" t="s">
        <v>104</v>
      </c>
      <c r="O3028" t="s">
        <v>3525</v>
      </c>
      <c r="P3028" t="s">
        <v>221</v>
      </c>
      <c r="Q3028" t="s">
        <v>82</v>
      </c>
      <c r="R3028">
        <v>2</v>
      </c>
      <c r="S3028">
        <v>86</v>
      </c>
      <c r="T3028">
        <v>0</v>
      </c>
      <c r="U3028">
        <v>2</v>
      </c>
      <c r="V3028">
        <v>1</v>
      </c>
      <c r="W3028">
        <v>71.260000000000005</v>
      </c>
      <c r="X3028">
        <v>0</v>
      </c>
      <c r="Y3028">
        <v>0</v>
      </c>
      <c r="Z3028">
        <v>0</v>
      </c>
      <c r="AA3028">
        <v>0</v>
      </c>
      <c r="AB3028">
        <v>0</v>
      </c>
      <c r="AC3028">
        <v>0</v>
      </c>
      <c r="AD3028">
        <v>2</v>
      </c>
      <c r="AE3028">
        <v>0</v>
      </c>
      <c r="AF3028">
        <v>0</v>
      </c>
      <c r="AG3028">
        <v>0</v>
      </c>
      <c r="AH3028">
        <v>0</v>
      </c>
      <c r="AI3028">
        <v>0</v>
      </c>
      <c r="AJ3028">
        <v>0</v>
      </c>
      <c r="AK3028">
        <v>0</v>
      </c>
    </row>
    <row r="3029" spans="1:37" x14ac:dyDescent="0.3">
      <c r="A3029">
        <v>7382</v>
      </c>
      <c r="B3029" t="s">
        <v>3451</v>
      </c>
      <c r="D3029" t="s">
        <v>94</v>
      </c>
      <c r="E3029">
        <v>99999999</v>
      </c>
      <c r="F3029">
        <v>11111111</v>
      </c>
      <c r="G3029">
        <v>1111111111</v>
      </c>
      <c r="H3029" t="s">
        <v>6598</v>
      </c>
      <c r="I3029">
        <v>99999999</v>
      </c>
      <c r="J3029" s="188">
        <v>45238</v>
      </c>
      <c r="K3029" t="s">
        <v>6598</v>
      </c>
      <c r="L3029" t="s">
        <v>6598</v>
      </c>
      <c r="M3029" t="s">
        <v>3528</v>
      </c>
      <c r="N3029" t="s">
        <v>543</v>
      </c>
      <c r="O3029" t="s">
        <v>3529</v>
      </c>
      <c r="P3029" t="s">
        <v>221</v>
      </c>
      <c r="Q3029" t="s">
        <v>82</v>
      </c>
      <c r="R3029">
        <v>4</v>
      </c>
      <c r="S3029">
        <v>100.52</v>
      </c>
      <c r="T3029">
        <v>0</v>
      </c>
      <c r="U3029">
        <v>2</v>
      </c>
      <c r="V3029">
        <v>1</v>
      </c>
      <c r="W3029">
        <v>123.52</v>
      </c>
      <c r="X3029">
        <v>0</v>
      </c>
      <c r="Y3029">
        <v>0</v>
      </c>
      <c r="Z3029">
        <v>0</v>
      </c>
      <c r="AA3029">
        <v>0</v>
      </c>
      <c r="AB3029">
        <v>0</v>
      </c>
      <c r="AC3029">
        <v>0</v>
      </c>
      <c r="AD3029">
        <v>4</v>
      </c>
      <c r="AE3029">
        <v>0</v>
      </c>
      <c r="AF3029">
        <v>0</v>
      </c>
      <c r="AG3029">
        <v>0</v>
      </c>
      <c r="AH3029">
        <v>0</v>
      </c>
      <c r="AI3029">
        <v>0</v>
      </c>
      <c r="AJ3029">
        <v>0</v>
      </c>
      <c r="AK3029">
        <v>0</v>
      </c>
    </row>
    <row r="3030" spans="1:37" x14ac:dyDescent="0.3">
      <c r="A3030">
        <v>3740</v>
      </c>
      <c r="B3030" t="s">
        <v>211</v>
      </c>
      <c r="D3030" t="s">
        <v>212</v>
      </c>
      <c r="E3030">
        <v>99999999</v>
      </c>
      <c r="F3030">
        <v>11111111</v>
      </c>
      <c r="G3030">
        <v>1111111111</v>
      </c>
      <c r="H3030" t="s">
        <v>6599</v>
      </c>
      <c r="I3030">
        <v>99999999</v>
      </c>
      <c r="J3030" s="188">
        <v>45237</v>
      </c>
      <c r="K3030" t="s">
        <v>6599</v>
      </c>
      <c r="L3030" t="s">
        <v>6599</v>
      </c>
      <c r="M3030" t="s">
        <v>448</v>
      </c>
      <c r="N3030" t="s">
        <v>197</v>
      </c>
      <c r="O3030">
        <v>77029</v>
      </c>
      <c r="P3030" t="s">
        <v>214</v>
      </c>
      <c r="Q3030" t="s">
        <v>130</v>
      </c>
      <c r="R3030">
        <v>42514</v>
      </c>
      <c r="S3030">
        <v>42514</v>
      </c>
      <c r="T3030">
        <v>0</v>
      </c>
      <c r="U3030">
        <v>42514</v>
      </c>
      <c r="V3030">
        <v>1</v>
      </c>
      <c r="W3030">
        <v>0</v>
      </c>
      <c r="X3030">
        <v>0</v>
      </c>
      <c r="Y3030">
        <v>0</v>
      </c>
      <c r="Z3030">
        <v>0</v>
      </c>
      <c r="AA3030">
        <v>0</v>
      </c>
      <c r="AB3030">
        <v>0</v>
      </c>
      <c r="AC3030">
        <v>42514</v>
      </c>
      <c r="AD3030">
        <v>0</v>
      </c>
      <c r="AE3030">
        <v>0</v>
      </c>
      <c r="AF3030">
        <v>0</v>
      </c>
      <c r="AG3030">
        <v>0</v>
      </c>
      <c r="AH3030">
        <v>0</v>
      </c>
      <c r="AI3030">
        <v>0</v>
      </c>
      <c r="AJ3030">
        <v>0</v>
      </c>
      <c r="AK3030">
        <v>0</v>
      </c>
    </row>
    <row r="3031" spans="1:37" x14ac:dyDescent="0.3">
      <c r="A3031">
        <v>7821</v>
      </c>
      <c r="B3031" t="s">
        <v>3530</v>
      </c>
      <c r="D3031" t="s">
        <v>3531</v>
      </c>
      <c r="E3031">
        <v>99999999</v>
      </c>
      <c r="F3031">
        <v>11111111</v>
      </c>
      <c r="G3031">
        <v>1111111111</v>
      </c>
      <c r="H3031" t="s">
        <v>6600</v>
      </c>
      <c r="I3031">
        <v>99999999</v>
      </c>
      <c r="J3031" s="188">
        <v>45236</v>
      </c>
      <c r="K3031" t="s">
        <v>6600</v>
      </c>
      <c r="L3031" t="s">
        <v>6600</v>
      </c>
      <c r="M3031" t="s">
        <v>3532</v>
      </c>
      <c r="N3031" t="s">
        <v>99</v>
      </c>
      <c r="O3031">
        <v>90245</v>
      </c>
      <c r="P3031" t="s">
        <v>221</v>
      </c>
      <c r="Q3031" t="s">
        <v>124</v>
      </c>
      <c r="R3031">
        <v>1</v>
      </c>
      <c r="S3031">
        <v>350</v>
      </c>
      <c r="T3031">
        <v>1</v>
      </c>
      <c r="U3031">
        <v>1</v>
      </c>
      <c r="V3031">
        <v>1</v>
      </c>
      <c r="W3031">
        <v>0</v>
      </c>
      <c r="X3031">
        <v>0</v>
      </c>
      <c r="Y3031">
        <v>0</v>
      </c>
      <c r="Z3031">
        <v>0</v>
      </c>
      <c r="AA3031">
        <v>1</v>
      </c>
      <c r="AB3031">
        <v>0</v>
      </c>
      <c r="AC3031">
        <v>0</v>
      </c>
      <c r="AD3031">
        <v>0</v>
      </c>
      <c r="AE3031">
        <v>0</v>
      </c>
      <c r="AF3031">
        <v>0</v>
      </c>
      <c r="AG3031">
        <v>0</v>
      </c>
      <c r="AH3031">
        <v>0</v>
      </c>
      <c r="AI3031">
        <v>0</v>
      </c>
      <c r="AJ3031">
        <v>0</v>
      </c>
      <c r="AK3031">
        <v>0</v>
      </c>
    </row>
    <row r="3032" spans="1:37" x14ac:dyDescent="0.3">
      <c r="A3032">
        <v>7864</v>
      </c>
      <c r="B3032" t="s">
        <v>234</v>
      </c>
      <c r="D3032" t="s">
        <v>3533</v>
      </c>
      <c r="E3032">
        <v>99999999</v>
      </c>
      <c r="F3032">
        <v>11111111</v>
      </c>
      <c r="G3032">
        <v>1111111111</v>
      </c>
      <c r="H3032" t="s">
        <v>6601</v>
      </c>
      <c r="I3032">
        <v>99999999</v>
      </c>
      <c r="J3032" s="188">
        <v>45236</v>
      </c>
      <c r="K3032" t="s">
        <v>6601</v>
      </c>
      <c r="L3032" t="s">
        <v>6601</v>
      </c>
      <c r="M3032" t="s">
        <v>1626</v>
      </c>
      <c r="N3032" t="s">
        <v>130</v>
      </c>
      <c r="O3032">
        <v>80127</v>
      </c>
      <c r="P3032" t="s">
        <v>221</v>
      </c>
      <c r="Q3032" t="s">
        <v>82</v>
      </c>
      <c r="R3032">
        <v>1</v>
      </c>
      <c r="S3032">
        <v>0.46300000000000002</v>
      </c>
      <c r="T3032">
        <v>0</v>
      </c>
      <c r="U3032">
        <v>1</v>
      </c>
      <c r="V3032">
        <v>1</v>
      </c>
      <c r="W3032">
        <v>0</v>
      </c>
      <c r="X3032">
        <v>0</v>
      </c>
      <c r="Y3032">
        <v>0</v>
      </c>
      <c r="Z3032">
        <v>0</v>
      </c>
      <c r="AA3032">
        <v>0</v>
      </c>
      <c r="AB3032">
        <v>0</v>
      </c>
      <c r="AC3032">
        <v>0</v>
      </c>
      <c r="AD3032">
        <v>1</v>
      </c>
      <c r="AE3032">
        <v>0</v>
      </c>
      <c r="AF3032">
        <v>0</v>
      </c>
      <c r="AG3032">
        <v>0</v>
      </c>
      <c r="AH3032">
        <v>0</v>
      </c>
      <c r="AI3032">
        <v>0</v>
      </c>
      <c r="AJ3032">
        <v>0</v>
      </c>
      <c r="AK3032">
        <v>0</v>
      </c>
    </row>
    <row r="3033" spans="1:37" x14ac:dyDescent="0.3">
      <c r="A3033">
        <v>7864</v>
      </c>
      <c r="B3033" t="s">
        <v>234</v>
      </c>
      <c r="D3033" t="s">
        <v>3533</v>
      </c>
      <c r="E3033">
        <v>99999999</v>
      </c>
      <c r="F3033">
        <v>11111111</v>
      </c>
      <c r="G3033">
        <v>1111111111</v>
      </c>
      <c r="H3033" t="s">
        <v>6602</v>
      </c>
      <c r="I3033">
        <v>99999999</v>
      </c>
      <c r="J3033" s="188">
        <v>45236</v>
      </c>
      <c r="K3033" t="s">
        <v>6602</v>
      </c>
      <c r="L3033" t="s">
        <v>6602</v>
      </c>
      <c r="M3033" t="s">
        <v>101</v>
      </c>
      <c r="N3033" t="s">
        <v>97</v>
      </c>
      <c r="O3033" t="s">
        <v>3534</v>
      </c>
      <c r="P3033" t="s">
        <v>221</v>
      </c>
      <c r="Q3033" t="s">
        <v>82</v>
      </c>
      <c r="R3033">
        <v>1</v>
      </c>
      <c r="S3033">
        <v>0.86599999999999999</v>
      </c>
      <c r="T3033">
        <v>0</v>
      </c>
      <c r="U3033">
        <v>1</v>
      </c>
      <c r="V3033">
        <v>1</v>
      </c>
      <c r="W3033">
        <v>0</v>
      </c>
      <c r="X3033">
        <v>0</v>
      </c>
      <c r="Y3033">
        <v>0</v>
      </c>
      <c r="Z3033">
        <v>0</v>
      </c>
      <c r="AA3033">
        <v>0</v>
      </c>
      <c r="AB3033">
        <v>0</v>
      </c>
      <c r="AC3033">
        <v>0</v>
      </c>
      <c r="AD3033">
        <v>1</v>
      </c>
      <c r="AE3033">
        <v>0</v>
      </c>
      <c r="AF3033">
        <v>0</v>
      </c>
      <c r="AG3033">
        <v>0</v>
      </c>
      <c r="AH3033">
        <v>0</v>
      </c>
      <c r="AI3033">
        <v>0</v>
      </c>
      <c r="AJ3033">
        <v>0</v>
      </c>
      <c r="AK3033">
        <v>0</v>
      </c>
    </row>
    <row r="3034" spans="1:37" x14ac:dyDescent="0.3">
      <c r="A3034">
        <v>7864</v>
      </c>
      <c r="B3034" t="s">
        <v>234</v>
      </c>
      <c r="D3034" t="s">
        <v>3533</v>
      </c>
      <c r="E3034">
        <v>99999999</v>
      </c>
      <c r="F3034">
        <v>11111111</v>
      </c>
      <c r="G3034">
        <v>1111111111</v>
      </c>
      <c r="H3034" t="s">
        <v>6603</v>
      </c>
      <c r="I3034">
        <v>99999999</v>
      </c>
      <c r="J3034" s="188">
        <v>45236</v>
      </c>
      <c r="K3034" t="s">
        <v>6603</v>
      </c>
      <c r="L3034" t="s">
        <v>6603</v>
      </c>
      <c r="M3034" t="s">
        <v>865</v>
      </c>
      <c r="N3034" t="s">
        <v>91</v>
      </c>
      <c r="O3034">
        <v>85295</v>
      </c>
      <c r="P3034" t="s">
        <v>221</v>
      </c>
      <c r="Q3034" t="s">
        <v>82</v>
      </c>
      <c r="R3034">
        <v>1</v>
      </c>
      <c r="S3034">
        <v>0.15</v>
      </c>
      <c r="T3034">
        <v>0</v>
      </c>
      <c r="U3034">
        <v>1</v>
      </c>
      <c r="V3034">
        <v>1</v>
      </c>
      <c r="W3034">
        <v>0</v>
      </c>
      <c r="X3034">
        <v>0</v>
      </c>
      <c r="Y3034">
        <v>0</v>
      </c>
      <c r="Z3034">
        <v>0</v>
      </c>
      <c r="AA3034">
        <v>0</v>
      </c>
      <c r="AB3034">
        <v>0</v>
      </c>
      <c r="AC3034">
        <v>0</v>
      </c>
      <c r="AD3034">
        <v>1</v>
      </c>
      <c r="AE3034">
        <v>0</v>
      </c>
      <c r="AF3034">
        <v>0</v>
      </c>
      <c r="AG3034">
        <v>0</v>
      </c>
      <c r="AH3034">
        <v>0</v>
      </c>
      <c r="AI3034">
        <v>0</v>
      </c>
      <c r="AJ3034">
        <v>0</v>
      </c>
      <c r="AK3034">
        <v>0</v>
      </c>
    </row>
    <row r="3035" spans="1:37" x14ac:dyDescent="0.3">
      <c r="A3035">
        <v>7864</v>
      </c>
      <c r="B3035" t="s">
        <v>234</v>
      </c>
      <c r="D3035" t="s">
        <v>3533</v>
      </c>
      <c r="E3035">
        <v>99999999</v>
      </c>
      <c r="F3035">
        <v>11111111</v>
      </c>
      <c r="G3035">
        <v>1111111111</v>
      </c>
      <c r="H3035" t="s">
        <v>6604</v>
      </c>
      <c r="I3035">
        <v>99999999</v>
      </c>
      <c r="J3035" s="188">
        <v>45236</v>
      </c>
      <c r="K3035" t="s">
        <v>6604</v>
      </c>
      <c r="L3035" t="s">
        <v>6604</v>
      </c>
      <c r="M3035" t="s">
        <v>919</v>
      </c>
      <c r="N3035" t="s">
        <v>680</v>
      </c>
      <c r="O3035">
        <v>5663</v>
      </c>
      <c r="P3035" t="s">
        <v>221</v>
      </c>
      <c r="Q3035" t="s">
        <v>82</v>
      </c>
      <c r="R3035">
        <v>1</v>
      </c>
      <c r="S3035">
        <v>0.78</v>
      </c>
      <c r="T3035">
        <v>0</v>
      </c>
      <c r="U3035">
        <v>1</v>
      </c>
      <c r="V3035">
        <v>1</v>
      </c>
      <c r="W3035">
        <v>6.78</v>
      </c>
      <c r="X3035">
        <v>0</v>
      </c>
      <c r="Y3035">
        <v>0</v>
      </c>
      <c r="Z3035">
        <v>0</v>
      </c>
      <c r="AA3035">
        <v>0</v>
      </c>
      <c r="AB3035">
        <v>0</v>
      </c>
      <c r="AC3035">
        <v>0</v>
      </c>
      <c r="AD3035">
        <v>1</v>
      </c>
      <c r="AE3035">
        <v>0</v>
      </c>
      <c r="AF3035">
        <v>0</v>
      </c>
      <c r="AG3035">
        <v>0</v>
      </c>
      <c r="AH3035">
        <v>0</v>
      </c>
      <c r="AI3035">
        <v>0</v>
      </c>
      <c r="AJ3035">
        <v>0</v>
      </c>
      <c r="AK3035">
        <v>0</v>
      </c>
    </row>
    <row r="3036" spans="1:37" x14ac:dyDescent="0.3">
      <c r="A3036">
        <v>6178</v>
      </c>
      <c r="B3036" t="s">
        <v>3368</v>
      </c>
      <c r="D3036" t="s">
        <v>3533</v>
      </c>
      <c r="E3036">
        <v>99999999</v>
      </c>
      <c r="F3036">
        <v>11111111</v>
      </c>
      <c r="G3036">
        <v>1111111111</v>
      </c>
      <c r="H3036" t="s">
        <v>6605</v>
      </c>
      <c r="I3036">
        <v>99999999</v>
      </c>
      <c r="J3036" s="188">
        <v>45236</v>
      </c>
      <c r="K3036" t="s">
        <v>6605</v>
      </c>
      <c r="L3036" t="s">
        <v>6605</v>
      </c>
      <c r="M3036" t="s">
        <v>3506</v>
      </c>
      <c r="N3036" t="s">
        <v>99</v>
      </c>
      <c r="O3036" t="s">
        <v>3535</v>
      </c>
      <c r="P3036" t="s">
        <v>221</v>
      </c>
      <c r="Q3036" t="s">
        <v>82</v>
      </c>
      <c r="R3036">
        <v>1</v>
      </c>
      <c r="S3036">
        <v>0.42</v>
      </c>
      <c r="T3036">
        <v>0</v>
      </c>
      <c r="U3036">
        <v>1</v>
      </c>
      <c r="V3036">
        <v>1</v>
      </c>
      <c r="W3036">
        <v>4.1500000000000004</v>
      </c>
      <c r="X3036">
        <v>0</v>
      </c>
      <c r="Y3036">
        <v>0</v>
      </c>
      <c r="Z3036">
        <v>0</v>
      </c>
      <c r="AA3036">
        <v>0</v>
      </c>
      <c r="AB3036">
        <v>0</v>
      </c>
      <c r="AC3036">
        <v>0</v>
      </c>
      <c r="AD3036">
        <v>1</v>
      </c>
      <c r="AE3036">
        <v>0</v>
      </c>
      <c r="AF3036">
        <v>0</v>
      </c>
      <c r="AG3036">
        <v>0</v>
      </c>
      <c r="AH3036">
        <v>0</v>
      </c>
      <c r="AI3036">
        <v>0</v>
      </c>
      <c r="AJ3036">
        <v>0</v>
      </c>
      <c r="AK3036">
        <v>0</v>
      </c>
    </row>
    <row r="3037" spans="1:37" x14ac:dyDescent="0.3">
      <c r="A3037">
        <v>7864</v>
      </c>
      <c r="B3037" t="s">
        <v>234</v>
      </c>
      <c r="D3037" t="s">
        <v>3533</v>
      </c>
      <c r="E3037">
        <v>99999999</v>
      </c>
      <c r="F3037">
        <v>11111111</v>
      </c>
      <c r="G3037">
        <v>1111111111</v>
      </c>
      <c r="H3037" t="s">
        <v>6606</v>
      </c>
      <c r="I3037">
        <v>99999999</v>
      </c>
      <c r="J3037" s="188">
        <v>45238</v>
      </c>
      <c r="K3037" t="s">
        <v>6606</v>
      </c>
      <c r="L3037" t="s">
        <v>6606</v>
      </c>
      <c r="M3037" t="s">
        <v>3536</v>
      </c>
      <c r="N3037" t="s">
        <v>125</v>
      </c>
      <c r="O3037">
        <v>48446</v>
      </c>
      <c r="P3037" t="s">
        <v>221</v>
      </c>
      <c r="Q3037" t="s">
        <v>82</v>
      </c>
      <c r="R3037">
        <v>2</v>
      </c>
      <c r="S3037">
        <v>0.56899999999999995</v>
      </c>
      <c r="T3037">
        <v>0</v>
      </c>
      <c r="U3037">
        <v>1</v>
      </c>
      <c r="V3037">
        <v>2</v>
      </c>
      <c r="W3037">
        <v>5.33</v>
      </c>
      <c r="X3037">
        <v>0</v>
      </c>
      <c r="Y3037">
        <v>0</v>
      </c>
      <c r="Z3037">
        <v>0</v>
      </c>
      <c r="AA3037">
        <v>0</v>
      </c>
      <c r="AB3037">
        <v>0</v>
      </c>
      <c r="AC3037">
        <v>0</v>
      </c>
      <c r="AD3037">
        <v>2</v>
      </c>
      <c r="AE3037">
        <v>0</v>
      </c>
      <c r="AF3037">
        <v>0</v>
      </c>
      <c r="AG3037">
        <v>0</v>
      </c>
      <c r="AH3037">
        <v>0</v>
      </c>
      <c r="AI3037">
        <v>0</v>
      </c>
      <c r="AJ3037">
        <v>0</v>
      </c>
      <c r="AK3037">
        <v>0</v>
      </c>
    </row>
    <row r="3038" spans="1:37" x14ac:dyDescent="0.3">
      <c r="A3038">
        <v>7864</v>
      </c>
      <c r="B3038" t="s">
        <v>234</v>
      </c>
      <c r="D3038" t="s">
        <v>3533</v>
      </c>
      <c r="E3038">
        <v>99999999</v>
      </c>
      <c r="F3038">
        <v>11111111</v>
      </c>
      <c r="G3038">
        <v>1111111111</v>
      </c>
      <c r="H3038" t="s">
        <v>6607</v>
      </c>
      <c r="I3038">
        <v>99999999</v>
      </c>
      <c r="J3038" s="188">
        <v>45238</v>
      </c>
      <c r="K3038" t="s">
        <v>6607</v>
      </c>
      <c r="L3038" t="s">
        <v>6607</v>
      </c>
      <c r="M3038" t="s">
        <v>3537</v>
      </c>
      <c r="N3038" t="s">
        <v>256</v>
      </c>
      <c r="O3038">
        <v>96785</v>
      </c>
      <c r="P3038" t="s">
        <v>221</v>
      </c>
      <c r="Q3038" t="s">
        <v>82</v>
      </c>
      <c r="R3038">
        <v>49</v>
      </c>
      <c r="S3038">
        <v>19.72</v>
      </c>
      <c r="T3038">
        <v>0</v>
      </c>
      <c r="U3038">
        <v>1</v>
      </c>
      <c r="V3038">
        <v>20</v>
      </c>
      <c r="W3038">
        <v>0</v>
      </c>
      <c r="X3038">
        <v>0</v>
      </c>
      <c r="Y3038">
        <v>0</v>
      </c>
      <c r="Z3038">
        <v>0</v>
      </c>
      <c r="AA3038">
        <v>0</v>
      </c>
      <c r="AB3038">
        <v>0</v>
      </c>
      <c r="AC3038">
        <v>0</v>
      </c>
      <c r="AD3038">
        <v>49</v>
      </c>
      <c r="AE3038">
        <v>0</v>
      </c>
      <c r="AF3038">
        <v>0</v>
      </c>
      <c r="AG3038">
        <v>0</v>
      </c>
      <c r="AH3038">
        <v>0</v>
      </c>
      <c r="AI3038">
        <v>0</v>
      </c>
      <c r="AJ3038">
        <v>0</v>
      </c>
      <c r="AK3038">
        <v>0</v>
      </c>
    </row>
    <row r="3039" spans="1:37" x14ac:dyDescent="0.3">
      <c r="A3039">
        <v>7864</v>
      </c>
      <c r="B3039" t="s">
        <v>234</v>
      </c>
      <c r="D3039" t="s">
        <v>3533</v>
      </c>
      <c r="E3039">
        <v>99999999</v>
      </c>
      <c r="F3039">
        <v>11111111</v>
      </c>
      <c r="G3039">
        <v>1111111111</v>
      </c>
      <c r="H3039" t="s">
        <v>6608</v>
      </c>
      <c r="I3039">
        <v>99999999</v>
      </c>
      <c r="J3039" s="188">
        <v>45236</v>
      </c>
      <c r="K3039" t="s">
        <v>6608</v>
      </c>
      <c r="L3039" t="s">
        <v>6608</v>
      </c>
      <c r="M3039" t="s">
        <v>3538</v>
      </c>
      <c r="N3039" t="s">
        <v>983</v>
      </c>
      <c r="O3039">
        <v>7076</v>
      </c>
      <c r="P3039" t="s">
        <v>221</v>
      </c>
      <c r="Q3039" t="s">
        <v>82</v>
      </c>
      <c r="R3039">
        <v>1</v>
      </c>
      <c r="S3039">
        <v>0.85599999999999998</v>
      </c>
      <c r="T3039">
        <v>0</v>
      </c>
      <c r="U3039">
        <v>1</v>
      </c>
      <c r="V3039">
        <v>1</v>
      </c>
      <c r="W3039">
        <v>9.8800000000000008</v>
      </c>
      <c r="X3039">
        <v>0</v>
      </c>
      <c r="Y3039">
        <v>0</v>
      </c>
      <c r="Z3039">
        <v>0</v>
      </c>
      <c r="AA3039">
        <v>0</v>
      </c>
      <c r="AB3039">
        <v>0</v>
      </c>
      <c r="AC3039">
        <v>0</v>
      </c>
      <c r="AD3039">
        <v>1</v>
      </c>
      <c r="AE3039">
        <v>0</v>
      </c>
      <c r="AF3039">
        <v>0</v>
      </c>
      <c r="AG3039">
        <v>0</v>
      </c>
      <c r="AH3039">
        <v>0</v>
      </c>
      <c r="AI3039">
        <v>0</v>
      </c>
      <c r="AJ3039">
        <v>0</v>
      </c>
      <c r="AK3039">
        <v>0</v>
      </c>
    </row>
    <row r="3040" spans="1:37" x14ac:dyDescent="0.3">
      <c r="A3040">
        <v>7134</v>
      </c>
      <c r="B3040" t="s">
        <v>28</v>
      </c>
      <c r="D3040" t="s">
        <v>3533</v>
      </c>
      <c r="E3040">
        <v>99999999</v>
      </c>
      <c r="F3040">
        <v>11111111</v>
      </c>
      <c r="G3040">
        <v>1111111111</v>
      </c>
      <c r="H3040" t="s">
        <v>6609</v>
      </c>
      <c r="I3040">
        <v>99999999</v>
      </c>
      <c r="J3040" s="188">
        <v>45237</v>
      </c>
      <c r="K3040" t="s">
        <v>6609</v>
      </c>
      <c r="L3040" t="s">
        <v>6609</v>
      </c>
      <c r="M3040" t="s">
        <v>996</v>
      </c>
      <c r="N3040" t="s">
        <v>3539</v>
      </c>
      <c r="O3040">
        <v>20830</v>
      </c>
      <c r="Q3040" t="s">
        <v>82</v>
      </c>
      <c r="R3040">
        <v>1</v>
      </c>
      <c r="S3040">
        <v>0.73</v>
      </c>
      <c r="T3040">
        <v>0</v>
      </c>
      <c r="U3040">
        <v>1</v>
      </c>
      <c r="V3040">
        <v>1</v>
      </c>
      <c r="W3040">
        <v>9.8800000000000008</v>
      </c>
      <c r="X3040">
        <v>0</v>
      </c>
      <c r="Y3040">
        <v>0</v>
      </c>
      <c r="Z3040">
        <v>0</v>
      </c>
      <c r="AA3040">
        <v>0</v>
      </c>
      <c r="AB3040">
        <v>0</v>
      </c>
      <c r="AC3040">
        <v>0</v>
      </c>
      <c r="AD3040">
        <v>1</v>
      </c>
      <c r="AE3040">
        <v>0</v>
      </c>
      <c r="AF3040">
        <v>0</v>
      </c>
      <c r="AG3040">
        <v>0</v>
      </c>
      <c r="AH3040">
        <v>0</v>
      </c>
      <c r="AI3040">
        <v>0</v>
      </c>
      <c r="AJ3040">
        <v>0</v>
      </c>
      <c r="AK3040">
        <v>0</v>
      </c>
    </row>
    <row r="3041" spans="1:37" x14ac:dyDescent="0.3">
      <c r="A3041">
        <v>7864</v>
      </c>
      <c r="B3041" t="s">
        <v>234</v>
      </c>
      <c r="D3041" t="s">
        <v>3533</v>
      </c>
      <c r="E3041">
        <v>99999999</v>
      </c>
      <c r="F3041">
        <v>11111111</v>
      </c>
      <c r="G3041">
        <v>1111111111</v>
      </c>
      <c r="H3041" t="s">
        <v>6610</v>
      </c>
      <c r="I3041">
        <v>99999999</v>
      </c>
      <c r="J3041" s="188">
        <v>45238</v>
      </c>
      <c r="K3041" t="s">
        <v>6610</v>
      </c>
      <c r="L3041" t="s">
        <v>6610</v>
      </c>
      <c r="M3041" t="s">
        <v>3540</v>
      </c>
      <c r="N3041" t="s">
        <v>91</v>
      </c>
      <c r="O3041">
        <v>85351</v>
      </c>
      <c r="P3041" t="s">
        <v>221</v>
      </c>
      <c r="Q3041" t="s">
        <v>82</v>
      </c>
      <c r="R3041">
        <v>1</v>
      </c>
      <c r="S3041">
        <v>0.71899999999999997</v>
      </c>
      <c r="T3041">
        <v>0</v>
      </c>
      <c r="U3041">
        <v>1</v>
      </c>
      <c r="V3041">
        <v>1</v>
      </c>
      <c r="W3041">
        <v>6.92</v>
      </c>
      <c r="X3041">
        <v>0</v>
      </c>
      <c r="Y3041">
        <v>0</v>
      </c>
      <c r="Z3041">
        <v>0</v>
      </c>
      <c r="AA3041">
        <v>0</v>
      </c>
      <c r="AB3041">
        <v>0</v>
      </c>
      <c r="AC3041">
        <v>0</v>
      </c>
      <c r="AD3041">
        <v>1</v>
      </c>
      <c r="AE3041">
        <v>0</v>
      </c>
      <c r="AF3041">
        <v>0</v>
      </c>
      <c r="AG3041">
        <v>0</v>
      </c>
      <c r="AH3041">
        <v>0</v>
      </c>
      <c r="AI3041">
        <v>0</v>
      </c>
      <c r="AJ3041">
        <v>0</v>
      </c>
      <c r="AK3041">
        <v>0</v>
      </c>
    </row>
    <row r="3042" spans="1:37" x14ac:dyDescent="0.3">
      <c r="A3042">
        <v>7864</v>
      </c>
      <c r="B3042" t="s">
        <v>234</v>
      </c>
      <c r="D3042" t="s">
        <v>3533</v>
      </c>
      <c r="E3042">
        <v>99999999</v>
      </c>
      <c r="F3042">
        <v>11111111</v>
      </c>
      <c r="G3042">
        <v>1111111111</v>
      </c>
      <c r="H3042" t="s">
        <v>6611</v>
      </c>
      <c r="I3042">
        <v>99999999</v>
      </c>
      <c r="J3042" s="188">
        <v>45238</v>
      </c>
      <c r="K3042" t="s">
        <v>6611</v>
      </c>
      <c r="L3042" t="s">
        <v>6611</v>
      </c>
      <c r="M3042" t="s">
        <v>3541</v>
      </c>
      <c r="N3042" t="s">
        <v>231</v>
      </c>
      <c r="O3042">
        <v>1778</v>
      </c>
      <c r="P3042" t="s">
        <v>221</v>
      </c>
      <c r="Q3042" t="s">
        <v>82</v>
      </c>
      <c r="R3042">
        <v>1</v>
      </c>
      <c r="S3042">
        <v>0.71899999999999997</v>
      </c>
      <c r="T3042">
        <v>0</v>
      </c>
      <c r="U3042">
        <v>1</v>
      </c>
      <c r="V3042">
        <v>1</v>
      </c>
      <c r="W3042">
        <v>0</v>
      </c>
      <c r="X3042">
        <v>0</v>
      </c>
      <c r="Y3042">
        <v>0</v>
      </c>
      <c r="Z3042">
        <v>0</v>
      </c>
      <c r="AA3042">
        <v>0</v>
      </c>
      <c r="AB3042">
        <v>0</v>
      </c>
      <c r="AC3042">
        <v>0</v>
      </c>
      <c r="AD3042">
        <v>1</v>
      </c>
      <c r="AE3042">
        <v>0</v>
      </c>
      <c r="AF3042">
        <v>0</v>
      </c>
      <c r="AG3042">
        <v>0</v>
      </c>
      <c r="AH3042">
        <v>0</v>
      </c>
      <c r="AI3042">
        <v>0</v>
      </c>
      <c r="AJ3042">
        <v>0</v>
      </c>
      <c r="AK3042">
        <v>0</v>
      </c>
    </row>
    <row r="3043" spans="1:37" x14ac:dyDescent="0.3">
      <c r="A3043">
        <v>7484</v>
      </c>
      <c r="B3043" t="s">
        <v>33</v>
      </c>
      <c r="D3043" t="s">
        <v>3531</v>
      </c>
      <c r="E3043">
        <v>99999999</v>
      </c>
      <c r="F3043">
        <v>11111111</v>
      </c>
      <c r="G3043">
        <v>1111111111</v>
      </c>
      <c r="H3043" t="s">
        <v>6612</v>
      </c>
      <c r="I3043">
        <v>99999999</v>
      </c>
      <c r="J3043" s="188">
        <v>45236</v>
      </c>
      <c r="K3043" t="s">
        <v>6612</v>
      </c>
      <c r="L3043" t="s">
        <v>6612</v>
      </c>
      <c r="M3043" t="s">
        <v>3542</v>
      </c>
      <c r="N3043" t="s">
        <v>99</v>
      </c>
      <c r="O3043">
        <v>90670</v>
      </c>
      <c r="P3043" t="s">
        <v>221</v>
      </c>
      <c r="Q3043" t="s">
        <v>82</v>
      </c>
      <c r="R3043">
        <v>17</v>
      </c>
      <c r="S3043">
        <v>1050.5999999999999</v>
      </c>
      <c r="T3043">
        <v>1</v>
      </c>
      <c r="U3043">
        <v>17</v>
      </c>
      <c r="V3043">
        <v>1</v>
      </c>
      <c r="W3043">
        <v>0</v>
      </c>
      <c r="X3043">
        <v>0</v>
      </c>
      <c r="Y3043">
        <v>0</v>
      </c>
      <c r="Z3043">
        <v>0</v>
      </c>
      <c r="AA3043">
        <v>17</v>
      </c>
      <c r="AB3043">
        <v>0</v>
      </c>
      <c r="AC3043">
        <v>0</v>
      </c>
      <c r="AD3043">
        <v>0</v>
      </c>
      <c r="AE3043">
        <v>0</v>
      </c>
      <c r="AF3043">
        <v>0</v>
      </c>
      <c r="AG3043">
        <v>0</v>
      </c>
      <c r="AH3043">
        <v>0</v>
      </c>
      <c r="AI3043">
        <v>0</v>
      </c>
      <c r="AJ3043">
        <v>0</v>
      </c>
      <c r="AK3043">
        <v>0</v>
      </c>
    </row>
    <row r="3044" spans="1:37" x14ac:dyDescent="0.3">
      <c r="A3044">
        <v>7484</v>
      </c>
      <c r="B3044" t="s">
        <v>33</v>
      </c>
      <c r="D3044" t="s">
        <v>3531</v>
      </c>
      <c r="E3044">
        <v>99999999</v>
      </c>
      <c r="F3044">
        <v>11111111</v>
      </c>
      <c r="G3044">
        <v>1111111111</v>
      </c>
      <c r="H3044" t="s">
        <v>6613</v>
      </c>
      <c r="I3044">
        <v>99999999</v>
      </c>
      <c r="J3044" s="188">
        <v>45236</v>
      </c>
      <c r="K3044" t="s">
        <v>6613</v>
      </c>
      <c r="L3044" t="s">
        <v>6613</v>
      </c>
      <c r="M3044" t="s">
        <v>106</v>
      </c>
      <c r="N3044" t="s">
        <v>99</v>
      </c>
      <c r="O3044">
        <v>91789</v>
      </c>
      <c r="P3044" t="s">
        <v>221</v>
      </c>
      <c r="Q3044" t="s">
        <v>82</v>
      </c>
      <c r="R3044">
        <v>2</v>
      </c>
      <c r="S3044">
        <v>110.08</v>
      </c>
      <c r="T3044">
        <v>1</v>
      </c>
      <c r="U3044">
        <v>2</v>
      </c>
      <c r="V3044">
        <v>1</v>
      </c>
      <c r="W3044">
        <v>0</v>
      </c>
      <c r="X3044">
        <v>0</v>
      </c>
      <c r="Y3044">
        <v>0</v>
      </c>
      <c r="Z3044">
        <v>0</v>
      </c>
      <c r="AA3044">
        <v>2</v>
      </c>
      <c r="AB3044">
        <v>0</v>
      </c>
      <c r="AC3044">
        <v>0</v>
      </c>
      <c r="AD3044">
        <v>0</v>
      </c>
      <c r="AE3044">
        <v>0</v>
      </c>
      <c r="AF3044">
        <v>0</v>
      </c>
      <c r="AG3044">
        <v>0</v>
      </c>
      <c r="AH3044">
        <v>0</v>
      </c>
      <c r="AI3044">
        <v>0</v>
      </c>
      <c r="AJ3044">
        <v>0</v>
      </c>
      <c r="AK3044">
        <v>0</v>
      </c>
    </row>
    <row r="3045" spans="1:37" x14ac:dyDescent="0.3">
      <c r="A3045">
        <v>7484</v>
      </c>
      <c r="B3045" t="s">
        <v>33</v>
      </c>
      <c r="D3045" t="s">
        <v>3531</v>
      </c>
      <c r="E3045">
        <v>99999999</v>
      </c>
      <c r="F3045">
        <v>11111111</v>
      </c>
      <c r="G3045">
        <v>1111111111</v>
      </c>
      <c r="H3045" t="s">
        <v>6614</v>
      </c>
      <c r="I3045">
        <v>99999999</v>
      </c>
      <c r="J3045" s="188">
        <v>45236</v>
      </c>
      <c r="K3045" t="s">
        <v>6614</v>
      </c>
      <c r="L3045" t="s">
        <v>6614</v>
      </c>
      <c r="M3045" t="s">
        <v>369</v>
      </c>
      <c r="N3045" t="s">
        <v>99</v>
      </c>
      <c r="O3045">
        <v>90039</v>
      </c>
      <c r="P3045" t="s">
        <v>221</v>
      </c>
      <c r="Q3045" t="s">
        <v>82</v>
      </c>
      <c r="R3045">
        <v>5</v>
      </c>
      <c r="S3045">
        <v>6465</v>
      </c>
      <c r="T3045">
        <v>5</v>
      </c>
      <c r="U3045">
        <v>5</v>
      </c>
      <c r="V3045">
        <v>1</v>
      </c>
      <c r="W3045">
        <v>0</v>
      </c>
      <c r="X3045">
        <v>0</v>
      </c>
      <c r="Y3045">
        <v>0</v>
      </c>
      <c r="Z3045">
        <v>0</v>
      </c>
      <c r="AA3045">
        <v>5</v>
      </c>
      <c r="AB3045">
        <v>0</v>
      </c>
      <c r="AC3045">
        <v>0</v>
      </c>
      <c r="AD3045">
        <v>0</v>
      </c>
      <c r="AE3045">
        <v>0</v>
      </c>
      <c r="AF3045">
        <v>0</v>
      </c>
      <c r="AG3045">
        <v>0</v>
      </c>
      <c r="AH3045">
        <v>0</v>
      </c>
      <c r="AI3045">
        <v>0</v>
      </c>
      <c r="AJ3045">
        <v>0</v>
      </c>
      <c r="AK3045">
        <v>0</v>
      </c>
    </row>
    <row r="3046" spans="1:37" x14ac:dyDescent="0.3">
      <c r="A3046">
        <v>7521</v>
      </c>
      <c r="B3046" t="s">
        <v>222</v>
      </c>
      <c r="D3046" t="s">
        <v>3543</v>
      </c>
      <c r="E3046">
        <v>99999999</v>
      </c>
      <c r="F3046">
        <v>11111111</v>
      </c>
      <c r="G3046">
        <v>1111111111</v>
      </c>
      <c r="H3046" t="s">
        <v>6615</v>
      </c>
      <c r="I3046">
        <v>99999999</v>
      </c>
      <c r="J3046" s="188">
        <v>45237</v>
      </c>
      <c r="K3046" t="s">
        <v>6615</v>
      </c>
      <c r="L3046" t="s">
        <v>6615</v>
      </c>
      <c r="M3046" t="s">
        <v>1490</v>
      </c>
      <c r="N3046" t="s">
        <v>97</v>
      </c>
      <c r="O3046">
        <v>98033</v>
      </c>
      <c r="P3046" t="s">
        <v>221</v>
      </c>
      <c r="Q3046" t="s">
        <v>124</v>
      </c>
      <c r="R3046">
        <v>8</v>
      </c>
      <c r="S3046">
        <v>3775.6</v>
      </c>
      <c r="T3046">
        <v>2</v>
      </c>
      <c r="U3046">
        <v>8</v>
      </c>
      <c r="V3046">
        <v>2</v>
      </c>
      <c r="W3046">
        <v>0</v>
      </c>
      <c r="X3046">
        <v>0</v>
      </c>
      <c r="Y3046">
        <v>0</v>
      </c>
      <c r="Z3046">
        <v>0</v>
      </c>
      <c r="AA3046">
        <v>0</v>
      </c>
      <c r="AB3046">
        <v>0</v>
      </c>
      <c r="AC3046">
        <v>0</v>
      </c>
      <c r="AD3046">
        <v>8</v>
      </c>
      <c r="AE3046">
        <v>0</v>
      </c>
      <c r="AF3046">
        <v>0</v>
      </c>
      <c r="AG3046">
        <v>0</v>
      </c>
      <c r="AH3046">
        <v>0</v>
      </c>
      <c r="AI3046">
        <v>0</v>
      </c>
      <c r="AJ3046">
        <v>0</v>
      </c>
      <c r="AK3046">
        <v>0</v>
      </c>
    </row>
    <row r="3047" spans="1:37" x14ac:dyDescent="0.3">
      <c r="A3047">
        <v>4450</v>
      </c>
      <c r="B3047" t="s">
        <v>77</v>
      </c>
      <c r="D3047" t="s">
        <v>3531</v>
      </c>
      <c r="E3047">
        <v>99999999</v>
      </c>
      <c r="F3047">
        <v>11111111</v>
      </c>
      <c r="G3047">
        <v>1111111111</v>
      </c>
      <c r="H3047" t="s">
        <v>6616</v>
      </c>
      <c r="I3047">
        <v>99999999</v>
      </c>
      <c r="J3047" s="188">
        <v>45238</v>
      </c>
      <c r="K3047" t="s">
        <v>6616</v>
      </c>
      <c r="L3047" t="s">
        <v>6616</v>
      </c>
      <c r="M3047" t="s">
        <v>3544</v>
      </c>
      <c r="N3047" t="s">
        <v>97</v>
      </c>
      <c r="O3047">
        <v>98221</v>
      </c>
      <c r="Q3047" t="s">
        <v>82</v>
      </c>
      <c r="R3047">
        <v>6</v>
      </c>
      <c r="S3047">
        <v>23.58</v>
      </c>
      <c r="T3047">
        <v>0</v>
      </c>
      <c r="U3047">
        <v>1</v>
      </c>
      <c r="V3047">
        <v>2</v>
      </c>
      <c r="W3047">
        <v>0</v>
      </c>
      <c r="X3047">
        <v>0</v>
      </c>
      <c r="Y3047">
        <v>0</v>
      </c>
      <c r="Z3047">
        <v>0</v>
      </c>
      <c r="AA3047">
        <v>0</v>
      </c>
      <c r="AB3047">
        <v>0</v>
      </c>
      <c r="AC3047">
        <v>0</v>
      </c>
      <c r="AD3047">
        <v>6</v>
      </c>
      <c r="AE3047">
        <v>0</v>
      </c>
      <c r="AF3047">
        <v>0</v>
      </c>
      <c r="AG3047">
        <v>0</v>
      </c>
      <c r="AH3047">
        <v>0</v>
      </c>
      <c r="AI3047">
        <v>0</v>
      </c>
      <c r="AJ3047">
        <v>0</v>
      </c>
      <c r="AK3047">
        <v>0</v>
      </c>
    </row>
    <row r="3048" spans="1:37" x14ac:dyDescent="0.3">
      <c r="A3048">
        <v>4450</v>
      </c>
      <c r="B3048" t="s">
        <v>77</v>
      </c>
      <c r="D3048" t="s">
        <v>3531</v>
      </c>
      <c r="E3048">
        <v>99999999</v>
      </c>
      <c r="F3048">
        <v>11111111</v>
      </c>
      <c r="G3048">
        <v>1111111111</v>
      </c>
      <c r="H3048" t="s">
        <v>6617</v>
      </c>
      <c r="I3048">
        <v>99999999</v>
      </c>
      <c r="J3048" s="188">
        <v>45238</v>
      </c>
      <c r="K3048" t="s">
        <v>6617</v>
      </c>
      <c r="L3048" t="s">
        <v>6617</v>
      </c>
      <c r="M3048" t="s">
        <v>3545</v>
      </c>
      <c r="N3048" t="s">
        <v>99</v>
      </c>
      <c r="O3048" t="s">
        <v>3546</v>
      </c>
      <c r="Q3048" t="s">
        <v>82</v>
      </c>
      <c r="R3048">
        <v>20</v>
      </c>
      <c r="S3048">
        <v>74</v>
      </c>
      <c r="T3048">
        <v>0</v>
      </c>
      <c r="U3048">
        <v>2</v>
      </c>
      <c r="V3048">
        <v>1</v>
      </c>
      <c r="W3048">
        <v>0</v>
      </c>
      <c r="X3048">
        <v>0</v>
      </c>
      <c r="Y3048">
        <v>0</v>
      </c>
      <c r="Z3048">
        <v>0</v>
      </c>
      <c r="AA3048">
        <v>2</v>
      </c>
      <c r="AB3048">
        <v>0</v>
      </c>
      <c r="AC3048">
        <v>0</v>
      </c>
      <c r="AD3048">
        <v>0</v>
      </c>
      <c r="AE3048">
        <v>0</v>
      </c>
      <c r="AF3048">
        <v>0</v>
      </c>
      <c r="AG3048">
        <v>0</v>
      </c>
      <c r="AH3048">
        <v>0</v>
      </c>
      <c r="AI3048">
        <v>0</v>
      </c>
      <c r="AJ3048">
        <v>0</v>
      </c>
      <c r="AK3048">
        <v>0</v>
      </c>
    </row>
    <row r="3049" spans="1:37" x14ac:dyDescent="0.3">
      <c r="A3049">
        <v>4450</v>
      </c>
      <c r="B3049" t="s">
        <v>77</v>
      </c>
      <c r="D3049" t="s">
        <v>3531</v>
      </c>
      <c r="E3049">
        <v>99999999</v>
      </c>
      <c r="F3049">
        <v>11111111</v>
      </c>
      <c r="G3049">
        <v>1111111111</v>
      </c>
      <c r="H3049" t="s">
        <v>6618</v>
      </c>
      <c r="I3049">
        <v>99999999</v>
      </c>
      <c r="J3049" s="188">
        <v>45238</v>
      </c>
      <c r="K3049" t="s">
        <v>6618</v>
      </c>
      <c r="L3049" t="s">
        <v>6618</v>
      </c>
      <c r="M3049" t="s">
        <v>169</v>
      </c>
      <c r="N3049" t="s">
        <v>99</v>
      </c>
      <c r="O3049">
        <v>95357</v>
      </c>
      <c r="Q3049" t="s">
        <v>82</v>
      </c>
      <c r="R3049">
        <v>351</v>
      </c>
      <c r="S3049">
        <v>142.19999999999999</v>
      </c>
      <c r="T3049">
        <v>0</v>
      </c>
      <c r="U3049">
        <v>6</v>
      </c>
      <c r="V3049">
        <v>4</v>
      </c>
      <c r="W3049">
        <v>0</v>
      </c>
      <c r="X3049">
        <v>0</v>
      </c>
      <c r="Y3049">
        <v>0</v>
      </c>
      <c r="Z3049">
        <v>3</v>
      </c>
      <c r="AA3049">
        <v>5</v>
      </c>
      <c r="AB3049">
        <v>0</v>
      </c>
      <c r="AC3049">
        <v>0</v>
      </c>
      <c r="AD3049">
        <v>0</v>
      </c>
      <c r="AE3049">
        <v>0</v>
      </c>
      <c r="AF3049">
        <v>0</v>
      </c>
      <c r="AG3049">
        <v>0</v>
      </c>
      <c r="AH3049">
        <v>0</v>
      </c>
      <c r="AI3049">
        <v>0</v>
      </c>
      <c r="AJ3049">
        <v>0</v>
      </c>
      <c r="AK3049">
        <v>0</v>
      </c>
    </row>
    <row r="3050" spans="1:37" x14ac:dyDescent="0.3">
      <c r="A3050">
        <v>4450</v>
      </c>
      <c r="B3050" t="s">
        <v>77</v>
      </c>
      <c r="D3050" t="s">
        <v>3531</v>
      </c>
      <c r="E3050">
        <v>99999999</v>
      </c>
      <c r="F3050">
        <v>11111111</v>
      </c>
      <c r="G3050">
        <v>1111111111</v>
      </c>
      <c r="H3050" t="s">
        <v>6619</v>
      </c>
      <c r="I3050">
        <v>99999999</v>
      </c>
      <c r="J3050" s="188">
        <v>45238</v>
      </c>
      <c r="K3050" t="s">
        <v>6619</v>
      </c>
      <c r="L3050" t="s">
        <v>6619</v>
      </c>
      <c r="M3050" t="s">
        <v>1051</v>
      </c>
      <c r="N3050" t="s">
        <v>135</v>
      </c>
      <c r="O3050">
        <v>84770</v>
      </c>
      <c r="Q3050" t="s">
        <v>82</v>
      </c>
      <c r="R3050">
        <v>48</v>
      </c>
      <c r="S3050">
        <v>9.6</v>
      </c>
      <c r="T3050">
        <v>0</v>
      </c>
      <c r="U3050">
        <v>1</v>
      </c>
      <c r="V3050">
        <v>2</v>
      </c>
      <c r="W3050">
        <v>0</v>
      </c>
      <c r="X3050">
        <v>48</v>
      </c>
      <c r="Y3050">
        <v>0</v>
      </c>
      <c r="Z3050">
        <v>0</v>
      </c>
      <c r="AA3050">
        <v>0</v>
      </c>
      <c r="AB3050">
        <v>0</v>
      </c>
      <c r="AC3050">
        <v>0</v>
      </c>
      <c r="AD3050">
        <v>0</v>
      </c>
      <c r="AE3050">
        <v>0</v>
      </c>
      <c r="AF3050">
        <v>0</v>
      </c>
      <c r="AG3050">
        <v>0</v>
      </c>
      <c r="AH3050">
        <v>0</v>
      </c>
      <c r="AI3050">
        <v>0</v>
      </c>
      <c r="AJ3050">
        <v>0</v>
      </c>
      <c r="AK3050">
        <v>0</v>
      </c>
    </row>
    <row r="3051" spans="1:37" x14ac:dyDescent="0.3">
      <c r="A3051">
        <v>4450</v>
      </c>
      <c r="B3051" t="s">
        <v>77</v>
      </c>
      <c r="D3051" t="s">
        <v>3531</v>
      </c>
      <c r="E3051">
        <v>99999999</v>
      </c>
      <c r="F3051">
        <v>11111111</v>
      </c>
      <c r="G3051">
        <v>1111111111</v>
      </c>
      <c r="H3051" t="s">
        <v>6620</v>
      </c>
      <c r="I3051">
        <v>99999999</v>
      </c>
      <c r="J3051" s="188">
        <v>45238</v>
      </c>
      <c r="K3051" t="s">
        <v>6620</v>
      </c>
      <c r="L3051" t="s">
        <v>6620</v>
      </c>
      <c r="M3051" t="s">
        <v>3547</v>
      </c>
      <c r="N3051" t="s">
        <v>135</v>
      </c>
      <c r="O3051">
        <v>84501</v>
      </c>
      <c r="Q3051" t="s">
        <v>82</v>
      </c>
      <c r="R3051">
        <v>2</v>
      </c>
      <c r="S3051">
        <v>6</v>
      </c>
      <c r="T3051">
        <v>0</v>
      </c>
      <c r="U3051">
        <v>1</v>
      </c>
      <c r="V3051">
        <v>1</v>
      </c>
      <c r="W3051">
        <v>0</v>
      </c>
      <c r="X3051">
        <v>0</v>
      </c>
      <c r="Y3051">
        <v>0</v>
      </c>
      <c r="Z3051">
        <v>2</v>
      </c>
      <c r="AA3051">
        <v>0</v>
      </c>
      <c r="AB3051">
        <v>0</v>
      </c>
      <c r="AC3051">
        <v>0</v>
      </c>
      <c r="AD3051">
        <v>0</v>
      </c>
      <c r="AE3051">
        <v>0</v>
      </c>
      <c r="AF3051">
        <v>0</v>
      </c>
      <c r="AG3051">
        <v>0</v>
      </c>
      <c r="AH3051">
        <v>0</v>
      </c>
      <c r="AI3051">
        <v>0</v>
      </c>
      <c r="AJ3051">
        <v>0</v>
      </c>
      <c r="AK3051">
        <v>0</v>
      </c>
    </row>
    <row r="3052" spans="1:37" x14ac:dyDescent="0.3">
      <c r="A3052">
        <v>4450</v>
      </c>
      <c r="B3052" t="s">
        <v>77</v>
      </c>
      <c r="D3052" t="s">
        <v>3531</v>
      </c>
      <c r="E3052">
        <v>99999999</v>
      </c>
      <c r="F3052">
        <v>11111111</v>
      </c>
      <c r="G3052">
        <v>1111111111</v>
      </c>
      <c r="H3052" t="s">
        <v>6621</v>
      </c>
      <c r="I3052">
        <v>99999999</v>
      </c>
      <c r="J3052" s="188">
        <v>45238</v>
      </c>
      <c r="K3052" t="s">
        <v>6621</v>
      </c>
      <c r="L3052" t="s">
        <v>6621</v>
      </c>
      <c r="M3052" t="s">
        <v>3548</v>
      </c>
      <c r="N3052" t="s">
        <v>99</v>
      </c>
      <c r="O3052">
        <v>91744</v>
      </c>
      <c r="Q3052" t="s">
        <v>82</v>
      </c>
      <c r="R3052">
        <v>60</v>
      </c>
      <c r="S3052">
        <v>6</v>
      </c>
      <c r="T3052">
        <v>0</v>
      </c>
      <c r="U3052">
        <v>1</v>
      </c>
      <c r="V3052">
        <v>1</v>
      </c>
      <c r="W3052">
        <v>0</v>
      </c>
      <c r="X3052">
        <v>60</v>
      </c>
      <c r="Y3052">
        <v>0</v>
      </c>
      <c r="Z3052">
        <v>0</v>
      </c>
      <c r="AA3052">
        <v>0</v>
      </c>
      <c r="AB3052">
        <v>0</v>
      </c>
      <c r="AC3052">
        <v>0</v>
      </c>
      <c r="AD3052">
        <v>0</v>
      </c>
      <c r="AE3052">
        <v>0</v>
      </c>
      <c r="AF3052">
        <v>0</v>
      </c>
      <c r="AG3052">
        <v>0</v>
      </c>
      <c r="AH3052">
        <v>0</v>
      </c>
      <c r="AI3052">
        <v>0</v>
      </c>
      <c r="AJ3052">
        <v>0</v>
      </c>
      <c r="AK3052">
        <v>0</v>
      </c>
    </row>
    <row r="3053" spans="1:37" x14ac:dyDescent="0.3">
      <c r="A3053">
        <v>4450</v>
      </c>
      <c r="B3053" t="s">
        <v>77</v>
      </c>
      <c r="D3053" t="s">
        <v>3531</v>
      </c>
      <c r="E3053">
        <v>99999999</v>
      </c>
      <c r="F3053">
        <v>11111111</v>
      </c>
      <c r="G3053">
        <v>1111111111</v>
      </c>
      <c r="H3053" t="s">
        <v>6622</v>
      </c>
      <c r="I3053">
        <v>99999999</v>
      </c>
      <c r="J3053" s="188">
        <v>45238</v>
      </c>
      <c r="K3053" t="s">
        <v>6622</v>
      </c>
      <c r="L3053" t="s">
        <v>6622</v>
      </c>
      <c r="M3053" t="s">
        <v>915</v>
      </c>
      <c r="N3053" t="s">
        <v>164</v>
      </c>
      <c r="O3053" t="s">
        <v>3549</v>
      </c>
      <c r="Q3053" t="s">
        <v>82</v>
      </c>
      <c r="R3053">
        <v>2</v>
      </c>
      <c r="S3053">
        <v>9.6</v>
      </c>
      <c r="T3053">
        <v>4</v>
      </c>
      <c r="U3053">
        <v>1</v>
      </c>
      <c r="V3053">
        <v>1</v>
      </c>
      <c r="W3053">
        <v>0</v>
      </c>
      <c r="X3053">
        <v>0</v>
      </c>
      <c r="Y3053">
        <v>0</v>
      </c>
      <c r="Z3053">
        <v>2</v>
      </c>
      <c r="AA3053">
        <v>0</v>
      </c>
      <c r="AB3053">
        <v>0</v>
      </c>
      <c r="AC3053">
        <v>0</v>
      </c>
      <c r="AD3053">
        <v>0</v>
      </c>
      <c r="AE3053">
        <v>0</v>
      </c>
      <c r="AF3053">
        <v>0</v>
      </c>
      <c r="AG3053">
        <v>0</v>
      </c>
      <c r="AH3053">
        <v>0</v>
      </c>
      <c r="AI3053">
        <v>0</v>
      </c>
      <c r="AJ3053">
        <v>0</v>
      </c>
      <c r="AK3053">
        <v>0</v>
      </c>
    </row>
    <row r="3054" spans="1:37" x14ac:dyDescent="0.3">
      <c r="A3054">
        <v>4450</v>
      </c>
      <c r="B3054" t="s">
        <v>77</v>
      </c>
      <c r="D3054" t="s">
        <v>3531</v>
      </c>
      <c r="E3054">
        <v>99999999</v>
      </c>
      <c r="F3054">
        <v>11111111</v>
      </c>
      <c r="G3054">
        <v>1111111111</v>
      </c>
      <c r="H3054" t="s">
        <v>6623</v>
      </c>
      <c r="I3054">
        <v>99999999</v>
      </c>
      <c r="J3054" s="188">
        <v>45238</v>
      </c>
      <c r="K3054" t="s">
        <v>6623</v>
      </c>
      <c r="L3054" t="s">
        <v>6623</v>
      </c>
      <c r="M3054" t="s">
        <v>2511</v>
      </c>
      <c r="N3054" t="s">
        <v>97</v>
      </c>
      <c r="O3054">
        <v>98516</v>
      </c>
      <c r="Q3054" t="s">
        <v>82</v>
      </c>
      <c r="R3054">
        <v>3168</v>
      </c>
      <c r="S3054">
        <v>547.20000000000005</v>
      </c>
      <c r="T3054">
        <v>0</v>
      </c>
      <c r="U3054">
        <v>32</v>
      </c>
      <c r="V3054">
        <v>2</v>
      </c>
      <c r="W3054">
        <v>0</v>
      </c>
      <c r="X3054">
        <v>0</v>
      </c>
      <c r="Y3054">
        <v>0</v>
      </c>
      <c r="Z3054">
        <v>0</v>
      </c>
      <c r="AA3054">
        <v>32</v>
      </c>
      <c r="AB3054">
        <v>0</v>
      </c>
      <c r="AC3054">
        <v>0</v>
      </c>
      <c r="AD3054">
        <v>0</v>
      </c>
      <c r="AE3054">
        <v>0</v>
      </c>
      <c r="AF3054">
        <v>0</v>
      </c>
      <c r="AG3054">
        <v>0</v>
      </c>
      <c r="AH3054">
        <v>0</v>
      </c>
      <c r="AI3054">
        <v>0</v>
      </c>
      <c r="AJ3054">
        <v>0</v>
      </c>
      <c r="AK3054">
        <v>0</v>
      </c>
    </row>
    <row r="3055" spans="1:37" x14ac:dyDescent="0.3">
      <c r="A3055">
        <v>4450</v>
      </c>
      <c r="B3055" t="s">
        <v>77</v>
      </c>
      <c r="D3055" t="s">
        <v>3531</v>
      </c>
      <c r="E3055">
        <v>99999999</v>
      </c>
      <c r="F3055">
        <v>11111111</v>
      </c>
      <c r="G3055">
        <v>1111111111</v>
      </c>
      <c r="H3055" t="s">
        <v>6624</v>
      </c>
      <c r="I3055">
        <v>99999999</v>
      </c>
      <c r="J3055" s="188">
        <v>45238</v>
      </c>
      <c r="K3055" t="s">
        <v>6624</v>
      </c>
      <c r="L3055" t="s">
        <v>6624</v>
      </c>
      <c r="M3055" t="s">
        <v>2511</v>
      </c>
      <c r="N3055" t="s">
        <v>97</v>
      </c>
      <c r="O3055">
        <v>98516</v>
      </c>
      <c r="Q3055" t="s">
        <v>82</v>
      </c>
      <c r="R3055">
        <v>594</v>
      </c>
      <c r="S3055">
        <v>232.8</v>
      </c>
      <c r="T3055">
        <v>0</v>
      </c>
      <c r="U3055">
        <v>10</v>
      </c>
      <c r="V3055">
        <v>4</v>
      </c>
      <c r="W3055">
        <v>0</v>
      </c>
      <c r="X3055">
        <v>0</v>
      </c>
      <c r="Y3055">
        <v>0</v>
      </c>
      <c r="Z3055">
        <v>0</v>
      </c>
      <c r="AA3055">
        <v>10</v>
      </c>
      <c r="AB3055">
        <v>0</v>
      </c>
      <c r="AC3055">
        <v>0</v>
      </c>
      <c r="AD3055">
        <v>0</v>
      </c>
      <c r="AE3055">
        <v>0</v>
      </c>
      <c r="AF3055">
        <v>0</v>
      </c>
      <c r="AG3055">
        <v>0</v>
      </c>
      <c r="AH3055">
        <v>0</v>
      </c>
      <c r="AI3055">
        <v>0</v>
      </c>
      <c r="AJ3055">
        <v>0</v>
      </c>
      <c r="AK3055">
        <v>0</v>
      </c>
    </row>
    <row r="3056" spans="1:37" x14ac:dyDescent="0.3">
      <c r="A3056">
        <v>4450</v>
      </c>
      <c r="B3056" t="s">
        <v>77</v>
      </c>
      <c r="D3056" t="s">
        <v>3531</v>
      </c>
      <c r="E3056">
        <v>99999999</v>
      </c>
      <c r="F3056">
        <v>11111111</v>
      </c>
      <c r="G3056">
        <v>1111111111</v>
      </c>
      <c r="H3056" t="s">
        <v>6625</v>
      </c>
      <c r="I3056">
        <v>99999999</v>
      </c>
      <c r="J3056" s="188">
        <v>45238</v>
      </c>
      <c r="K3056" t="s">
        <v>6625</v>
      </c>
      <c r="L3056" t="s">
        <v>6625</v>
      </c>
      <c r="M3056" t="s">
        <v>169</v>
      </c>
      <c r="N3056" t="s">
        <v>99</v>
      </c>
      <c r="O3056">
        <v>95357</v>
      </c>
      <c r="Q3056" t="s">
        <v>82</v>
      </c>
      <c r="R3056">
        <v>122</v>
      </c>
      <c r="S3056">
        <v>463</v>
      </c>
      <c r="T3056">
        <v>0</v>
      </c>
      <c r="U3056">
        <v>24</v>
      </c>
      <c r="V3056">
        <v>6</v>
      </c>
      <c r="W3056">
        <v>0</v>
      </c>
      <c r="X3056">
        <v>0</v>
      </c>
      <c r="Y3056">
        <v>0</v>
      </c>
      <c r="Z3056">
        <v>1</v>
      </c>
      <c r="AA3056">
        <v>23</v>
      </c>
      <c r="AB3056">
        <v>0</v>
      </c>
      <c r="AC3056">
        <v>0</v>
      </c>
      <c r="AD3056">
        <v>0</v>
      </c>
      <c r="AE3056">
        <v>0</v>
      </c>
      <c r="AF3056">
        <v>0</v>
      </c>
      <c r="AG3056">
        <v>0</v>
      </c>
      <c r="AH3056">
        <v>0</v>
      </c>
      <c r="AI3056">
        <v>0</v>
      </c>
      <c r="AJ3056">
        <v>0</v>
      </c>
      <c r="AK3056">
        <v>0</v>
      </c>
    </row>
    <row r="3057" spans="1:37" x14ac:dyDescent="0.3">
      <c r="A3057">
        <v>4450</v>
      </c>
      <c r="B3057" t="s">
        <v>77</v>
      </c>
      <c r="D3057" t="s">
        <v>3531</v>
      </c>
      <c r="E3057">
        <v>99999999</v>
      </c>
      <c r="F3057">
        <v>11111111</v>
      </c>
      <c r="G3057">
        <v>1111111111</v>
      </c>
      <c r="H3057" t="s">
        <v>6626</v>
      </c>
      <c r="I3057">
        <v>99999999</v>
      </c>
      <c r="J3057" s="188">
        <v>45238</v>
      </c>
      <c r="K3057" t="s">
        <v>6626</v>
      </c>
      <c r="L3057" t="s">
        <v>6626</v>
      </c>
      <c r="M3057" t="s">
        <v>202</v>
      </c>
      <c r="N3057" t="s">
        <v>135</v>
      </c>
      <c r="O3057">
        <v>84104</v>
      </c>
      <c r="Q3057" t="s">
        <v>82</v>
      </c>
      <c r="R3057">
        <v>576</v>
      </c>
      <c r="S3057">
        <v>57.6</v>
      </c>
      <c r="T3057">
        <v>0</v>
      </c>
      <c r="U3057">
        <v>4</v>
      </c>
      <c r="V3057">
        <v>1</v>
      </c>
      <c r="W3057">
        <v>0</v>
      </c>
      <c r="X3057">
        <v>0</v>
      </c>
      <c r="Y3057">
        <v>0</v>
      </c>
      <c r="Z3057">
        <v>0</v>
      </c>
      <c r="AA3057">
        <v>4</v>
      </c>
      <c r="AB3057">
        <v>0</v>
      </c>
      <c r="AC3057">
        <v>0</v>
      </c>
      <c r="AD3057">
        <v>0</v>
      </c>
      <c r="AE3057">
        <v>0</v>
      </c>
      <c r="AF3057">
        <v>0</v>
      </c>
      <c r="AG3057">
        <v>0</v>
      </c>
      <c r="AH3057">
        <v>0</v>
      </c>
      <c r="AI3057">
        <v>0</v>
      </c>
      <c r="AJ3057">
        <v>0</v>
      </c>
      <c r="AK3057">
        <v>0</v>
      </c>
    </row>
    <row r="3058" spans="1:37" x14ac:dyDescent="0.3">
      <c r="A3058">
        <v>4450</v>
      </c>
      <c r="B3058" t="s">
        <v>77</v>
      </c>
      <c r="D3058" t="s">
        <v>3531</v>
      </c>
      <c r="E3058">
        <v>99999999</v>
      </c>
      <c r="F3058">
        <v>11111111</v>
      </c>
      <c r="G3058">
        <v>1111111111</v>
      </c>
      <c r="H3058" t="s">
        <v>6627</v>
      </c>
      <c r="I3058">
        <v>99999999</v>
      </c>
      <c r="J3058" s="188">
        <v>45238</v>
      </c>
      <c r="K3058" t="s">
        <v>6627</v>
      </c>
      <c r="L3058" t="s">
        <v>6627</v>
      </c>
      <c r="M3058" t="s">
        <v>337</v>
      </c>
      <c r="N3058" t="s">
        <v>99</v>
      </c>
      <c r="O3058">
        <v>95826</v>
      </c>
      <c r="Q3058" t="s">
        <v>82</v>
      </c>
      <c r="R3058">
        <v>2</v>
      </c>
      <c r="S3058">
        <v>6.8</v>
      </c>
      <c r="T3058">
        <v>0</v>
      </c>
      <c r="U3058">
        <v>1</v>
      </c>
      <c r="V3058">
        <v>1</v>
      </c>
      <c r="W3058">
        <v>0</v>
      </c>
      <c r="X3058">
        <v>0</v>
      </c>
      <c r="Y3058">
        <v>0</v>
      </c>
      <c r="Z3058">
        <v>2</v>
      </c>
      <c r="AA3058">
        <v>0</v>
      </c>
      <c r="AB3058">
        <v>0</v>
      </c>
      <c r="AC3058">
        <v>0</v>
      </c>
      <c r="AD3058">
        <v>0</v>
      </c>
      <c r="AE3058">
        <v>0</v>
      </c>
      <c r="AF3058">
        <v>0</v>
      </c>
      <c r="AG3058">
        <v>0</v>
      </c>
      <c r="AH3058">
        <v>0</v>
      </c>
      <c r="AI3058">
        <v>0</v>
      </c>
      <c r="AJ3058">
        <v>0</v>
      </c>
      <c r="AK3058">
        <v>0</v>
      </c>
    </row>
    <row r="3059" spans="1:37" x14ac:dyDescent="0.3">
      <c r="A3059">
        <v>4450</v>
      </c>
      <c r="B3059" t="s">
        <v>77</v>
      </c>
      <c r="D3059" t="s">
        <v>3531</v>
      </c>
      <c r="E3059">
        <v>99999999</v>
      </c>
      <c r="F3059">
        <v>11111111</v>
      </c>
      <c r="G3059">
        <v>1111111111</v>
      </c>
      <c r="H3059" t="s">
        <v>6628</v>
      </c>
      <c r="I3059">
        <v>99999999</v>
      </c>
      <c r="J3059" s="188">
        <v>45238</v>
      </c>
      <c r="K3059" t="s">
        <v>6628</v>
      </c>
      <c r="L3059" t="s">
        <v>6628</v>
      </c>
      <c r="M3059" t="s">
        <v>2064</v>
      </c>
      <c r="N3059" t="s">
        <v>97</v>
      </c>
      <c r="O3059">
        <v>98512</v>
      </c>
      <c r="Q3059" t="s">
        <v>82</v>
      </c>
      <c r="R3059">
        <v>10</v>
      </c>
      <c r="S3059">
        <v>130</v>
      </c>
      <c r="T3059">
        <v>0</v>
      </c>
      <c r="U3059">
        <v>10</v>
      </c>
      <c r="V3059">
        <v>2</v>
      </c>
      <c r="W3059">
        <v>0</v>
      </c>
      <c r="X3059">
        <v>0</v>
      </c>
      <c r="Y3059">
        <v>0</v>
      </c>
      <c r="Z3059">
        <v>0</v>
      </c>
      <c r="AA3059">
        <v>10</v>
      </c>
      <c r="AB3059">
        <v>0</v>
      </c>
      <c r="AC3059">
        <v>0</v>
      </c>
      <c r="AD3059">
        <v>0</v>
      </c>
      <c r="AE3059">
        <v>0</v>
      </c>
      <c r="AF3059">
        <v>0</v>
      </c>
      <c r="AG3059">
        <v>0</v>
      </c>
      <c r="AH3059">
        <v>0</v>
      </c>
      <c r="AI3059">
        <v>0</v>
      </c>
      <c r="AJ3059">
        <v>0</v>
      </c>
      <c r="AK3059">
        <v>0</v>
      </c>
    </row>
    <row r="3060" spans="1:37" x14ac:dyDescent="0.3">
      <c r="A3060">
        <v>4450</v>
      </c>
      <c r="B3060" t="s">
        <v>77</v>
      </c>
      <c r="D3060" t="s">
        <v>3531</v>
      </c>
      <c r="E3060">
        <v>99999999</v>
      </c>
      <c r="F3060">
        <v>11111111</v>
      </c>
      <c r="G3060">
        <v>1111111111</v>
      </c>
      <c r="H3060" t="s">
        <v>6629</v>
      </c>
      <c r="I3060">
        <v>99999999</v>
      </c>
      <c r="J3060" s="188">
        <v>45238</v>
      </c>
      <c r="K3060" t="s">
        <v>6629</v>
      </c>
      <c r="L3060" t="s">
        <v>6629</v>
      </c>
      <c r="M3060" t="s">
        <v>202</v>
      </c>
      <c r="N3060" t="s">
        <v>135</v>
      </c>
      <c r="O3060">
        <v>84104</v>
      </c>
      <c r="Q3060" t="s">
        <v>82</v>
      </c>
      <c r="R3060">
        <v>578</v>
      </c>
      <c r="S3060">
        <v>516.4</v>
      </c>
      <c r="T3060">
        <v>0</v>
      </c>
      <c r="U3060">
        <v>18</v>
      </c>
      <c r="V3060">
        <v>6</v>
      </c>
      <c r="W3060">
        <v>0</v>
      </c>
      <c r="X3060">
        <v>0</v>
      </c>
      <c r="Y3060">
        <v>0</v>
      </c>
      <c r="Z3060">
        <v>0</v>
      </c>
      <c r="AA3060">
        <v>18</v>
      </c>
      <c r="AB3060">
        <v>0</v>
      </c>
      <c r="AC3060">
        <v>0</v>
      </c>
      <c r="AD3060">
        <v>0</v>
      </c>
      <c r="AE3060">
        <v>0</v>
      </c>
      <c r="AF3060">
        <v>0</v>
      </c>
      <c r="AG3060">
        <v>0</v>
      </c>
      <c r="AH3060">
        <v>0</v>
      </c>
      <c r="AI3060">
        <v>0</v>
      </c>
      <c r="AJ3060">
        <v>0</v>
      </c>
      <c r="AK3060">
        <v>0</v>
      </c>
    </row>
    <row r="3061" spans="1:37" x14ac:dyDescent="0.3">
      <c r="A3061">
        <v>4450</v>
      </c>
      <c r="B3061" t="s">
        <v>77</v>
      </c>
      <c r="D3061" t="s">
        <v>3531</v>
      </c>
      <c r="E3061">
        <v>99999999</v>
      </c>
      <c r="F3061">
        <v>11111111</v>
      </c>
      <c r="G3061">
        <v>1111111111</v>
      </c>
      <c r="H3061" t="s">
        <v>6630</v>
      </c>
      <c r="I3061">
        <v>99999999</v>
      </c>
      <c r="J3061" s="188">
        <v>45238</v>
      </c>
      <c r="K3061" t="s">
        <v>6630</v>
      </c>
      <c r="L3061" t="s">
        <v>6630</v>
      </c>
      <c r="M3061" t="s">
        <v>2289</v>
      </c>
      <c r="N3061" t="s">
        <v>241</v>
      </c>
      <c r="O3061" t="s">
        <v>3550</v>
      </c>
      <c r="Q3061" t="s">
        <v>82</v>
      </c>
      <c r="R3061">
        <v>12</v>
      </c>
      <c r="S3061">
        <v>5.88</v>
      </c>
      <c r="T3061">
        <v>0</v>
      </c>
      <c r="U3061">
        <v>1</v>
      </c>
      <c r="V3061">
        <v>1</v>
      </c>
      <c r="W3061">
        <v>0</v>
      </c>
      <c r="X3061">
        <v>12</v>
      </c>
      <c r="Y3061">
        <v>0</v>
      </c>
      <c r="Z3061">
        <v>0</v>
      </c>
      <c r="AA3061">
        <v>0</v>
      </c>
      <c r="AB3061">
        <v>0</v>
      </c>
      <c r="AC3061">
        <v>0</v>
      </c>
      <c r="AD3061">
        <v>0</v>
      </c>
      <c r="AE3061">
        <v>0</v>
      </c>
      <c r="AF3061">
        <v>0</v>
      </c>
      <c r="AG3061">
        <v>0</v>
      </c>
      <c r="AH3061">
        <v>0</v>
      </c>
      <c r="AI3061">
        <v>0</v>
      </c>
      <c r="AJ3061">
        <v>0</v>
      </c>
      <c r="AK3061">
        <v>0</v>
      </c>
    </row>
    <row r="3062" spans="1:37" x14ac:dyDescent="0.3">
      <c r="A3062">
        <v>4450</v>
      </c>
      <c r="B3062" t="s">
        <v>77</v>
      </c>
      <c r="D3062" t="s">
        <v>3531</v>
      </c>
      <c r="E3062">
        <v>99999999</v>
      </c>
      <c r="F3062">
        <v>11111111</v>
      </c>
      <c r="G3062">
        <v>1111111111</v>
      </c>
      <c r="H3062" t="s">
        <v>6631</v>
      </c>
      <c r="I3062">
        <v>99999999</v>
      </c>
      <c r="J3062" s="188">
        <v>45238</v>
      </c>
      <c r="K3062" t="s">
        <v>6631</v>
      </c>
      <c r="L3062" t="s">
        <v>6631</v>
      </c>
      <c r="M3062" t="s">
        <v>869</v>
      </c>
      <c r="N3062" t="s">
        <v>135</v>
      </c>
      <c r="O3062" t="s">
        <v>3551</v>
      </c>
      <c r="Q3062" t="s">
        <v>82</v>
      </c>
      <c r="R3062">
        <v>14</v>
      </c>
      <c r="S3062">
        <v>14</v>
      </c>
      <c r="T3062">
        <v>0</v>
      </c>
      <c r="U3062">
        <v>2</v>
      </c>
      <c r="V3062">
        <v>1</v>
      </c>
      <c r="W3062">
        <v>0</v>
      </c>
      <c r="X3062">
        <v>0</v>
      </c>
      <c r="Y3062">
        <v>0</v>
      </c>
      <c r="Z3062">
        <v>2</v>
      </c>
      <c r="AA3062">
        <v>1</v>
      </c>
      <c r="AB3062">
        <v>0</v>
      </c>
      <c r="AC3062">
        <v>0</v>
      </c>
      <c r="AD3062">
        <v>0</v>
      </c>
      <c r="AE3062">
        <v>0</v>
      </c>
      <c r="AF3062">
        <v>0</v>
      </c>
      <c r="AG3062">
        <v>0</v>
      </c>
      <c r="AH3062">
        <v>0</v>
      </c>
      <c r="AI3062">
        <v>0</v>
      </c>
      <c r="AJ3062">
        <v>0</v>
      </c>
      <c r="AK3062">
        <v>0</v>
      </c>
    </row>
    <row r="3063" spans="1:37" x14ac:dyDescent="0.3">
      <c r="A3063">
        <v>7382</v>
      </c>
      <c r="B3063" t="s">
        <v>3451</v>
      </c>
      <c r="D3063" t="s">
        <v>3531</v>
      </c>
      <c r="E3063">
        <v>99999999</v>
      </c>
      <c r="F3063">
        <v>11111111</v>
      </c>
      <c r="G3063">
        <v>1111111111</v>
      </c>
      <c r="H3063" t="s">
        <v>6632</v>
      </c>
      <c r="I3063">
        <v>99999999</v>
      </c>
      <c r="J3063" s="188">
        <v>45237</v>
      </c>
      <c r="K3063" t="s">
        <v>6632</v>
      </c>
      <c r="L3063" t="s">
        <v>6632</v>
      </c>
      <c r="M3063" t="s">
        <v>3552</v>
      </c>
      <c r="N3063" t="s">
        <v>141</v>
      </c>
      <c r="O3063">
        <v>33178</v>
      </c>
      <c r="P3063" t="s">
        <v>221</v>
      </c>
      <c r="Q3063" t="s">
        <v>82</v>
      </c>
      <c r="R3063">
        <v>4</v>
      </c>
      <c r="S3063">
        <v>204</v>
      </c>
      <c r="T3063">
        <v>1</v>
      </c>
      <c r="U3063">
        <v>4</v>
      </c>
      <c r="V3063">
        <v>1</v>
      </c>
      <c r="W3063">
        <v>0</v>
      </c>
      <c r="X3063">
        <v>0</v>
      </c>
      <c r="Y3063">
        <v>0</v>
      </c>
      <c r="Z3063">
        <v>0</v>
      </c>
      <c r="AA3063">
        <v>0</v>
      </c>
      <c r="AB3063">
        <v>0</v>
      </c>
      <c r="AC3063">
        <v>0</v>
      </c>
      <c r="AD3063">
        <v>4</v>
      </c>
      <c r="AE3063">
        <v>0</v>
      </c>
      <c r="AF3063">
        <v>0</v>
      </c>
      <c r="AG3063">
        <v>0</v>
      </c>
      <c r="AH3063">
        <v>0</v>
      </c>
      <c r="AI3063">
        <v>0</v>
      </c>
      <c r="AJ3063">
        <v>0</v>
      </c>
      <c r="AK3063">
        <v>0</v>
      </c>
    </row>
    <row r="3064" spans="1:37" x14ac:dyDescent="0.3">
      <c r="A3064">
        <v>7484</v>
      </c>
      <c r="B3064" t="s">
        <v>33</v>
      </c>
      <c r="D3064" t="s">
        <v>3531</v>
      </c>
      <c r="E3064">
        <v>99999999</v>
      </c>
      <c r="F3064">
        <v>11111111</v>
      </c>
      <c r="G3064">
        <v>1111111111</v>
      </c>
      <c r="H3064" t="s">
        <v>6633</v>
      </c>
      <c r="I3064">
        <v>99999999</v>
      </c>
      <c r="J3064" s="188">
        <v>45238</v>
      </c>
      <c r="K3064" t="s">
        <v>6633</v>
      </c>
      <c r="L3064" t="s">
        <v>6633</v>
      </c>
      <c r="M3064" t="s">
        <v>3553</v>
      </c>
      <c r="N3064" t="s">
        <v>381</v>
      </c>
      <c r="O3064">
        <v>59414</v>
      </c>
      <c r="P3064" t="s">
        <v>221</v>
      </c>
      <c r="Q3064" t="s">
        <v>82</v>
      </c>
      <c r="R3064">
        <v>76</v>
      </c>
      <c r="S3064">
        <v>4332.22</v>
      </c>
      <c r="T3064">
        <v>2</v>
      </c>
      <c r="U3064">
        <v>76</v>
      </c>
      <c r="V3064">
        <v>11</v>
      </c>
      <c r="W3064">
        <v>0</v>
      </c>
      <c r="X3064">
        <v>0</v>
      </c>
      <c r="Y3064">
        <v>0</v>
      </c>
      <c r="Z3064">
        <v>0</v>
      </c>
      <c r="AA3064">
        <v>76</v>
      </c>
      <c r="AB3064">
        <v>0</v>
      </c>
      <c r="AC3064">
        <v>0</v>
      </c>
      <c r="AD3064">
        <v>0</v>
      </c>
      <c r="AE3064">
        <v>0</v>
      </c>
      <c r="AF3064">
        <v>0</v>
      </c>
      <c r="AG3064">
        <v>0</v>
      </c>
      <c r="AH3064">
        <v>0</v>
      </c>
      <c r="AI3064">
        <v>0</v>
      </c>
      <c r="AJ3064">
        <v>0</v>
      </c>
      <c r="AK3064">
        <v>0</v>
      </c>
    </row>
    <row r="3065" spans="1:37" x14ac:dyDescent="0.3">
      <c r="A3065">
        <v>7484</v>
      </c>
      <c r="B3065" t="s">
        <v>33</v>
      </c>
      <c r="D3065" t="s">
        <v>3531</v>
      </c>
      <c r="E3065">
        <v>99999999</v>
      </c>
      <c r="F3065">
        <v>11111111</v>
      </c>
      <c r="G3065">
        <v>1111111111</v>
      </c>
      <c r="H3065" t="s">
        <v>6634</v>
      </c>
      <c r="I3065">
        <v>99999999</v>
      </c>
      <c r="J3065" s="188">
        <v>45238</v>
      </c>
      <c r="K3065" t="s">
        <v>6634</v>
      </c>
      <c r="L3065" t="s">
        <v>6634</v>
      </c>
      <c r="M3065" t="s">
        <v>148</v>
      </c>
      <c r="N3065" t="s">
        <v>97</v>
      </c>
      <c r="O3065">
        <v>98188</v>
      </c>
      <c r="P3065" t="s">
        <v>221</v>
      </c>
      <c r="Q3065" t="s">
        <v>82</v>
      </c>
      <c r="R3065">
        <v>1</v>
      </c>
      <c r="S3065">
        <v>1046</v>
      </c>
      <c r="T3065">
        <v>1</v>
      </c>
      <c r="U3065">
        <v>1</v>
      </c>
      <c r="V3065">
        <v>1</v>
      </c>
      <c r="W3065">
        <v>0</v>
      </c>
      <c r="X3065">
        <v>0</v>
      </c>
      <c r="Y3065">
        <v>0</v>
      </c>
      <c r="Z3065">
        <v>0</v>
      </c>
      <c r="AA3065">
        <v>1</v>
      </c>
      <c r="AB3065">
        <v>0</v>
      </c>
      <c r="AC3065">
        <v>0</v>
      </c>
      <c r="AD3065">
        <v>0</v>
      </c>
      <c r="AE3065">
        <v>0</v>
      </c>
      <c r="AF3065">
        <v>0</v>
      </c>
      <c r="AG3065">
        <v>0</v>
      </c>
      <c r="AH3065">
        <v>0</v>
      </c>
      <c r="AI3065">
        <v>0</v>
      </c>
      <c r="AJ3065">
        <v>0</v>
      </c>
      <c r="AK3065">
        <v>0</v>
      </c>
    </row>
    <row r="3066" spans="1:37" x14ac:dyDescent="0.3">
      <c r="A3066">
        <v>7484</v>
      </c>
      <c r="B3066" t="s">
        <v>33</v>
      </c>
      <c r="D3066" t="s">
        <v>3531</v>
      </c>
      <c r="E3066">
        <v>99999999</v>
      </c>
      <c r="F3066">
        <v>11111111</v>
      </c>
      <c r="G3066">
        <v>1111111111</v>
      </c>
      <c r="H3066" t="s">
        <v>6635</v>
      </c>
      <c r="I3066">
        <v>99999999</v>
      </c>
      <c r="J3066" s="188">
        <v>45238</v>
      </c>
      <c r="K3066" t="s">
        <v>6635</v>
      </c>
      <c r="L3066" t="s">
        <v>6635</v>
      </c>
      <c r="M3066" t="s">
        <v>3554</v>
      </c>
      <c r="N3066" t="s">
        <v>811</v>
      </c>
      <c r="O3066">
        <v>20701</v>
      </c>
      <c r="P3066" t="s">
        <v>221</v>
      </c>
      <c r="Q3066" t="s">
        <v>82</v>
      </c>
      <c r="R3066">
        <v>2</v>
      </c>
      <c r="S3066">
        <v>288</v>
      </c>
      <c r="T3066">
        <v>1</v>
      </c>
      <c r="U3066">
        <v>2</v>
      </c>
      <c r="V3066">
        <v>1</v>
      </c>
      <c r="W3066">
        <v>0</v>
      </c>
      <c r="X3066">
        <v>0</v>
      </c>
      <c r="Y3066">
        <v>0</v>
      </c>
      <c r="Z3066">
        <v>0</v>
      </c>
      <c r="AA3066">
        <v>2</v>
      </c>
      <c r="AB3066">
        <v>0</v>
      </c>
      <c r="AC3066">
        <v>0</v>
      </c>
      <c r="AD3066">
        <v>0</v>
      </c>
      <c r="AE3066">
        <v>0</v>
      </c>
      <c r="AF3066">
        <v>0</v>
      </c>
      <c r="AG3066">
        <v>0</v>
      </c>
      <c r="AH3066">
        <v>0</v>
      </c>
      <c r="AI3066">
        <v>0</v>
      </c>
      <c r="AJ3066">
        <v>0</v>
      </c>
      <c r="AK3066">
        <v>0</v>
      </c>
    </row>
    <row r="3067" spans="1:37" x14ac:dyDescent="0.3">
      <c r="A3067">
        <v>7134</v>
      </c>
      <c r="B3067" t="s">
        <v>28</v>
      </c>
      <c r="C3067">
        <v>79</v>
      </c>
      <c r="D3067" t="s">
        <v>3531</v>
      </c>
      <c r="E3067">
        <v>99999999</v>
      </c>
      <c r="F3067">
        <v>11111111</v>
      </c>
      <c r="G3067">
        <v>1111111111</v>
      </c>
      <c r="H3067" t="s">
        <v>6636</v>
      </c>
      <c r="I3067">
        <v>99999999</v>
      </c>
      <c r="J3067" s="188">
        <v>45236</v>
      </c>
      <c r="K3067" t="s">
        <v>6636</v>
      </c>
      <c r="L3067" t="s">
        <v>6636</v>
      </c>
      <c r="M3067" t="s">
        <v>3475</v>
      </c>
      <c r="N3067" t="s">
        <v>97</v>
      </c>
      <c r="O3067">
        <v>98198</v>
      </c>
      <c r="Q3067" t="s">
        <v>82</v>
      </c>
      <c r="R3067">
        <v>1752</v>
      </c>
      <c r="S3067">
        <v>1411.68</v>
      </c>
      <c r="T3067">
        <v>2</v>
      </c>
      <c r="U3067">
        <v>62</v>
      </c>
      <c r="V3067">
        <v>18</v>
      </c>
      <c r="W3067">
        <v>0</v>
      </c>
      <c r="X3067">
        <v>0</v>
      </c>
      <c r="Y3067">
        <v>0</v>
      </c>
      <c r="Z3067">
        <v>0</v>
      </c>
      <c r="AA3067">
        <v>62</v>
      </c>
      <c r="AB3067">
        <v>0</v>
      </c>
      <c r="AC3067">
        <v>0</v>
      </c>
      <c r="AD3067">
        <v>0</v>
      </c>
      <c r="AE3067">
        <v>0</v>
      </c>
      <c r="AF3067">
        <v>0</v>
      </c>
      <c r="AG3067">
        <v>0</v>
      </c>
      <c r="AH3067">
        <v>0</v>
      </c>
      <c r="AI3067">
        <v>0</v>
      </c>
      <c r="AJ3067">
        <v>0</v>
      </c>
      <c r="AK3067">
        <v>0</v>
      </c>
    </row>
    <row r="3068" spans="1:37" x14ac:dyDescent="0.3">
      <c r="A3068">
        <v>7134</v>
      </c>
      <c r="B3068" t="s">
        <v>28</v>
      </c>
      <c r="C3068" t="s">
        <v>95</v>
      </c>
      <c r="D3068" t="s">
        <v>3531</v>
      </c>
      <c r="E3068">
        <v>99999999</v>
      </c>
      <c r="F3068">
        <v>11111111</v>
      </c>
      <c r="G3068">
        <v>1111111111</v>
      </c>
      <c r="H3068" t="s">
        <v>6637</v>
      </c>
      <c r="I3068">
        <v>99999999</v>
      </c>
      <c r="J3068" s="188">
        <v>45236</v>
      </c>
      <c r="K3068" t="s">
        <v>6637</v>
      </c>
      <c r="L3068" t="s">
        <v>6637</v>
      </c>
      <c r="M3068" t="s">
        <v>95</v>
      </c>
      <c r="N3068" t="s">
        <v>91</v>
      </c>
      <c r="O3068">
        <v>85043</v>
      </c>
      <c r="Q3068" t="s">
        <v>82</v>
      </c>
      <c r="R3068">
        <v>576</v>
      </c>
      <c r="S3068">
        <v>339.84</v>
      </c>
      <c r="T3068">
        <v>1</v>
      </c>
      <c r="U3068">
        <v>16</v>
      </c>
      <c r="V3068">
        <v>1</v>
      </c>
      <c r="W3068">
        <v>0</v>
      </c>
      <c r="X3068">
        <v>0</v>
      </c>
      <c r="Y3068">
        <v>0</v>
      </c>
      <c r="Z3068">
        <v>0</v>
      </c>
      <c r="AA3068">
        <v>16</v>
      </c>
      <c r="AB3068">
        <v>0</v>
      </c>
      <c r="AC3068">
        <v>0</v>
      </c>
      <c r="AD3068">
        <v>0</v>
      </c>
      <c r="AE3068">
        <v>0</v>
      </c>
      <c r="AF3068">
        <v>0</v>
      </c>
      <c r="AG3068">
        <v>0</v>
      </c>
      <c r="AH3068">
        <v>0</v>
      </c>
      <c r="AI3068">
        <v>0</v>
      </c>
      <c r="AJ3068">
        <v>0</v>
      </c>
      <c r="AK3068">
        <v>0</v>
      </c>
    </row>
    <row r="3069" spans="1:37" x14ac:dyDescent="0.3">
      <c r="A3069">
        <v>7382</v>
      </c>
      <c r="B3069" t="s">
        <v>3451</v>
      </c>
      <c r="D3069" t="s">
        <v>3543</v>
      </c>
      <c r="E3069">
        <v>99999999</v>
      </c>
      <c r="F3069">
        <v>11111111</v>
      </c>
      <c r="G3069">
        <v>1111111111</v>
      </c>
      <c r="H3069" t="s">
        <v>6638</v>
      </c>
      <c r="I3069">
        <v>99999999</v>
      </c>
      <c r="J3069" s="188">
        <v>45238</v>
      </c>
      <c r="K3069" t="s">
        <v>6638</v>
      </c>
      <c r="L3069" t="s">
        <v>6638</v>
      </c>
      <c r="M3069" t="s">
        <v>3555</v>
      </c>
      <c r="N3069" t="s">
        <v>104</v>
      </c>
      <c r="O3069">
        <v>83856</v>
      </c>
      <c r="P3069" t="s">
        <v>221</v>
      </c>
      <c r="Q3069" t="s">
        <v>82</v>
      </c>
      <c r="R3069">
        <v>20</v>
      </c>
      <c r="S3069">
        <v>1200</v>
      </c>
      <c r="T3069">
        <v>1</v>
      </c>
      <c r="U3069">
        <v>20</v>
      </c>
      <c r="V3069">
        <v>1</v>
      </c>
      <c r="W3069">
        <v>0</v>
      </c>
      <c r="X3069">
        <v>0</v>
      </c>
      <c r="Y3069">
        <v>0</v>
      </c>
      <c r="Z3069">
        <v>0</v>
      </c>
      <c r="AA3069">
        <v>0</v>
      </c>
      <c r="AB3069">
        <v>0</v>
      </c>
      <c r="AC3069">
        <v>0</v>
      </c>
      <c r="AD3069">
        <v>20</v>
      </c>
      <c r="AE3069">
        <v>0</v>
      </c>
      <c r="AF3069">
        <v>0</v>
      </c>
      <c r="AG3069">
        <v>0</v>
      </c>
      <c r="AH3069">
        <v>0</v>
      </c>
      <c r="AI3069">
        <v>0</v>
      </c>
      <c r="AJ3069">
        <v>0</v>
      </c>
      <c r="AK3069">
        <v>0</v>
      </c>
    </row>
    <row r="3070" spans="1:37" x14ac:dyDescent="0.3">
      <c r="A3070">
        <v>7864</v>
      </c>
      <c r="B3070" t="s">
        <v>234</v>
      </c>
      <c r="D3070" t="s">
        <v>3556</v>
      </c>
      <c r="E3070">
        <v>99999999</v>
      </c>
      <c r="F3070">
        <v>11111111</v>
      </c>
      <c r="G3070">
        <v>1111111111</v>
      </c>
      <c r="H3070" t="s">
        <v>6639</v>
      </c>
      <c r="I3070">
        <v>99999999</v>
      </c>
      <c r="J3070" s="188">
        <v>45238</v>
      </c>
      <c r="K3070" t="s">
        <v>6639</v>
      </c>
      <c r="L3070" t="s">
        <v>6639</v>
      </c>
      <c r="M3070" t="s">
        <v>332</v>
      </c>
      <c r="N3070" t="s">
        <v>130</v>
      </c>
      <c r="O3070">
        <v>80019</v>
      </c>
      <c r="P3070" t="s">
        <v>221</v>
      </c>
      <c r="Q3070" t="s">
        <v>124</v>
      </c>
      <c r="R3070">
        <v>2</v>
      </c>
      <c r="S3070">
        <v>2.101</v>
      </c>
      <c r="T3070">
        <v>0</v>
      </c>
      <c r="U3070">
        <v>1</v>
      </c>
      <c r="V3070">
        <v>2</v>
      </c>
      <c r="W3070">
        <v>0</v>
      </c>
      <c r="X3070">
        <v>0</v>
      </c>
      <c r="Y3070">
        <v>0</v>
      </c>
      <c r="Z3070">
        <v>0</v>
      </c>
      <c r="AA3070">
        <v>0</v>
      </c>
      <c r="AB3070">
        <v>0</v>
      </c>
      <c r="AC3070">
        <v>0</v>
      </c>
      <c r="AD3070">
        <v>2</v>
      </c>
      <c r="AE3070">
        <v>0</v>
      </c>
      <c r="AF3070">
        <v>0</v>
      </c>
      <c r="AG3070">
        <v>0</v>
      </c>
      <c r="AH3070">
        <v>0</v>
      </c>
      <c r="AI3070">
        <v>0</v>
      </c>
      <c r="AJ3070">
        <v>0</v>
      </c>
      <c r="AK3070">
        <v>0</v>
      </c>
    </row>
    <row r="3071" spans="1:37" x14ac:dyDescent="0.3">
      <c r="A3071">
        <v>7134</v>
      </c>
      <c r="B3071" t="s">
        <v>28</v>
      </c>
      <c r="C3071" t="s">
        <v>3557</v>
      </c>
      <c r="D3071" t="s">
        <v>3531</v>
      </c>
      <c r="E3071">
        <v>99999999</v>
      </c>
      <c r="F3071">
        <v>11111111</v>
      </c>
      <c r="G3071">
        <v>1111111111</v>
      </c>
      <c r="H3071" t="s">
        <v>6640</v>
      </c>
      <c r="I3071">
        <v>99999999</v>
      </c>
      <c r="J3071" s="188">
        <v>45236</v>
      </c>
      <c r="K3071" t="s">
        <v>6640</v>
      </c>
      <c r="L3071" t="s">
        <v>6640</v>
      </c>
      <c r="M3071" t="s">
        <v>2002</v>
      </c>
      <c r="N3071" t="s">
        <v>99</v>
      </c>
      <c r="O3071">
        <v>92408</v>
      </c>
      <c r="Q3071" t="s">
        <v>82</v>
      </c>
      <c r="R3071">
        <v>7188</v>
      </c>
      <c r="S3071">
        <v>6035.76</v>
      </c>
      <c r="T3071">
        <v>11</v>
      </c>
      <c r="U3071">
        <v>263</v>
      </c>
      <c r="V3071">
        <v>7</v>
      </c>
      <c r="W3071">
        <v>0</v>
      </c>
      <c r="X3071">
        <v>0</v>
      </c>
      <c r="Y3071">
        <v>0</v>
      </c>
      <c r="Z3071">
        <v>0</v>
      </c>
      <c r="AA3071">
        <v>263</v>
      </c>
      <c r="AB3071">
        <v>0</v>
      </c>
      <c r="AC3071">
        <v>0</v>
      </c>
      <c r="AD3071">
        <v>0</v>
      </c>
      <c r="AE3071">
        <v>0</v>
      </c>
      <c r="AF3071">
        <v>0</v>
      </c>
      <c r="AG3071">
        <v>0</v>
      </c>
      <c r="AH3071">
        <v>0</v>
      </c>
      <c r="AI3071">
        <v>0</v>
      </c>
      <c r="AJ3071">
        <v>0</v>
      </c>
      <c r="AK3071">
        <v>0</v>
      </c>
    </row>
    <row r="3072" spans="1:37" x14ac:dyDescent="0.3">
      <c r="A3072">
        <v>3740</v>
      </c>
      <c r="B3072" t="s">
        <v>211</v>
      </c>
      <c r="D3072" t="s">
        <v>212</v>
      </c>
      <c r="E3072">
        <v>99999999</v>
      </c>
      <c r="F3072">
        <v>11111111</v>
      </c>
      <c r="G3072">
        <v>1111111111</v>
      </c>
      <c r="H3072" t="s">
        <v>6641</v>
      </c>
      <c r="I3072">
        <v>99999999</v>
      </c>
      <c r="J3072" s="188">
        <v>45236</v>
      </c>
      <c r="K3072" t="s">
        <v>6641</v>
      </c>
      <c r="L3072" t="s">
        <v>6641</v>
      </c>
      <c r="M3072" t="s">
        <v>3558</v>
      </c>
      <c r="N3072" t="s">
        <v>3559</v>
      </c>
      <c r="O3072">
        <v>75150</v>
      </c>
      <c r="P3072" t="s">
        <v>73</v>
      </c>
      <c r="Q3072" t="s">
        <v>130</v>
      </c>
      <c r="R3072">
        <v>42665</v>
      </c>
      <c r="S3072">
        <v>42665</v>
      </c>
      <c r="T3072">
        <v>0</v>
      </c>
      <c r="U3072">
        <v>42665</v>
      </c>
      <c r="V3072">
        <v>1</v>
      </c>
      <c r="W3072">
        <v>0</v>
      </c>
      <c r="X3072">
        <v>0</v>
      </c>
      <c r="Y3072">
        <v>0</v>
      </c>
      <c r="Z3072">
        <v>0</v>
      </c>
      <c r="AA3072">
        <v>0</v>
      </c>
      <c r="AB3072">
        <v>0</v>
      </c>
      <c r="AC3072">
        <v>42665</v>
      </c>
      <c r="AD3072">
        <v>0</v>
      </c>
      <c r="AE3072">
        <v>0</v>
      </c>
      <c r="AF3072">
        <v>0</v>
      </c>
      <c r="AG3072">
        <v>0</v>
      </c>
      <c r="AH3072">
        <v>0</v>
      </c>
      <c r="AI3072">
        <v>0</v>
      </c>
      <c r="AJ3072">
        <v>0</v>
      </c>
      <c r="AK3072">
        <v>0</v>
      </c>
    </row>
    <row r="3073" spans="1:37" x14ac:dyDescent="0.3">
      <c r="A3073">
        <v>6178</v>
      </c>
      <c r="B3073" t="s">
        <v>3368</v>
      </c>
      <c r="D3073" t="s">
        <v>212</v>
      </c>
      <c r="E3073">
        <v>99999999</v>
      </c>
      <c r="F3073">
        <v>11111111</v>
      </c>
      <c r="G3073">
        <v>1111111111</v>
      </c>
      <c r="H3073" t="s">
        <v>6642</v>
      </c>
      <c r="I3073">
        <v>99999999</v>
      </c>
      <c r="J3073" s="188">
        <v>45238</v>
      </c>
      <c r="K3073" t="s">
        <v>6642</v>
      </c>
      <c r="L3073" t="s">
        <v>6642</v>
      </c>
      <c r="M3073" t="s">
        <v>128</v>
      </c>
      <c r="N3073" t="s">
        <v>85</v>
      </c>
      <c r="O3073" t="s">
        <v>3560</v>
      </c>
      <c r="P3073" t="s">
        <v>221</v>
      </c>
      <c r="Q3073" t="s">
        <v>82</v>
      </c>
      <c r="R3073">
        <v>1104</v>
      </c>
      <c r="S3073">
        <v>26408.400000000001</v>
      </c>
      <c r="T3073">
        <v>30</v>
      </c>
      <c r="U3073">
        <v>1104</v>
      </c>
      <c r="V3073">
        <v>3</v>
      </c>
      <c r="W3073">
        <v>0</v>
      </c>
      <c r="X3073">
        <v>0</v>
      </c>
      <c r="Y3073">
        <v>0</v>
      </c>
      <c r="Z3073">
        <v>0</v>
      </c>
      <c r="AA3073">
        <v>1104</v>
      </c>
      <c r="AB3073">
        <v>0</v>
      </c>
      <c r="AC3073">
        <v>0</v>
      </c>
      <c r="AD3073">
        <v>0</v>
      </c>
      <c r="AE3073">
        <v>0</v>
      </c>
      <c r="AF3073">
        <v>0</v>
      </c>
      <c r="AG3073">
        <v>0</v>
      </c>
      <c r="AH3073">
        <v>0</v>
      </c>
      <c r="AI3073">
        <v>0</v>
      </c>
      <c r="AJ3073">
        <v>0</v>
      </c>
      <c r="AK3073">
        <v>0</v>
      </c>
    </row>
    <row r="3074" spans="1:37" x14ac:dyDescent="0.3">
      <c r="A3074">
        <v>7134</v>
      </c>
      <c r="B3074" t="s">
        <v>28</v>
      </c>
      <c r="C3074">
        <v>499</v>
      </c>
      <c r="D3074" t="s">
        <v>3561</v>
      </c>
      <c r="E3074">
        <v>99999999</v>
      </c>
      <c r="F3074">
        <v>11111111</v>
      </c>
      <c r="G3074">
        <v>1111111111</v>
      </c>
      <c r="H3074" t="s">
        <v>6643</v>
      </c>
      <c r="I3074">
        <v>99999999</v>
      </c>
      <c r="J3074" s="188">
        <v>45238</v>
      </c>
      <c r="K3074" t="s">
        <v>6643</v>
      </c>
      <c r="L3074" t="s">
        <v>6643</v>
      </c>
      <c r="Q3074" t="s">
        <v>124</v>
      </c>
      <c r="R3074">
        <v>0</v>
      </c>
      <c r="T3074">
        <v>1</v>
      </c>
      <c r="U3074">
        <v>21</v>
      </c>
      <c r="V3074">
        <v>0</v>
      </c>
      <c r="W3074">
        <v>0</v>
      </c>
      <c r="X3074">
        <v>0</v>
      </c>
      <c r="Y3074">
        <v>0</v>
      </c>
      <c r="Z3074">
        <v>0</v>
      </c>
      <c r="AA3074">
        <v>0</v>
      </c>
      <c r="AB3074">
        <v>0</v>
      </c>
      <c r="AC3074">
        <v>0</v>
      </c>
      <c r="AD3074">
        <v>0</v>
      </c>
      <c r="AE3074">
        <v>0</v>
      </c>
      <c r="AF3074">
        <v>0</v>
      </c>
      <c r="AG3074">
        <v>0</v>
      </c>
      <c r="AH3074">
        <v>0</v>
      </c>
      <c r="AI3074">
        <v>0</v>
      </c>
      <c r="AJ3074">
        <v>0</v>
      </c>
      <c r="AK3074">
        <v>0</v>
      </c>
    </row>
    <row r="3075" spans="1:37" x14ac:dyDescent="0.3">
      <c r="A3075">
        <v>7134</v>
      </c>
      <c r="B3075" t="s">
        <v>28</v>
      </c>
      <c r="C3075">
        <v>499</v>
      </c>
      <c r="D3075" t="s">
        <v>3561</v>
      </c>
      <c r="E3075">
        <v>99999999</v>
      </c>
      <c r="F3075">
        <v>11111111</v>
      </c>
      <c r="G3075">
        <v>1111111111</v>
      </c>
      <c r="H3075" t="s">
        <v>6644</v>
      </c>
      <c r="I3075">
        <v>99999999</v>
      </c>
      <c r="J3075" s="188">
        <v>45238</v>
      </c>
      <c r="K3075" t="s">
        <v>6644</v>
      </c>
      <c r="L3075" t="s">
        <v>6644</v>
      </c>
      <c r="M3075" t="s">
        <v>1349</v>
      </c>
      <c r="N3075" t="s">
        <v>99</v>
      </c>
      <c r="O3075">
        <v>94560</v>
      </c>
      <c r="Q3075" t="s">
        <v>124</v>
      </c>
      <c r="R3075">
        <v>32</v>
      </c>
      <c r="S3075">
        <v>28.31</v>
      </c>
      <c r="T3075">
        <v>0</v>
      </c>
      <c r="U3075">
        <v>0</v>
      </c>
      <c r="V3075">
        <v>13</v>
      </c>
      <c r="W3075">
        <v>0</v>
      </c>
      <c r="X3075">
        <v>0</v>
      </c>
      <c r="Y3075">
        <v>0</v>
      </c>
      <c r="Z3075">
        <v>0</v>
      </c>
      <c r="AA3075">
        <v>0</v>
      </c>
      <c r="AB3075">
        <v>0</v>
      </c>
      <c r="AC3075">
        <v>0</v>
      </c>
      <c r="AD3075">
        <v>32</v>
      </c>
      <c r="AE3075">
        <v>0</v>
      </c>
      <c r="AF3075">
        <v>0</v>
      </c>
      <c r="AG3075">
        <v>0</v>
      </c>
      <c r="AH3075">
        <v>0</v>
      </c>
      <c r="AI3075">
        <v>0</v>
      </c>
      <c r="AJ3075">
        <v>0</v>
      </c>
      <c r="AK3075">
        <v>0</v>
      </c>
    </row>
    <row r="3076" spans="1:37" x14ac:dyDescent="0.3">
      <c r="A3076">
        <v>7134</v>
      </c>
      <c r="B3076" t="s">
        <v>28</v>
      </c>
      <c r="C3076">
        <v>499</v>
      </c>
      <c r="D3076" t="s">
        <v>3561</v>
      </c>
      <c r="E3076">
        <v>99999999</v>
      </c>
      <c r="F3076">
        <v>11111111</v>
      </c>
      <c r="G3076">
        <v>1111111111</v>
      </c>
      <c r="H3076" t="s">
        <v>6645</v>
      </c>
      <c r="I3076">
        <v>99999999</v>
      </c>
      <c r="J3076" s="188">
        <v>45238</v>
      </c>
      <c r="K3076" t="s">
        <v>6645</v>
      </c>
      <c r="L3076" t="s">
        <v>6645</v>
      </c>
      <c r="M3076" t="s">
        <v>1349</v>
      </c>
      <c r="N3076" t="s">
        <v>99</v>
      </c>
      <c r="O3076">
        <v>94560</v>
      </c>
      <c r="Q3076" t="s">
        <v>124</v>
      </c>
      <c r="R3076">
        <v>19</v>
      </c>
      <c r="S3076">
        <v>16.989999999999998</v>
      </c>
      <c r="T3076">
        <v>0</v>
      </c>
      <c r="U3076">
        <v>0</v>
      </c>
      <c r="V3076">
        <v>13</v>
      </c>
      <c r="W3076">
        <v>0</v>
      </c>
      <c r="X3076">
        <v>0</v>
      </c>
      <c r="Y3076">
        <v>0</v>
      </c>
      <c r="Z3076">
        <v>0</v>
      </c>
      <c r="AA3076">
        <v>0</v>
      </c>
      <c r="AB3076">
        <v>0</v>
      </c>
      <c r="AC3076">
        <v>0</v>
      </c>
      <c r="AD3076">
        <v>19</v>
      </c>
      <c r="AE3076">
        <v>0</v>
      </c>
      <c r="AF3076">
        <v>0</v>
      </c>
      <c r="AG3076">
        <v>0</v>
      </c>
      <c r="AH3076">
        <v>0</v>
      </c>
      <c r="AI3076">
        <v>0</v>
      </c>
      <c r="AJ3076">
        <v>0</v>
      </c>
      <c r="AK3076">
        <v>0</v>
      </c>
    </row>
    <row r="3077" spans="1:37" x14ac:dyDescent="0.3">
      <c r="A3077">
        <v>7134</v>
      </c>
      <c r="B3077" t="s">
        <v>28</v>
      </c>
      <c r="C3077">
        <v>499</v>
      </c>
      <c r="D3077" t="s">
        <v>3561</v>
      </c>
      <c r="E3077">
        <v>99999999</v>
      </c>
      <c r="F3077">
        <v>11111111</v>
      </c>
      <c r="G3077">
        <v>1111111111</v>
      </c>
      <c r="H3077" t="s">
        <v>6646</v>
      </c>
      <c r="I3077">
        <v>99999999</v>
      </c>
      <c r="J3077" s="188">
        <v>45238</v>
      </c>
      <c r="K3077" t="s">
        <v>6646</v>
      </c>
      <c r="L3077" t="s">
        <v>6646</v>
      </c>
      <c r="M3077" t="s">
        <v>1349</v>
      </c>
      <c r="N3077" t="s">
        <v>99</v>
      </c>
      <c r="O3077">
        <v>94560</v>
      </c>
      <c r="Q3077" t="s">
        <v>124</v>
      </c>
      <c r="R3077">
        <v>37</v>
      </c>
      <c r="S3077">
        <v>32.72</v>
      </c>
      <c r="T3077">
        <v>0</v>
      </c>
      <c r="U3077">
        <v>0</v>
      </c>
      <c r="V3077">
        <v>13</v>
      </c>
      <c r="W3077">
        <v>0</v>
      </c>
      <c r="X3077">
        <v>0</v>
      </c>
      <c r="Y3077">
        <v>0</v>
      </c>
      <c r="Z3077">
        <v>0</v>
      </c>
      <c r="AA3077">
        <v>0</v>
      </c>
      <c r="AB3077">
        <v>0</v>
      </c>
      <c r="AC3077">
        <v>0</v>
      </c>
      <c r="AD3077">
        <v>37</v>
      </c>
      <c r="AE3077">
        <v>0</v>
      </c>
      <c r="AF3077">
        <v>0</v>
      </c>
      <c r="AG3077">
        <v>0</v>
      </c>
      <c r="AH3077">
        <v>0</v>
      </c>
      <c r="AI3077">
        <v>0</v>
      </c>
      <c r="AJ3077">
        <v>0</v>
      </c>
      <c r="AK3077">
        <v>0</v>
      </c>
    </row>
    <row r="3078" spans="1:37" x14ac:dyDescent="0.3">
      <c r="A3078">
        <v>7134</v>
      </c>
      <c r="B3078" t="s">
        <v>28</v>
      </c>
      <c r="C3078">
        <v>499</v>
      </c>
      <c r="D3078" t="s">
        <v>3561</v>
      </c>
      <c r="E3078">
        <v>99999999</v>
      </c>
      <c r="F3078">
        <v>11111111</v>
      </c>
      <c r="G3078">
        <v>1111111111</v>
      </c>
      <c r="H3078" t="s">
        <v>6647</v>
      </c>
      <c r="I3078">
        <v>99999999</v>
      </c>
      <c r="J3078" s="188">
        <v>45238</v>
      </c>
      <c r="K3078" t="s">
        <v>6647</v>
      </c>
      <c r="L3078" t="s">
        <v>6647</v>
      </c>
      <c r="M3078" t="s">
        <v>1349</v>
      </c>
      <c r="N3078" t="s">
        <v>99</v>
      </c>
      <c r="O3078">
        <v>94560</v>
      </c>
      <c r="Q3078" t="s">
        <v>124</v>
      </c>
      <c r="R3078">
        <v>39</v>
      </c>
      <c r="S3078">
        <v>34.51</v>
      </c>
      <c r="T3078">
        <v>0</v>
      </c>
      <c r="U3078">
        <v>0</v>
      </c>
      <c r="V3078">
        <v>13</v>
      </c>
      <c r="W3078">
        <v>0</v>
      </c>
      <c r="X3078">
        <v>0</v>
      </c>
      <c r="Y3078">
        <v>0</v>
      </c>
      <c r="Z3078">
        <v>0</v>
      </c>
      <c r="AA3078">
        <v>0</v>
      </c>
      <c r="AB3078">
        <v>0</v>
      </c>
      <c r="AC3078">
        <v>0</v>
      </c>
      <c r="AD3078">
        <v>39</v>
      </c>
      <c r="AE3078">
        <v>0</v>
      </c>
      <c r="AF3078">
        <v>0</v>
      </c>
      <c r="AG3078">
        <v>0</v>
      </c>
      <c r="AH3078">
        <v>0</v>
      </c>
      <c r="AI3078">
        <v>0</v>
      </c>
      <c r="AJ3078">
        <v>0</v>
      </c>
      <c r="AK3078">
        <v>0</v>
      </c>
    </row>
    <row r="3079" spans="1:37" x14ac:dyDescent="0.3">
      <c r="A3079">
        <v>7134</v>
      </c>
      <c r="B3079" t="s">
        <v>28</v>
      </c>
      <c r="C3079">
        <v>499</v>
      </c>
      <c r="D3079" t="s">
        <v>3561</v>
      </c>
      <c r="E3079">
        <v>99999999</v>
      </c>
      <c r="F3079">
        <v>11111111</v>
      </c>
      <c r="G3079">
        <v>1111111111</v>
      </c>
      <c r="H3079" t="s">
        <v>6648</v>
      </c>
      <c r="I3079">
        <v>99999999</v>
      </c>
      <c r="J3079" s="188">
        <v>45238</v>
      </c>
      <c r="K3079" t="s">
        <v>6648</v>
      </c>
      <c r="L3079" t="s">
        <v>6648</v>
      </c>
      <c r="M3079" t="s">
        <v>1349</v>
      </c>
      <c r="N3079" t="s">
        <v>99</v>
      </c>
      <c r="O3079">
        <v>94560</v>
      </c>
      <c r="Q3079" t="s">
        <v>124</v>
      </c>
      <c r="R3079">
        <v>39</v>
      </c>
      <c r="S3079">
        <v>34.51</v>
      </c>
      <c r="T3079">
        <v>0</v>
      </c>
      <c r="U3079">
        <v>0</v>
      </c>
      <c r="V3079">
        <v>13</v>
      </c>
      <c r="W3079">
        <v>0</v>
      </c>
      <c r="X3079">
        <v>0</v>
      </c>
      <c r="Y3079">
        <v>0</v>
      </c>
      <c r="Z3079">
        <v>0</v>
      </c>
      <c r="AA3079">
        <v>0</v>
      </c>
      <c r="AB3079">
        <v>0</v>
      </c>
      <c r="AC3079">
        <v>0</v>
      </c>
      <c r="AD3079">
        <v>39</v>
      </c>
      <c r="AE3079">
        <v>0</v>
      </c>
      <c r="AF3079">
        <v>0</v>
      </c>
      <c r="AG3079">
        <v>0</v>
      </c>
      <c r="AH3079">
        <v>0</v>
      </c>
      <c r="AI3079">
        <v>0</v>
      </c>
      <c r="AJ3079">
        <v>0</v>
      </c>
      <c r="AK3079">
        <v>0</v>
      </c>
    </row>
    <row r="3080" spans="1:37" x14ac:dyDescent="0.3">
      <c r="A3080">
        <v>7134</v>
      </c>
      <c r="B3080" t="s">
        <v>28</v>
      </c>
      <c r="C3080">
        <v>499</v>
      </c>
      <c r="D3080" t="s">
        <v>3561</v>
      </c>
      <c r="E3080">
        <v>99999999</v>
      </c>
      <c r="F3080">
        <v>11111111</v>
      </c>
      <c r="G3080">
        <v>1111111111</v>
      </c>
      <c r="H3080" t="s">
        <v>6649</v>
      </c>
      <c r="I3080">
        <v>99999999</v>
      </c>
      <c r="J3080" s="188">
        <v>45238</v>
      </c>
      <c r="K3080" t="s">
        <v>6649</v>
      </c>
      <c r="L3080" t="s">
        <v>6649</v>
      </c>
      <c r="M3080" t="s">
        <v>1349</v>
      </c>
      <c r="N3080" t="s">
        <v>99</v>
      </c>
      <c r="O3080">
        <v>94560</v>
      </c>
      <c r="Q3080" t="s">
        <v>124</v>
      </c>
      <c r="R3080">
        <v>50</v>
      </c>
      <c r="S3080">
        <v>44.09</v>
      </c>
      <c r="T3080">
        <v>0</v>
      </c>
      <c r="U3080">
        <v>0</v>
      </c>
      <c r="V3080">
        <v>13</v>
      </c>
      <c r="W3080">
        <v>0</v>
      </c>
      <c r="X3080">
        <v>0</v>
      </c>
      <c r="Y3080">
        <v>0</v>
      </c>
      <c r="Z3080">
        <v>0</v>
      </c>
      <c r="AA3080">
        <v>0</v>
      </c>
      <c r="AB3080">
        <v>0</v>
      </c>
      <c r="AC3080">
        <v>0</v>
      </c>
      <c r="AD3080">
        <v>50</v>
      </c>
      <c r="AE3080">
        <v>0</v>
      </c>
      <c r="AF3080">
        <v>0</v>
      </c>
      <c r="AG3080">
        <v>0</v>
      </c>
      <c r="AH3080">
        <v>0</v>
      </c>
      <c r="AI3080">
        <v>0</v>
      </c>
      <c r="AJ3080">
        <v>0</v>
      </c>
      <c r="AK3080">
        <v>0</v>
      </c>
    </row>
    <row r="3081" spans="1:37" x14ac:dyDescent="0.3">
      <c r="A3081">
        <v>7134</v>
      </c>
      <c r="B3081" t="s">
        <v>28</v>
      </c>
      <c r="C3081">
        <v>499</v>
      </c>
      <c r="D3081" t="s">
        <v>3561</v>
      </c>
      <c r="E3081">
        <v>99999999</v>
      </c>
      <c r="F3081">
        <v>11111111</v>
      </c>
      <c r="G3081">
        <v>1111111111</v>
      </c>
      <c r="H3081" t="s">
        <v>6650</v>
      </c>
      <c r="I3081">
        <v>99999999</v>
      </c>
      <c r="J3081" s="188">
        <v>45238</v>
      </c>
      <c r="K3081" t="s">
        <v>6650</v>
      </c>
      <c r="L3081" t="s">
        <v>6650</v>
      </c>
      <c r="M3081" t="s">
        <v>1349</v>
      </c>
      <c r="N3081" t="s">
        <v>99</v>
      </c>
      <c r="O3081">
        <v>94560</v>
      </c>
      <c r="Q3081" t="s">
        <v>124</v>
      </c>
      <c r="R3081">
        <v>28</v>
      </c>
      <c r="S3081">
        <v>24.38</v>
      </c>
      <c r="T3081">
        <v>0</v>
      </c>
      <c r="U3081">
        <v>0</v>
      </c>
      <c r="V3081">
        <v>13</v>
      </c>
      <c r="W3081">
        <v>0</v>
      </c>
      <c r="X3081">
        <v>0</v>
      </c>
      <c r="Y3081">
        <v>0</v>
      </c>
      <c r="Z3081">
        <v>0</v>
      </c>
      <c r="AA3081">
        <v>0</v>
      </c>
      <c r="AB3081">
        <v>0</v>
      </c>
      <c r="AC3081">
        <v>0</v>
      </c>
      <c r="AD3081">
        <v>28</v>
      </c>
      <c r="AE3081">
        <v>0</v>
      </c>
      <c r="AF3081">
        <v>0</v>
      </c>
      <c r="AG3081">
        <v>0</v>
      </c>
      <c r="AH3081">
        <v>0</v>
      </c>
      <c r="AI3081">
        <v>0</v>
      </c>
      <c r="AJ3081">
        <v>0</v>
      </c>
      <c r="AK3081">
        <v>0</v>
      </c>
    </row>
    <row r="3082" spans="1:37" x14ac:dyDescent="0.3">
      <c r="A3082">
        <v>7134</v>
      </c>
      <c r="B3082" t="s">
        <v>28</v>
      </c>
      <c r="C3082">
        <v>499</v>
      </c>
      <c r="D3082" t="s">
        <v>3561</v>
      </c>
      <c r="E3082">
        <v>99999999</v>
      </c>
      <c r="F3082">
        <v>11111111</v>
      </c>
      <c r="G3082">
        <v>1111111111</v>
      </c>
      <c r="H3082" t="s">
        <v>6651</v>
      </c>
      <c r="I3082">
        <v>99999999</v>
      </c>
      <c r="J3082" s="188">
        <v>45238</v>
      </c>
      <c r="K3082" t="s">
        <v>6651</v>
      </c>
      <c r="L3082" t="s">
        <v>6651</v>
      </c>
      <c r="M3082" t="s">
        <v>1349</v>
      </c>
      <c r="N3082" t="s">
        <v>99</v>
      </c>
      <c r="O3082">
        <v>94560</v>
      </c>
      <c r="Q3082" t="s">
        <v>124</v>
      </c>
      <c r="R3082">
        <v>37</v>
      </c>
      <c r="S3082">
        <v>32.72</v>
      </c>
      <c r="T3082">
        <v>0</v>
      </c>
      <c r="U3082">
        <v>0</v>
      </c>
      <c r="V3082">
        <v>13</v>
      </c>
      <c r="W3082">
        <v>0</v>
      </c>
      <c r="X3082">
        <v>0</v>
      </c>
      <c r="Y3082">
        <v>0</v>
      </c>
      <c r="Z3082">
        <v>0</v>
      </c>
      <c r="AA3082">
        <v>0</v>
      </c>
      <c r="AB3082">
        <v>0</v>
      </c>
      <c r="AC3082">
        <v>0</v>
      </c>
      <c r="AD3082">
        <v>37</v>
      </c>
      <c r="AE3082">
        <v>0</v>
      </c>
      <c r="AF3082">
        <v>0</v>
      </c>
      <c r="AG3082">
        <v>0</v>
      </c>
      <c r="AH3082">
        <v>0</v>
      </c>
      <c r="AI3082">
        <v>0</v>
      </c>
      <c r="AJ3082">
        <v>0</v>
      </c>
      <c r="AK3082">
        <v>0</v>
      </c>
    </row>
    <row r="3083" spans="1:37" x14ac:dyDescent="0.3">
      <c r="A3083">
        <v>7134</v>
      </c>
      <c r="B3083" t="s">
        <v>28</v>
      </c>
      <c r="C3083">
        <v>499</v>
      </c>
      <c r="D3083" t="s">
        <v>3561</v>
      </c>
      <c r="E3083">
        <v>99999999</v>
      </c>
      <c r="F3083">
        <v>11111111</v>
      </c>
      <c r="G3083">
        <v>1111111111</v>
      </c>
      <c r="H3083" t="s">
        <v>6652</v>
      </c>
      <c r="I3083">
        <v>99999999</v>
      </c>
      <c r="J3083" s="188">
        <v>45238</v>
      </c>
      <c r="K3083" t="s">
        <v>6652</v>
      </c>
      <c r="L3083" t="s">
        <v>6652</v>
      </c>
      <c r="M3083" t="s">
        <v>1349</v>
      </c>
      <c r="N3083" t="s">
        <v>99</v>
      </c>
      <c r="O3083">
        <v>94560</v>
      </c>
      <c r="Q3083" t="s">
        <v>124</v>
      </c>
      <c r="R3083">
        <v>38</v>
      </c>
      <c r="S3083">
        <v>33.659999999999997</v>
      </c>
      <c r="T3083">
        <v>0</v>
      </c>
      <c r="U3083">
        <v>0</v>
      </c>
      <c r="V3083">
        <v>13</v>
      </c>
      <c r="W3083">
        <v>0</v>
      </c>
      <c r="X3083">
        <v>0</v>
      </c>
      <c r="Y3083">
        <v>0</v>
      </c>
      <c r="Z3083">
        <v>0</v>
      </c>
      <c r="AA3083">
        <v>0</v>
      </c>
      <c r="AB3083">
        <v>0</v>
      </c>
      <c r="AC3083">
        <v>0</v>
      </c>
      <c r="AD3083">
        <v>38</v>
      </c>
      <c r="AE3083">
        <v>0</v>
      </c>
      <c r="AF3083">
        <v>0</v>
      </c>
      <c r="AG3083">
        <v>0</v>
      </c>
      <c r="AH3083">
        <v>0</v>
      </c>
      <c r="AI3083">
        <v>0</v>
      </c>
      <c r="AJ3083">
        <v>0</v>
      </c>
      <c r="AK3083">
        <v>0</v>
      </c>
    </row>
    <row r="3084" spans="1:37" x14ac:dyDescent="0.3">
      <c r="A3084">
        <v>7134</v>
      </c>
      <c r="B3084" t="s">
        <v>28</v>
      </c>
      <c r="C3084">
        <v>499</v>
      </c>
      <c r="D3084" t="s">
        <v>3561</v>
      </c>
      <c r="E3084">
        <v>99999999</v>
      </c>
      <c r="F3084">
        <v>11111111</v>
      </c>
      <c r="G3084">
        <v>1111111111</v>
      </c>
      <c r="H3084" t="s">
        <v>6653</v>
      </c>
      <c r="I3084">
        <v>99999999</v>
      </c>
      <c r="J3084" s="188">
        <v>45238</v>
      </c>
      <c r="K3084" t="s">
        <v>6653</v>
      </c>
      <c r="L3084" t="s">
        <v>6653</v>
      </c>
      <c r="M3084" t="s">
        <v>1349</v>
      </c>
      <c r="N3084" t="s">
        <v>99</v>
      </c>
      <c r="O3084">
        <v>94560</v>
      </c>
      <c r="Q3084" t="s">
        <v>124</v>
      </c>
      <c r="R3084">
        <v>34</v>
      </c>
      <c r="S3084">
        <v>30.07</v>
      </c>
      <c r="T3084">
        <v>0</v>
      </c>
      <c r="U3084">
        <v>0</v>
      </c>
      <c r="V3084">
        <v>13</v>
      </c>
      <c r="W3084">
        <v>0</v>
      </c>
      <c r="X3084">
        <v>0</v>
      </c>
      <c r="Y3084">
        <v>0</v>
      </c>
      <c r="Z3084">
        <v>0</v>
      </c>
      <c r="AA3084">
        <v>0</v>
      </c>
      <c r="AB3084">
        <v>0</v>
      </c>
      <c r="AC3084">
        <v>0</v>
      </c>
      <c r="AD3084">
        <v>34</v>
      </c>
      <c r="AE3084">
        <v>0</v>
      </c>
      <c r="AF3084">
        <v>0</v>
      </c>
      <c r="AG3084">
        <v>0</v>
      </c>
      <c r="AH3084">
        <v>0</v>
      </c>
      <c r="AI3084">
        <v>0</v>
      </c>
      <c r="AJ3084">
        <v>0</v>
      </c>
      <c r="AK3084">
        <v>0</v>
      </c>
    </row>
    <row r="3085" spans="1:37" x14ac:dyDescent="0.3">
      <c r="A3085">
        <v>7134</v>
      </c>
      <c r="B3085" t="s">
        <v>28</v>
      </c>
      <c r="C3085">
        <v>499</v>
      </c>
      <c r="D3085" t="s">
        <v>3561</v>
      </c>
      <c r="E3085">
        <v>99999999</v>
      </c>
      <c r="F3085">
        <v>11111111</v>
      </c>
      <c r="G3085">
        <v>1111111111</v>
      </c>
      <c r="H3085" t="s">
        <v>6654</v>
      </c>
      <c r="I3085">
        <v>99999999</v>
      </c>
      <c r="J3085" s="188">
        <v>45238</v>
      </c>
      <c r="K3085" t="s">
        <v>6654</v>
      </c>
      <c r="L3085" t="s">
        <v>6654</v>
      </c>
      <c r="M3085" t="s">
        <v>1349</v>
      </c>
      <c r="N3085" t="s">
        <v>99</v>
      </c>
      <c r="O3085">
        <v>94560</v>
      </c>
      <c r="Q3085" t="s">
        <v>124</v>
      </c>
      <c r="R3085">
        <v>32</v>
      </c>
      <c r="S3085">
        <v>28.31</v>
      </c>
      <c r="T3085">
        <v>0</v>
      </c>
      <c r="U3085">
        <v>0</v>
      </c>
      <c r="V3085">
        <v>13</v>
      </c>
      <c r="W3085">
        <v>0</v>
      </c>
      <c r="X3085">
        <v>0</v>
      </c>
      <c r="Y3085">
        <v>0</v>
      </c>
      <c r="Z3085">
        <v>0</v>
      </c>
      <c r="AA3085">
        <v>0</v>
      </c>
      <c r="AB3085">
        <v>0</v>
      </c>
      <c r="AC3085">
        <v>0</v>
      </c>
      <c r="AD3085">
        <v>32</v>
      </c>
      <c r="AE3085">
        <v>0</v>
      </c>
      <c r="AF3085">
        <v>0</v>
      </c>
      <c r="AG3085">
        <v>0</v>
      </c>
      <c r="AH3085">
        <v>0</v>
      </c>
      <c r="AI3085">
        <v>0</v>
      </c>
      <c r="AJ3085">
        <v>0</v>
      </c>
      <c r="AK3085">
        <v>0</v>
      </c>
    </row>
    <row r="3086" spans="1:37" x14ac:dyDescent="0.3">
      <c r="A3086">
        <v>7134</v>
      </c>
      <c r="B3086" t="s">
        <v>28</v>
      </c>
      <c r="C3086">
        <v>499</v>
      </c>
      <c r="D3086" t="s">
        <v>3561</v>
      </c>
      <c r="E3086">
        <v>99999999</v>
      </c>
      <c r="F3086">
        <v>11111111</v>
      </c>
      <c r="G3086">
        <v>1111111111</v>
      </c>
      <c r="H3086" t="s">
        <v>6655</v>
      </c>
      <c r="I3086">
        <v>99999999</v>
      </c>
      <c r="J3086" s="188">
        <v>45238</v>
      </c>
      <c r="K3086" t="s">
        <v>6655</v>
      </c>
      <c r="L3086" t="s">
        <v>6655</v>
      </c>
      <c r="M3086" t="s">
        <v>1349</v>
      </c>
      <c r="N3086" t="s">
        <v>99</v>
      </c>
      <c r="O3086">
        <v>94560</v>
      </c>
      <c r="Q3086" t="s">
        <v>124</v>
      </c>
      <c r="R3086">
        <v>37</v>
      </c>
      <c r="S3086">
        <v>32.72</v>
      </c>
      <c r="T3086">
        <v>0</v>
      </c>
      <c r="U3086">
        <v>0</v>
      </c>
      <c r="V3086">
        <v>13</v>
      </c>
      <c r="W3086">
        <v>0</v>
      </c>
      <c r="X3086">
        <v>0</v>
      </c>
      <c r="Y3086">
        <v>0</v>
      </c>
      <c r="Z3086">
        <v>0</v>
      </c>
      <c r="AA3086">
        <v>0</v>
      </c>
      <c r="AB3086">
        <v>0</v>
      </c>
      <c r="AC3086">
        <v>0</v>
      </c>
      <c r="AD3086">
        <v>37</v>
      </c>
      <c r="AE3086">
        <v>0</v>
      </c>
      <c r="AF3086">
        <v>0</v>
      </c>
      <c r="AG3086">
        <v>0</v>
      </c>
      <c r="AH3086">
        <v>0</v>
      </c>
      <c r="AI3086">
        <v>0</v>
      </c>
      <c r="AJ3086">
        <v>0</v>
      </c>
      <c r="AK3086">
        <v>0</v>
      </c>
    </row>
    <row r="3087" spans="1:37" x14ac:dyDescent="0.3">
      <c r="A3087">
        <v>7134</v>
      </c>
      <c r="B3087" t="s">
        <v>28</v>
      </c>
      <c r="C3087">
        <v>499</v>
      </c>
      <c r="D3087" t="s">
        <v>3561</v>
      </c>
      <c r="E3087">
        <v>99999999</v>
      </c>
      <c r="F3087">
        <v>11111111</v>
      </c>
      <c r="G3087">
        <v>1111111111</v>
      </c>
      <c r="H3087" t="s">
        <v>6656</v>
      </c>
      <c r="I3087">
        <v>99999999</v>
      </c>
      <c r="J3087" s="188">
        <v>45238</v>
      </c>
      <c r="K3087" t="s">
        <v>6656</v>
      </c>
      <c r="L3087" t="s">
        <v>6656</v>
      </c>
      <c r="M3087" t="s">
        <v>1349</v>
      </c>
      <c r="N3087" t="s">
        <v>99</v>
      </c>
      <c r="O3087">
        <v>94560</v>
      </c>
      <c r="Q3087" t="s">
        <v>124</v>
      </c>
      <c r="R3087">
        <v>38</v>
      </c>
      <c r="S3087">
        <v>33.659999999999997</v>
      </c>
      <c r="T3087">
        <v>0</v>
      </c>
      <c r="U3087">
        <v>0</v>
      </c>
      <c r="V3087">
        <v>13</v>
      </c>
      <c r="W3087">
        <v>0</v>
      </c>
      <c r="X3087">
        <v>0</v>
      </c>
      <c r="Y3087">
        <v>0</v>
      </c>
      <c r="Z3087">
        <v>0</v>
      </c>
      <c r="AA3087">
        <v>0</v>
      </c>
      <c r="AB3087">
        <v>0</v>
      </c>
      <c r="AC3087">
        <v>0</v>
      </c>
      <c r="AD3087">
        <v>38</v>
      </c>
      <c r="AE3087">
        <v>0</v>
      </c>
      <c r="AF3087">
        <v>0</v>
      </c>
      <c r="AG3087">
        <v>0</v>
      </c>
      <c r="AH3087">
        <v>0</v>
      </c>
      <c r="AI3087">
        <v>0</v>
      </c>
      <c r="AJ3087">
        <v>0</v>
      </c>
      <c r="AK3087">
        <v>0</v>
      </c>
    </row>
    <row r="3088" spans="1:37" x14ac:dyDescent="0.3">
      <c r="A3088">
        <v>7134</v>
      </c>
      <c r="B3088" t="s">
        <v>28</v>
      </c>
      <c r="C3088">
        <v>499</v>
      </c>
      <c r="D3088" t="s">
        <v>3561</v>
      </c>
      <c r="E3088">
        <v>99999999</v>
      </c>
      <c r="F3088">
        <v>11111111</v>
      </c>
      <c r="G3088">
        <v>1111111111</v>
      </c>
      <c r="H3088" t="s">
        <v>6657</v>
      </c>
      <c r="I3088">
        <v>99999999</v>
      </c>
      <c r="J3088" s="188">
        <v>45238</v>
      </c>
      <c r="K3088" t="s">
        <v>6657</v>
      </c>
      <c r="L3088" t="s">
        <v>6657</v>
      </c>
      <c r="M3088" t="s">
        <v>1349</v>
      </c>
      <c r="N3088" t="s">
        <v>99</v>
      </c>
      <c r="O3088">
        <v>94560</v>
      </c>
      <c r="Q3088" t="s">
        <v>124</v>
      </c>
      <c r="R3088">
        <v>28</v>
      </c>
      <c r="S3088">
        <v>24.38</v>
      </c>
      <c r="T3088">
        <v>0</v>
      </c>
      <c r="U3088">
        <v>0</v>
      </c>
      <c r="V3088">
        <v>13</v>
      </c>
      <c r="W3088">
        <v>0</v>
      </c>
      <c r="X3088">
        <v>0</v>
      </c>
      <c r="Y3088">
        <v>0</v>
      </c>
      <c r="Z3088">
        <v>0</v>
      </c>
      <c r="AA3088">
        <v>0</v>
      </c>
      <c r="AB3088">
        <v>0</v>
      </c>
      <c r="AC3088">
        <v>0</v>
      </c>
      <c r="AD3088">
        <v>28</v>
      </c>
      <c r="AE3088">
        <v>0</v>
      </c>
      <c r="AF3088">
        <v>0</v>
      </c>
      <c r="AG3088">
        <v>0</v>
      </c>
      <c r="AH3088">
        <v>0</v>
      </c>
      <c r="AI3088">
        <v>0</v>
      </c>
      <c r="AJ3088">
        <v>0</v>
      </c>
      <c r="AK3088">
        <v>0</v>
      </c>
    </row>
    <row r="3089" spans="1:37" x14ac:dyDescent="0.3">
      <c r="A3089">
        <v>7134</v>
      </c>
      <c r="B3089" t="s">
        <v>28</v>
      </c>
      <c r="C3089">
        <v>499</v>
      </c>
      <c r="D3089" t="s">
        <v>3561</v>
      </c>
      <c r="E3089">
        <v>99999999</v>
      </c>
      <c r="F3089">
        <v>11111111</v>
      </c>
      <c r="G3089">
        <v>1111111111</v>
      </c>
      <c r="H3089" t="s">
        <v>6658</v>
      </c>
      <c r="I3089">
        <v>99999999</v>
      </c>
      <c r="J3089" s="188">
        <v>45238</v>
      </c>
      <c r="K3089" t="s">
        <v>6658</v>
      </c>
      <c r="L3089" t="s">
        <v>6658</v>
      </c>
      <c r="M3089" t="s">
        <v>1349</v>
      </c>
      <c r="N3089" t="s">
        <v>99</v>
      </c>
      <c r="O3089">
        <v>94560</v>
      </c>
      <c r="Q3089" t="s">
        <v>124</v>
      </c>
      <c r="R3089">
        <v>34</v>
      </c>
      <c r="S3089">
        <v>30.11</v>
      </c>
      <c r="T3089">
        <v>0</v>
      </c>
      <c r="U3089">
        <v>0</v>
      </c>
      <c r="V3089">
        <v>13</v>
      </c>
      <c r="W3089">
        <v>0</v>
      </c>
      <c r="X3089">
        <v>0</v>
      </c>
      <c r="Y3089">
        <v>0</v>
      </c>
      <c r="Z3089">
        <v>0</v>
      </c>
      <c r="AA3089">
        <v>0</v>
      </c>
      <c r="AB3089">
        <v>0</v>
      </c>
      <c r="AC3089">
        <v>0</v>
      </c>
      <c r="AD3089">
        <v>34</v>
      </c>
      <c r="AE3089">
        <v>0</v>
      </c>
      <c r="AF3089">
        <v>0</v>
      </c>
      <c r="AG3089">
        <v>0</v>
      </c>
      <c r="AH3089">
        <v>0</v>
      </c>
      <c r="AI3089">
        <v>0</v>
      </c>
      <c r="AJ3089">
        <v>0</v>
      </c>
      <c r="AK3089">
        <v>0</v>
      </c>
    </row>
    <row r="3090" spans="1:37" x14ac:dyDescent="0.3">
      <c r="A3090">
        <v>7134</v>
      </c>
      <c r="B3090" t="s">
        <v>28</v>
      </c>
      <c r="C3090">
        <v>499</v>
      </c>
      <c r="D3090" t="s">
        <v>3561</v>
      </c>
      <c r="E3090">
        <v>99999999</v>
      </c>
      <c r="F3090">
        <v>11111111</v>
      </c>
      <c r="G3090">
        <v>1111111111</v>
      </c>
      <c r="H3090" t="s">
        <v>6659</v>
      </c>
      <c r="I3090">
        <v>99999999</v>
      </c>
      <c r="J3090" s="188">
        <v>45238</v>
      </c>
      <c r="K3090" t="s">
        <v>6659</v>
      </c>
      <c r="L3090" t="s">
        <v>6659</v>
      </c>
      <c r="M3090" t="s">
        <v>1349</v>
      </c>
      <c r="N3090" t="s">
        <v>99</v>
      </c>
      <c r="O3090">
        <v>94560</v>
      </c>
      <c r="Q3090" t="s">
        <v>124</v>
      </c>
      <c r="R3090">
        <v>39</v>
      </c>
      <c r="S3090">
        <v>34.51</v>
      </c>
      <c r="T3090">
        <v>0</v>
      </c>
      <c r="U3090">
        <v>0</v>
      </c>
      <c r="V3090">
        <v>13</v>
      </c>
      <c r="W3090">
        <v>0</v>
      </c>
      <c r="X3090">
        <v>0</v>
      </c>
      <c r="Y3090">
        <v>0</v>
      </c>
      <c r="Z3090">
        <v>0</v>
      </c>
      <c r="AA3090">
        <v>0</v>
      </c>
      <c r="AB3090">
        <v>0</v>
      </c>
      <c r="AC3090">
        <v>0</v>
      </c>
      <c r="AD3090">
        <v>39</v>
      </c>
      <c r="AE3090">
        <v>0</v>
      </c>
      <c r="AF3090">
        <v>0</v>
      </c>
      <c r="AG3090">
        <v>0</v>
      </c>
      <c r="AH3090">
        <v>0</v>
      </c>
      <c r="AI3090">
        <v>0</v>
      </c>
      <c r="AJ3090">
        <v>0</v>
      </c>
      <c r="AK3090">
        <v>0</v>
      </c>
    </row>
    <row r="3091" spans="1:37" x14ac:dyDescent="0.3">
      <c r="A3091">
        <v>7134</v>
      </c>
      <c r="B3091" t="s">
        <v>28</v>
      </c>
      <c r="C3091">
        <v>499</v>
      </c>
      <c r="D3091" t="s">
        <v>3561</v>
      </c>
      <c r="E3091">
        <v>99999999</v>
      </c>
      <c r="F3091">
        <v>11111111</v>
      </c>
      <c r="G3091">
        <v>1111111111</v>
      </c>
      <c r="H3091" t="s">
        <v>6660</v>
      </c>
      <c r="I3091">
        <v>99999999</v>
      </c>
      <c r="J3091" s="188">
        <v>45238</v>
      </c>
      <c r="K3091" t="s">
        <v>6660</v>
      </c>
      <c r="L3091" t="s">
        <v>6660</v>
      </c>
      <c r="M3091" t="s">
        <v>1349</v>
      </c>
      <c r="N3091" t="s">
        <v>99</v>
      </c>
      <c r="O3091">
        <v>94560</v>
      </c>
      <c r="Q3091" t="s">
        <v>124</v>
      </c>
      <c r="R3091">
        <v>34</v>
      </c>
      <c r="S3091">
        <v>30.07</v>
      </c>
      <c r="T3091">
        <v>0</v>
      </c>
      <c r="U3091">
        <v>0</v>
      </c>
      <c r="V3091">
        <v>13</v>
      </c>
      <c r="W3091">
        <v>0</v>
      </c>
      <c r="X3091">
        <v>0</v>
      </c>
      <c r="Y3091">
        <v>0</v>
      </c>
      <c r="Z3091">
        <v>0</v>
      </c>
      <c r="AA3091">
        <v>0</v>
      </c>
      <c r="AB3091">
        <v>0</v>
      </c>
      <c r="AC3091">
        <v>0</v>
      </c>
      <c r="AD3091">
        <v>34</v>
      </c>
      <c r="AE3091">
        <v>0</v>
      </c>
      <c r="AF3091">
        <v>0</v>
      </c>
      <c r="AG3091">
        <v>0</v>
      </c>
      <c r="AH3091">
        <v>0</v>
      </c>
      <c r="AI3091">
        <v>0</v>
      </c>
      <c r="AJ3091">
        <v>0</v>
      </c>
      <c r="AK3091">
        <v>0</v>
      </c>
    </row>
    <row r="3092" spans="1:37" x14ac:dyDescent="0.3">
      <c r="A3092">
        <v>7134</v>
      </c>
      <c r="B3092" t="s">
        <v>28</v>
      </c>
      <c r="C3092">
        <v>499</v>
      </c>
      <c r="D3092" t="s">
        <v>3561</v>
      </c>
      <c r="E3092">
        <v>99999999</v>
      </c>
      <c r="F3092">
        <v>11111111</v>
      </c>
      <c r="G3092">
        <v>1111111111</v>
      </c>
      <c r="H3092" t="s">
        <v>6661</v>
      </c>
      <c r="I3092">
        <v>99999999</v>
      </c>
      <c r="J3092" s="188">
        <v>45238</v>
      </c>
      <c r="K3092" t="s">
        <v>6661</v>
      </c>
      <c r="L3092" t="s">
        <v>6661</v>
      </c>
      <c r="M3092" t="s">
        <v>1349</v>
      </c>
      <c r="N3092" t="s">
        <v>99</v>
      </c>
      <c r="O3092">
        <v>94560</v>
      </c>
      <c r="Q3092" t="s">
        <v>124</v>
      </c>
      <c r="R3092">
        <v>28</v>
      </c>
      <c r="S3092">
        <v>24.38</v>
      </c>
      <c r="T3092">
        <v>0</v>
      </c>
      <c r="U3092">
        <v>0</v>
      </c>
      <c r="V3092">
        <v>13</v>
      </c>
      <c r="W3092">
        <v>0</v>
      </c>
      <c r="X3092">
        <v>0</v>
      </c>
      <c r="Y3092">
        <v>0</v>
      </c>
      <c r="Z3092">
        <v>0</v>
      </c>
      <c r="AA3092">
        <v>0</v>
      </c>
      <c r="AB3092">
        <v>0</v>
      </c>
      <c r="AC3092">
        <v>0</v>
      </c>
      <c r="AD3092">
        <v>28</v>
      </c>
      <c r="AE3092">
        <v>0</v>
      </c>
      <c r="AF3092">
        <v>0</v>
      </c>
      <c r="AG3092">
        <v>0</v>
      </c>
      <c r="AH3092">
        <v>0</v>
      </c>
      <c r="AI3092">
        <v>0</v>
      </c>
      <c r="AJ3092">
        <v>0</v>
      </c>
      <c r="AK3092">
        <v>0</v>
      </c>
    </row>
    <row r="3093" spans="1:37" x14ac:dyDescent="0.3">
      <c r="A3093">
        <v>7134</v>
      </c>
      <c r="B3093" t="s">
        <v>28</v>
      </c>
      <c r="C3093">
        <v>499</v>
      </c>
      <c r="D3093" t="s">
        <v>3561</v>
      </c>
      <c r="E3093">
        <v>99999999</v>
      </c>
      <c r="F3093">
        <v>11111111</v>
      </c>
      <c r="G3093">
        <v>1111111111</v>
      </c>
      <c r="H3093" t="s">
        <v>6662</v>
      </c>
      <c r="I3093">
        <v>99999999</v>
      </c>
      <c r="J3093" s="188">
        <v>45238</v>
      </c>
      <c r="K3093" t="s">
        <v>6662</v>
      </c>
      <c r="L3093" t="s">
        <v>6662</v>
      </c>
      <c r="M3093" t="s">
        <v>1349</v>
      </c>
      <c r="N3093" t="s">
        <v>99</v>
      </c>
      <c r="O3093">
        <v>94560</v>
      </c>
      <c r="Q3093" t="s">
        <v>124</v>
      </c>
      <c r="R3093">
        <v>55</v>
      </c>
      <c r="S3093">
        <v>48.87</v>
      </c>
      <c r="T3093">
        <v>0</v>
      </c>
      <c r="U3093">
        <v>0</v>
      </c>
      <c r="V3093">
        <v>13</v>
      </c>
      <c r="W3093">
        <v>0</v>
      </c>
      <c r="X3093">
        <v>0</v>
      </c>
      <c r="Y3093">
        <v>0</v>
      </c>
      <c r="Z3093">
        <v>0</v>
      </c>
      <c r="AA3093">
        <v>0</v>
      </c>
      <c r="AB3093">
        <v>0</v>
      </c>
      <c r="AC3093">
        <v>0</v>
      </c>
      <c r="AD3093">
        <v>55</v>
      </c>
      <c r="AE3093">
        <v>0</v>
      </c>
      <c r="AF3093">
        <v>0</v>
      </c>
      <c r="AG3093">
        <v>0</v>
      </c>
      <c r="AH3093">
        <v>0</v>
      </c>
      <c r="AI3093">
        <v>0</v>
      </c>
      <c r="AJ3093">
        <v>0</v>
      </c>
      <c r="AK3093">
        <v>0</v>
      </c>
    </row>
    <row r="3094" spans="1:37" x14ac:dyDescent="0.3">
      <c r="A3094">
        <v>7134</v>
      </c>
      <c r="B3094" t="s">
        <v>28</v>
      </c>
      <c r="C3094">
        <v>499</v>
      </c>
      <c r="D3094" t="s">
        <v>3561</v>
      </c>
      <c r="E3094">
        <v>99999999</v>
      </c>
      <c r="F3094">
        <v>11111111</v>
      </c>
      <c r="G3094">
        <v>1111111111</v>
      </c>
      <c r="H3094" t="s">
        <v>6663</v>
      </c>
      <c r="I3094">
        <v>99999999</v>
      </c>
      <c r="J3094" s="188">
        <v>45238</v>
      </c>
      <c r="K3094" t="s">
        <v>6663</v>
      </c>
      <c r="L3094" t="s">
        <v>6663</v>
      </c>
      <c r="M3094" t="s">
        <v>1349</v>
      </c>
      <c r="N3094" t="s">
        <v>99</v>
      </c>
      <c r="O3094">
        <v>94560</v>
      </c>
      <c r="Q3094" t="s">
        <v>124</v>
      </c>
      <c r="R3094">
        <v>41</v>
      </c>
      <c r="S3094">
        <v>36.28</v>
      </c>
      <c r="T3094">
        <v>0</v>
      </c>
      <c r="U3094">
        <v>0</v>
      </c>
      <c r="V3094">
        <v>13</v>
      </c>
      <c r="W3094">
        <v>0</v>
      </c>
      <c r="X3094">
        <v>0</v>
      </c>
      <c r="Y3094">
        <v>0</v>
      </c>
      <c r="Z3094">
        <v>0</v>
      </c>
      <c r="AA3094">
        <v>0</v>
      </c>
      <c r="AB3094">
        <v>0</v>
      </c>
      <c r="AC3094">
        <v>0</v>
      </c>
      <c r="AD3094">
        <v>41</v>
      </c>
      <c r="AE3094">
        <v>0</v>
      </c>
      <c r="AF3094">
        <v>0</v>
      </c>
      <c r="AG3094">
        <v>0</v>
      </c>
      <c r="AH3094">
        <v>0</v>
      </c>
      <c r="AI3094">
        <v>0</v>
      </c>
      <c r="AJ3094">
        <v>0</v>
      </c>
      <c r="AK3094">
        <v>0</v>
      </c>
    </row>
    <row r="3095" spans="1:37" x14ac:dyDescent="0.3">
      <c r="A3095">
        <v>7134</v>
      </c>
      <c r="B3095" t="s">
        <v>28</v>
      </c>
      <c r="C3095">
        <v>499</v>
      </c>
      <c r="D3095" t="s">
        <v>3561</v>
      </c>
      <c r="E3095">
        <v>99999999</v>
      </c>
      <c r="F3095">
        <v>11111111</v>
      </c>
      <c r="G3095">
        <v>1111111111</v>
      </c>
      <c r="H3095" t="s">
        <v>6664</v>
      </c>
      <c r="I3095">
        <v>99999999</v>
      </c>
      <c r="J3095" s="188">
        <v>45238</v>
      </c>
      <c r="K3095" t="s">
        <v>6664</v>
      </c>
      <c r="L3095" t="s">
        <v>6664</v>
      </c>
      <c r="M3095" t="s">
        <v>1349</v>
      </c>
      <c r="N3095" t="s">
        <v>99</v>
      </c>
      <c r="O3095">
        <v>94560</v>
      </c>
      <c r="Q3095" t="s">
        <v>124</v>
      </c>
      <c r="R3095">
        <v>38</v>
      </c>
      <c r="S3095">
        <v>33.659999999999997</v>
      </c>
      <c r="T3095">
        <v>0</v>
      </c>
      <c r="U3095">
        <v>0</v>
      </c>
      <c r="V3095">
        <v>13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38</v>
      </c>
      <c r="AE3095">
        <v>0</v>
      </c>
      <c r="AF3095">
        <v>0</v>
      </c>
      <c r="AG3095">
        <v>0</v>
      </c>
      <c r="AH3095">
        <v>0</v>
      </c>
      <c r="AI3095">
        <v>0</v>
      </c>
      <c r="AJ3095">
        <v>0</v>
      </c>
      <c r="AK3095">
        <v>0</v>
      </c>
    </row>
    <row r="3096" spans="1:37" x14ac:dyDescent="0.3">
      <c r="A3096">
        <v>7134</v>
      </c>
      <c r="B3096" t="s">
        <v>28</v>
      </c>
      <c r="C3096">
        <v>89</v>
      </c>
      <c r="D3096" t="s">
        <v>3561</v>
      </c>
      <c r="E3096">
        <v>99999999</v>
      </c>
      <c r="F3096">
        <v>11111111</v>
      </c>
      <c r="G3096">
        <v>1111111111</v>
      </c>
      <c r="H3096" t="s">
        <v>6665</v>
      </c>
      <c r="I3096">
        <v>99999999</v>
      </c>
      <c r="J3096" s="188">
        <v>45238</v>
      </c>
      <c r="K3096" t="s">
        <v>6665</v>
      </c>
      <c r="L3096" t="s">
        <v>6665</v>
      </c>
      <c r="Q3096" t="s">
        <v>124</v>
      </c>
      <c r="R3096">
        <v>0</v>
      </c>
      <c r="T3096">
        <v>1</v>
      </c>
      <c r="U3096">
        <v>19</v>
      </c>
      <c r="V3096">
        <v>0</v>
      </c>
      <c r="W3096">
        <v>0</v>
      </c>
      <c r="X3096">
        <v>0</v>
      </c>
      <c r="Y3096">
        <v>0</v>
      </c>
      <c r="Z3096">
        <v>0</v>
      </c>
      <c r="AA3096">
        <v>0</v>
      </c>
      <c r="AB3096">
        <v>0</v>
      </c>
      <c r="AC3096">
        <v>0</v>
      </c>
      <c r="AD3096">
        <v>0</v>
      </c>
      <c r="AE3096">
        <v>0</v>
      </c>
      <c r="AF3096">
        <v>0</v>
      </c>
      <c r="AG3096">
        <v>0</v>
      </c>
      <c r="AH3096">
        <v>0</v>
      </c>
      <c r="AI3096">
        <v>0</v>
      </c>
      <c r="AJ3096">
        <v>0</v>
      </c>
      <c r="AK3096">
        <v>0</v>
      </c>
    </row>
    <row r="3097" spans="1:37" x14ac:dyDescent="0.3">
      <c r="A3097">
        <v>7134</v>
      </c>
      <c r="B3097" t="s">
        <v>28</v>
      </c>
      <c r="C3097">
        <v>89</v>
      </c>
      <c r="D3097" t="s">
        <v>3561</v>
      </c>
      <c r="E3097">
        <v>99999999</v>
      </c>
      <c r="F3097">
        <v>11111111</v>
      </c>
      <c r="G3097">
        <v>1111111111</v>
      </c>
      <c r="H3097" t="s">
        <v>6666</v>
      </c>
      <c r="I3097">
        <v>99999999</v>
      </c>
      <c r="J3097" s="188">
        <v>45238</v>
      </c>
      <c r="K3097" t="s">
        <v>6666</v>
      </c>
      <c r="L3097" t="s">
        <v>6666</v>
      </c>
      <c r="M3097" t="s">
        <v>173</v>
      </c>
      <c r="N3097" t="s">
        <v>164</v>
      </c>
      <c r="O3097">
        <v>97203</v>
      </c>
      <c r="Q3097" t="s">
        <v>124</v>
      </c>
      <c r="R3097">
        <v>22</v>
      </c>
      <c r="S3097">
        <v>19.350000000000001</v>
      </c>
      <c r="T3097">
        <v>0</v>
      </c>
      <c r="U3097">
        <v>0</v>
      </c>
      <c r="V3097">
        <v>13</v>
      </c>
      <c r="W3097">
        <v>0</v>
      </c>
      <c r="X3097">
        <v>0</v>
      </c>
      <c r="Y3097">
        <v>0</v>
      </c>
      <c r="Z3097">
        <v>0</v>
      </c>
      <c r="AA3097">
        <v>0</v>
      </c>
      <c r="AB3097">
        <v>0</v>
      </c>
      <c r="AC3097">
        <v>0</v>
      </c>
      <c r="AD3097">
        <v>22</v>
      </c>
      <c r="AE3097">
        <v>0</v>
      </c>
      <c r="AF3097">
        <v>0</v>
      </c>
      <c r="AG3097">
        <v>0</v>
      </c>
      <c r="AH3097">
        <v>0</v>
      </c>
      <c r="AI3097">
        <v>0</v>
      </c>
      <c r="AJ3097">
        <v>0</v>
      </c>
      <c r="AK3097">
        <v>0</v>
      </c>
    </row>
    <row r="3098" spans="1:37" x14ac:dyDescent="0.3">
      <c r="A3098">
        <v>7134</v>
      </c>
      <c r="B3098" t="s">
        <v>28</v>
      </c>
      <c r="C3098">
        <v>89</v>
      </c>
      <c r="D3098" t="s">
        <v>3561</v>
      </c>
      <c r="E3098">
        <v>99999999</v>
      </c>
      <c r="F3098">
        <v>11111111</v>
      </c>
      <c r="G3098">
        <v>1111111111</v>
      </c>
      <c r="H3098" t="s">
        <v>6667</v>
      </c>
      <c r="I3098">
        <v>99999999</v>
      </c>
      <c r="J3098" s="188">
        <v>45238</v>
      </c>
      <c r="K3098" t="s">
        <v>6667</v>
      </c>
      <c r="L3098" t="s">
        <v>6667</v>
      </c>
      <c r="M3098" t="s">
        <v>173</v>
      </c>
      <c r="N3098" t="s">
        <v>164</v>
      </c>
      <c r="O3098">
        <v>97203</v>
      </c>
      <c r="Q3098" t="s">
        <v>124</v>
      </c>
      <c r="R3098">
        <v>17</v>
      </c>
      <c r="S3098">
        <v>15.13</v>
      </c>
      <c r="T3098">
        <v>0</v>
      </c>
      <c r="U3098">
        <v>0</v>
      </c>
      <c r="V3098">
        <v>12</v>
      </c>
      <c r="W3098">
        <v>0</v>
      </c>
      <c r="X3098">
        <v>0</v>
      </c>
      <c r="Y3098">
        <v>0</v>
      </c>
      <c r="Z3098">
        <v>0</v>
      </c>
      <c r="AA3098">
        <v>0</v>
      </c>
      <c r="AB3098">
        <v>0</v>
      </c>
      <c r="AC3098">
        <v>0</v>
      </c>
      <c r="AD3098">
        <v>17</v>
      </c>
      <c r="AE3098">
        <v>0</v>
      </c>
      <c r="AF3098">
        <v>0</v>
      </c>
      <c r="AG3098">
        <v>0</v>
      </c>
      <c r="AH3098">
        <v>0</v>
      </c>
      <c r="AI3098">
        <v>0</v>
      </c>
      <c r="AJ3098">
        <v>0</v>
      </c>
      <c r="AK3098">
        <v>0</v>
      </c>
    </row>
    <row r="3099" spans="1:37" x14ac:dyDescent="0.3">
      <c r="A3099">
        <v>7134</v>
      </c>
      <c r="B3099" t="s">
        <v>28</v>
      </c>
      <c r="C3099">
        <v>89</v>
      </c>
      <c r="D3099" t="s">
        <v>3561</v>
      </c>
      <c r="E3099">
        <v>99999999</v>
      </c>
      <c r="F3099">
        <v>11111111</v>
      </c>
      <c r="G3099">
        <v>1111111111</v>
      </c>
      <c r="H3099" t="s">
        <v>6668</v>
      </c>
      <c r="I3099">
        <v>99999999</v>
      </c>
      <c r="J3099" s="188">
        <v>45238</v>
      </c>
      <c r="K3099" t="s">
        <v>6668</v>
      </c>
      <c r="L3099" t="s">
        <v>6668</v>
      </c>
      <c r="M3099" t="s">
        <v>173</v>
      </c>
      <c r="N3099" t="s">
        <v>164</v>
      </c>
      <c r="O3099">
        <v>97203</v>
      </c>
      <c r="Q3099" t="s">
        <v>124</v>
      </c>
      <c r="R3099">
        <v>25</v>
      </c>
      <c r="S3099">
        <v>22</v>
      </c>
      <c r="T3099">
        <v>0</v>
      </c>
      <c r="U3099">
        <v>0</v>
      </c>
      <c r="V3099">
        <v>13</v>
      </c>
      <c r="W3099">
        <v>0</v>
      </c>
      <c r="X3099">
        <v>0</v>
      </c>
      <c r="Y3099">
        <v>0</v>
      </c>
      <c r="Z3099">
        <v>0</v>
      </c>
      <c r="AA3099">
        <v>0</v>
      </c>
      <c r="AB3099">
        <v>0</v>
      </c>
      <c r="AC3099">
        <v>0</v>
      </c>
      <c r="AD3099">
        <v>25</v>
      </c>
      <c r="AE3099">
        <v>0</v>
      </c>
      <c r="AF3099">
        <v>0</v>
      </c>
      <c r="AG3099">
        <v>0</v>
      </c>
      <c r="AH3099">
        <v>0</v>
      </c>
      <c r="AI3099">
        <v>0</v>
      </c>
      <c r="AJ3099">
        <v>0</v>
      </c>
      <c r="AK3099">
        <v>0</v>
      </c>
    </row>
    <row r="3100" spans="1:37" x14ac:dyDescent="0.3">
      <c r="A3100">
        <v>7134</v>
      </c>
      <c r="B3100" t="s">
        <v>28</v>
      </c>
      <c r="C3100">
        <v>89</v>
      </c>
      <c r="D3100" t="s">
        <v>3561</v>
      </c>
      <c r="E3100">
        <v>99999999</v>
      </c>
      <c r="F3100">
        <v>11111111</v>
      </c>
      <c r="G3100">
        <v>1111111111</v>
      </c>
      <c r="H3100" t="s">
        <v>6669</v>
      </c>
      <c r="I3100">
        <v>99999999</v>
      </c>
      <c r="J3100" s="188">
        <v>45238</v>
      </c>
      <c r="K3100" t="s">
        <v>6669</v>
      </c>
      <c r="L3100" t="s">
        <v>6669</v>
      </c>
      <c r="M3100" t="s">
        <v>173</v>
      </c>
      <c r="N3100" t="s">
        <v>164</v>
      </c>
      <c r="O3100">
        <v>97203</v>
      </c>
      <c r="Q3100" t="s">
        <v>124</v>
      </c>
      <c r="R3100">
        <v>21</v>
      </c>
      <c r="S3100">
        <v>19.03</v>
      </c>
      <c r="T3100">
        <v>0</v>
      </c>
      <c r="U3100">
        <v>0</v>
      </c>
      <c r="V3100">
        <v>13</v>
      </c>
      <c r="W3100">
        <v>0</v>
      </c>
      <c r="X3100">
        <v>0</v>
      </c>
      <c r="Y3100">
        <v>0</v>
      </c>
      <c r="Z3100">
        <v>0</v>
      </c>
      <c r="AA3100">
        <v>0</v>
      </c>
      <c r="AB3100">
        <v>0</v>
      </c>
      <c r="AC3100">
        <v>0</v>
      </c>
      <c r="AD3100">
        <v>21</v>
      </c>
      <c r="AE3100">
        <v>0</v>
      </c>
      <c r="AF3100">
        <v>0</v>
      </c>
      <c r="AG3100">
        <v>0</v>
      </c>
      <c r="AH3100">
        <v>0</v>
      </c>
      <c r="AI3100">
        <v>0</v>
      </c>
      <c r="AJ3100">
        <v>0</v>
      </c>
      <c r="AK3100">
        <v>0</v>
      </c>
    </row>
    <row r="3101" spans="1:37" x14ac:dyDescent="0.3">
      <c r="A3101">
        <v>7134</v>
      </c>
      <c r="B3101" t="s">
        <v>28</v>
      </c>
      <c r="C3101">
        <v>89</v>
      </c>
      <c r="D3101" t="s">
        <v>3561</v>
      </c>
      <c r="E3101">
        <v>99999999</v>
      </c>
      <c r="F3101">
        <v>11111111</v>
      </c>
      <c r="G3101">
        <v>1111111111</v>
      </c>
      <c r="H3101" t="s">
        <v>6670</v>
      </c>
      <c r="I3101">
        <v>99999999</v>
      </c>
      <c r="J3101" s="188">
        <v>45238</v>
      </c>
      <c r="K3101" t="s">
        <v>6670</v>
      </c>
      <c r="L3101" t="s">
        <v>6670</v>
      </c>
      <c r="M3101" t="s">
        <v>173</v>
      </c>
      <c r="N3101" t="s">
        <v>164</v>
      </c>
      <c r="O3101">
        <v>97203</v>
      </c>
      <c r="Q3101" t="s">
        <v>124</v>
      </c>
      <c r="R3101">
        <v>20</v>
      </c>
      <c r="S3101">
        <v>17.95</v>
      </c>
      <c r="T3101">
        <v>0</v>
      </c>
      <c r="U3101">
        <v>0</v>
      </c>
      <c r="V3101">
        <v>13</v>
      </c>
      <c r="W3101">
        <v>0</v>
      </c>
      <c r="X3101">
        <v>0</v>
      </c>
      <c r="Y3101">
        <v>0</v>
      </c>
      <c r="Z3101">
        <v>0</v>
      </c>
      <c r="AA3101">
        <v>0</v>
      </c>
      <c r="AB3101">
        <v>0</v>
      </c>
      <c r="AC3101">
        <v>0</v>
      </c>
      <c r="AD3101">
        <v>20</v>
      </c>
      <c r="AE3101">
        <v>0</v>
      </c>
      <c r="AF3101">
        <v>0</v>
      </c>
      <c r="AG3101">
        <v>0</v>
      </c>
      <c r="AH3101">
        <v>0</v>
      </c>
      <c r="AI3101">
        <v>0</v>
      </c>
      <c r="AJ3101">
        <v>0</v>
      </c>
      <c r="AK3101">
        <v>0</v>
      </c>
    </row>
    <row r="3102" spans="1:37" x14ac:dyDescent="0.3">
      <c r="A3102">
        <v>7134</v>
      </c>
      <c r="B3102" t="s">
        <v>28</v>
      </c>
      <c r="C3102">
        <v>89</v>
      </c>
      <c r="D3102" t="s">
        <v>3561</v>
      </c>
      <c r="E3102">
        <v>99999999</v>
      </c>
      <c r="F3102">
        <v>11111111</v>
      </c>
      <c r="G3102">
        <v>1111111111</v>
      </c>
      <c r="H3102" t="s">
        <v>6671</v>
      </c>
      <c r="I3102">
        <v>99999999</v>
      </c>
      <c r="J3102" s="188">
        <v>45238</v>
      </c>
      <c r="K3102" t="s">
        <v>6671</v>
      </c>
      <c r="L3102" t="s">
        <v>6671</v>
      </c>
      <c r="M3102" t="s">
        <v>173</v>
      </c>
      <c r="N3102" t="s">
        <v>164</v>
      </c>
      <c r="O3102">
        <v>97203</v>
      </c>
      <c r="Q3102" t="s">
        <v>124</v>
      </c>
      <c r="R3102">
        <v>47</v>
      </c>
      <c r="S3102">
        <v>41.39</v>
      </c>
      <c r="T3102">
        <v>0</v>
      </c>
      <c r="U3102">
        <v>0</v>
      </c>
      <c r="V3102">
        <v>13</v>
      </c>
      <c r="W3102">
        <v>0</v>
      </c>
      <c r="X3102">
        <v>0</v>
      </c>
      <c r="Y3102">
        <v>0</v>
      </c>
      <c r="Z3102">
        <v>0</v>
      </c>
      <c r="AA3102">
        <v>0</v>
      </c>
      <c r="AB3102">
        <v>0</v>
      </c>
      <c r="AC3102">
        <v>0</v>
      </c>
      <c r="AD3102">
        <v>47</v>
      </c>
      <c r="AE3102">
        <v>0</v>
      </c>
      <c r="AF3102">
        <v>0</v>
      </c>
      <c r="AG3102">
        <v>0</v>
      </c>
      <c r="AH3102">
        <v>0</v>
      </c>
      <c r="AI3102">
        <v>0</v>
      </c>
      <c r="AJ3102">
        <v>0</v>
      </c>
      <c r="AK3102">
        <v>0</v>
      </c>
    </row>
    <row r="3103" spans="1:37" x14ac:dyDescent="0.3">
      <c r="A3103">
        <v>7134</v>
      </c>
      <c r="B3103" t="s">
        <v>28</v>
      </c>
      <c r="C3103">
        <v>89</v>
      </c>
      <c r="D3103" t="s">
        <v>3561</v>
      </c>
      <c r="E3103">
        <v>99999999</v>
      </c>
      <c r="F3103">
        <v>11111111</v>
      </c>
      <c r="G3103">
        <v>1111111111</v>
      </c>
      <c r="H3103" t="s">
        <v>6672</v>
      </c>
      <c r="I3103">
        <v>99999999</v>
      </c>
      <c r="J3103" s="188">
        <v>45238</v>
      </c>
      <c r="K3103" t="s">
        <v>6672</v>
      </c>
      <c r="L3103" t="s">
        <v>6672</v>
      </c>
      <c r="M3103" t="s">
        <v>173</v>
      </c>
      <c r="N3103" t="s">
        <v>164</v>
      </c>
      <c r="O3103">
        <v>97203</v>
      </c>
      <c r="Q3103" t="s">
        <v>124</v>
      </c>
      <c r="R3103">
        <v>23</v>
      </c>
      <c r="S3103">
        <v>20.56</v>
      </c>
      <c r="T3103">
        <v>0</v>
      </c>
      <c r="U3103">
        <v>0</v>
      </c>
      <c r="V3103">
        <v>13</v>
      </c>
      <c r="W3103">
        <v>0</v>
      </c>
      <c r="X3103">
        <v>0</v>
      </c>
      <c r="Y3103">
        <v>0</v>
      </c>
      <c r="Z3103">
        <v>0</v>
      </c>
      <c r="AA3103">
        <v>0</v>
      </c>
      <c r="AB3103">
        <v>0</v>
      </c>
      <c r="AC3103">
        <v>0</v>
      </c>
      <c r="AD3103">
        <v>23</v>
      </c>
      <c r="AE3103">
        <v>0</v>
      </c>
      <c r="AF3103">
        <v>0</v>
      </c>
      <c r="AG3103">
        <v>0</v>
      </c>
      <c r="AH3103">
        <v>0</v>
      </c>
      <c r="AI3103">
        <v>0</v>
      </c>
      <c r="AJ3103">
        <v>0</v>
      </c>
      <c r="AK3103">
        <v>0</v>
      </c>
    </row>
    <row r="3104" spans="1:37" x14ac:dyDescent="0.3">
      <c r="A3104">
        <v>7134</v>
      </c>
      <c r="B3104" t="s">
        <v>28</v>
      </c>
      <c r="C3104">
        <v>89</v>
      </c>
      <c r="D3104" t="s">
        <v>3561</v>
      </c>
      <c r="E3104">
        <v>99999999</v>
      </c>
      <c r="F3104">
        <v>11111111</v>
      </c>
      <c r="G3104">
        <v>1111111111</v>
      </c>
      <c r="H3104" t="s">
        <v>6673</v>
      </c>
      <c r="I3104">
        <v>99999999</v>
      </c>
      <c r="J3104" s="188">
        <v>45238</v>
      </c>
      <c r="K3104" t="s">
        <v>6673</v>
      </c>
      <c r="L3104" t="s">
        <v>6673</v>
      </c>
      <c r="M3104" t="s">
        <v>173</v>
      </c>
      <c r="N3104" t="s">
        <v>164</v>
      </c>
      <c r="O3104">
        <v>97203</v>
      </c>
      <c r="Q3104" t="s">
        <v>124</v>
      </c>
      <c r="R3104">
        <v>25</v>
      </c>
      <c r="S3104">
        <v>22</v>
      </c>
      <c r="T3104">
        <v>0</v>
      </c>
      <c r="U3104">
        <v>0</v>
      </c>
      <c r="V3104">
        <v>13</v>
      </c>
      <c r="W3104">
        <v>0</v>
      </c>
      <c r="X3104">
        <v>0</v>
      </c>
      <c r="Y3104">
        <v>0</v>
      </c>
      <c r="Z3104">
        <v>0</v>
      </c>
      <c r="AA3104">
        <v>0</v>
      </c>
      <c r="AB3104">
        <v>0</v>
      </c>
      <c r="AC3104">
        <v>0</v>
      </c>
      <c r="AD3104">
        <v>25</v>
      </c>
      <c r="AE3104">
        <v>0</v>
      </c>
      <c r="AF3104">
        <v>0</v>
      </c>
      <c r="AG3104">
        <v>0</v>
      </c>
      <c r="AH3104">
        <v>0</v>
      </c>
      <c r="AI3104">
        <v>0</v>
      </c>
      <c r="AJ3104">
        <v>0</v>
      </c>
      <c r="AK3104">
        <v>0</v>
      </c>
    </row>
    <row r="3105" spans="1:37" x14ac:dyDescent="0.3">
      <c r="A3105">
        <v>7134</v>
      </c>
      <c r="B3105" t="s">
        <v>28</v>
      </c>
      <c r="C3105">
        <v>89</v>
      </c>
      <c r="D3105" t="s">
        <v>3561</v>
      </c>
      <c r="E3105">
        <v>99999999</v>
      </c>
      <c r="F3105">
        <v>11111111</v>
      </c>
      <c r="G3105">
        <v>1111111111</v>
      </c>
      <c r="H3105" t="s">
        <v>6674</v>
      </c>
      <c r="I3105">
        <v>99999999</v>
      </c>
      <c r="J3105" s="188">
        <v>45238</v>
      </c>
      <c r="K3105" t="s">
        <v>6674</v>
      </c>
      <c r="L3105" t="s">
        <v>6674</v>
      </c>
      <c r="M3105" t="s">
        <v>173</v>
      </c>
      <c r="N3105" t="s">
        <v>164</v>
      </c>
      <c r="O3105">
        <v>97203</v>
      </c>
      <c r="Q3105" t="s">
        <v>124</v>
      </c>
      <c r="R3105">
        <v>20</v>
      </c>
      <c r="S3105">
        <v>17.59</v>
      </c>
      <c r="T3105">
        <v>0</v>
      </c>
      <c r="U3105">
        <v>0</v>
      </c>
      <c r="V3105">
        <v>13</v>
      </c>
      <c r="W3105">
        <v>0</v>
      </c>
      <c r="X3105">
        <v>0</v>
      </c>
      <c r="Y3105">
        <v>0</v>
      </c>
      <c r="Z3105">
        <v>0</v>
      </c>
      <c r="AA3105">
        <v>0</v>
      </c>
      <c r="AB3105">
        <v>0</v>
      </c>
      <c r="AC3105">
        <v>0</v>
      </c>
      <c r="AD3105">
        <v>20</v>
      </c>
      <c r="AE3105">
        <v>0</v>
      </c>
      <c r="AF3105">
        <v>0</v>
      </c>
      <c r="AG3105">
        <v>0</v>
      </c>
      <c r="AH3105">
        <v>0</v>
      </c>
      <c r="AI3105">
        <v>0</v>
      </c>
      <c r="AJ3105">
        <v>0</v>
      </c>
      <c r="AK3105">
        <v>0</v>
      </c>
    </row>
    <row r="3106" spans="1:37" x14ac:dyDescent="0.3">
      <c r="A3106">
        <v>7134</v>
      </c>
      <c r="B3106" t="s">
        <v>28</v>
      </c>
      <c r="C3106">
        <v>89</v>
      </c>
      <c r="D3106" t="s">
        <v>3561</v>
      </c>
      <c r="E3106">
        <v>99999999</v>
      </c>
      <c r="F3106">
        <v>11111111</v>
      </c>
      <c r="G3106">
        <v>1111111111</v>
      </c>
      <c r="H3106" t="s">
        <v>6675</v>
      </c>
      <c r="I3106">
        <v>99999999</v>
      </c>
      <c r="J3106" s="188">
        <v>45238</v>
      </c>
      <c r="K3106" t="s">
        <v>6675</v>
      </c>
      <c r="L3106" t="s">
        <v>6675</v>
      </c>
      <c r="M3106" t="s">
        <v>173</v>
      </c>
      <c r="N3106" t="s">
        <v>164</v>
      </c>
      <c r="O3106">
        <v>97203</v>
      </c>
      <c r="Q3106" t="s">
        <v>124</v>
      </c>
      <c r="R3106">
        <v>22</v>
      </c>
      <c r="S3106">
        <v>19.71</v>
      </c>
      <c r="T3106">
        <v>0</v>
      </c>
      <c r="U3106">
        <v>0</v>
      </c>
      <c r="V3106">
        <v>13</v>
      </c>
      <c r="W3106">
        <v>0</v>
      </c>
      <c r="X3106">
        <v>0</v>
      </c>
      <c r="Y3106">
        <v>0</v>
      </c>
      <c r="Z3106">
        <v>0</v>
      </c>
      <c r="AA3106">
        <v>0</v>
      </c>
      <c r="AB3106">
        <v>0</v>
      </c>
      <c r="AC3106">
        <v>0</v>
      </c>
      <c r="AD3106">
        <v>22</v>
      </c>
      <c r="AE3106">
        <v>0</v>
      </c>
      <c r="AF3106">
        <v>0</v>
      </c>
      <c r="AG3106">
        <v>0</v>
      </c>
      <c r="AH3106">
        <v>0</v>
      </c>
      <c r="AI3106">
        <v>0</v>
      </c>
      <c r="AJ3106">
        <v>0</v>
      </c>
      <c r="AK3106">
        <v>0</v>
      </c>
    </row>
    <row r="3107" spans="1:37" x14ac:dyDescent="0.3">
      <c r="A3107">
        <v>7134</v>
      </c>
      <c r="B3107" t="s">
        <v>28</v>
      </c>
      <c r="C3107">
        <v>89</v>
      </c>
      <c r="D3107" t="s">
        <v>3561</v>
      </c>
      <c r="E3107">
        <v>99999999</v>
      </c>
      <c r="F3107">
        <v>11111111</v>
      </c>
      <c r="G3107">
        <v>1111111111</v>
      </c>
      <c r="H3107" t="s">
        <v>6676</v>
      </c>
      <c r="I3107">
        <v>99999999</v>
      </c>
      <c r="J3107" s="188">
        <v>45238</v>
      </c>
      <c r="K3107" t="s">
        <v>6676</v>
      </c>
      <c r="L3107" t="s">
        <v>6676</v>
      </c>
      <c r="M3107" t="s">
        <v>173</v>
      </c>
      <c r="N3107" t="s">
        <v>164</v>
      </c>
      <c r="O3107">
        <v>97203</v>
      </c>
      <c r="Q3107" t="s">
        <v>124</v>
      </c>
      <c r="R3107">
        <v>17</v>
      </c>
      <c r="S3107">
        <v>14.77</v>
      </c>
      <c r="T3107">
        <v>0</v>
      </c>
      <c r="U3107">
        <v>0</v>
      </c>
      <c r="V3107">
        <v>12</v>
      </c>
      <c r="W3107">
        <v>0</v>
      </c>
      <c r="X3107">
        <v>0</v>
      </c>
      <c r="Y3107">
        <v>0</v>
      </c>
      <c r="Z3107">
        <v>0</v>
      </c>
      <c r="AA3107">
        <v>0</v>
      </c>
      <c r="AB3107">
        <v>0</v>
      </c>
      <c r="AC3107">
        <v>0</v>
      </c>
      <c r="AD3107">
        <v>17</v>
      </c>
      <c r="AE3107">
        <v>0</v>
      </c>
      <c r="AF3107">
        <v>0</v>
      </c>
      <c r="AG3107">
        <v>0</v>
      </c>
      <c r="AH3107">
        <v>0</v>
      </c>
      <c r="AI3107">
        <v>0</v>
      </c>
      <c r="AJ3107">
        <v>0</v>
      </c>
      <c r="AK3107">
        <v>0</v>
      </c>
    </row>
    <row r="3108" spans="1:37" x14ac:dyDescent="0.3">
      <c r="A3108">
        <v>7134</v>
      </c>
      <c r="B3108" t="s">
        <v>28</v>
      </c>
      <c r="C3108">
        <v>89</v>
      </c>
      <c r="D3108" t="s">
        <v>3561</v>
      </c>
      <c r="E3108">
        <v>99999999</v>
      </c>
      <c r="F3108">
        <v>11111111</v>
      </c>
      <c r="G3108">
        <v>1111111111</v>
      </c>
      <c r="H3108" t="s">
        <v>6677</v>
      </c>
      <c r="I3108">
        <v>99999999</v>
      </c>
      <c r="J3108" s="188">
        <v>45238</v>
      </c>
      <c r="K3108" t="s">
        <v>6677</v>
      </c>
      <c r="L3108" t="s">
        <v>6677</v>
      </c>
      <c r="M3108" t="s">
        <v>173</v>
      </c>
      <c r="N3108" t="s">
        <v>164</v>
      </c>
      <c r="O3108">
        <v>97203</v>
      </c>
      <c r="Q3108" t="s">
        <v>124</v>
      </c>
      <c r="R3108">
        <v>20</v>
      </c>
      <c r="S3108">
        <v>17.59</v>
      </c>
      <c r="T3108">
        <v>0</v>
      </c>
      <c r="U3108">
        <v>0</v>
      </c>
      <c r="V3108">
        <v>13</v>
      </c>
      <c r="W3108">
        <v>0</v>
      </c>
      <c r="X3108">
        <v>0</v>
      </c>
      <c r="Y3108">
        <v>0</v>
      </c>
      <c r="Z3108">
        <v>0</v>
      </c>
      <c r="AA3108">
        <v>0</v>
      </c>
      <c r="AB3108">
        <v>0</v>
      </c>
      <c r="AC3108">
        <v>0</v>
      </c>
      <c r="AD3108">
        <v>20</v>
      </c>
      <c r="AE3108">
        <v>0</v>
      </c>
      <c r="AF3108">
        <v>0</v>
      </c>
      <c r="AG3108">
        <v>0</v>
      </c>
      <c r="AH3108">
        <v>0</v>
      </c>
      <c r="AI3108">
        <v>0</v>
      </c>
      <c r="AJ3108">
        <v>0</v>
      </c>
      <c r="AK3108">
        <v>0</v>
      </c>
    </row>
    <row r="3109" spans="1:37" x14ac:dyDescent="0.3">
      <c r="A3109">
        <v>7134</v>
      </c>
      <c r="B3109" t="s">
        <v>28</v>
      </c>
      <c r="C3109">
        <v>89</v>
      </c>
      <c r="D3109" t="s">
        <v>3561</v>
      </c>
      <c r="E3109">
        <v>99999999</v>
      </c>
      <c r="F3109">
        <v>11111111</v>
      </c>
      <c r="G3109">
        <v>1111111111</v>
      </c>
      <c r="H3109" t="s">
        <v>6678</v>
      </c>
      <c r="I3109">
        <v>99999999</v>
      </c>
      <c r="J3109" s="188">
        <v>45238</v>
      </c>
      <c r="K3109" t="s">
        <v>6678</v>
      </c>
      <c r="L3109" t="s">
        <v>6678</v>
      </c>
      <c r="M3109" t="s">
        <v>173</v>
      </c>
      <c r="N3109" t="s">
        <v>164</v>
      </c>
      <c r="O3109">
        <v>97203</v>
      </c>
      <c r="Q3109" t="s">
        <v>124</v>
      </c>
      <c r="R3109">
        <v>19</v>
      </c>
      <c r="S3109">
        <v>16.739999999999998</v>
      </c>
      <c r="T3109">
        <v>0</v>
      </c>
      <c r="U3109">
        <v>0</v>
      </c>
      <c r="V3109">
        <v>13</v>
      </c>
      <c r="W3109">
        <v>0</v>
      </c>
      <c r="X3109">
        <v>0</v>
      </c>
      <c r="Y3109">
        <v>0</v>
      </c>
      <c r="Z3109">
        <v>0</v>
      </c>
      <c r="AA3109">
        <v>0</v>
      </c>
      <c r="AB3109">
        <v>0</v>
      </c>
      <c r="AC3109">
        <v>0</v>
      </c>
      <c r="AD3109">
        <v>19</v>
      </c>
      <c r="AE3109">
        <v>0</v>
      </c>
      <c r="AF3109">
        <v>0</v>
      </c>
      <c r="AG3109">
        <v>0</v>
      </c>
      <c r="AH3109">
        <v>0</v>
      </c>
      <c r="AI3109">
        <v>0</v>
      </c>
      <c r="AJ3109">
        <v>0</v>
      </c>
      <c r="AK3109">
        <v>0</v>
      </c>
    </row>
    <row r="3110" spans="1:37" x14ac:dyDescent="0.3">
      <c r="A3110">
        <v>7134</v>
      </c>
      <c r="B3110" t="s">
        <v>28</v>
      </c>
      <c r="C3110">
        <v>89</v>
      </c>
      <c r="D3110" t="s">
        <v>3561</v>
      </c>
      <c r="E3110">
        <v>99999999</v>
      </c>
      <c r="F3110">
        <v>11111111</v>
      </c>
      <c r="G3110">
        <v>1111111111</v>
      </c>
      <c r="H3110" t="s">
        <v>6679</v>
      </c>
      <c r="I3110">
        <v>99999999</v>
      </c>
      <c r="J3110" s="188">
        <v>45238</v>
      </c>
      <c r="K3110" t="s">
        <v>6679</v>
      </c>
      <c r="L3110" t="s">
        <v>6679</v>
      </c>
      <c r="M3110" t="s">
        <v>173</v>
      </c>
      <c r="N3110" t="s">
        <v>164</v>
      </c>
      <c r="O3110">
        <v>97203</v>
      </c>
      <c r="Q3110" t="s">
        <v>124</v>
      </c>
      <c r="R3110">
        <v>22</v>
      </c>
      <c r="S3110">
        <v>19.62</v>
      </c>
      <c r="T3110">
        <v>0</v>
      </c>
      <c r="U3110">
        <v>0</v>
      </c>
      <c r="V3110">
        <v>13</v>
      </c>
      <c r="W3110">
        <v>0</v>
      </c>
      <c r="X3110">
        <v>0</v>
      </c>
      <c r="Y3110">
        <v>0</v>
      </c>
      <c r="Z3110">
        <v>0</v>
      </c>
      <c r="AA3110">
        <v>0</v>
      </c>
      <c r="AB3110">
        <v>0</v>
      </c>
      <c r="AC3110">
        <v>0</v>
      </c>
      <c r="AD3110">
        <v>22</v>
      </c>
      <c r="AE3110">
        <v>0</v>
      </c>
      <c r="AF3110">
        <v>0</v>
      </c>
      <c r="AG3110">
        <v>0</v>
      </c>
      <c r="AH3110">
        <v>0</v>
      </c>
      <c r="AI3110">
        <v>0</v>
      </c>
      <c r="AJ3110">
        <v>0</v>
      </c>
      <c r="AK3110">
        <v>0</v>
      </c>
    </row>
    <row r="3111" spans="1:37" x14ac:dyDescent="0.3">
      <c r="A3111">
        <v>7134</v>
      </c>
      <c r="B3111" t="s">
        <v>28</v>
      </c>
      <c r="C3111">
        <v>89</v>
      </c>
      <c r="D3111" t="s">
        <v>3561</v>
      </c>
      <c r="E3111">
        <v>99999999</v>
      </c>
      <c r="F3111">
        <v>11111111</v>
      </c>
      <c r="G3111">
        <v>1111111111</v>
      </c>
      <c r="H3111" t="s">
        <v>6680</v>
      </c>
      <c r="I3111">
        <v>99999999</v>
      </c>
      <c r="J3111" s="188">
        <v>45238</v>
      </c>
      <c r="K3111" t="s">
        <v>6680</v>
      </c>
      <c r="L3111" t="s">
        <v>6680</v>
      </c>
      <c r="M3111" t="s">
        <v>173</v>
      </c>
      <c r="N3111" t="s">
        <v>164</v>
      </c>
      <c r="O3111">
        <v>97203</v>
      </c>
      <c r="Q3111" t="s">
        <v>124</v>
      </c>
      <c r="R3111">
        <v>18</v>
      </c>
      <c r="S3111">
        <v>15.69</v>
      </c>
      <c r="T3111">
        <v>0</v>
      </c>
      <c r="U3111">
        <v>0</v>
      </c>
      <c r="V3111">
        <v>12</v>
      </c>
      <c r="W3111">
        <v>0</v>
      </c>
      <c r="X3111">
        <v>0</v>
      </c>
      <c r="Y3111">
        <v>0</v>
      </c>
      <c r="Z3111">
        <v>0</v>
      </c>
      <c r="AA3111">
        <v>0</v>
      </c>
      <c r="AB3111">
        <v>0</v>
      </c>
      <c r="AC3111">
        <v>0</v>
      </c>
      <c r="AD3111">
        <v>18</v>
      </c>
      <c r="AE3111">
        <v>0</v>
      </c>
      <c r="AF3111">
        <v>0</v>
      </c>
      <c r="AG3111">
        <v>0</v>
      </c>
      <c r="AH3111">
        <v>0</v>
      </c>
      <c r="AI3111">
        <v>0</v>
      </c>
      <c r="AJ3111">
        <v>0</v>
      </c>
      <c r="AK3111">
        <v>0</v>
      </c>
    </row>
    <row r="3112" spans="1:37" x14ac:dyDescent="0.3">
      <c r="A3112">
        <v>7134</v>
      </c>
      <c r="B3112" t="s">
        <v>28</v>
      </c>
      <c r="C3112">
        <v>89</v>
      </c>
      <c r="D3112" t="s">
        <v>3561</v>
      </c>
      <c r="E3112">
        <v>99999999</v>
      </c>
      <c r="F3112">
        <v>11111111</v>
      </c>
      <c r="G3112">
        <v>1111111111</v>
      </c>
      <c r="H3112" t="s">
        <v>6681</v>
      </c>
      <c r="I3112">
        <v>99999999</v>
      </c>
      <c r="J3112" s="188">
        <v>45238</v>
      </c>
      <c r="K3112" t="s">
        <v>6681</v>
      </c>
      <c r="L3112" t="s">
        <v>6681</v>
      </c>
      <c r="M3112" t="s">
        <v>173</v>
      </c>
      <c r="N3112" t="s">
        <v>164</v>
      </c>
      <c r="O3112">
        <v>97203</v>
      </c>
      <c r="Q3112" t="s">
        <v>124</v>
      </c>
      <c r="R3112">
        <v>18</v>
      </c>
      <c r="S3112">
        <v>15.69</v>
      </c>
      <c r="T3112">
        <v>0</v>
      </c>
      <c r="U3112">
        <v>0</v>
      </c>
      <c r="V3112">
        <v>12</v>
      </c>
      <c r="W3112">
        <v>0</v>
      </c>
      <c r="X3112">
        <v>0</v>
      </c>
      <c r="Y3112">
        <v>0</v>
      </c>
      <c r="Z3112">
        <v>0</v>
      </c>
      <c r="AA3112">
        <v>0</v>
      </c>
      <c r="AB3112">
        <v>0</v>
      </c>
      <c r="AC3112">
        <v>0</v>
      </c>
      <c r="AD3112">
        <v>18</v>
      </c>
      <c r="AE3112">
        <v>0</v>
      </c>
      <c r="AF3112">
        <v>0</v>
      </c>
      <c r="AG3112">
        <v>0</v>
      </c>
      <c r="AH3112">
        <v>0</v>
      </c>
      <c r="AI3112">
        <v>0</v>
      </c>
      <c r="AJ3112">
        <v>0</v>
      </c>
      <c r="AK3112">
        <v>0</v>
      </c>
    </row>
    <row r="3113" spans="1:37" x14ac:dyDescent="0.3">
      <c r="A3113">
        <v>7134</v>
      </c>
      <c r="B3113" t="s">
        <v>28</v>
      </c>
      <c r="C3113">
        <v>89</v>
      </c>
      <c r="D3113" t="s">
        <v>3561</v>
      </c>
      <c r="E3113">
        <v>99999999</v>
      </c>
      <c r="F3113">
        <v>11111111</v>
      </c>
      <c r="G3113">
        <v>1111111111</v>
      </c>
      <c r="H3113" t="s">
        <v>6682</v>
      </c>
      <c r="I3113">
        <v>99999999</v>
      </c>
      <c r="J3113" s="188">
        <v>45238</v>
      </c>
      <c r="K3113" t="s">
        <v>6682</v>
      </c>
      <c r="L3113" t="s">
        <v>6682</v>
      </c>
      <c r="M3113" t="s">
        <v>173</v>
      </c>
      <c r="N3113" t="s">
        <v>164</v>
      </c>
      <c r="O3113">
        <v>97203</v>
      </c>
      <c r="Q3113" t="s">
        <v>124</v>
      </c>
      <c r="R3113">
        <v>27</v>
      </c>
      <c r="S3113">
        <v>23.76</v>
      </c>
      <c r="T3113">
        <v>0</v>
      </c>
      <c r="U3113">
        <v>0</v>
      </c>
      <c r="V3113">
        <v>13</v>
      </c>
      <c r="W3113">
        <v>0</v>
      </c>
      <c r="X3113">
        <v>0</v>
      </c>
      <c r="Y3113">
        <v>0</v>
      </c>
      <c r="Z3113">
        <v>0</v>
      </c>
      <c r="AA3113">
        <v>0</v>
      </c>
      <c r="AB3113">
        <v>0</v>
      </c>
      <c r="AC3113">
        <v>0</v>
      </c>
      <c r="AD3113">
        <v>27</v>
      </c>
      <c r="AE3113">
        <v>0</v>
      </c>
      <c r="AF3113">
        <v>0</v>
      </c>
      <c r="AG3113">
        <v>0</v>
      </c>
      <c r="AH3113">
        <v>0</v>
      </c>
      <c r="AI3113">
        <v>0</v>
      </c>
      <c r="AJ3113">
        <v>0</v>
      </c>
      <c r="AK3113">
        <v>0</v>
      </c>
    </row>
    <row r="3114" spans="1:37" x14ac:dyDescent="0.3">
      <c r="A3114">
        <v>7134</v>
      </c>
      <c r="B3114" t="s">
        <v>28</v>
      </c>
      <c r="C3114">
        <v>89</v>
      </c>
      <c r="D3114" t="s">
        <v>3561</v>
      </c>
      <c r="E3114">
        <v>99999999</v>
      </c>
      <c r="F3114">
        <v>11111111</v>
      </c>
      <c r="G3114">
        <v>1111111111</v>
      </c>
      <c r="H3114" t="s">
        <v>6683</v>
      </c>
      <c r="I3114">
        <v>99999999</v>
      </c>
      <c r="J3114" s="188">
        <v>45238</v>
      </c>
      <c r="K3114" t="s">
        <v>6683</v>
      </c>
      <c r="L3114" t="s">
        <v>6683</v>
      </c>
      <c r="M3114" t="s">
        <v>173</v>
      </c>
      <c r="N3114" t="s">
        <v>164</v>
      </c>
      <c r="O3114">
        <v>97203</v>
      </c>
      <c r="Q3114" t="s">
        <v>124</v>
      </c>
      <c r="R3114">
        <v>20</v>
      </c>
      <c r="S3114">
        <v>17.95</v>
      </c>
      <c r="T3114">
        <v>0</v>
      </c>
      <c r="U3114">
        <v>0</v>
      </c>
      <c r="V3114">
        <v>13</v>
      </c>
      <c r="W3114">
        <v>0</v>
      </c>
      <c r="X3114">
        <v>0</v>
      </c>
      <c r="Y3114">
        <v>0</v>
      </c>
      <c r="Z3114">
        <v>0</v>
      </c>
      <c r="AA3114">
        <v>0</v>
      </c>
      <c r="AB3114">
        <v>0</v>
      </c>
      <c r="AC3114">
        <v>0</v>
      </c>
      <c r="AD3114">
        <v>20</v>
      </c>
      <c r="AE3114">
        <v>0</v>
      </c>
      <c r="AF3114">
        <v>0</v>
      </c>
      <c r="AG3114">
        <v>0</v>
      </c>
      <c r="AH3114">
        <v>0</v>
      </c>
      <c r="AI3114">
        <v>0</v>
      </c>
      <c r="AJ3114">
        <v>0</v>
      </c>
      <c r="AK3114">
        <v>0</v>
      </c>
    </row>
    <row r="3115" spans="1:37" x14ac:dyDescent="0.3">
      <c r="A3115">
        <v>7134</v>
      </c>
      <c r="B3115" t="s">
        <v>28</v>
      </c>
      <c r="C3115">
        <v>89</v>
      </c>
      <c r="D3115" t="s">
        <v>3561</v>
      </c>
      <c r="E3115">
        <v>99999999</v>
      </c>
      <c r="F3115">
        <v>11111111</v>
      </c>
      <c r="G3115">
        <v>1111111111</v>
      </c>
      <c r="H3115" t="s">
        <v>6684</v>
      </c>
      <c r="I3115">
        <v>99999999</v>
      </c>
      <c r="J3115" s="188">
        <v>45238</v>
      </c>
      <c r="K3115" t="s">
        <v>6684</v>
      </c>
      <c r="L3115" t="s">
        <v>6684</v>
      </c>
      <c r="M3115" t="s">
        <v>173</v>
      </c>
      <c r="N3115" t="s">
        <v>164</v>
      </c>
      <c r="O3115">
        <v>97203</v>
      </c>
      <c r="Q3115" t="s">
        <v>124</v>
      </c>
      <c r="R3115">
        <v>20</v>
      </c>
      <c r="S3115">
        <v>17.86</v>
      </c>
      <c r="T3115">
        <v>0</v>
      </c>
      <c r="U3115">
        <v>0</v>
      </c>
      <c r="V3115">
        <v>13</v>
      </c>
      <c r="W3115">
        <v>0</v>
      </c>
      <c r="X3115">
        <v>0</v>
      </c>
      <c r="Y3115">
        <v>0</v>
      </c>
      <c r="Z3115">
        <v>0</v>
      </c>
      <c r="AA3115">
        <v>0</v>
      </c>
      <c r="AB3115">
        <v>0</v>
      </c>
      <c r="AC3115">
        <v>0</v>
      </c>
      <c r="AD3115">
        <v>20</v>
      </c>
      <c r="AE3115">
        <v>0</v>
      </c>
      <c r="AF3115">
        <v>0</v>
      </c>
      <c r="AG3115">
        <v>0</v>
      </c>
      <c r="AH3115">
        <v>0</v>
      </c>
      <c r="AI3115">
        <v>0</v>
      </c>
      <c r="AJ3115">
        <v>0</v>
      </c>
      <c r="AK3115">
        <v>0</v>
      </c>
    </row>
    <row r="3116" spans="1:37" x14ac:dyDescent="0.3">
      <c r="A3116">
        <v>7134</v>
      </c>
      <c r="B3116" t="s">
        <v>28</v>
      </c>
      <c r="C3116">
        <v>399</v>
      </c>
      <c r="D3116" t="s">
        <v>3561</v>
      </c>
      <c r="E3116">
        <v>99999999</v>
      </c>
      <c r="F3116">
        <v>11111111</v>
      </c>
      <c r="G3116">
        <v>1111111111</v>
      </c>
      <c r="H3116" t="s">
        <v>6685</v>
      </c>
      <c r="I3116">
        <v>99999999</v>
      </c>
      <c r="J3116" s="188">
        <v>45238</v>
      </c>
      <c r="K3116" t="s">
        <v>6685</v>
      </c>
      <c r="L3116" t="s">
        <v>6685</v>
      </c>
      <c r="Q3116" t="s">
        <v>124</v>
      </c>
      <c r="R3116">
        <v>0</v>
      </c>
      <c r="T3116">
        <v>1</v>
      </c>
      <c r="U3116">
        <v>43</v>
      </c>
      <c r="V3116">
        <v>0</v>
      </c>
      <c r="W3116">
        <v>0</v>
      </c>
      <c r="X3116">
        <v>0</v>
      </c>
      <c r="Y3116">
        <v>0</v>
      </c>
      <c r="Z3116">
        <v>0</v>
      </c>
      <c r="AA3116">
        <v>0</v>
      </c>
      <c r="AB3116">
        <v>0</v>
      </c>
      <c r="AC3116">
        <v>0</v>
      </c>
      <c r="AD3116">
        <v>0</v>
      </c>
      <c r="AE3116">
        <v>0</v>
      </c>
      <c r="AF3116">
        <v>0</v>
      </c>
      <c r="AG3116">
        <v>0</v>
      </c>
      <c r="AH3116">
        <v>0</v>
      </c>
      <c r="AI3116">
        <v>0</v>
      </c>
      <c r="AJ3116">
        <v>0</v>
      </c>
      <c r="AK3116">
        <v>0</v>
      </c>
    </row>
    <row r="3117" spans="1:37" x14ac:dyDescent="0.3">
      <c r="A3117">
        <v>7134</v>
      </c>
      <c r="B3117" t="s">
        <v>28</v>
      </c>
      <c r="C3117">
        <v>399</v>
      </c>
      <c r="D3117" t="s">
        <v>3561</v>
      </c>
      <c r="E3117">
        <v>99999999</v>
      </c>
      <c r="F3117">
        <v>11111111</v>
      </c>
      <c r="G3117">
        <v>1111111111</v>
      </c>
      <c r="H3117" t="s">
        <v>6686</v>
      </c>
      <c r="I3117">
        <v>99999999</v>
      </c>
      <c r="J3117" s="188">
        <v>45238</v>
      </c>
      <c r="K3117" t="s">
        <v>6686</v>
      </c>
      <c r="L3117" t="s">
        <v>6686</v>
      </c>
      <c r="M3117" t="s">
        <v>3298</v>
      </c>
      <c r="N3117" t="s">
        <v>99</v>
      </c>
      <c r="O3117">
        <v>91761</v>
      </c>
      <c r="Q3117" t="s">
        <v>124</v>
      </c>
      <c r="R3117">
        <v>42</v>
      </c>
      <c r="S3117">
        <v>36.869999999999997</v>
      </c>
      <c r="T3117">
        <v>0</v>
      </c>
      <c r="U3117">
        <v>0</v>
      </c>
      <c r="V3117">
        <v>13</v>
      </c>
      <c r="W3117">
        <v>0</v>
      </c>
      <c r="X3117">
        <v>0</v>
      </c>
      <c r="Y3117">
        <v>0</v>
      </c>
      <c r="Z3117">
        <v>0</v>
      </c>
      <c r="AA3117">
        <v>0</v>
      </c>
      <c r="AB3117">
        <v>0</v>
      </c>
      <c r="AC3117">
        <v>0</v>
      </c>
      <c r="AD3117">
        <v>42</v>
      </c>
      <c r="AE3117">
        <v>0</v>
      </c>
      <c r="AF3117">
        <v>0</v>
      </c>
      <c r="AG3117">
        <v>0</v>
      </c>
      <c r="AH3117">
        <v>0</v>
      </c>
      <c r="AI3117">
        <v>0</v>
      </c>
      <c r="AJ3117">
        <v>0</v>
      </c>
      <c r="AK3117">
        <v>0</v>
      </c>
    </row>
    <row r="3118" spans="1:37" x14ac:dyDescent="0.3">
      <c r="A3118">
        <v>7134</v>
      </c>
      <c r="B3118" t="s">
        <v>28</v>
      </c>
      <c r="C3118">
        <v>399</v>
      </c>
      <c r="D3118" t="s">
        <v>3561</v>
      </c>
      <c r="E3118">
        <v>99999999</v>
      </c>
      <c r="F3118">
        <v>11111111</v>
      </c>
      <c r="G3118">
        <v>1111111111</v>
      </c>
      <c r="H3118" t="s">
        <v>6687</v>
      </c>
      <c r="I3118">
        <v>99999999</v>
      </c>
      <c r="J3118" s="188">
        <v>45238</v>
      </c>
      <c r="K3118" t="s">
        <v>6687</v>
      </c>
      <c r="L3118" t="s">
        <v>6687</v>
      </c>
      <c r="M3118" t="s">
        <v>3298</v>
      </c>
      <c r="N3118" t="s">
        <v>99</v>
      </c>
      <c r="O3118">
        <v>91761</v>
      </c>
      <c r="Q3118" t="s">
        <v>124</v>
      </c>
      <c r="R3118">
        <v>23</v>
      </c>
      <c r="S3118">
        <v>20.56</v>
      </c>
      <c r="T3118">
        <v>0</v>
      </c>
      <c r="U3118">
        <v>0</v>
      </c>
      <c r="V3118">
        <v>13</v>
      </c>
      <c r="W3118">
        <v>0</v>
      </c>
      <c r="X3118">
        <v>0</v>
      </c>
      <c r="Y3118">
        <v>0</v>
      </c>
      <c r="Z3118">
        <v>0</v>
      </c>
      <c r="AA3118">
        <v>0</v>
      </c>
      <c r="AB3118">
        <v>0</v>
      </c>
      <c r="AC3118">
        <v>0</v>
      </c>
      <c r="AD3118">
        <v>23</v>
      </c>
      <c r="AE3118">
        <v>0</v>
      </c>
      <c r="AF3118">
        <v>0</v>
      </c>
      <c r="AG3118">
        <v>0</v>
      </c>
      <c r="AH3118">
        <v>0</v>
      </c>
      <c r="AI3118">
        <v>0</v>
      </c>
      <c r="AJ3118">
        <v>0</v>
      </c>
      <c r="AK3118">
        <v>0</v>
      </c>
    </row>
    <row r="3119" spans="1:37" x14ac:dyDescent="0.3">
      <c r="A3119">
        <v>7134</v>
      </c>
      <c r="B3119" t="s">
        <v>28</v>
      </c>
      <c r="C3119">
        <v>399</v>
      </c>
      <c r="D3119" t="s">
        <v>3561</v>
      </c>
      <c r="E3119">
        <v>99999999</v>
      </c>
      <c r="F3119">
        <v>11111111</v>
      </c>
      <c r="G3119">
        <v>1111111111</v>
      </c>
      <c r="H3119" t="s">
        <v>6688</v>
      </c>
      <c r="I3119">
        <v>99999999</v>
      </c>
      <c r="J3119" s="188">
        <v>45238</v>
      </c>
      <c r="K3119" t="s">
        <v>6688</v>
      </c>
      <c r="L3119" t="s">
        <v>6688</v>
      </c>
      <c r="M3119" t="s">
        <v>3298</v>
      </c>
      <c r="N3119" t="s">
        <v>99</v>
      </c>
      <c r="O3119">
        <v>91761</v>
      </c>
      <c r="Q3119" t="s">
        <v>124</v>
      </c>
      <c r="R3119">
        <v>47</v>
      </c>
      <c r="S3119">
        <v>41.39</v>
      </c>
      <c r="T3119">
        <v>0</v>
      </c>
      <c r="U3119">
        <v>0</v>
      </c>
      <c r="V3119">
        <v>13</v>
      </c>
      <c r="W3119">
        <v>0</v>
      </c>
      <c r="X3119">
        <v>0</v>
      </c>
      <c r="Y3119">
        <v>0</v>
      </c>
      <c r="Z3119">
        <v>0</v>
      </c>
      <c r="AA3119">
        <v>0</v>
      </c>
      <c r="AB3119">
        <v>0</v>
      </c>
      <c r="AC3119">
        <v>0</v>
      </c>
      <c r="AD3119">
        <v>47</v>
      </c>
      <c r="AE3119">
        <v>0</v>
      </c>
      <c r="AF3119">
        <v>0</v>
      </c>
      <c r="AG3119">
        <v>0</v>
      </c>
      <c r="AH3119">
        <v>0</v>
      </c>
      <c r="AI3119">
        <v>0</v>
      </c>
      <c r="AJ3119">
        <v>0</v>
      </c>
      <c r="AK3119">
        <v>0</v>
      </c>
    </row>
    <row r="3120" spans="1:37" x14ac:dyDescent="0.3">
      <c r="A3120">
        <v>7134</v>
      </c>
      <c r="B3120" t="s">
        <v>28</v>
      </c>
      <c r="C3120">
        <v>399</v>
      </c>
      <c r="D3120" t="s">
        <v>3561</v>
      </c>
      <c r="E3120">
        <v>99999999</v>
      </c>
      <c r="F3120">
        <v>11111111</v>
      </c>
      <c r="G3120">
        <v>1111111111</v>
      </c>
      <c r="H3120" t="s">
        <v>6689</v>
      </c>
      <c r="I3120">
        <v>99999999</v>
      </c>
      <c r="J3120" s="188">
        <v>45238</v>
      </c>
      <c r="K3120" t="s">
        <v>6689</v>
      </c>
      <c r="L3120" t="s">
        <v>6689</v>
      </c>
      <c r="M3120" t="s">
        <v>3298</v>
      </c>
      <c r="N3120" t="s">
        <v>99</v>
      </c>
      <c r="O3120">
        <v>91761</v>
      </c>
      <c r="Q3120" t="s">
        <v>124</v>
      </c>
      <c r="R3120">
        <v>37</v>
      </c>
      <c r="S3120">
        <v>32.72</v>
      </c>
      <c r="T3120">
        <v>0</v>
      </c>
      <c r="U3120">
        <v>0</v>
      </c>
      <c r="V3120">
        <v>13</v>
      </c>
      <c r="W3120">
        <v>0</v>
      </c>
      <c r="X3120">
        <v>0</v>
      </c>
      <c r="Y3120">
        <v>0</v>
      </c>
      <c r="Z3120">
        <v>0</v>
      </c>
      <c r="AA3120">
        <v>0</v>
      </c>
      <c r="AB3120">
        <v>0</v>
      </c>
      <c r="AC3120">
        <v>0</v>
      </c>
      <c r="AD3120">
        <v>37</v>
      </c>
      <c r="AE3120">
        <v>0</v>
      </c>
      <c r="AF3120">
        <v>0</v>
      </c>
      <c r="AG3120">
        <v>0</v>
      </c>
      <c r="AH3120">
        <v>0</v>
      </c>
      <c r="AI3120">
        <v>0</v>
      </c>
      <c r="AJ3120">
        <v>0</v>
      </c>
      <c r="AK3120">
        <v>0</v>
      </c>
    </row>
    <row r="3121" spans="1:37" x14ac:dyDescent="0.3">
      <c r="A3121">
        <v>7134</v>
      </c>
      <c r="B3121" t="s">
        <v>28</v>
      </c>
      <c r="C3121">
        <v>399</v>
      </c>
      <c r="D3121" t="s">
        <v>3561</v>
      </c>
      <c r="E3121">
        <v>99999999</v>
      </c>
      <c r="F3121">
        <v>11111111</v>
      </c>
      <c r="G3121">
        <v>1111111111</v>
      </c>
      <c r="H3121" t="s">
        <v>6690</v>
      </c>
      <c r="I3121">
        <v>99999999</v>
      </c>
      <c r="J3121" s="188">
        <v>45238</v>
      </c>
      <c r="K3121" t="s">
        <v>6690</v>
      </c>
      <c r="L3121" t="s">
        <v>6690</v>
      </c>
      <c r="M3121" t="s">
        <v>3298</v>
      </c>
      <c r="N3121" t="s">
        <v>99</v>
      </c>
      <c r="O3121">
        <v>91761</v>
      </c>
      <c r="Q3121" t="s">
        <v>124</v>
      </c>
      <c r="R3121">
        <v>48</v>
      </c>
      <c r="S3121">
        <v>42.56</v>
      </c>
      <c r="T3121">
        <v>0</v>
      </c>
      <c r="U3121">
        <v>0</v>
      </c>
      <c r="V3121">
        <v>13</v>
      </c>
      <c r="W3121">
        <v>0</v>
      </c>
      <c r="X3121">
        <v>0</v>
      </c>
      <c r="Y3121">
        <v>0</v>
      </c>
      <c r="Z3121">
        <v>0</v>
      </c>
      <c r="AA3121">
        <v>0</v>
      </c>
      <c r="AB3121">
        <v>0</v>
      </c>
      <c r="AC3121">
        <v>0</v>
      </c>
      <c r="AD3121">
        <v>48</v>
      </c>
      <c r="AE3121">
        <v>0</v>
      </c>
      <c r="AF3121">
        <v>0</v>
      </c>
      <c r="AG3121">
        <v>0</v>
      </c>
      <c r="AH3121">
        <v>0</v>
      </c>
      <c r="AI3121">
        <v>0</v>
      </c>
      <c r="AJ3121">
        <v>0</v>
      </c>
      <c r="AK3121">
        <v>0</v>
      </c>
    </row>
    <row r="3122" spans="1:37" x14ac:dyDescent="0.3">
      <c r="A3122">
        <v>7134</v>
      </c>
      <c r="B3122" t="s">
        <v>28</v>
      </c>
      <c r="C3122">
        <v>399</v>
      </c>
      <c r="D3122" t="s">
        <v>3561</v>
      </c>
      <c r="E3122">
        <v>99999999</v>
      </c>
      <c r="F3122">
        <v>11111111</v>
      </c>
      <c r="G3122">
        <v>1111111111</v>
      </c>
      <c r="H3122" t="s">
        <v>6691</v>
      </c>
      <c r="I3122">
        <v>99999999</v>
      </c>
      <c r="J3122" s="188">
        <v>45238</v>
      </c>
      <c r="K3122" t="s">
        <v>6691</v>
      </c>
      <c r="L3122" t="s">
        <v>6691</v>
      </c>
      <c r="M3122" t="s">
        <v>3298</v>
      </c>
      <c r="N3122" t="s">
        <v>99</v>
      </c>
      <c r="O3122">
        <v>91761</v>
      </c>
      <c r="Q3122" t="s">
        <v>124</v>
      </c>
      <c r="R3122">
        <v>33</v>
      </c>
      <c r="S3122">
        <v>29.26</v>
      </c>
      <c r="T3122">
        <v>0</v>
      </c>
      <c r="U3122">
        <v>0</v>
      </c>
      <c r="V3122">
        <v>13</v>
      </c>
      <c r="W3122">
        <v>0</v>
      </c>
      <c r="X3122">
        <v>0</v>
      </c>
      <c r="Y3122">
        <v>0</v>
      </c>
      <c r="Z3122">
        <v>0</v>
      </c>
      <c r="AA3122">
        <v>0</v>
      </c>
      <c r="AB3122">
        <v>0</v>
      </c>
      <c r="AC3122">
        <v>0</v>
      </c>
      <c r="AD3122">
        <v>33</v>
      </c>
      <c r="AE3122">
        <v>0</v>
      </c>
      <c r="AF3122">
        <v>0</v>
      </c>
      <c r="AG3122">
        <v>0</v>
      </c>
      <c r="AH3122">
        <v>0</v>
      </c>
      <c r="AI3122">
        <v>0</v>
      </c>
      <c r="AJ3122">
        <v>0</v>
      </c>
      <c r="AK3122">
        <v>0</v>
      </c>
    </row>
    <row r="3123" spans="1:37" x14ac:dyDescent="0.3">
      <c r="A3123">
        <v>7134</v>
      </c>
      <c r="B3123" t="s">
        <v>28</v>
      </c>
      <c r="C3123">
        <v>399</v>
      </c>
      <c r="D3123" t="s">
        <v>3561</v>
      </c>
      <c r="E3123">
        <v>99999999</v>
      </c>
      <c r="F3123">
        <v>11111111</v>
      </c>
      <c r="G3123">
        <v>1111111111</v>
      </c>
      <c r="H3123" t="s">
        <v>6692</v>
      </c>
      <c r="I3123">
        <v>99999999</v>
      </c>
      <c r="J3123" s="188">
        <v>45238</v>
      </c>
      <c r="K3123" t="s">
        <v>6692</v>
      </c>
      <c r="L3123" t="s">
        <v>6692</v>
      </c>
      <c r="M3123" t="s">
        <v>3298</v>
      </c>
      <c r="N3123" t="s">
        <v>99</v>
      </c>
      <c r="O3123">
        <v>91761</v>
      </c>
      <c r="Q3123" t="s">
        <v>124</v>
      </c>
      <c r="R3123">
        <v>22</v>
      </c>
      <c r="S3123">
        <v>19.62</v>
      </c>
      <c r="T3123">
        <v>0</v>
      </c>
      <c r="U3123">
        <v>0</v>
      </c>
      <c r="V3123">
        <v>13</v>
      </c>
      <c r="W3123">
        <v>0</v>
      </c>
      <c r="X3123">
        <v>0</v>
      </c>
      <c r="Y3123">
        <v>0</v>
      </c>
      <c r="Z3123">
        <v>0</v>
      </c>
      <c r="AA3123">
        <v>0</v>
      </c>
      <c r="AB3123">
        <v>0</v>
      </c>
      <c r="AC3123">
        <v>0</v>
      </c>
      <c r="AD3123">
        <v>22</v>
      </c>
      <c r="AE3123">
        <v>0</v>
      </c>
      <c r="AF3123">
        <v>0</v>
      </c>
      <c r="AG3123">
        <v>0</v>
      </c>
      <c r="AH3123">
        <v>0</v>
      </c>
      <c r="AI3123">
        <v>0</v>
      </c>
      <c r="AJ3123">
        <v>0</v>
      </c>
      <c r="AK3123">
        <v>0</v>
      </c>
    </row>
    <row r="3124" spans="1:37" x14ac:dyDescent="0.3">
      <c r="A3124">
        <v>7134</v>
      </c>
      <c r="B3124" t="s">
        <v>28</v>
      </c>
      <c r="C3124">
        <v>399</v>
      </c>
      <c r="D3124" t="s">
        <v>3561</v>
      </c>
      <c r="E3124">
        <v>99999999</v>
      </c>
      <c r="F3124">
        <v>11111111</v>
      </c>
      <c r="G3124">
        <v>1111111111</v>
      </c>
      <c r="H3124" t="s">
        <v>6693</v>
      </c>
      <c r="I3124">
        <v>99999999</v>
      </c>
      <c r="J3124" s="188">
        <v>45238</v>
      </c>
      <c r="K3124" t="s">
        <v>6693</v>
      </c>
      <c r="L3124" t="s">
        <v>6693</v>
      </c>
      <c r="M3124" t="s">
        <v>3298</v>
      </c>
      <c r="N3124" t="s">
        <v>99</v>
      </c>
      <c r="O3124">
        <v>91761</v>
      </c>
      <c r="Q3124" t="s">
        <v>124</v>
      </c>
      <c r="R3124">
        <v>25</v>
      </c>
      <c r="S3124">
        <v>22</v>
      </c>
      <c r="T3124">
        <v>0</v>
      </c>
      <c r="U3124">
        <v>0</v>
      </c>
      <c r="V3124">
        <v>13</v>
      </c>
      <c r="W3124">
        <v>0</v>
      </c>
      <c r="X3124">
        <v>0</v>
      </c>
      <c r="Y3124">
        <v>0</v>
      </c>
      <c r="Z3124">
        <v>0</v>
      </c>
      <c r="AA3124">
        <v>0</v>
      </c>
      <c r="AB3124">
        <v>0</v>
      </c>
      <c r="AC3124">
        <v>0</v>
      </c>
      <c r="AD3124">
        <v>25</v>
      </c>
      <c r="AE3124">
        <v>0</v>
      </c>
      <c r="AF3124">
        <v>0</v>
      </c>
      <c r="AG3124">
        <v>0</v>
      </c>
      <c r="AH3124">
        <v>0</v>
      </c>
      <c r="AI3124">
        <v>0</v>
      </c>
      <c r="AJ3124">
        <v>0</v>
      </c>
      <c r="AK3124">
        <v>0</v>
      </c>
    </row>
    <row r="3125" spans="1:37" x14ac:dyDescent="0.3">
      <c r="A3125">
        <v>7134</v>
      </c>
      <c r="B3125" t="s">
        <v>28</v>
      </c>
      <c r="C3125">
        <v>399</v>
      </c>
      <c r="D3125" t="s">
        <v>3561</v>
      </c>
      <c r="E3125">
        <v>99999999</v>
      </c>
      <c r="F3125">
        <v>11111111</v>
      </c>
      <c r="G3125">
        <v>1111111111</v>
      </c>
      <c r="H3125" t="s">
        <v>6694</v>
      </c>
      <c r="I3125">
        <v>99999999</v>
      </c>
      <c r="J3125" s="188">
        <v>45238</v>
      </c>
      <c r="K3125" t="s">
        <v>6694</v>
      </c>
      <c r="L3125" t="s">
        <v>6694</v>
      </c>
      <c r="M3125" t="s">
        <v>3298</v>
      </c>
      <c r="N3125" t="s">
        <v>99</v>
      </c>
      <c r="O3125">
        <v>91761</v>
      </c>
      <c r="Q3125" t="s">
        <v>124</v>
      </c>
      <c r="R3125">
        <v>34</v>
      </c>
      <c r="S3125">
        <v>30.11</v>
      </c>
      <c r="T3125">
        <v>0</v>
      </c>
      <c r="U3125">
        <v>0</v>
      </c>
      <c r="V3125">
        <v>13</v>
      </c>
      <c r="W3125">
        <v>0</v>
      </c>
      <c r="X3125">
        <v>0</v>
      </c>
      <c r="Y3125">
        <v>0</v>
      </c>
      <c r="Z3125">
        <v>0</v>
      </c>
      <c r="AA3125">
        <v>0</v>
      </c>
      <c r="AB3125">
        <v>0</v>
      </c>
      <c r="AC3125">
        <v>0</v>
      </c>
      <c r="AD3125">
        <v>34</v>
      </c>
      <c r="AE3125">
        <v>0</v>
      </c>
      <c r="AF3125">
        <v>0</v>
      </c>
      <c r="AG3125">
        <v>0</v>
      </c>
      <c r="AH3125">
        <v>0</v>
      </c>
      <c r="AI3125">
        <v>0</v>
      </c>
      <c r="AJ3125">
        <v>0</v>
      </c>
      <c r="AK3125">
        <v>0</v>
      </c>
    </row>
    <row r="3126" spans="1:37" x14ac:dyDescent="0.3">
      <c r="A3126">
        <v>7134</v>
      </c>
      <c r="B3126" t="s">
        <v>28</v>
      </c>
      <c r="C3126">
        <v>399</v>
      </c>
      <c r="D3126" t="s">
        <v>3561</v>
      </c>
      <c r="E3126">
        <v>99999999</v>
      </c>
      <c r="F3126">
        <v>11111111</v>
      </c>
      <c r="G3126">
        <v>1111111111</v>
      </c>
      <c r="H3126" t="s">
        <v>6695</v>
      </c>
      <c r="I3126">
        <v>99999999</v>
      </c>
      <c r="J3126" s="188">
        <v>45238</v>
      </c>
      <c r="K3126" t="s">
        <v>6695</v>
      </c>
      <c r="L3126" t="s">
        <v>6695</v>
      </c>
      <c r="M3126" t="s">
        <v>3298</v>
      </c>
      <c r="N3126" t="s">
        <v>99</v>
      </c>
      <c r="O3126">
        <v>91761</v>
      </c>
      <c r="Q3126" t="s">
        <v>124</v>
      </c>
      <c r="R3126">
        <v>27</v>
      </c>
      <c r="S3126">
        <v>23.53</v>
      </c>
      <c r="T3126">
        <v>0</v>
      </c>
      <c r="U3126">
        <v>0</v>
      </c>
      <c r="V3126">
        <v>13</v>
      </c>
      <c r="W3126">
        <v>0</v>
      </c>
      <c r="X3126">
        <v>0</v>
      </c>
      <c r="Y3126">
        <v>0</v>
      </c>
      <c r="Z3126">
        <v>0</v>
      </c>
      <c r="AA3126">
        <v>0</v>
      </c>
      <c r="AB3126">
        <v>0</v>
      </c>
      <c r="AC3126">
        <v>0</v>
      </c>
      <c r="AD3126">
        <v>27</v>
      </c>
      <c r="AE3126">
        <v>0</v>
      </c>
      <c r="AF3126">
        <v>0</v>
      </c>
      <c r="AG3126">
        <v>0</v>
      </c>
      <c r="AH3126">
        <v>0</v>
      </c>
      <c r="AI3126">
        <v>0</v>
      </c>
      <c r="AJ3126">
        <v>0</v>
      </c>
      <c r="AK3126">
        <v>0</v>
      </c>
    </row>
    <row r="3127" spans="1:37" x14ac:dyDescent="0.3">
      <c r="A3127">
        <v>7134</v>
      </c>
      <c r="B3127" t="s">
        <v>28</v>
      </c>
      <c r="C3127">
        <v>399</v>
      </c>
      <c r="D3127" t="s">
        <v>3561</v>
      </c>
      <c r="E3127">
        <v>99999999</v>
      </c>
      <c r="F3127">
        <v>11111111</v>
      </c>
      <c r="G3127">
        <v>1111111111</v>
      </c>
      <c r="H3127" t="s">
        <v>6696</v>
      </c>
      <c r="I3127">
        <v>99999999</v>
      </c>
      <c r="J3127" s="188">
        <v>45238</v>
      </c>
      <c r="K3127" t="s">
        <v>6696</v>
      </c>
      <c r="L3127" t="s">
        <v>6696</v>
      </c>
      <c r="M3127" t="s">
        <v>3298</v>
      </c>
      <c r="N3127" t="s">
        <v>99</v>
      </c>
      <c r="O3127">
        <v>91761</v>
      </c>
      <c r="Q3127" t="s">
        <v>124</v>
      </c>
      <c r="R3127">
        <v>44</v>
      </c>
      <c r="S3127">
        <v>38.74</v>
      </c>
      <c r="T3127">
        <v>0</v>
      </c>
      <c r="U3127">
        <v>0</v>
      </c>
      <c r="V3127">
        <v>13</v>
      </c>
      <c r="W3127">
        <v>0</v>
      </c>
      <c r="X3127">
        <v>0</v>
      </c>
      <c r="Y3127">
        <v>0</v>
      </c>
      <c r="Z3127">
        <v>0</v>
      </c>
      <c r="AA3127">
        <v>0</v>
      </c>
      <c r="AB3127">
        <v>0</v>
      </c>
      <c r="AC3127">
        <v>0</v>
      </c>
      <c r="AD3127">
        <v>44</v>
      </c>
      <c r="AE3127">
        <v>0</v>
      </c>
      <c r="AF3127">
        <v>0</v>
      </c>
      <c r="AG3127">
        <v>0</v>
      </c>
      <c r="AH3127">
        <v>0</v>
      </c>
      <c r="AI3127">
        <v>0</v>
      </c>
      <c r="AJ3127">
        <v>0</v>
      </c>
      <c r="AK3127">
        <v>0</v>
      </c>
    </row>
    <row r="3128" spans="1:37" x14ac:dyDescent="0.3">
      <c r="A3128">
        <v>7134</v>
      </c>
      <c r="B3128" t="s">
        <v>28</v>
      </c>
      <c r="C3128">
        <v>399</v>
      </c>
      <c r="D3128" t="s">
        <v>3561</v>
      </c>
      <c r="E3128">
        <v>99999999</v>
      </c>
      <c r="F3128">
        <v>11111111</v>
      </c>
      <c r="G3128">
        <v>1111111111</v>
      </c>
      <c r="H3128" t="s">
        <v>6697</v>
      </c>
      <c r="I3128">
        <v>99999999</v>
      </c>
      <c r="J3128" s="188">
        <v>45238</v>
      </c>
      <c r="K3128" t="s">
        <v>6697</v>
      </c>
      <c r="L3128" t="s">
        <v>6697</v>
      </c>
      <c r="M3128" t="s">
        <v>3298</v>
      </c>
      <c r="N3128" t="s">
        <v>99</v>
      </c>
      <c r="O3128">
        <v>91761</v>
      </c>
      <c r="Q3128" t="s">
        <v>124</v>
      </c>
      <c r="R3128">
        <v>31</v>
      </c>
      <c r="S3128">
        <v>27.1</v>
      </c>
      <c r="T3128">
        <v>0</v>
      </c>
      <c r="U3128">
        <v>0</v>
      </c>
      <c r="V3128">
        <v>13</v>
      </c>
      <c r="W3128">
        <v>0</v>
      </c>
      <c r="X3128">
        <v>0</v>
      </c>
      <c r="Y3128">
        <v>0</v>
      </c>
      <c r="Z3128">
        <v>0</v>
      </c>
      <c r="AA3128">
        <v>0</v>
      </c>
      <c r="AB3128">
        <v>0</v>
      </c>
      <c r="AC3128">
        <v>0</v>
      </c>
      <c r="AD3128">
        <v>31</v>
      </c>
      <c r="AE3128">
        <v>0</v>
      </c>
      <c r="AF3128">
        <v>0</v>
      </c>
      <c r="AG3128">
        <v>0</v>
      </c>
      <c r="AH3128">
        <v>0</v>
      </c>
      <c r="AI3128">
        <v>0</v>
      </c>
      <c r="AJ3128">
        <v>0</v>
      </c>
      <c r="AK3128">
        <v>0</v>
      </c>
    </row>
    <row r="3129" spans="1:37" x14ac:dyDescent="0.3">
      <c r="A3129">
        <v>7134</v>
      </c>
      <c r="B3129" t="s">
        <v>28</v>
      </c>
      <c r="C3129">
        <v>399</v>
      </c>
      <c r="D3129" t="s">
        <v>3561</v>
      </c>
      <c r="E3129">
        <v>99999999</v>
      </c>
      <c r="F3129">
        <v>11111111</v>
      </c>
      <c r="G3129">
        <v>1111111111</v>
      </c>
      <c r="H3129" t="s">
        <v>6698</v>
      </c>
      <c r="I3129">
        <v>99999999</v>
      </c>
      <c r="J3129" s="188">
        <v>45238</v>
      </c>
      <c r="K3129" t="s">
        <v>6698</v>
      </c>
      <c r="L3129" t="s">
        <v>6698</v>
      </c>
      <c r="M3129" t="s">
        <v>3298</v>
      </c>
      <c r="N3129" t="s">
        <v>99</v>
      </c>
      <c r="O3129">
        <v>91761</v>
      </c>
      <c r="Q3129" t="s">
        <v>124</v>
      </c>
      <c r="R3129">
        <v>41</v>
      </c>
      <c r="S3129">
        <v>36.28</v>
      </c>
      <c r="T3129">
        <v>0</v>
      </c>
      <c r="U3129">
        <v>0</v>
      </c>
      <c r="V3129">
        <v>13</v>
      </c>
      <c r="W3129">
        <v>0</v>
      </c>
      <c r="X3129">
        <v>0</v>
      </c>
      <c r="Y3129">
        <v>0</v>
      </c>
      <c r="Z3129">
        <v>0</v>
      </c>
      <c r="AA3129">
        <v>0</v>
      </c>
      <c r="AB3129">
        <v>0</v>
      </c>
      <c r="AC3129">
        <v>0</v>
      </c>
      <c r="AD3129">
        <v>41</v>
      </c>
      <c r="AE3129">
        <v>0</v>
      </c>
      <c r="AF3129">
        <v>0</v>
      </c>
      <c r="AG3129">
        <v>0</v>
      </c>
      <c r="AH3129">
        <v>0</v>
      </c>
      <c r="AI3129">
        <v>0</v>
      </c>
      <c r="AJ3129">
        <v>0</v>
      </c>
      <c r="AK3129">
        <v>0</v>
      </c>
    </row>
    <row r="3130" spans="1:37" x14ac:dyDescent="0.3">
      <c r="A3130">
        <v>7134</v>
      </c>
      <c r="B3130" t="s">
        <v>28</v>
      </c>
      <c r="C3130">
        <v>399</v>
      </c>
      <c r="D3130" t="s">
        <v>3561</v>
      </c>
      <c r="E3130">
        <v>99999999</v>
      </c>
      <c r="F3130">
        <v>11111111</v>
      </c>
      <c r="G3130">
        <v>1111111111</v>
      </c>
      <c r="H3130" t="s">
        <v>6699</v>
      </c>
      <c r="I3130">
        <v>99999999</v>
      </c>
      <c r="J3130" s="188">
        <v>45238</v>
      </c>
      <c r="K3130" t="s">
        <v>6699</v>
      </c>
      <c r="L3130" t="s">
        <v>6699</v>
      </c>
      <c r="M3130" t="s">
        <v>3298</v>
      </c>
      <c r="N3130" t="s">
        <v>99</v>
      </c>
      <c r="O3130">
        <v>91761</v>
      </c>
      <c r="Q3130" t="s">
        <v>124</v>
      </c>
      <c r="R3130">
        <v>28</v>
      </c>
      <c r="S3130">
        <v>24.7</v>
      </c>
      <c r="T3130">
        <v>0</v>
      </c>
      <c r="U3130">
        <v>0</v>
      </c>
      <c r="V3130">
        <v>13</v>
      </c>
      <c r="W3130">
        <v>0</v>
      </c>
      <c r="X3130">
        <v>0</v>
      </c>
      <c r="Y3130">
        <v>0</v>
      </c>
      <c r="Z3130">
        <v>0</v>
      </c>
      <c r="AA3130">
        <v>0</v>
      </c>
      <c r="AB3130">
        <v>0</v>
      </c>
      <c r="AC3130">
        <v>0</v>
      </c>
      <c r="AD3130">
        <v>28</v>
      </c>
      <c r="AE3130">
        <v>0</v>
      </c>
      <c r="AF3130">
        <v>0</v>
      </c>
      <c r="AG3130">
        <v>0</v>
      </c>
      <c r="AH3130">
        <v>0</v>
      </c>
      <c r="AI3130">
        <v>0</v>
      </c>
      <c r="AJ3130">
        <v>0</v>
      </c>
      <c r="AK3130">
        <v>0</v>
      </c>
    </row>
    <row r="3131" spans="1:37" x14ac:dyDescent="0.3">
      <c r="A3131">
        <v>7134</v>
      </c>
      <c r="B3131" t="s">
        <v>28</v>
      </c>
      <c r="C3131">
        <v>399</v>
      </c>
      <c r="D3131" t="s">
        <v>3561</v>
      </c>
      <c r="E3131">
        <v>99999999</v>
      </c>
      <c r="F3131">
        <v>11111111</v>
      </c>
      <c r="G3131">
        <v>1111111111</v>
      </c>
      <c r="H3131" t="s">
        <v>6700</v>
      </c>
      <c r="I3131">
        <v>99999999</v>
      </c>
      <c r="J3131" s="188">
        <v>45238</v>
      </c>
      <c r="K3131" t="s">
        <v>6700</v>
      </c>
      <c r="L3131" t="s">
        <v>6700</v>
      </c>
      <c r="M3131" t="s">
        <v>3298</v>
      </c>
      <c r="N3131" t="s">
        <v>99</v>
      </c>
      <c r="O3131">
        <v>91761</v>
      </c>
      <c r="Q3131" t="s">
        <v>124</v>
      </c>
      <c r="R3131">
        <v>34</v>
      </c>
      <c r="S3131">
        <v>30.11</v>
      </c>
      <c r="T3131">
        <v>0</v>
      </c>
      <c r="U3131">
        <v>0</v>
      </c>
      <c r="V3131">
        <v>13</v>
      </c>
      <c r="W3131">
        <v>0</v>
      </c>
      <c r="X3131">
        <v>0</v>
      </c>
      <c r="Y3131">
        <v>0</v>
      </c>
      <c r="Z3131">
        <v>0</v>
      </c>
      <c r="AA3131">
        <v>0</v>
      </c>
      <c r="AB3131">
        <v>0</v>
      </c>
      <c r="AC3131">
        <v>0</v>
      </c>
      <c r="AD3131">
        <v>34</v>
      </c>
      <c r="AE3131">
        <v>0</v>
      </c>
      <c r="AF3131">
        <v>0</v>
      </c>
      <c r="AG3131">
        <v>0</v>
      </c>
      <c r="AH3131">
        <v>0</v>
      </c>
      <c r="AI3131">
        <v>0</v>
      </c>
      <c r="AJ3131">
        <v>0</v>
      </c>
      <c r="AK3131">
        <v>0</v>
      </c>
    </row>
    <row r="3132" spans="1:37" x14ac:dyDescent="0.3">
      <c r="A3132">
        <v>7134</v>
      </c>
      <c r="B3132" t="s">
        <v>28</v>
      </c>
      <c r="C3132">
        <v>399</v>
      </c>
      <c r="D3132" t="s">
        <v>3561</v>
      </c>
      <c r="E3132">
        <v>99999999</v>
      </c>
      <c r="F3132">
        <v>11111111</v>
      </c>
      <c r="G3132">
        <v>1111111111</v>
      </c>
      <c r="H3132" t="s">
        <v>6701</v>
      </c>
      <c r="I3132">
        <v>99999999</v>
      </c>
      <c r="J3132" s="188">
        <v>45238</v>
      </c>
      <c r="K3132" t="s">
        <v>6701</v>
      </c>
      <c r="L3132" t="s">
        <v>6701</v>
      </c>
      <c r="M3132" t="s">
        <v>3298</v>
      </c>
      <c r="N3132" t="s">
        <v>99</v>
      </c>
      <c r="O3132">
        <v>91761</v>
      </c>
      <c r="Q3132" t="s">
        <v>124</v>
      </c>
      <c r="R3132">
        <v>38</v>
      </c>
      <c r="S3132">
        <v>33.659999999999997</v>
      </c>
      <c r="T3132">
        <v>0</v>
      </c>
      <c r="U3132">
        <v>0</v>
      </c>
      <c r="V3132">
        <v>13</v>
      </c>
      <c r="W3132">
        <v>0</v>
      </c>
      <c r="X3132">
        <v>0</v>
      </c>
      <c r="Y3132">
        <v>0</v>
      </c>
      <c r="Z3132">
        <v>0</v>
      </c>
      <c r="AA3132">
        <v>0</v>
      </c>
      <c r="AB3132">
        <v>0</v>
      </c>
      <c r="AC3132">
        <v>0</v>
      </c>
      <c r="AD3132">
        <v>38</v>
      </c>
      <c r="AE3132">
        <v>0</v>
      </c>
      <c r="AF3132">
        <v>0</v>
      </c>
      <c r="AG3132">
        <v>0</v>
      </c>
      <c r="AH3132">
        <v>0</v>
      </c>
      <c r="AI3132">
        <v>0</v>
      </c>
      <c r="AJ3132">
        <v>0</v>
      </c>
      <c r="AK3132">
        <v>0</v>
      </c>
    </row>
    <row r="3133" spans="1:37" x14ac:dyDescent="0.3">
      <c r="A3133">
        <v>7134</v>
      </c>
      <c r="B3133" t="s">
        <v>28</v>
      </c>
      <c r="C3133">
        <v>399</v>
      </c>
      <c r="D3133" t="s">
        <v>3561</v>
      </c>
      <c r="E3133">
        <v>99999999</v>
      </c>
      <c r="F3133">
        <v>11111111</v>
      </c>
      <c r="G3133">
        <v>1111111111</v>
      </c>
      <c r="H3133" t="s">
        <v>6702</v>
      </c>
      <c r="I3133">
        <v>99999999</v>
      </c>
      <c r="J3133" s="188">
        <v>45238</v>
      </c>
      <c r="K3133" t="s">
        <v>6702</v>
      </c>
      <c r="L3133" t="s">
        <v>6702</v>
      </c>
      <c r="M3133" t="s">
        <v>3298</v>
      </c>
      <c r="N3133" t="s">
        <v>99</v>
      </c>
      <c r="O3133">
        <v>91761</v>
      </c>
      <c r="Q3133" t="s">
        <v>124</v>
      </c>
      <c r="R3133">
        <v>45</v>
      </c>
      <c r="S3133">
        <v>39.590000000000003</v>
      </c>
      <c r="T3133">
        <v>0</v>
      </c>
      <c r="U3133">
        <v>0</v>
      </c>
      <c r="V3133">
        <v>13</v>
      </c>
      <c r="W3133">
        <v>0</v>
      </c>
      <c r="X3133">
        <v>0</v>
      </c>
      <c r="Y3133">
        <v>0</v>
      </c>
      <c r="Z3133">
        <v>0</v>
      </c>
      <c r="AA3133">
        <v>0</v>
      </c>
      <c r="AB3133">
        <v>0</v>
      </c>
      <c r="AC3133">
        <v>0</v>
      </c>
      <c r="AD3133">
        <v>45</v>
      </c>
      <c r="AE3133">
        <v>0</v>
      </c>
      <c r="AF3133">
        <v>0</v>
      </c>
      <c r="AG3133">
        <v>0</v>
      </c>
      <c r="AH3133">
        <v>0</v>
      </c>
      <c r="AI3133">
        <v>0</v>
      </c>
      <c r="AJ3133">
        <v>0</v>
      </c>
      <c r="AK3133">
        <v>0</v>
      </c>
    </row>
    <row r="3134" spans="1:37" x14ac:dyDescent="0.3">
      <c r="A3134">
        <v>7134</v>
      </c>
      <c r="B3134" t="s">
        <v>28</v>
      </c>
      <c r="C3134">
        <v>399</v>
      </c>
      <c r="D3134" t="s">
        <v>3561</v>
      </c>
      <c r="E3134">
        <v>99999999</v>
      </c>
      <c r="F3134">
        <v>11111111</v>
      </c>
      <c r="G3134">
        <v>1111111111</v>
      </c>
      <c r="H3134" t="s">
        <v>6703</v>
      </c>
      <c r="I3134">
        <v>99999999</v>
      </c>
      <c r="J3134" s="188">
        <v>45238</v>
      </c>
      <c r="K3134" t="s">
        <v>6703</v>
      </c>
      <c r="L3134" t="s">
        <v>6703</v>
      </c>
      <c r="M3134" t="s">
        <v>3298</v>
      </c>
      <c r="N3134" t="s">
        <v>99</v>
      </c>
      <c r="O3134">
        <v>91761</v>
      </c>
      <c r="Q3134" t="s">
        <v>124</v>
      </c>
      <c r="R3134">
        <v>37</v>
      </c>
      <c r="S3134">
        <v>32.72</v>
      </c>
      <c r="T3134">
        <v>0</v>
      </c>
      <c r="U3134">
        <v>0</v>
      </c>
      <c r="V3134">
        <v>13</v>
      </c>
      <c r="W3134">
        <v>0</v>
      </c>
      <c r="X3134">
        <v>0</v>
      </c>
      <c r="Y3134">
        <v>0</v>
      </c>
      <c r="Z3134">
        <v>0</v>
      </c>
      <c r="AA3134">
        <v>0</v>
      </c>
      <c r="AB3134">
        <v>0</v>
      </c>
      <c r="AC3134">
        <v>0</v>
      </c>
      <c r="AD3134">
        <v>37</v>
      </c>
      <c r="AE3134">
        <v>0</v>
      </c>
      <c r="AF3134">
        <v>0</v>
      </c>
      <c r="AG3134">
        <v>0</v>
      </c>
      <c r="AH3134">
        <v>0</v>
      </c>
      <c r="AI3134">
        <v>0</v>
      </c>
      <c r="AJ3134">
        <v>0</v>
      </c>
      <c r="AK3134">
        <v>0</v>
      </c>
    </row>
    <row r="3135" spans="1:37" x14ac:dyDescent="0.3">
      <c r="A3135">
        <v>7134</v>
      </c>
      <c r="B3135" t="s">
        <v>28</v>
      </c>
      <c r="C3135">
        <v>399</v>
      </c>
      <c r="D3135" t="s">
        <v>3561</v>
      </c>
      <c r="E3135">
        <v>99999999</v>
      </c>
      <c r="F3135">
        <v>11111111</v>
      </c>
      <c r="G3135">
        <v>1111111111</v>
      </c>
      <c r="H3135" t="s">
        <v>6704</v>
      </c>
      <c r="I3135">
        <v>99999999</v>
      </c>
      <c r="J3135" s="188">
        <v>45238</v>
      </c>
      <c r="K3135" t="s">
        <v>6704</v>
      </c>
      <c r="L3135" t="s">
        <v>6704</v>
      </c>
      <c r="M3135" t="s">
        <v>3298</v>
      </c>
      <c r="N3135" t="s">
        <v>99</v>
      </c>
      <c r="O3135">
        <v>91761</v>
      </c>
      <c r="Q3135" t="s">
        <v>124</v>
      </c>
      <c r="R3135">
        <v>31</v>
      </c>
      <c r="S3135">
        <v>27.1</v>
      </c>
      <c r="T3135">
        <v>0</v>
      </c>
      <c r="U3135">
        <v>0</v>
      </c>
      <c r="V3135">
        <v>13</v>
      </c>
      <c r="W3135">
        <v>0</v>
      </c>
      <c r="X3135">
        <v>0</v>
      </c>
      <c r="Y3135">
        <v>0</v>
      </c>
      <c r="Z3135">
        <v>0</v>
      </c>
      <c r="AA3135">
        <v>0</v>
      </c>
      <c r="AB3135">
        <v>0</v>
      </c>
      <c r="AC3135">
        <v>0</v>
      </c>
      <c r="AD3135">
        <v>31</v>
      </c>
      <c r="AE3135">
        <v>0</v>
      </c>
      <c r="AF3135">
        <v>0</v>
      </c>
      <c r="AG3135">
        <v>0</v>
      </c>
      <c r="AH3135">
        <v>0</v>
      </c>
      <c r="AI3135">
        <v>0</v>
      </c>
      <c r="AJ3135">
        <v>0</v>
      </c>
      <c r="AK3135">
        <v>0</v>
      </c>
    </row>
    <row r="3136" spans="1:37" x14ac:dyDescent="0.3">
      <c r="A3136">
        <v>7134</v>
      </c>
      <c r="B3136" t="s">
        <v>28</v>
      </c>
      <c r="C3136">
        <v>399</v>
      </c>
      <c r="D3136" t="s">
        <v>3561</v>
      </c>
      <c r="E3136">
        <v>99999999</v>
      </c>
      <c r="F3136">
        <v>11111111</v>
      </c>
      <c r="G3136">
        <v>1111111111</v>
      </c>
      <c r="H3136" t="s">
        <v>6705</v>
      </c>
      <c r="I3136">
        <v>99999999</v>
      </c>
      <c r="J3136" s="188">
        <v>45238</v>
      </c>
      <c r="K3136" t="s">
        <v>6705</v>
      </c>
      <c r="L3136" t="s">
        <v>6705</v>
      </c>
      <c r="M3136" t="s">
        <v>3298</v>
      </c>
      <c r="N3136" t="s">
        <v>99</v>
      </c>
      <c r="O3136">
        <v>91761</v>
      </c>
      <c r="Q3136" t="s">
        <v>124</v>
      </c>
      <c r="R3136">
        <v>38</v>
      </c>
      <c r="S3136">
        <v>33.659999999999997</v>
      </c>
      <c r="T3136">
        <v>0</v>
      </c>
      <c r="U3136">
        <v>0</v>
      </c>
      <c r="V3136">
        <v>13</v>
      </c>
      <c r="W3136">
        <v>0</v>
      </c>
      <c r="X3136">
        <v>0</v>
      </c>
      <c r="Y3136">
        <v>0</v>
      </c>
      <c r="Z3136">
        <v>0</v>
      </c>
      <c r="AA3136">
        <v>0</v>
      </c>
      <c r="AB3136">
        <v>0</v>
      </c>
      <c r="AC3136">
        <v>0</v>
      </c>
      <c r="AD3136">
        <v>38</v>
      </c>
      <c r="AE3136">
        <v>0</v>
      </c>
      <c r="AF3136">
        <v>0</v>
      </c>
      <c r="AG3136">
        <v>0</v>
      </c>
      <c r="AH3136">
        <v>0</v>
      </c>
      <c r="AI3136">
        <v>0</v>
      </c>
      <c r="AJ3136">
        <v>0</v>
      </c>
      <c r="AK3136">
        <v>0</v>
      </c>
    </row>
    <row r="3137" spans="1:37" x14ac:dyDescent="0.3">
      <c r="A3137">
        <v>7134</v>
      </c>
      <c r="B3137" t="s">
        <v>28</v>
      </c>
      <c r="C3137">
        <v>399</v>
      </c>
      <c r="D3137" t="s">
        <v>3561</v>
      </c>
      <c r="E3137">
        <v>99999999</v>
      </c>
      <c r="F3137">
        <v>11111111</v>
      </c>
      <c r="G3137">
        <v>1111111111</v>
      </c>
      <c r="H3137" t="s">
        <v>6706</v>
      </c>
      <c r="I3137">
        <v>99999999</v>
      </c>
      <c r="J3137" s="188">
        <v>45238</v>
      </c>
      <c r="K3137" t="s">
        <v>6706</v>
      </c>
      <c r="L3137" t="s">
        <v>6706</v>
      </c>
      <c r="M3137" t="s">
        <v>3298</v>
      </c>
      <c r="N3137" t="s">
        <v>99</v>
      </c>
      <c r="O3137">
        <v>91761</v>
      </c>
      <c r="Q3137" t="s">
        <v>124</v>
      </c>
      <c r="R3137">
        <v>20</v>
      </c>
      <c r="S3137">
        <v>17.59</v>
      </c>
      <c r="T3137">
        <v>0</v>
      </c>
      <c r="U3137">
        <v>0</v>
      </c>
      <c r="V3137">
        <v>13</v>
      </c>
      <c r="W3137">
        <v>0</v>
      </c>
      <c r="X3137">
        <v>0</v>
      </c>
      <c r="Y3137">
        <v>0</v>
      </c>
      <c r="Z3137">
        <v>0</v>
      </c>
      <c r="AA3137">
        <v>0</v>
      </c>
      <c r="AB3137">
        <v>0</v>
      </c>
      <c r="AC3137">
        <v>0</v>
      </c>
      <c r="AD3137">
        <v>20</v>
      </c>
      <c r="AE3137">
        <v>0</v>
      </c>
      <c r="AF3137">
        <v>0</v>
      </c>
      <c r="AG3137">
        <v>0</v>
      </c>
      <c r="AH3137">
        <v>0</v>
      </c>
      <c r="AI3137">
        <v>0</v>
      </c>
      <c r="AJ3137">
        <v>0</v>
      </c>
      <c r="AK3137">
        <v>0</v>
      </c>
    </row>
    <row r="3138" spans="1:37" x14ac:dyDescent="0.3">
      <c r="A3138">
        <v>7134</v>
      </c>
      <c r="B3138" t="s">
        <v>28</v>
      </c>
      <c r="C3138">
        <v>399</v>
      </c>
      <c r="D3138" t="s">
        <v>3561</v>
      </c>
      <c r="E3138">
        <v>99999999</v>
      </c>
      <c r="F3138">
        <v>11111111</v>
      </c>
      <c r="G3138">
        <v>1111111111</v>
      </c>
      <c r="H3138" t="s">
        <v>6707</v>
      </c>
      <c r="I3138">
        <v>99999999</v>
      </c>
      <c r="J3138" s="188">
        <v>45238</v>
      </c>
      <c r="K3138" t="s">
        <v>6707</v>
      </c>
      <c r="L3138" t="s">
        <v>6707</v>
      </c>
      <c r="M3138" t="s">
        <v>3298</v>
      </c>
      <c r="N3138" t="s">
        <v>99</v>
      </c>
      <c r="O3138">
        <v>91761</v>
      </c>
      <c r="Q3138" t="s">
        <v>124</v>
      </c>
      <c r="R3138">
        <v>53</v>
      </c>
      <c r="S3138">
        <v>46.38</v>
      </c>
      <c r="T3138">
        <v>0</v>
      </c>
      <c r="U3138">
        <v>0</v>
      </c>
      <c r="V3138">
        <v>13</v>
      </c>
      <c r="W3138">
        <v>0</v>
      </c>
      <c r="X3138">
        <v>0</v>
      </c>
      <c r="Y3138">
        <v>0</v>
      </c>
      <c r="Z3138">
        <v>0</v>
      </c>
      <c r="AA3138">
        <v>0</v>
      </c>
      <c r="AB3138">
        <v>0</v>
      </c>
      <c r="AC3138">
        <v>0</v>
      </c>
      <c r="AD3138">
        <v>53</v>
      </c>
      <c r="AE3138">
        <v>0</v>
      </c>
      <c r="AF3138">
        <v>0</v>
      </c>
      <c r="AG3138">
        <v>0</v>
      </c>
      <c r="AH3138">
        <v>0</v>
      </c>
      <c r="AI3138">
        <v>0</v>
      </c>
      <c r="AJ3138">
        <v>0</v>
      </c>
      <c r="AK3138">
        <v>0</v>
      </c>
    </row>
    <row r="3139" spans="1:37" x14ac:dyDescent="0.3">
      <c r="A3139">
        <v>7134</v>
      </c>
      <c r="B3139" t="s">
        <v>28</v>
      </c>
      <c r="C3139">
        <v>399</v>
      </c>
      <c r="D3139" t="s">
        <v>3561</v>
      </c>
      <c r="E3139">
        <v>99999999</v>
      </c>
      <c r="F3139">
        <v>11111111</v>
      </c>
      <c r="G3139">
        <v>1111111111</v>
      </c>
      <c r="H3139" t="s">
        <v>6708</v>
      </c>
      <c r="I3139">
        <v>99999999</v>
      </c>
      <c r="J3139" s="188">
        <v>45238</v>
      </c>
      <c r="K3139" t="s">
        <v>6708</v>
      </c>
      <c r="L3139" t="s">
        <v>6708</v>
      </c>
      <c r="M3139" t="s">
        <v>3298</v>
      </c>
      <c r="N3139" t="s">
        <v>99</v>
      </c>
      <c r="O3139">
        <v>91761</v>
      </c>
      <c r="Q3139" t="s">
        <v>124</v>
      </c>
      <c r="R3139">
        <v>34</v>
      </c>
      <c r="S3139">
        <v>30.11</v>
      </c>
      <c r="T3139">
        <v>0</v>
      </c>
      <c r="U3139">
        <v>0</v>
      </c>
      <c r="V3139">
        <v>13</v>
      </c>
      <c r="W3139">
        <v>0</v>
      </c>
      <c r="X3139">
        <v>0</v>
      </c>
      <c r="Y3139">
        <v>0</v>
      </c>
      <c r="Z3139">
        <v>0</v>
      </c>
      <c r="AA3139">
        <v>0</v>
      </c>
      <c r="AB3139">
        <v>0</v>
      </c>
      <c r="AC3139">
        <v>0</v>
      </c>
      <c r="AD3139">
        <v>34</v>
      </c>
      <c r="AE3139">
        <v>0</v>
      </c>
      <c r="AF3139">
        <v>0</v>
      </c>
      <c r="AG3139">
        <v>0</v>
      </c>
      <c r="AH3139">
        <v>0</v>
      </c>
      <c r="AI3139">
        <v>0</v>
      </c>
      <c r="AJ3139">
        <v>0</v>
      </c>
      <c r="AK3139">
        <v>0</v>
      </c>
    </row>
    <row r="3140" spans="1:37" x14ac:dyDescent="0.3">
      <c r="A3140">
        <v>7134</v>
      </c>
      <c r="B3140" t="s">
        <v>28</v>
      </c>
      <c r="C3140">
        <v>399</v>
      </c>
      <c r="D3140" t="s">
        <v>3561</v>
      </c>
      <c r="E3140">
        <v>99999999</v>
      </c>
      <c r="F3140">
        <v>11111111</v>
      </c>
      <c r="G3140">
        <v>1111111111</v>
      </c>
      <c r="H3140" t="s">
        <v>6709</v>
      </c>
      <c r="I3140">
        <v>99999999</v>
      </c>
      <c r="J3140" s="188">
        <v>45238</v>
      </c>
      <c r="K3140" t="s">
        <v>6709</v>
      </c>
      <c r="L3140" t="s">
        <v>6709</v>
      </c>
      <c r="M3140" t="s">
        <v>3298</v>
      </c>
      <c r="N3140" t="s">
        <v>99</v>
      </c>
      <c r="O3140">
        <v>91761</v>
      </c>
      <c r="Q3140" t="s">
        <v>124</v>
      </c>
      <c r="R3140">
        <v>18</v>
      </c>
      <c r="S3140">
        <v>15.69</v>
      </c>
      <c r="T3140">
        <v>0</v>
      </c>
      <c r="U3140">
        <v>0</v>
      </c>
      <c r="V3140">
        <v>12</v>
      </c>
      <c r="W3140">
        <v>0</v>
      </c>
      <c r="X3140">
        <v>0</v>
      </c>
      <c r="Y3140">
        <v>0</v>
      </c>
      <c r="Z3140">
        <v>0</v>
      </c>
      <c r="AA3140">
        <v>0</v>
      </c>
      <c r="AB3140">
        <v>0</v>
      </c>
      <c r="AC3140">
        <v>0</v>
      </c>
      <c r="AD3140">
        <v>18</v>
      </c>
      <c r="AE3140">
        <v>0</v>
      </c>
      <c r="AF3140">
        <v>0</v>
      </c>
      <c r="AG3140">
        <v>0</v>
      </c>
      <c r="AH3140">
        <v>0</v>
      </c>
      <c r="AI3140">
        <v>0</v>
      </c>
      <c r="AJ3140">
        <v>0</v>
      </c>
      <c r="AK3140">
        <v>0</v>
      </c>
    </row>
    <row r="3141" spans="1:37" x14ac:dyDescent="0.3">
      <c r="A3141">
        <v>7134</v>
      </c>
      <c r="B3141" t="s">
        <v>28</v>
      </c>
      <c r="C3141">
        <v>399</v>
      </c>
      <c r="D3141" t="s">
        <v>3561</v>
      </c>
      <c r="E3141">
        <v>99999999</v>
      </c>
      <c r="F3141">
        <v>11111111</v>
      </c>
      <c r="G3141">
        <v>1111111111</v>
      </c>
      <c r="H3141" t="s">
        <v>6710</v>
      </c>
      <c r="I3141">
        <v>99999999</v>
      </c>
      <c r="J3141" s="188">
        <v>45238</v>
      </c>
      <c r="K3141" t="s">
        <v>6710</v>
      </c>
      <c r="L3141" t="s">
        <v>6710</v>
      </c>
      <c r="M3141" t="s">
        <v>3298</v>
      </c>
      <c r="N3141" t="s">
        <v>99</v>
      </c>
      <c r="O3141">
        <v>91761</v>
      </c>
      <c r="Q3141" t="s">
        <v>124</v>
      </c>
      <c r="R3141">
        <v>48</v>
      </c>
      <c r="S3141">
        <v>42.56</v>
      </c>
      <c r="T3141">
        <v>0</v>
      </c>
      <c r="U3141">
        <v>0</v>
      </c>
      <c r="V3141">
        <v>13</v>
      </c>
      <c r="W3141">
        <v>0</v>
      </c>
      <c r="X3141">
        <v>0</v>
      </c>
      <c r="Y3141">
        <v>0</v>
      </c>
      <c r="Z3141">
        <v>0</v>
      </c>
      <c r="AA3141">
        <v>0</v>
      </c>
      <c r="AB3141">
        <v>0</v>
      </c>
      <c r="AC3141">
        <v>0</v>
      </c>
      <c r="AD3141">
        <v>48</v>
      </c>
      <c r="AE3141">
        <v>0</v>
      </c>
      <c r="AF3141">
        <v>0</v>
      </c>
      <c r="AG3141">
        <v>0</v>
      </c>
      <c r="AH3141">
        <v>0</v>
      </c>
      <c r="AI3141">
        <v>0</v>
      </c>
      <c r="AJ3141">
        <v>0</v>
      </c>
      <c r="AK3141">
        <v>0</v>
      </c>
    </row>
    <row r="3142" spans="1:37" x14ac:dyDescent="0.3">
      <c r="A3142">
        <v>7134</v>
      </c>
      <c r="B3142" t="s">
        <v>28</v>
      </c>
      <c r="C3142">
        <v>399</v>
      </c>
      <c r="D3142" t="s">
        <v>3561</v>
      </c>
      <c r="E3142">
        <v>99999999</v>
      </c>
      <c r="F3142">
        <v>11111111</v>
      </c>
      <c r="G3142">
        <v>1111111111</v>
      </c>
      <c r="H3142" t="s">
        <v>6711</v>
      </c>
      <c r="I3142">
        <v>99999999</v>
      </c>
      <c r="J3142" s="188">
        <v>45238</v>
      </c>
      <c r="K3142" t="s">
        <v>6711</v>
      </c>
      <c r="L3142" t="s">
        <v>6711</v>
      </c>
      <c r="M3142" t="s">
        <v>3298</v>
      </c>
      <c r="N3142" t="s">
        <v>99</v>
      </c>
      <c r="O3142">
        <v>91761</v>
      </c>
      <c r="Q3142" t="s">
        <v>124</v>
      </c>
      <c r="R3142">
        <v>27</v>
      </c>
      <c r="S3142">
        <v>23.8</v>
      </c>
      <c r="T3142">
        <v>0</v>
      </c>
      <c r="U3142">
        <v>0</v>
      </c>
      <c r="V3142">
        <v>13</v>
      </c>
      <c r="W3142">
        <v>0</v>
      </c>
      <c r="X3142">
        <v>0</v>
      </c>
      <c r="Y3142">
        <v>0</v>
      </c>
      <c r="Z3142">
        <v>0</v>
      </c>
      <c r="AA3142">
        <v>0</v>
      </c>
      <c r="AB3142">
        <v>0</v>
      </c>
      <c r="AC3142">
        <v>0</v>
      </c>
      <c r="AD3142">
        <v>27</v>
      </c>
      <c r="AE3142">
        <v>0</v>
      </c>
      <c r="AF3142">
        <v>0</v>
      </c>
      <c r="AG3142">
        <v>0</v>
      </c>
      <c r="AH3142">
        <v>0</v>
      </c>
      <c r="AI3142">
        <v>0</v>
      </c>
      <c r="AJ3142">
        <v>0</v>
      </c>
      <c r="AK3142">
        <v>0</v>
      </c>
    </row>
    <row r="3143" spans="1:37" x14ac:dyDescent="0.3">
      <c r="A3143">
        <v>7134</v>
      </c>
      <c r="B3143" t="s">
        <v>28</v>
      </c>
      <c r="C3143">
        <v>399</v>
      </c>
      <c r="D3143" t="s">
        <v>3561</v>
      </c>
      <c r="E3143">
        <v>99999999</v>
      </c>
      <c r="F3143">
        <v>11111111</v>
      </c>
      <c r="G3143">
        <v>1111111111</v>
      </c>
      <c r="H3143" t="s">
        <v>6712</v>
      </c>
      <c r="I3143">
        <v>99999999</v>
      </c>
      <c r="J3143" s="188">
        <v>45238</v>
      </c>
      <c r="K3143" t="s">
        <v>6712</v>
      </c>
      <c r="L3143" t="s">
        <v>6712</v>
      </c>
      <c r="M3143" t="s">
        <v>3298</v>
      </c>
      <c r="N3143" t="s">
        <v>99</v>
      </c>
      <c r="O3143">
        <v>91761</v>
      </c>
      <c r="Q3143" t="s">
        <v>124</v>
      </c>
      <c r="R3143">
        <v>48</v>
      </c>
      <c r="S3143">
        <v>42.56</v>
      </c>
      <c r="T3143">
        <v>0</v>
      </c>
      <c r="U3143">
        <v>0</v>
      </c>
      <c r="V3143">
        <v>13</v>
      </c>
      <c r="W3143">
        <v>0</v>
      </c>
      <c r="X3143">
        <v>0</v>
      </c>
      <c r="Y3143">
        <v>0</v>
      </c>
      <c r="Z3143">
        <v>0</v>
      </c>
      <c r="AA3143">
        <v>0</v>
      </c>
      <c r="AB3143">
        <v>0</v>
      </c>
      <c r="AC3143">
        <v>0</v>
      </c>
      <c r="AD3143">
        <v>48</v>
      </c>
      <c r="AE3143">
        <v>0</v>
      </c>
      <c r="AF3143">
        <v>0</v>
      </c>
      <c r="AG3143">
        <v>0</v>
      </c>
      <c r="AH3143">
        <v>0</v>
      </c>
      <c r="AI3143">
        <v>0</v>
      </c>
      <c r="AJ3143">
        <v>0</v>
      </c>
      <c r="AK3143">
        <v>0</v>
      </c>
    </row>
    <row r="3144" spans="1:37" x14ac:dyDescent="0.3">
      <c r="A3144">
        <v>7134</v>
      </c>
      <c r="B3144" t="s">
        <v>28</v>
      </c>
      <c r="C3144">
        <v>399</v>
      </c>
      <c r="D3144" t="s">
        <v>3561</v>
      </c>
      <c r="E3144">
        <v>99999999</v>
      </c>
      <c r="F3144">
        <v>11111111</v>
      </c>
      <c r="G3144">
        <v>1111111111</v>
      </c>
      <c r="H3144" t="s">
        <v>6713</v>
      </c>
      <c r="I3144">
        <v>99999999</v>
      </c>
      <c r="J3144" s="188">
        <v>45238</v>
      </c>
      <c r="K3144" t="s">
        <v>6713</v>
      </c>
      <c r="L3144" t="s">
        <v>6713</v>
      </c>
      <c r="M3144" t="s">
        <v>3298</v>
      </c>
      <c r="N3144" t="s">
        <v>99</v>
      </c>
      <c r="O3144">
        <v>91761</v>
      </c>
      <c r="Q3144" t="s">
        <v>124</v>
      </c>
      <c r="R3144">
        <v>45</v>
      </c>
      <c r="S3144">
        <v>39.590000000000003</v>
      </c>
      <c r="T3144">
        <v>0</v>
      </c>
      <c r="U3144">
        <v>0</v>
      </c>
      <c r="V3144">
        <v>13</v>
      </c>
      <c r="W3144">
        <v>0</v>
      </c>
      <c r="X3144">
        <v>0</v>
      </c>
      <c r="Y3144">
        <v>0</v>
      </c>
      <c r="Z3144">
        <v>0</v>
      </c>
      <c r="AA3144">
        <v>0</v>
      </c>
      <c r="AB3144">
        <v>0</v>
      </c>
      <c r="AC3144">
        <v>0</v>
      </c>
      <c r="AD3144">
        <v>45</v>
      </c>
      <c r="AE3144">
        <v>0</v>
      </c>
      <c r="AF3144">
        <v>0</v>
      </c>
      <c r="AG3144">
        <v>0</v>
      </c>
      <c r="AH3144">
        <v>0</v>
      </c>
      <c r="AI3144">
        <v>0</v>
      </c>
      <c r="AJ3144">
        <v>0</v>
      </c>
      <c r="AK3144">
        <v>0</v>
      </c>
    </row>
    <row r="3145" spans="1:37" x14ac:dyDescent="0.3">
      <c r="A3145">
        <v>7134</v>
      </c>
      <c r="B3145" t="s">
        <v>28</v>
      </c>
      <c r="C3145">
        <v>399</v>
      </c>
      <c r="D3145" t="s">
        <v>3561</v>
      </c>
      <c r="E3145">
        <v>99999999</v>
      </c>
      <c r="F3145">
        <v>11111111</v>
      </c>
      <c r="G3145">
        <v>1111111111</v>
      </c>
      <c r="H3145" t="s">
        <v>6714</v>
      </c>
      <c r="I3145">
        <v>99999999</v>
      </c>
      <c r="J3145" s="188">
        <v>45238</v>
      </c>
      <c r="K3145" t="s">
        <v>6714</v>
      </c>
      <c r="L3145" t="s">
        <v>6714</v>
      </c>
      <c r="M3145" t="s">
        <v>3298</v>
      </c>
      <c r="N3145" t="s">
        <v>99</v>
      </c>
      <c r="O3145">
        <v>91761</v>
      </c>
      <c r="Q3145" t="s">
        <v>124</v>
      </c>
      <c r="R3145">
        <v>47</v>
      </c>
      <c r="S3145">
        <v>41.39</v>
      </c>
      <c r="T3145">
        <v>0</v>
      </c>
      <c r="U3145">
        <v>0</v>
      </c>
      <c r="V3145">
        <v>13</v>
      </c>
      <c r="W3145">
        <v>0</v>
      </c>
      <c r="X3145">
        <v>0</v>
      </c>
      <c r="Y3145">
        <v>0</v>
      </c>
      <c r="Z3145">
        <v>0</v>
      </c>
      <c r="AA3145">
        <v>0</v>
      </c>
      <c r="AB3145">
        <v>0</v>
      </c>
      <c r="AC3145">
        <v>0</v>
      </c>
      <c r="AD3145">
        <v>47</v>
      </c>
      <c r="AE3145">
        <v>0</v>
      </c>
      <c r="AF3145">
        <v>0</v>
      </c>
      <c r="AG3145">
        <v>0</v>
      </c>
      <c r="AH3145">
        <v>0</v>
      </c>
      <c r="AI3145">
        <v>0</v>
      </c>
      <c r="AJ3145">
        <v>0</v>
      </c>
      <c r="AK3145">
        <v>0</v>
      </c>
    </row>
    <row r="3146" spans="1:37" x14ac:dyDescent="0.3">
      <c r="A3146">
        <v>7134</v>
      </c>
      <c r="B3146" t="s">
        <v>28</v>
      </c>
      <c r="C3146">
        <v>399</v>
      </c>
      <c r="D3146" t="s">
        <v>3561</v>
      </c>
      <c r="E3146">
        <v>99999999</v>
      </c>
      <c r="F3146">
        <v>11111111</v>
      </c>
      <c r="G3146">
        <v>1111111111</v>
      </c>
      <c r="H3146" t="s">
        <v>6715</v>
      </c>
      <c r="I3146">
        <v>99999999</v>
      </c>
      <c r="J3146" s="188">
        <v>45238</v>
      </c>
      <c r="K3146" t="s">
        <v>6715</v>
      </c>
      <c r="L3146" t="s">
        <v>6715</v>
      </c>
      <c r="M3146" t="s">
        <v>3298</v>
      </c>
      <c r="N3146" t="s">
        <v>99</v>
      </c>
      <c r="O3146">
        <v>91761</v>
      </c>
      <c r="Q3146" t="s">
        <v>124</v>
      </c>
      <c r="R3146">
        <v>22</v>
      </c>
      <c r="S3146">
        <v>19.39</v>
      </c>
      <c r="T3146">
        <v>0</v>
      </c>
      <c r="U3146">
        <v>0</v>
      </c>
      <c r="V3146">
        <v>13</v>
      </c>
      <c r="W3146">
        <v>0</v>
      </c>
      <c r="X3146">
        <v>0</v>
      </c>
      <c r="Y3146">
        <v>0</v>
      </c>
      <c r="Z3146">
        <v>0</v>
      </c>
      <c r="AA3146">
        <v>0</v>
      </c>
      <c r="AB3146">
        <v>0</v>
      </c>
      <c r="AC3146">
        <v>0</v>
      </c>
      <c r="AD3146">
        <v>22</v>
      </c>
      <c r="AE3146">
        <v>0</v>
      </c>
      <c r="AF3146">
        <v>0</v>
      </c>
      <c r="AG3146">
        <v>0</v>
      </c>
      <c r="AH3146">
        <v>0</v>
      </c>
      <c r="AI3146">
        <v>0</v>
      </c>
      <c r="AJ3146">
        <v>0</v>
      </c>
      <c r="AK3146">
        <v>0</v>
      </c>
    </row>
    <row r="3147" spans="1:37" x14ac:dyDescent="0.3">
      <c r="A3147">
        <v>7134</v>
      </c>
      <c r="B3147" t="s">
        <v>28</v>
      </c>
      <c r="C3147">
        <v>399</v>
      </c>
      <c r="D3147" t="s">
        <v>3561</v>
      </c>
      <c r="E3147">
        <v>99999999</v>
      </c>
      <c r="F3147">
        <v>11111111</v>
      </c>
      <c r="G3147">
        <v>1111111111</v>
      </c>
      <c r="H3147" t="s">
        <v>6716</v>
      </c>
      <c r="I3147">
        <v>99999999</v>
      </c>
      <c r="J3147" s="188">
        <v>45238</v>
      </c>
      <c r="K3147" t="s">
        <v>6716</v>
      </c>
      <c r="L3147" t="s">
        <v>6716</v>
      </c>
      <c r="M3147" t="s">
        <v>3298</v>
      </c>
      <c r="N3147" t="s">
        <v>99</v>
      </c>
      <c r="O3147">
        <v>91761</v>
      </c>
      <c r="Q3147" t="s">
        <v>124</v>
      </c>
      <c r="R3147">
        <v>52</v>
      </c>
      <c r="S3147">
        <v>45.79</v>
      </c>
      <c r="T3147">
        <v>0</v>
      </c>
      <c r="U3147">
        <v>0</v>
      </c>
      <c r="V3147">
        <v>13</v>
      </c>
      <c r="W3147">
        <v>0</v>
      </c>
      <c r="X3147">
        <v>0</v>
      </c>
      <c r="Y3147">
        <v>0</v>
      </c>
      <c r="Z3147">
        <v>0</v>
      </c>
      <c r="AA3147">
        <v>0</v>
      </c>
      <c r="AB3147">
        <v>0</v>
      </c>
      <c r="AC3147">
        <v>0</v>
      </c>
      <c r="AD3147">
        <v>52</v>
      </c>
      <c r="AE3147">
        <v>0</v>
      </c>
      <c r="AF3147">
        <v>0</v>
      </c>
      <c r="AG3147">
        <v>0</v>
      </c>
      <c r="AH3147">
        <v>0</v>
      </c>
      <c r="AI3147">
        <v>0</v>
      </c>
      <c r="AJ3147">
        <v>0</v>
      </c>
      <c r="AK3147">
        <v>0</v>
      </c>
    </row>
    <row r="3148" spans="1:37" x14ac:dyDescent="0.3">
      <c r="A3148">
        <v>7134</v>
      </c>
      <c r="B3148" t="s">
        <v>28</v>
      </c>
      <c r="C3148">
        <v>399</v>
      </c>
      <c r="D3148" t="s">
        <v>3561</v>
      </c>
      <c r="E3148">
        <v>99999999</v>
      </c>
      <c r="F3148">
        <v>11111111</v>
      </c>
      <c r="G3148">
        <v>1111111111</v>
      </c>
      <c r="H3148" t="s">
        <v>6717</v>
      </c>
      <c r="I3148">
        <v>99999999</v>
      </c>
      <c r="J3148" s="188">
        <v>45238</v>
      </c>
      <c r="K3148" t="s">
        <v>6717</v>
      </c>
      <c r="L3148" t="s">
        <v>6717</v>
      </c>
      <c r="M3148" t="s">
        <v>3298</v>
      </c>
      <c r="N3148" t="s">
        <v>99</v>
      </c>
      <c r="O3148">
        <v>91761</v>
      </c>
      <c r="Q3148" t="s">
        <v>124</v>
      </c>
      <c r="R3148">
        <v>44</v>
      </c>
      <c r="S3148">
        <v>38.74</v>
      </c>
      <c r="T3148">
        <v>0</v>
      </c>
      <c r="U3148">
        <v>0</v>
      </c>
      <c r="V3148">
        <v>13</v>
      </c>
      <c r="W3148">
        <v>0</v>
      </c>
      <c r="X3148">
        <v>0</v>
      </c>
      <c r="Y3148">
        <v>0</v>
      </c>
      <c r="Z3148">
        <v>0</v>
      </c>
      <c r="AA3148">
        <v>0</v>
      </c>
      <c r="AB3148">
        <v>0</v>
      </c>
      <c r="AC3148">
        <v>0</v>
      </c>
      <c r="AD3148">
        <v>44</v>
      </c>
      <c r="AE3148">
        <v>0</v>
      </c>
      <c r="AF3148">
        <v>0</v>
      </c>
      <c r="AG3148">
        <v>0</v>
      </c>
      <c r="AH3148">
        <v>0</v>
      </c>
      <c r="AI3148">
        <v>0</v>
      </c>
      <c r="AJ3148">
        <v>0</v>
      </c>
      <c r="AK3148">
        <v>0</v>
      </c>
    </row>
    <row r="3149" spans="1:37" x14ac:dyDescent="0.3">
      <c r="A3149">
        <v>7134</v>
      </c>
      <c r="B3149" t="s">
        <v>28</v>
      </c>
      <c r="C3149">
        <v>399</v>
      </c>
      <c r="D3149" t="s">
        <v>3561</v>
      </c>
      <c r="E3149">
        <v>99999999</v>
      </c>
      <c r="F3149">
        <v>11111111</v>
      </c>
      <c r="G3149">
        <v>1111111111</v>
      </c>
      <c r="H3149" t="s">
        <v>6718</v>
      </c>
      <c r="I3149">
        <v>99999999</v>
      </c>
      <c r="J3149" s="188">
        <v>45238</v>
      </c>
      <c r="K3149" t="s">
        <v>6718</v>
      </c>
      <c r="L3149" t="s">
        <v>6718</v>
      </c>
      <c r="M3149" t="s">
        <v>3298</v>
      </c>
      <c r="N3149" t="s">
        <v>99</v>
      </c>
      <c r="O3149">
        <v>91761</v>
      </c>
      <c r="Q3149" t="s">
        <v>124</v>
      </c>
      <c r="R3149">
        <v>34</v>
      </c>
      <c r="S3149">
        <v>30.07</v>
      </c>
      <c r="T3149">
        <v>0</v>
      </c>
      <c r="U3149">
        <v>0</v>
      </c>
      <c r="V3149">
        <v>13</v>
      </c>
      <c r="W3149">
        <v>0</v>
      </c>
      <c r="X3149">
        <v>0</v>
      </c>
      <c r="Y3149">
        <v>0</v>
      </c>
      <c r="Z3149">
        <v>0</v>
      </c>
      <c r="AA3149">
        <v>0</v>
      </c>
      <c r="AB3149">
        <v>0</v>
      </c>
      <c r="AC3149">
        <v>0</v>
      </c>
      <c r="AD3149">
        <v>34</v>
      </c>
      <c r="AE3149">
        <v>0</v>
      </c>
      <c r="AF3149">
        <v>0</v>
      </c>
      <c r="AG3149">
        <v>0</v>
      </c>
      <c r="AH3149">
        <v>0</v>
      </c>
      <c r="AI3149">
        <v>0</v>
      </c>
      <c r="AJ3149">
        <v>0</v>
      </c>
      <c r="AK3149">
        <v>0</v>
      </c>
    </row>
    <row r="3150" spans="1:37" x14ac:dyDescent="0.3">
      <c r="A3150">
        <v>7134</v>
      </c>
      <c r="B3150" t="s">
        <v>28</v>
      </c>
      <c r="C3150">
        <v>399</v>
      </c>
      <c r="D3150" t="s">
        <v>3561</v>
      </c>
      <c r="E3150">
        <v>99999999</v>
      </c>
      <c r="F3150">
        <v>11111111</v>
      </c>
      <c r="G3150">
        <v>1111111111</v>
      </c>
      <c r="H3150" t="s">
        <v>6719</v>
      </c>
      <c r="I3150">
        <v>99999999</v>
      </c>
      <c r="J3150" s="188">
        <v>45238</v>
      </c>
      <c r="K3150" t="s">
        <v>6719</v>
      </c>
      <c r="L3150" t="s">
        <v>6719</v>
      </c>
      <c r="M3150" t="s">
        <v>3298</v>
      </c>
      <c r="N3150" t="s">
        <v>99</v>
      </c>
      <c r="O3150">
        <v>91761</v>
      </c>
      <c r="Q3150" t="s">
        <v>124</v>
      </c>
      <c r="R3150">
        <v>41</v>
      </c>
      <c r="S3150">
        <v>36.28</v>
      </c>
      <c r="T3150">
        <v>0</v>
      </c>
      <c r="U3150">
        <v>0</v>
      </c>
      <c r="V3150">
        <v>13</v>
      </c>
      <c r="W3150">
        <v>0</v>
      </c>
      <c r="X3150">
        <v>0</v>
      </c>
      <c r="Y3150">
        <v>0</v>
      </c>
      <c r="Z3150">
        <v>0</v>
      </c>
      <c r="AA3150">
        <v>0</v>
      </c>
      <c r="AB3150">
        <v>0</v>
      </c>
      <c r="AC3150">
        <v>0</v>
      </c>
      <c r="AD3150">
        <v>41</v>
      </c>
      <c r="AE3150">
        <v>0</v>
      </c>
      <c r="AF3150">
        <v>0</v>
      </c>
      <c r="AG3150">
        <v>0</v>
      </c>
      <c r="AH3150">
        <v>0</v>
      </c>
      <c r="AI3150">
        <v>0</v>
      </c>
      <c r="AJ3150">
        <v>0</v>
      </c>
      <c r="AK3150">
        <v>0</v>
      </c>
    </row>
    <row r="3151" spans="1:37" x14ac:dyDescent="0.3">
      <c r="A3151">
        <v>7134</v>
      </c>
      <c r="B3151" t="s">
        <v>28</v>
      </c>
      <c r="C3151">
        <v>399</v>
      </c>
      <c r="D3151" t="s">
        <v>3561</v>
      </c>
      <c r="E3151">
        <v>99999999</v>
      </c>
      <c r="F3151">
        <v>11111111</v>
      </c>
      <c r="G3151">
        <v>1111111111</v>
      </c>
      <c r="H3151" t="s">
        <v>6720</v>
      </c>
      <c r="I3151">
        <v>99999999</v>
      </c>
      <c r="J3151" s="188">
        <v>45238</v>
      </c>
      <c r="K3151" t="s">
        <v>6720</v>
      </c>
      <c r="L3151" t="s">
        <v>6720</v>
      </c>
      <c r="M3151" t="s">
        <v>3298</v>
      </c>
      <c r="N3151" t="s">
        <v>99</v>
      </c>
      <c r="O3151">
        <v>91761</v>
      </c>
      <c r="Q3151" t="s">
        <v>124</v>
      </c>
      <c r="R3151">
        <v>47</v>
      </c>
      <c r="S3151">
        <v>41.39</v>
      </c>
      <c r="T3151">
        <v>0</v>
      </c>
      <c r="U3151">
        <v>0</v>
      </c>
      <c r="V3151">
        <v>13</v>
      </c>
      <c r="W3151">
        <v>0</v>
      </c>
      <c r="X3151">
        <v>0</v>
      </c>
      <c r="Y3151">
        <v>0</v>
      </c>
      <c r="Z3151">
        <v>0</v>
      </c>
      <c r="AA3151">
        <v>0</v>
      </c>
      <c r="AB3151">
        <v>0</v>
      </c>
      <c r="AC3151">
        <v>0</v>
      </c>
      <c r="AD3151">
        <v>47</v>
      </c>
      <c r="AE3151">
        <v>0</v>
      </c>
      <c r="AF3151">
        <v>0</v>
      </c>
      <c r="AG3151">
        <v>0</v>
      </c>
      <c r="AH3151">
        <v>0</v>
      </c>
      <c r="AI3151">
        <v>0</v>
      </c>
      <c r="AJ3151">
        <v>0</v>
      </c>
      <c r="AK3151">
        <v>0</v>
      </c>
    </row>
    <row r="3152" spans="1:37" x14ac:dyDescent="0.3">
      <c r="A3152">
        <v>7134</v>
      </c>
      <c r="B3152" t="s">
        <v>28</v>
      </c>
      <c r="C3152">
        <v>399</v>
      </c>
      <c r="D3152" t="s">
        <v>3561</v>
      </c>
      <c r="E3152">
        <v>99999999</v>
      </c>
      <c r="F3152">
        <v>11111111</v>
      </c>
      <c r="G3152">
        <v>1111111111</v>
      </c>
      <c r="H3152" t="s">
        <v>6721</v>
      </c>
      <c r="I3152">
        <v>99999999</v>
      </c>
      <c r="J3152" s="188">
        <v>45238</v>
      </c>
      <c r="K3152" t="s">
        <v>6721</v>
      </c>
      <c r="L3152" t="s">
        <v>6721</v>
      </c>
      <c r="M3152" t="s">
        <v>3298</v>
      </c>
      <c r="N3152" t="s">
        <v>99</v>
      </c>
      <c r="O3152">
        <v>91761</v>
      </c>
      <c r="Q3152" t="s">
        <v>124</v>
      </c>
      <c r="R3152">
        <v>20</v>
      </c>
      <c r="S3152">
        <v>17.86</v>
      </c>
      <c r="T3152">
        <v>0</v>
      </c>
      <c r="U3152">
        <v>0</v>
      </c>
      <c r="V3152">
        <v>13</v>
      </c>
      <c r="W3152">
        <v>0</v>
      </c>
      <c r="X3152">
        <v>0</v>
      </c>
      <c r="Y3152">
        <v>0</v>
      </c>
      <c r="Z3152">
        <v>0</v>
      </c>
      <c r="AA3152">
        <v>0</v>
      </c>
      <c r="AB3152">
        <v>0</v>
      </c>
      <c r="AC3152">
        <v>0</v>
      </c>
      <c r="AD3152">
        <v>20</v>
      </c>
      <c r="AE3152">
        <v>0</v>
      </c>
      <c r="AF3152">
        <v>0</v>
      </c>
      <c r="AG3152">
        <v>0</v>
      </c>
      <c r="AH3152">
        <v>0</v>
      </c>
      <c r="AI3152">
        <v>0</v>
      </c>
      <c r="AJ3152">
        <v>0</v>
      </c>
      <c r="AK3152">
        <v>0</v>
      </c>
    </row>
    <row r="3153" spans="1:37" x14ac:dyDescent="0.3">
      <c r="A3153">
        <v>7134</v>
      </c>
      <c r="B3153" t="s">
        <v>28</v>
      </c>
      <c r="C3153">
        <v>399</v>
      </c>
      <c r="D3153" t="s">
        <v>3561</v>
      </c>
      <c r="E3153">
        <v>99999999</v>
      </c>
      <c r="F3153">
        <v>11111111</v>
      </c>
      <c r="G3153">
        <v>1111111111</v>
      </c>
      <c r="H3153" t="s">
        <v>6722</v>
      </c>
      <c r="I3153">
        <v>99999999</v>
      </c>
      <c r="J3153" s="188">
        <v>45238</v>
      </c>
      <c r="K3153" t="s">
        <v>6722</v>
      </c>
      <c r="L3153" t="s">
        <v>6722</v>
      </c>
      <c r="M3153" t="s">
        <v>3298</v>
      </c>
      <c r="N3153" t="s">
        <v>99</v>
      </c>
      <c r="O3153">
        <v>91761</v>
      </c>
      <c r="Q3153" t="s">
        <v>124</v>
      </c>
      <c r="R3153">
        <v>30</v>
      </c>
      <c r="S3153">
        <v>26.16</v>
      </c>
      <c r="T3153">
        <v>0</v>
      </c>
      <c r="U3153">
        <v>0</v>
      </c>
      <c r="V3153">
        <v>13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30</v>
      </c>
      <c r="AE3153">
        <v>0</v>
      </c>
      <c r="AF3153">
        <v>0</v>
      </c>
      <c r="AG3153">
        <v>0</v>
      </c>
      <c r="AH3153">
        <v>0</v>
      </c>
      <c r="AI3153">
        <v>0</v>
      </c>
      <c r="AJ3153">
        <v>0</v>
      </c>
      <c r="AK3153">
        <v>0</v>
      </c>
    </row>
    <row r="3154" spans="1:37" x14ac:dyDescent="0.3">
      <c r="A3154">
        <v>7134</v>
      </c>
      <c r="B3154" t="s">
        <v>28</v>
      </c>
      <c r="C3154">
        <v>799</v>
      </c>
      <c r="D3154" t="s">
        <v>3500</v>
      </c>
      <c r="E3154">
        <v>99999999</v>
      </c>
      <c r="F3154">
        <v>11111111</v>
      </c>
      <c r="G3154">
        <v>1111111111</v>
      </c>
      <c r="H3154" t="s">
        <v>6723</v>
      </c>
      <c r="I3154">
        <v>99999999</v>
      </c>
      <c r="J3154" s="188">
        <v>45238</v>
      </c>
      <c r="K3154" t="s">
        <v>6723</v>
      </c>
      <c r="L3154" t="s">
        <v>6723</v>
      </c>
      <c r="Q3154" t="s">
        <v>124</v>
      </c>
      <c r="R3154">
        <v>0</v>
      </c>
      <c r="T3154">
        <v>1</v>
      </c>
      <c r="U3154">
        <v>36</v>
      </c>
      <c r="V3154">
        <v>0</v>
      </c>
      <c r="W3154">
        <v>0</v>
      </c>
      <c r="X3154">
        <v>0</v>
      </c>
      <c r="Y3154">
        <v>0</v>
      </c>
      <c r="Z3154">
        <v>0</v>
      </c>
      <c r="AA3154">
        <v>0</v>
      </c>
      <c r="AB3154">
        <v>0</v>
      </c>
      <c r="AC3154">
        <v>0</v>
      </c>
      <c r="AD3154">
        <v>0</v>
      </c>
      <c r="AE3154">
        <v>0</v>
      </c>
      <c r="AF3154">
        <v>0</v>
      </c>
      <c r="AG3154">
        <v>0</v>
      </c>
      <c r="AH3154">
        <v>0</v>
      </c>
      <c r="AI3154">
        <v>0</v>
      </c>
      <c r="AJ3154">
        <v>0</v>
      </c>
      <c r="AK3154">
        <v>0</v>
      </c>
    </row>
    <row r="3155" spans="1:37" x14ac:dyDescent="0.3">
      <c r="A3155">
        <v>7134</v>
      </c>
      <c r="B3155" t="s">
        <v>28</v>
      </c>
      <c r="C3155">
        <v>799</v>
      </c>
      <c r="D3155" t="s">
        <v>3500</v>
      </c>
      <c r="E3155">
        <v>99999999</v>
      </c>
      <c r="F3155">
        <v>11111111</v>
      </c>
      <c r="G3155">
        <v>1111111111</v>
      </c>
      <c r="H3155" t="s">
        <v>6724</v>
      </c>
      <c r="I3155">
        <v>99999999</v>
      </c>
      <c r="J3155" s="188">
        <v>45238</v>
      </c>
      <c r="K3155" t="s">
        <v>6724</v>
      </c>
      <c r="L3155" t="s">
        <v>6724</v>
      </c>
      <c r="M3155" t="s">
        <v>3300</v>
      </c>
      <c r="N3155" t="s">
        <v>141</v>
      </c>
      <c r="O3155">
        <v>32609</v>
      </c>
      <c r="Q3155" t="s">
        <v>124</v>
      </c>
      <c r="R3155">
        <v>22</v>
      </c>
      <c r="S3155">
        <v>19.71</v>
      </c>
      <c r="T3155">
        <v>0</v>
      </c>
      <c r="U3155">
        <v>0</v>
      </c>
      <c r="V3155">
        <v>13</v>
      </c>
      <c r="W3155">
        <v>0</v>
      </c>
      <c r="X3155">
        <v>0</v>
      </c>
      <c r="Y3155">
        <v>0</v>
      </c>
      <c r="Z3155">
        <v>0</v>
      </c>
      <c r="AA3155">
        <v>0</v>
      </c>
      <c r="AB3155">
        <v>0</v>
      </c>
      <c r="AC3155">
        <v>0</v>
      </c>
      <c r="AD3155">
        <v>22</v>
      </c>
      <c r="AE3155">
        <v>0</v>
      </c>
      <c r="AF3155">
        <v>0</v>
      </c>
      <c r="AG3155">
        <v>0</v>
      </c>
      <c r="AH3155">
        <v>0</v>
      </c>
      <c r="AI3155">
        <v>0</v>
      </c>
      <c r="AJ3155">
        <v>0</v>
      </c>
      <c r="AK3155">
        <v>0</v>
      </c>
    </row>
    <row r="3156" spans="1:37" x14ac:dyDescent="0.3">
      <c r="A3156">
        <v>7134</v>
      </c>
      <c r="B3156" t="s">
        <v>28</v>
      </c>
      <c r="C3156">
        <v>799</v>
      </c>
      <c r="D3156" t="s">
        <v>3500</v>
      </c>
      <c r="E3156">
        <v>99999999</v>
      </c>
      <c r="F3156">
        <v>11111111</v>
      </c>
      <c r="G3156">
        <v>1111111111</v>
      </c>
      <c r="H3156" t="s">
        <v>6725</v>
      </c>
      <c r="I3156">
        <v>99999999</v>
      </c>
      <c r="J3156" s="188">
        <v>45238</v>
      </c>
      <c r="K3156" t="s">
        <v>6725</v>
      </c>
      <c r="L3156" t="s">
        <v>6725</v>
      </c>
      <c r="M3156" t="s">
        <v>3300</v>
      </c>
      <c r="N3156" t="s">
        <v>141</v>
      </c>
      <c r="O3156">
        <v>32609</v>
      </c>
      <c r="Q3156" t="s">
        <v>124</v>
      </c>
      <c r="R3156">
        <v>20</v>
      </c>
      <c r="S3156">
        <v>17.59</v>
      </c>
      <c r="T3156">
        <v>0</v>
      </c>
      <c r="U3156">
        <v>0</v>
      </c>
      <c r="V3156">
        <v>13</v>
      </c>
      <c r="W3156">
        <v>0</v>
      </c>
      <c r="X3156">
        <v>0</v>
      </c>
      <c r="Y3156">
        <v>0</v>
      </c>
      <c r="Z3156">
        <v>0</v>
      </c>
      <c r="AA3156">
        <v>0</v>
      </c>
      <c r="AB3156">
        <v>0</v>
      </c>
      <c r="AC3156">
        <v>0</v>
      </c>
      <c r="AD3156">
        <v>20</v>
      </c>
      <c r="AE3156">
        <v>0</v>
      </c>
      <c r="AF3156">
        <v>0</v>
      </c>
      <c r="AG3156">
        <v>0</v>
      </c>
      <c r="AH3156">
        <v>0</v>
      </c>
      <c r="AI3156">
        <v>0</v>
      </c>
      <c r="AJ3156">
        <v>0</v>
      </c>
      <c r="AK3156">
        <v>0</v>
      </c>
    </row>
    <row r="3157" spans="1:37" x14ac:dyDescent="0.3">
      <c r="A3157">
        <v>7134</v>
      </c>
      <c r="B3157" t="s">
        <v>28</v>
      </c>
      <c r="C3157">
        <v>799</v>
      </c>
      <c r="D3157" t="s">
        <v>3500</v>
      </c>
      <c r="E3157">
        <v>99999999</v>
      </c>
      <c r="F3157">
        <v>11111111</v>
      </c>
      <c r="G3157">
        <v>1111111111</v>
      </c>
      <c r="H3157" t="s">
        <v>6726</v>
      </c>
      <c r="I3157">
        <v>99999999</v>
      </c>
      <c r="J3157" s="188">
        <v>45238</v>
      </c>
      <c r="K3157" t="s">
        <v>6726</v>
      </c>
      <c r="L3157" t="s">
        <v>6726</v>
      </c>
      <c r="M3157" t="s">
        <v>3300</v>
      </c>
      <c r="N3157" t="s">
        <v>141</v>
      </c>
      <c r="O3157">
        <v>32609</v>
      </c>
      <c r="Q3157" t="s">
        <v>124</v>
      </c>
      <c r="R3157">
        <v>20</v>
      </c>
      <c r="S3157">
        <v>17.95</v>
      </c>
      <c r="T3157">
        <v>0</v>
      </c>
      <c r="U3157">
        <v>0</v>
      </c>
      <c r="V3157">
        <v>13</v>
      </c>
      <c r="W3157">
        <v>0</v>
      </c>
      <c r="X3157">
        <v>0</v>
      </c>
      <c r="Y3157">
        <v>0</v>
      </c>
      <c r="Z3157">
        <v>0</v>
      </c>
      <c r="AA3157">
        <v>0</v>
      </c>
      <c r="AB3157">
        <v>0</v>
      </c>
      <c r="AC3157">
        <v>0</v>
      </c>
      <c r="AD3157">
        <v>20</v>
      </c>
      <c r="AE3157">
        <v>0</v>
      </c>
      <c r="AF3157">
        <v>0</v>
      </c>
      <c r="AG3157">
        <v>0</v>
      </c>
      <c r="AH3157">
        <v>0</v>
      </c>
      <c r="AI3157">
        <v>0</v>
      </c>
      <c r="AJ3157">
        <v>0</v>
      </c>
      <c r="AK3157">
        <v>0</v>
      </c>
    </row>
    <row r="3158" spans="1:37" x14ac:dyDescent="0.3">
      <c r="A3158">
        <v>7134</v>
      </c>
      <c r="B3158" t="s">
        <v>28</v>
      </c>
      <c r="C3158">
        <v>799</v>
      </c>
      <c r="D3158" t="s">
        <v>3500</v>
      </c>
      <c r="E3158">
        <v>99999999</v>
      </c>
      <c r="F3158">
        <v>11111111</v>
      </c>
      <c r="G3158">
        <v>1111111111</v>
      </c>
      <c r="H3158" t="s">
        <v>6727</v>
      </c>
      <c r="I3158">
        <v>99999999</v>
      </c>
      <c r="J3158" s="188">
        <v>45238</v>
      </c>
      <c r="K3158" t="s">
        <v>6727</v>
      </c>
      <c r="L3158" t="s">
        <v>6727</v>
      </c>
      <c r="M3158" t="s">
        <v>3300</v>
      </c>
      <c r="N3158" t="s">
        <v>141</v>
      </c>
      <c r="O3158">
        <v>32609</v>
      </c>
      <c r="Q3158" t="s">
        <v>124</v>
      </c>
      <c r="R3158">
        <v>20</v>
      </c>
      <c r="S3158">
        <v>17.86</v>
      </c>
      <c r="T3158">
        <v>0</v>
      </c>
      <c r="U3158">
        <v>0</v>
      </c>
      <c r="V3158">
        <v>13</v>
      </c>
      <c r="W3158">
        <v>0</v>
      </c>
      <c r="X3158">
        <v>0</v>
      </c>
      <c r="Y3158">
        <v>0</v>
      </c>
      <c r="Z3158">
        <v>0</v>
      </c>
      <c r="AA3158">
        <v>0</v>
      </c>
      <c r="AB3158">
        <v>0</v>
      </c>
      <c r="AC3158">
        <v>0</v>
      </c>
      <c r="AD3158">
        <v>20</v>
      </c>
      <c r="AE3158">
        <v>0</v>
      </c>
      <c r="AF3158">
        <v>0</v>
      </c>
      <c r="AG3158">
        <v>0</v>
      </c>
      <c r="AH3158">
        <v>0</v>
      </c>
      <c r="AI3158">
        <v>0</v>
      </c>
      <c r="AJ3158">
        <v>0</v>
      </c>
      <c r="AK3158">
        <v>0</v>
      </c>
    </row>
    <row r="3159" spans="1:37" x14ac:dyDescent="0.3">
      <c r="A3159">
        <v>7134</v>
      </c>
      <c r="B3159" t="s">
        <v>28</v>
      </c>
      <c r="C3159">
        <v>799</v>
      </c>
      <c r="D3159" t="s">
        <v>3500</v>
      </c>
      <c r="E3159">
        <v>99999999</v>
      </c>
      <c r="F3159">
        <v>11111111</v>
      </c>
      <c r="G3159">
        <v>1111111111</v>
      </c>
      <c r="H3159" t="s">
        <v>6728</v>
      </c>
      <c r="I3159">
        <v>99999999</v>
      </c>
      <c r="J3159" s="188">
        <v>45238</v>
      </c>
      <c r="K3159" t="s">
        <v>6728</v>
      </c>
      <c r="L3159" t="s">
        <v>6728</v>
      </c>
      <c r="M3159" t="s">
        <v>3300</v>
      </c>
      <c r="N3159" t="s">
        <v>141</v>
      </c>
      <c r="O3159">
        <v>32609</v>
      </c>
      <c r="Q3159" t="s">
        <v>124</v>
      </c>
      <c r="R3159">
        <v>22</v>
      </c>
      <c r="S3159">
        <v>19.62</v>
      </c>
      <c r="T3159">
        <v>0</v>
      </c>
      <c r="U3159">
        <v>0</v>
      </c>
      <c r="V3159">
        <v>13</v>
      </c>
      <c r="W3159">
        <v>0</v>
      </c>
      <c r="X3159">
        <v>0</v>
      </c>
      <c r="Y3159">
        <v>0</v>
      </c>
      <c r="Z3159">
        <v>0</v>
      </c>
      <c r="AA3159">
        <v>0</v>
      </c>
      <c r="AB3159">
        <v>0</v>
      </c>
      <c r="AC3159">
        <v>0</v>
      </c>
      <c r="AD3159">
        <v>22</v>
      </c>
      <c r="AE3159">
        <v>0</v>
      </c>
      <c r="AF3159">
        <v>0</v>
      </c>
      <c r="AG3159">
        <v>0</v>
      </c>
      <c r="AH3159">
        <v>0</v>
      </c>
      <c r="AI3159">
        <v>0</v>
      </c>
      <c r="AJ3159">
        <v>0</v>
      </c>
      <c r="AK3159">
        <v>0</v>
      </c>
    </row>
    <row r="3160" spans="1:37" x14ac:dyDescent="0.3">
      <c r="A3160">
        <v>7134</v>
      </c>
      <c r="B3160" t="s">
        <v>28</v>
      </c>
      <c r="C3160">
        <v>799</v>
      </c>
      <c r="D3160" t="s">
        <v>3500</v>
      </c>
      <c r="E3160">
        <v>99999999</v>
      </c>
      <c r="F3160">
        <v>11111111</v>
      </c>
      <c r="G3160">
        <v>1111111111</v>
      </c>
      <c r="H3160" t="s">
        <v>6729</v>
      </c>
      <c r="I3160">
        <v>99999999</v>
      </c>
      <c r="J3160" s="188">
        <v>45238</v>
      </c>
      <c r="K3160" t="s">
        <v>6729</v>
      </c>
      <c r="L3160" t="s">
        <v>6729</v>
      </c>
      <c r="M3160" t="s">
        <v>3300</v>
      </c>
      <c r="N3160" t="s">
        <v>141</v>
      </c>
      <c r="O3160">
        <v>32609</v>
      </c>
      <c r="Q3160" t="s">
        <v>124</v>
      </c>
      <c r="R3160">
        <v>24</v>
      </c>
      <c r="S3160">
        <v>21.06</v>
      </c>
      <c r="T3160">
        <v>0</v>
      </c>
      <c r="U3160">
        <v>0</v>
      </c>
      <c r="V3160">
        <v>13</v>
      </c>
      <c r="W3160">
        <v>0</v>
      </c>
      <c r="X3160">
        <v>0</v>
      </c>
      <c r="Y3160">
        <v>0</v>
      </c>
      <c r="Z3160">
        <v>0</v>
      </c>
      <c r="AA3160">
        <v>0</v>
      </c>
      <c r="AB3160">
        <v>0</v>
      </c>
      <c r="AC3160">
        <v>0</v>
      </c>
      <c r="AD3160">
        <v>24</v>
      </c>
      <c r="AE3160">
        <v>0</v>
      </c>
      <c r="AF3160">
        <v>0</v>
      </c>
      <c r="AG3160">
        <v>0</v>
      </c>
      <c r="AH3160">
        <v>0</v>
      </c>
      <c r="AI3160">
        <v>0</v>
      </c>
      <c r="AJ3160">
        <v>0</v>
      </c>
      <c r="AK3160">
        <v>0</v>
      </c>
    </row>
    <row r="3161" spans="1:37" x14ac:dyDescent="0.3">
      <c r="A3161">
        <v>7134</v>
      </c>
      <c r="B3161" t="s">
        <v>28</v>
      </c>
      <c r="C3161">
        <v>799</v>
      </c>
      <c r="D3161" t="s">
        <v>3500</v>
      </c>
      <c r="E3161">
        <v>99999999</v>
      </c>
      <c r="F3161">
        <v>11111111</v>
      </c>
      <c r="G3161">
        <v>1111111111</v>
      </c>
      <c r="H3161" t="s">
        <v>6730</v>
      </c>
      <c r="I3161">
        <v>99999999</v>
      </c>
      <c r="J3161" s="188">
        <v>45238</v>
      </c>
      <c r="K3161" t="s">
        <v>6730</v>
      </c>
      <c r="L3161" t="s">
        <v>6730</v>
      </c>
      <c r="M3161" t="s">
        <v>3300</v>
      </c>
      <c r="N3161" t="s">
        <v>141</v>
      </c>
      <c r="O3161">
        <v>32609</v>
      </c>
      <c r="Q3161" t="s">
        <v>124</v>
      </c>
      <c r="R3161">
        <v>20</v>
      </c>
      <c r="S3161">
        <v>17.95</v>
      </c>
      <c r="T3161">
        <v>0</v>
      </c>
      <c r="U3161">
        <v>0</v>
      </c>
      <c r="V3161">
        <v>13</v>
      </c>
      <c r="W3161">
        <v>0</v>
      </c>
      <c r="X3161">
        <v>0</v>
      </c>
      <c r="Y3161">
        <v>0</v>
      </c>
      <c r="Z3161">
        <v>0</v>
      </c>
      <c r="AA3161">
        <v>0</v>
      </c>
      <c r="AB3161">
        <v>0</v>
      </c>
      <c r="AC3161">
        <v>0</v>
      </c>
      <c r="AD3161">
        <v>20</v>
      </c>
      <c r="AE3161">
        <v>0</v>
      </c>
      <c r="AF3161">
        <v>0</v>
      </c>
      <c r="AG3161">
        <v>0</v>
      </c>
      <c r="AH3161">
        <v>0</v>
      </c>
      <c r="AI3161">
        <v>0</v>
      </c>
      <c r="AJ3161">
        <v>0</v>
      </c>
      <c r="AK3161">
        <v>0</v>
      </c>
    </row>
    <row r="3162" spans="1:37" x14ac:dyDescent="0.3">
      <c r="A3162">
        <v>7134</v>
      </c>
      <c r="B3162" t="s">
        <v>28</v>
      </c>
      <c r="C3162">
        <v>799</v>
      </c>
      <c r="D3162" t="s">
        <v>3500</v>
      </c>
      <c r="E3162">
        <v>99999999</v>
      </c>
      <c r="F3162">
        <v>11111111</v>
      </c>
      <c r="G3162">
        <v>1111111111</v>
      </c>
      <c r="H3162" t="s">
        <v>6731</v>
      </c>
      <c r="I3162">
        <v>99999999</v>
      </c>
      <c r="J3162" s="188">
        <v>45238</v>
      </c>
      <c r="K3162" t="s">
        <v>6731</v>
      </c>
      <c r="L3162" t="s">
        <v>6731</v>
      </c>
      <c r="M3162" t="s">
        <v>3300</v>
      </c>
      <c r="N3162" t="s">
        <v>141</v>
      </c>
      <c r="O3162">
        <v>32609</v>
      </c>
      <c r="Q3162" t="s">
        <v>124</v>
      </c>
      <c r="R3162">
        <v>22</v>
      </c>
      <c r="S3162">
        <v>19.350000000000001</v>
      </c>
      <c r="T3162">
        <v>0</v>
      </c>
      <c r="U3162">
        <v>0</v>
      </c>
      <c r="V3162">
        <v>13</v>
      </c>
      <c r="W3162">
        <v>0</v>
      </c>
      <c r="X3162">
        <v>0</v>
      </c>
      <c r="Y3162">
        <v>0</v>
      </c>
      <c r="Z3162">
        <v>0</v>
      </c>
      <c r="AA3162">
        <v>0</v>
      </c>
      <c r="AB3162">
        <v>0</v>
      </c>
      <c r="AC3162">
        <v>0</v>
      </c>
      <c r="AD3162">
        <v>22</v>
      </c>
      <c r="AE3162">
        <v>0</v>
      </c>
      <c r="AF3162">
        <v>0</v>
      </c>
      <c r="AG3162">
        <v>0</v>
      </c>
      <c r="AH3162">
        <v>0</v>
      </c>
      <c r="AI3162">
        <v>0</v>
      </c>
      <c r="AJ3162">
        <v>0</v>
      </c>
      <c r="AK3162">
        <v>0</v>
      </c>
    </row>
    <row r="3163" spans="1:37" x14ac:dyDescent="0.3">
      <c r="A3163">
        <v>7134</v>
      </c>
      <c r="B3163" t="s">
        <v>28</v>
      </c>
      <c r="C3163">
        <v>799</v>
      </c>
      <c r="D3163" t="s">
        <v>3500</v>
      </c>
      <c r="E3163">
        <v>99999999</v>
      </c>
      <c r="F3163">
        <v>11111111</v>
      </c>
      <c r="G3163">
        <v>1111111111</v>
      </c>
      <c r="H3163" t="s">
        <v>6732</v>
      </c>
      <c r="I3163">
        <v>99999999</v>
      </c>
      <c r="J3163" s="188">
        <v>45238</v>
      </c>
      <c r="K3163" t="s">
        <v>6732</v>
      </c>
      <c r="L3163" t="s">
        <v>6732</v>
      </c>
      <c r="M3163" t="s">
        <v>3300</v>
      </c>
      <c r="N3163" t="s">
        <v>141</v>
      </c>
      <c r="O3163">
        <v>32609</v>
      </c>
      <c r="Q3163" t="s">
        <v>124</v>
      </c>
      <c r="R3163">
        <v>18</v>
      </c>
      <c r="S3163">
        <v>15.69</v>
      </c>
      <c r="T3163">
        <v>0</v>
      </c>
      <c r="U3163">
        <v>0</v>
      </c>
      <c r="V3163">
        <v>12</v>
      </c>
      <c r="W3163">
        <v>0</v>
      </c>
      <c r="X3163">
        <v>0</v>
      </c>
      <c r="Y3163">
        <v>0</v>
      </c>
      <c r="Z3163">
        <v>0</v>
      </c>
      <c r="AA3163">
        <v>0</v>
      </c>
      <c r="AB3163">
        <v>0</v>
      </c>
      <c r="AC3163">
        <v>0</v>
      </c>
      <c r="AD3163">
        <v>18</v>
      </c>
      <c r="AE3163">
        <v>0</v>
      </c>
      <c r="AF3163">
        <v>0</v>
      </c>
      <c r="AG3163">
        <v>0</v>
      </c>
      <c r="AH3163">
        <v>0</v>
      </c>
      <c r="AI3163">
        <v>0</v>
      </c>
      <c r="AJ3163">
        <v>0</v>
      </c>
      <c r="AK3163">
        <v>0</v>
      </c>
    </row>
    <row r="3164" spans="1:37" x14ac:dyDescent="0.3">
      <c r="A3164">
        <v>7134</v>
      </c>
      <c r="B3164" t="s">
        <v>28</v>
      </c>
      <c r="C3164">
        <v>799</v>
      </c>
      <c r="D3164" t="s">
        <v>3500</v>
      </c>
      <c r="E3164">
        <v>99999999</v>
      </c>
      <c r="F3164">
        <v>11111111</v>
      </c>
      <c r="G3164">
        <v>1111111111</v>
      </c>
      <c r="H3164" t="s">
        <v>6733</v>
      </c>
      <c r="I3164">
        <v>99999999</v>
      </c>
      <c r="J3164" s="188">
        <v>45238</v>
      </c>
      <c r="K3164" t="s">
        <v>6733</v>
      </c>
      <c r="L3164" t="s">
        <v>6733</v>
      </c>
      <c r="M3164" t="s">
        <v>3300</v>
      </c>
      <c r="N3164" t="s">
        <v>141</v>
      </c>
      <c r="O3164">
        <v>32609</v>
      </c>
      <c r="Q3164" t="s">
        <v>124</v>
      </c>
      <c r="R3164">
        <v>20</v>
      </c>
      <c r="S3164">
        <v>17.91</v>
      </c>
      <c r="T3164">
        <v>0</v>
      </c>
      <c r="U3164">
        <v>0</v>
      </c>
      <c r="V3164">
        <v>13</v>
      </c>
      <c r="W3164">
        <v>0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20</v>
      </c>
      <c r="AE3164">
        <v>0</v>
      </c>
      <c r="AF3164">
        <v>0</v>
      </c>
      <c r="AG3164">
        <v>0</v>
      </c>
      <c r="AH3164">
        <v>0</v>
      </c>
      <c r="AI3164">
        <v>0</v>
      </c>
      <c r="AJ3164">
        <v>0</v>
      </c>
      <c r="AK3164">
        <v>0</v>
      </c>
    </row>
    <row r="3165" spans="1:37" x14ac:dyDescent="0.3">
      <c r="A3165">
        <v>7134</v>
      </c>
      <c r="B3165" t="s">
        <v>28</v>
      </c>
      <c r="C3165">
        <v>799</v>
      </c>
      <c r="D3165" t="s">
        <v>3500</v>
      </c>
      <c r="E3165">
        <v>99999999</v>
      </c>
      <c r="F3165">
        <v>11111111</v>
      </c>
      <c r="G3165">
        <v>1111111111</v>
      </c>
      <c r="H3165" t="s">
        <v>6734</v>
      </c>
      <c r="I3165">
        <v>99999999</v>
      </c>
      <c r="J3165" s="188">
        <v>45238</v>
      </c>
      <c r="K3165" t="s">
        <v>6734</v>
      </c>
      <c r="L3165" t="s">
        <v>6734</v>
      </c>
      <c r="M3165" t="s">
        <v>3300</v>
      </c>
      <c r="N3165" t="s">
        <v>141</v>
      </c>
      <c r="O3165">
        <v>32609</v>
      </c>
      <c r="Q3165" t="s">
        <v>124</v>
      </c>
      <c r="R3165">
        <v>20</v>
      </c>
      <c r="S3165">
        <v>17.95</v>
      </c>
      <c r="T3165">
        <v>0</v>
      </c>
      <c r="U3165">
        <v>0</v>
      </c>
      <c r="V3165">
        <v>13</v>
      </c>
      <c r="W3165">
        <v>0</v>
      </c>
      <c r="X3165">
        <v>0</v>
      </c>
      <c r="Y3165">
        <v>0</v>
      </c>
      <c r="Z3165">
        <v>0</v>
      </c>
      <c r="AA3165">
        <v>0</v>
      </c>
      <c r="AB3165">
        <v>0</v>
      </c>
      <c r="AC3165">
        <v>0</v>
      </c>
      <c r="AD3165">
        <v>20</v>
      </c>
      <c r="AE3165">
        <v>0</v>
      </c>
      <c r="AF3165">
        <v>0</v>
      </c>
      <c r="AG3165">
        <v>0</v>
      </c>
      <c r="AH3165">
        <v>0</v>
      </c>
      <c r="AI3165">
        <v>0</v>
      </c>
      <c r="AJ3165">
        <v>0</v>
      </c>
      <c r="AK3165">
        <v>0</v>
      </c>
    </row>
    <row r="3166" spans="1:37" x14ac:dyDescent="0.3">
      <c r="A3166">
        <v>7134</v>
      </c>
      <c r="B3166" t="s">
        <v>28</v>
      </c>
      <c r="C3166">
        <v>799</v>
      </c>
      <c r="D3166" t="s">
        <v>3500</v>
      </c>
      <c r="E3166">
        <v>99999999</v>
      </c>
      <c r="F3166">
        <v>11111111</v>
      </c>
      <c r="G3166">
        <v>1111111111</v>
      </c>
      <c r="H3166" t="s">
        <v>6735</v>
      </c>
      <c r="I3166">
        <v>99999999</v>
      </c>
      <c r="J3166" s="188">
        <v>45238</v>
      </c>
      <c r="K3166" t="s">
        <v>6735</v>
      </c>
      <c r="L3166" t="s">
        <v>6735</v>
      </c>
      <c r="M3166" t="s">
        <v>3300</v>
      </c>
      <c r="N3166" t="s">
        <v>141</v>
      </c>
      <c r="O3166">
        <v>32609</v>
      </c>
      <c r="Q3166" t="s">
        <v>124</v>
      </c>
      <c r="R3166">
        <v>22</v>
      </c>
      <c r="S3166">
        <v>19.39</v>
      </c>
      <c r="T3166">
        <v>0</v>
      </c>
      <c r="U3166">
        <v>0</v>
      </c>
      <c r="V3166">
        <v>13</v>
      </c>
      <c r="W3166">
        <v>0</v>
      </c>
      <c r="X3166">
        <v>0</v>
      </c>
      <c r="Y3166">
        <v>0</v>
      </c>
      <c r="Z3166">
        <v>0</v>
      </c>
      <c r="AA3166">
        <v>0</v>
      </c>
      <c r="AB3166">
        <v>0</v>
      </c>
      <c r="AC3166">
        <v>0</v>
      </c>
      <c r="AD3166">
        <v>22</v>
      </c>
      <c r="AE3166">
        <v>0</v>
      </c>
      <c r="AF3166">
        <v>0</v>
      </c>
      <c r="AG3166">
        <v>0</v>
      </c>
      <c r="AH3166">
        <v>0</v>
      </c>
      <c r="AI3166">
        <v>0</v>
      </c>
      <c r="AJ3166">
        <v>0</v>
      </c>
      <c r="AK3166">
        <v>0</v>
      </c>
    </row>
    <row r="3167" spans="1:37" x14ac:dyDescent="0.3">
      <c r="A3167">
        <v>7134</v>
      </c>
      <c r="B3167" t="s">
        <v>28</v>
      </c>
      <c r="C3167">
        <v>799</v>
      </c>
      <c r="D3167" t="s">
        <v>3500</v>
      </c>
      <c r="E3167">
        <v>99999999</v>
      </c>
      <c r="F3167">
        <v>11111111</v>
      </c>
      <c r="G3167">
        <v>1111111111</v>
      </c>
      <c r="H3167" t="s">
        <v>6736</v>
      </c>
      <c r="I3167">
        <v>99999999</v>
      </c>
      <c r="J3167" s="188">
        <v>45238</v>
      </c>
      <c r="K3167" t="s">
        <v>6736</v>
      </c>
      <c r="L3167" t="s">
        <v>6736</v>
      </c>
      <c r="M3167" t="s">
        <v>3300</v>
      </c>
      <c r="N3167" t="s">
        <v>141</v>
      </c>
      <c r="O3167">
        <v>32609</v>
      </c>
      <c r="Q3167" t="s">
        <v>124</v>
      </c>
      <c r="R3167">
        <v>20</v>
      </c>
      <c r="S3167">
        <v>17.59</v>
      </c>
      <c r="T3167">
        <v>0</v>
      </c>
      <c r="U3167">
        <v>0</v>
      </c>
      <c r="V3167">
        <v>13</v>
      </c>
      <c r="W3167">
        <v>0</v>
      </c>
      <c r="X3167">
        <v>0</v>
      </c>
      <c r="Y3167">
        <v>0</v>
      </c>
      <c r="Z3167">
        <v>0</v>
      </c>
      <c r="AA3167">
        <v>0</v>
      </c>
      <c r="AB3167">
        <v>0</v>
      </c>
      <c r="AC3167">
        <v>0</v>
      </c>
      <c r="AD3167">
        <v>20</v>
      </c>
      <c r="AE3167">
        <v>0</v>
      </c>
      <c r="AF3167">
        <v>0</v>
      </c>
      <c r="AG3167">
        <v>0</v>
      </c>
      <c r="AH3167">
        <v>0</v>
      </c>
      <c r="AI3167">
        <v>0</v>
      </c>
      <c r="AJ3167">
        <v>0</v>
      </c>
      <c r="AK3167">
        <v>0</v>
      </c>
    </row>
    <row r="3168" spans="1:37" x14ac:dyDescent="0.3">
      <c r="A3168">
        <v>7134</v>
      </c>
      <c r="B3168" t="s">
        <v>28</v>
      </c>
      <c r="C3168">
        <v>799</v>
      </c>
      <c r="D3168" t="s">
        <v>3500</v>
      </c>
      <c r="E3168">
        <v>99999999</v>
      </c>
      <c r="F3168">
        <v>11111111</v>
      </c>
      <c r="G3168">
        <v>1111111111</v>
      </c>
      <c r="H3168" t="s">
        <v>6737</v>
      </c>
      <c r="I3168">
        <v>99999999</v>
      </c>
      <c r="J3168" s="188">
        <v>45238</v>
      </c>
      <c r="K3168" t="s">
        <v>6737</v>
      </c>
      <c r="L3168" t="s">
        <v>6737</v>
      </c>
      <c r="M3168" t="s">
        <v>3300</v>
      </c>
      <c r="N3168" t="s">
        <v>141</v>
      </c>
      <c r="O3168">
        <v>32609</v>
      </c>
      <c r="Q3168" t="s">
        <v>124</v>
      </c>
      <c r="R3168">
        <v>27</v>
      </c>
      <c r="S3168">
        <v>23.53</v>
      </c>
      <c r="T3168">
        <v>0</v>
      </c>
      <c r="U3168">
        <v>0</v>
      </c>
      <c r="V3168">
        <v>13</v>
      </c>
      <c r="W3168">
        <v>0</v>
      </c>
      <c r="X3168">
        <v>0</v>
      </c>
      <c r="Y3168">
        <v>0</v>
      </c>
      <c r="Z3168">
        <v>0</v>
      </c>
      <c r="AA3168">
        <v>0</v>
      </c>
      <c r="AB3168">
        <v>0</v>
      </c>
      <c r="AC3168">
        <v>0</v>
      </c>
      <c r="AD3168">
        <v>27</v>
      </c>
      <c r="AE3168">
        <v>0</v>
      </c>
      <c r="AF3168">
        <v>0</v>
      </c>
      <c r="AG3168">
        <v>0</v>
      </c>
      <c r="AH3168">
        <v>0</v>
      </c>
      <c r="AI3168">
        <v>0</v>
      </c>
      <c r="AJ3168">
        <v>0</v>
      </c>
      <c r="AK3168">
        <v>0</v>
      </c>
    </row>
    <row r="3169" spans="1:37" x14ac:dyDescent="0.3">
      <c r="A3169">
        <v>7134</v>
      </c>
      <c r="B3169" t="s">
        <v>28</v>
      </c>
      <c r="C3169">
        <v>799</v>
      </c>
      <c r="D3169" t="s">
        <v>3500</v>
      </c>
      <c r="E3169">
        <v>99999999</v>
      </c>
      <c r="F3169">
        <v>11111111</v>
      </c>
      <c r="G3169">
        <v>1111111111</v>
      </c>
      <c r="H3169" t="s">
        <v>6738</v>
      </c>
      <c r="I3169">
        <v>99999999</v>
      </c>
      <c r="J3169" s="188">
        <v>45238</v>
      </c>
      <c r="K3169" t="s">
        <v>6738</v>
      </c>
      <c r="L3169" t="s">
        <v>6738</v>
      </c>
      <c r="M3169" t="s">
        <v>3300</v>
      </c>
      <c r="N3169" t="s">
        <v>141</v>
      </c>
      <c r="O3169">
        <v>32609</v>
      </c>
      <c r="Q3169" t="s">
        <v>124</v>
      </c>
      <c r="R3169">
        <v>22</v>
      </c>
      <c r="S3169">
        <v>19.39</v>
      </c>
      <c r="T3169">
        <v>0</v>
      </c>
      <c r="U3169">
        <v>0</v>
      </c>
      <c r="V3169">
        <v>13</v>
      </c>
      <c r="W3169">
        <v>0</v>
      </c>
      <c r="X3169">
        <v>0</v>
      </c>
      <c r="Y3169">
        <v>0</v>
      </c>
      <c r="Z3169">
        <v>0</v>
      </c>
      <c r="AA3169">
        <v>0</v>
      </c>
      <c r="AB3169">
        <v>0</v>
      </c>
      <c r="AC3169">
        <v>0</v>
      </c>
      <c r="AD3169">
        <v>22</v>
      </c>
      <c r="AE3169">
        <v>0</v>
      </c>
      <c r="AF3169">
        <v>0</v>
      </c>
      <c r="AG3169">
        <v>0</v>
      </c>
      <c r="AH3169">
        <v>0</v>
      </c>
      <c r="AI3169">
        <v>0</v>
      </c>
      <c r="AJ3169">
        <v>0</v>
      </c>
      <c r="AK3169">
        <v>0</v>
      </c>
    </row>
    <row r="3170" spans="1:37" x14ac:dyDescent="0.3">
      <c r="A3170">
        <v>7134</v>
      </c>
      <c r="B3170" t="s">
        <v>28</v>
      </c>
      <c r="C3170">
        <v>799</v>
      </c>
      <c r="D3170" t="s">
        <v>3500</v>
      </c>
      <c r="E3170">
        <v>99999999</v>
      </c>
      <c r="F3170">
        <v>11111111</v>
      </c>
      <c r="G3170">
        <v>1111111111</v>
      </c>
      <c r="H3170" t="s">
        <v>6739</v>
      </c>
      <c r="I3170">
        <v>99999999</v>
      </c>
      <c r="J3170" s="188">
        <v>45238</v>
      </c>
      <c r="K3170" t="s">
        <v>6739</v>
      </c>
      <c r="L3170" t="s">
        <v>6739</v>
      </c>
      <c r="M3170" t="s">
        <v>3300</v>
      </c>
      <c r="N3170" t="s">
        <v>141</v>
      </c>
      <c r="O3170">
        <v>32609</v>
      </c>
      <c r="Q3170" t="s">
        <v>124</v>
      </c>
      <c r="R3170">
        <v>28</v>
      </c>
      <c r="S3170">
        <v>24.38</v>
      </c>
      <c r="T3170">
        <v>0</v>
      </c>
      <c r="U3170">
        <v>0</v>
      </c>
      <c r="V3170">
        <v>13</v>
      </c>
      <c r="W3170">
        <v>0</v>
      </c>
      <c r="X3170">
        <v>0</v>
      </c>
      <c r="Y3170">
        <v>0</v>
      </c>
      <c r="Z3170">
        <v>0</v>
      </c>
      <c r="AA3170">
        <v>0</v>
      </c>
      <c r="AB3170">
        <v>0</v>
      </c>
      <c r="AC3170">
        <v>0</v>
      </c>
      <c r="AD3170">
        <v>28</v>
      </c>
      <c r="AE3170">
        <v>0</v>
      </c>
      <c r="AF3170">
        <v>0</v>
      </c>
      <c r="AG3170">
        <v>0</v>
      </c>
      <c r="AH3170">
        <v>0</v>
      </c>
      <c r="AI3170">
        <v>0</v>
      </c>
      <c r="AJ3170">
        <v>0</v>
      </c>
      <c r="AK3170">
        <v>0</v>
      </c>
    </row>
    <row r="3171" spans="1:37" x14ac:dyDescent="0.3">
      <c r="A3171">
        <v>7134</v>
      </c>
      <c r="B3171" t="s">
        <v>28</v>
      </c>
      <c r="C3171">
        <v>799</v>
      </c>
      <c r="D3171" t="s">
        <v>3500</v>
      </c>
      <c r="E3171">
        <v>99999999</v>
      </c>
      <c r="F3171">
        <v>11111111</v>
      </c>
      <c r="G3171">
        <v>1111111111</v>
      </c>
      <c r="H3171" t="s">
        <v>6740</v>
      </c>
      <c r="I3171">
        <v>99999999</v>
      </c>
      <c r="J3171" s="188">
        <v>45238</v>
      </c>
      <c r="K3171" t="s">
        <v>6740</v>
      </c>
      <c r="L3171" t="s">
        <v>6740</v>
      </c>
      <c r="M3171" t="s">
        <v>3300</v>
      </c>
      <c r="N3171" t="s">
        <v>141</v>
      </c>
      <c r="O3171">
        <v>32609</v>
      </c>
      <c r="Q3171" t="s">
        <v>124</v>
      </c>
      <c r="R3171">
        <v>33</v>
      </c>
      <c r="S3171">
        <v>28.9</v>
      </c>
      <c r="T3171">
        <v>0</v>
      </c>
      <c r="U3171">
        <v>0</v>
      </c>
      <c r="V3171">
        <v>13</v>
      </c>
      <c r="W3171">
        <v>0</v>
      </c>
      <c r="X3171">
        <v>0</v>
      </c>
      <c r="Y3171">
        <v>0</v>
      </c>
      <c r="Z3171">
        <v>0</v>
      </c>
      <c r="AA3171">
        <v>0</v>
      </c>
      <c r="AB3171">
        <v>0</v>
      </c>
      <c r="AC3171">
        <v>0</v>
      </c>
      <c r="AD3171">
        <v>33</v>
      </c>
      <c r="AE3171">
        <v>0</v>
      </c>
      <c r="AF3171">
        <v>0</v>
      </c>
      <c r="AG3171">
        <v>0</v>
      </c>
      <c r="AH3171">
        <v>0</v>
      </c>
      <c r="AI3171">
        <v>0</v>
      </c>
      <c r="AJ3171">
        <v>0</v>
      </c>
      <c r="AK3171">
        <v>0</v>
      </c>
    </row>
    <row r="3172" spans="1:37" x14ac:dyDescent="0.3">
      <c r="A3172">
        <v>7134</v>
      </c>
      <c r="B3172" t="s">
        <v>28</v>
      </c>
      <c r="C3172">
        <v>799</v>
      </c>
      <c r="D3172" t="s">
        <v>3500</v>
      </c>
      <c r="E3172">
        <v>99999999</v>
      </c>
      <c r="F3172">
        <v>11111111</v>
      </c>
      <c r="G3172">
        <v>1111111111</v>
      </c>
      <c r="H3172" t="s">
        <v>6741</v>
      </c>
      <c r="I3172">
        <v>99999999</v>
      </c>
      <c r="J3172" s="188">
        <v>45238</v>
      </c>
      <c r="K3172" t="s">
        <v>6741</v>
      </c>
      <c r="L3172" t="s">
        <v>6741</v>
      </c>
      <c r="M3172" t="s">
        <v>3300</v>
      </c>
      <c r="N3172" t="s">
        <v>141</v>
      </c>
      <c r="O3172">
        <v>32609</v>
      </c>
      <c r="Q3172" t="s">
        <v>124</v>
      </c>
      <c r="R3172">
        <v>20</v>
      </c>
      <c r="S3172">
        <v>17.86</v>
      </c>
      <c r="T3172">
        <v>0</v>
      </c>
      <c r="U3172">
        <v>0</v>
      </c>
      <c r="V3172">
        <v>13</v>
      </c>
      <c r="W3172">
        <v>0</v>
      </c>
      <c r="X3172">
        <v>0</v>
      </c>
      <c r="Y3172">
        <v>0</v>
      </c>
      <c r="Z3172">
        <v>0</v>
      </c>
      <c r="AA3172">
        <v>0</v>
      </c>
      <c r="AB3172">
        <v>0</v>
      </c>
      <c r="AC3172">
        <v>0</v>
      </c>
      <c r="AD3172">
        <v>20</v>
      </c>
      <c r="AE3172">
        <v>0</v>
      </c>
      <c r="AF3172">
        <v>0</v>
      </c>
      <c r="AG3172">
        <v>0</v>
      </c>
      <c r="AH3172">
        <v>0</v>
      </c>
      <c r="AI3172">
        <v>0</v>
      </c>
      <c r="AJ3172">
        <v>0</v>
      </c>
      <c r="AK3172">
        <v>0</v>
      </c>
    </row>
    <row r="3173" spans="1:37" x14ac:dyDescent="0.3">
      <c r="A3173">
        <v>7134</v>
      </c>
      <c r="B3173" t="s">
        <v>28</v>
      </c>
      <c r="C3173">
        <v>799</v>
      </c>
      <c r="D3173" t="s">
        <v>3500</v>
      </c>
      <c r="E3173">
        <v>99999999</v>
      </c>
      <c r="F3173">
        <v>11111111</v>
      </c>
      <c r="G3173">
        <v>1111111111</v>
      </c>
      <c r="H3173" t="s">
        <v>6742</v>
      </c>
      <c r="I3173">
        <v>99999999</v>
      </c>
      <c r="J3173" s="188">
        <v>45238</v>
      </c>
      <c r="K3173" t="s">
        <v>6742</v>
      </c>
      <c r="L3173" t="s">
        <v>6742</v>
      </c>
      <c r="M3173" t="s">
        <v>3300</v>
      </c>
      <c r="N3173" t="s">
        <v>141</v>
      </c>
      <c r="O3173">
        <v>32609</v>
      </c>
      <c r="Q3173" t="s">
        <v>124</v>
      </c>
      <c r="R3173">
        <v>32</v>
      </c>
      <c r="S3173">
        <v>28.31</v>
      </c>
      <c r="T3173">
        <v>0</v>
      </c>
      <c r="U3173">
        <v>0</v>
      </c>
      <c r="V3173">
        <v>13</v>
      </c>
      <c r="W3173">
        <v>0</v>
      </c>
      <c r="X3173">
        <v>0</v>
      </c>
      <c r="Y3173">
        <v>0</v>
      </c>
      <c r="Z3173">
        <v>0</v>
      </c>
      <c r="AA3173">
        <v>0</v>
      </c>
      <c r="AB3173">
        <v>0</v>
      </c>
      <c r="AC3173">
        <v>0</v>
      </c>
      <c r="AD3173">
        <v>32</v>
      </c>
      <c r="AE3173">
        <v>0</v>
      </c>
      <c r="AF3173">
        <v>0</v>
      </c>
      <c r="AG3173">
        <v>0</v>
      </c>
      <c r="AH3173">
        <v>0</v>
      </c>
      <c r="AI3173">
        <v>0</v>
      </c>
      <c r="AJ3173">
        <v>0</v>
      </c>
      <c r="AK3173">
        <v>0</v>
      </c>
    </row>
    <row r="3174" spans="1:37" x14ac:dyDescent="0.3">
      <c r="A3174">
        <v>7134</v>
      </c>
      <c r="B3174" t="s">
        <v>28</v>
      </c>
      <c r="C3174">
        <v>799</v>
      </c>
      <c r="D3174" t="s">
        <v>3500</v>
      </c>
      <c r="E3174">
        <v>99999999</v>
      </c>
      <c r="F3174">
        <v>11111111</v>
      </c>
      <c r="G3174">
        <v>1111111111</v>
      </c>
      <c r="H3174" t="s">
        <v>6743</v>
      </c>
      <c r="I3174">
        <v>99999999</v>
      </c>
      <c r="J3174" s="188">
        <v>45238</v>
      </c>
      <c r="K3174" t="s">
        <v>6743</v>
      </c>
      <c r="L3174" t="s">
        <v>6743</v>
      </c>
      <c r="M3174" t="s">
        <v>3300</v>
      </c>
      <c r="N3174" t="s">
        <v>141</v>
      </c>
      <c r="O3174">
        <v>32609</v>
      </c>
      <c r="Q3174" t="s">
        <v>124</v>
      </c>
      <c r="R3174">
        <v>19</v>
      </c>
      <c r="S3174">
        <v>16.739999999999998</v>
      </c>
      <c r="T3174">
        <v>0</v>
      </c>
      <c r="U3174">
        <v>0</v>
      </c>
      <c r="V3174">
        <v>13</v>
      </c>
      <c r="W3174">
        <v>0</v>
      </c>
      <c r="X3174">
        <v>0</v>
      </c>
      <c r="Y3174">
        <v>0</v>
      </c>
      <c r="Z3174">
        <v>0</v>
      </c>
      <c r="AA3174">
        <v>0</v>
      </c>
      <c r="AB3174">
        <v>0</v>
      </c>
      <c r="AC3174">
        <v>0</v>
      </c>
      <c r="AD3174">
        <v>19</v>
      </c>
      <c r="AE3174">
        <v>0</v>
      </c>
      <c r="AF3174">
        <v>0</v>
      </c>
      <c r="AG3174">
        <v>0</v>
      </c>
      <c r="AH3174">
        <v>0</v>
      </c>
      <c r="AI3174">
        <v>0</v>
      </c>
      <c r="AJ3174">
        <v>0</v>
      </c>
      <c r="AK3174">
        <v>0</v>
      </c>
    </row>
    <row r="3175" spans="1:37" x14ac:dyDescent="0.3">
      <c r="A3175">
        <v>7134</v>
      </c>
      <c r="B3175" t="s">
        <v>28</v>
      </c>
      <c r="C3175">
        <v>799</v>
      </c>
      <c r="D3175" t="s">
        <v>3500</v>
      </c>
      <c r="E3175">
        <v>99999999</v>
      </c>
      <c r="F3175">
        <v>11111111</v>
      </c>
      <c r="G3175">
        <v>1111111111</v>
      </c>
      <c r="H3175" t="s">
        <v>6744</v>
      </c>
      <c r="I3175">
        <v>99999999</v>
      </c>
      <c r="J3175" s="188">
        <v>45238</v>
      </c>
      <c r="K3175" t="s">
        <v>6744</v>
      </c>
      <c r="L3175" t="s">
        <v>6744</v>
      </c>
      <c r="M3175" t="s">
        <v>3300</v>
      </c>
      <c r="N3175" t="s">
        <v>141</v>
      </c>
      <c r="O3175">
        <v>32609</v>
      </c>
      <c r="Q3175" t="s">
        <v>124</v>
      </c>
      <c r="R3175">
        <v>22</v>
      </c>
      <c r="S3175">
        <v>19.62</v>
      </c>
      <c r="T3175">
        <v>0</v>
      </c>
      <c r="U3175">
        <v>0</v>
      </c>
      <c r="V3175">
        <v>13</v>
      </c>
      <c r="W3175">
        <v>0</v>
      </c>
      <c r="X3175">
        <v>0</v>
      </c>
      <c r="Y3175">
        <v>0</v>
      </c>
      <c r="Z3175">
        <v>0</v>
      </c>
      <c r="AA3175">
        <v>0</v>
      </c>
      <c r="AB3175">
        <v>0</v>
      </c>
      <c r="AC3175">
        <v>0</v>
      </c>
      <c r="AD3175">
        <v>22</v>
      </c>
      <c r="AE3175">
        <v>0</v>
      </c>
      <c r="AF3175">
        <v>0</v>
      </c>
      <c r="AG3175">
        <v>0</v>
      </c>
      <c r="AH3175">
        <v>0</v>
      </c>
      <c r="AI3175">
        <v>0</v>
      </c>
      <c r="AJ3175">
        <v>0</v>
      </c>
      <c r="AK3175">
        <v>0</v>
      </c>
    </row>
    <row r="3176" spans="1:37" x14ac:dyDescent="0.3">
      <c r="A3176">
        <v>7134</v>
      </c>
      <c r="B3176" t="s">
        <v>28</v>
      </c>
      <c r="C3176">
        <v>799</v>
      </c>
      <c r="D3176" t="s">
        <v>3500</v>
      </c>
      <c r="E3176">
        <v>99999999</v>
      </c>
      <c r="F3176">
        <v>11111111</v>
      </c>
      <c r="G3176">
        <v>1111111111</v>
      </c>
      <c r="H3176" t="s">
        <v>6745</v>
      </c>
      <c r="I3176">
        <v>99999999</v>
      </c>
      <c r="J3176" s="188">
        <v>45238</v>
      </c>
      <c r="K3176" t="s">
        <v>6745</v>
      </c>
      <c r="L3176" t="s">
        <v>6745</v>
      </c>
      <c r="M3176" t="s">
        <v>3300</v>
      </c>
      <c r="N3176" t="s">
        <v>141</v>
      </c>
      <c r="O3176">
        <v>32609</v>
      </c>
      <c r="Q3176" t="s">
        <v>124</v>
      </c>
      <c r="R3176">
        <v>17</v>
      </c>
      <c r="S3176">
        <v>14.77</v>
      </c>
      <c r="T3176">
        <v>0</v>
      </c>
      <c r="U3176">
        <v>0</v>
      </c>
      <c r="V3176">
        <v>12</v>
      </c>
      <c r="W3176">
        <v>0</v>
      </c>
      <c r="X3176">
        <v>0</v>
      </c>
      <c r="Y3176">
        <v>0</v>
      </c>
      <c r="Z3176">
        <v>0</v>
      </c>
      <c r="AA3176">
        <v>0</v>
      </c>
      <c r="AB3176">
        <v>0</v>
      </c>
      <c r="AC3176">
        <v>0</v>
      </c>
      <c r="AD3176">
        <v>17</v>
      </c>
      <c r="AE3176">
        <v>0</v>
      </c>
      <c r="AF3176">
        <v>0</v>
      </c>
      <c r="AG3176">
        <v>0</v>
      </c>
      <c r="AH3176">
        <v>0</v>
      </c>
      <c r="AI3176">
        <v>0</v>
      </c>
      <c r="AJ3176">
        <v>0</v>
      </c>
      <c r="AK3176">
        <v>0</v>
      </c>
    </row>
    <row r="3177" spans="1:37" x14ac:dyDescent="0.3">
      <c r="A3177">
        <v>7134</v>
      </c>
      <c r="B3177" t="s">
        <v>28</v>
      </c>
      <c r="C3177">
        <v>799</v>
      </c>
      <c r="D3177" t="s">
        <v>3500</v>
      </c>
      <c r="E3177">
        <v>99999999</v>
      </c>
      <c r="F3177">
        <v>11111111</v>
      </c>
      <c r="G3177">
        <v>1111111111</v>
      </c>
      <c r="H3177" t="s">
        <v>6746</v>
      </c>
      <c r="I3177">
        <v>99999999</v>
      </c>
      <c r="J3177" s="188">
        <v>45238</v>
      </c>
      <c r="K3177" t="s">
        <v>6746</v>
      </c>
      <c r="L3177" t="s">
        <v>6746</v>
      </c>
      <c r="M3177" t="s">
        <v>3300</v>
      </c>
      <c r="N3177" t="s">
        <v>141</v>
      </c>
      <c r="O3177">
        <v>32609</v>
      </c>
      <c r="Q3177" t="s">
        <v>124</v>
      </c>
      <c r="R3177">
        <v>22</v>
      </c>
      <c r="S3177">
        <v>19.71</v>
      </c>
      <c r="T3177">
        <v>0</v>
      </c>
      <c r="U3177">
        <v>0</v>
      </c>
      <c r="V3177">
        <v>13</v>
      </c>
      <c r="W3177">
        <v>0</v>
      </c>
      <c r="X3177">
        <v>0</v>
      </c>
      <c r="Y3177">
        <v>0</v>
      </c>
      <c r="Z3177">
        <v>0</v>
      </c>
      <c r="AA3177">
        <v>0</v>
      </c>
      <c r="AB3177">
        <v>0</v>
      </c>
      <c r="AC3177">
        <v>0</v>
      </c>
      <c r="AD3177">
        <v>22</v>
      </c>
      <c r="AE3177">
        <v>0</v>
      </c>
      <c r="AF3177">
        <v>0</v>
      </c>
      <c r="AG3177">
        <v>0</v>
      </c>
      <c r="AH3177">
        <v>0</v>
      </c>
      <c r="AI3177">
        <v>0</v>
      </c>
      <c r="AJ3177">
        <v>0</v>
      </c>
      <c r="AK3177">
        <v>0</v>
      </c>
    </row>
    <row r="3178" spans="1:37" x14ac:dyDescent="0.3">
      <c r="A3178">
        <v>7134</v>
      </c>
      <c r="B3178" t="s">
        <v>28</v>
      </c>
      <c r="C3178">
        <v>799</v>
      </c>
      <c r="D3178" t="s">
        <v>3500</v>
      </c>
      <c r="E3178">
        <v>99999999</v>
      </c>
      <c r="F3178">
        <v>11111111</v>
      </c>
      <c r="G3178">
        <v>1111111111</v>
      </c>
      <c r="H3178" t="s">
        <v>6747</v>
      </c>
      <c r="I3178">
        <v>99999999</v>
      </c>
      <c r="J3178" s="188">
        <v>45238</v>
      </c>
      <c r="K3178" t="s">
        <v>6747</v>
      </c>
      <c r="L3178" t="s">
        <v>6747</v>
      </c>
      <c r="M3178" t="s">
        <v>3300</v>
      </c>
      <c r="N3178" t="s">
        <v>141</v>
      </c>
      <c r="O3178">
        <v>32609</v>
      </c>
      <c r="Q3178" t="s">
        <v>124</v>
      </c>
      <c r="R3178">
        <v>27</v>
      </c>
      <c r="S3178">
        <v>23.44</v>
      </c>
      <c r="T3178">
        <v>0</v>
      </c>
      <c r="U3178">
        <v>0</v>
      </c>
      <c r="V3178">
        <v>13</v>
      </c>
      <c r="W3178">
        <v>0</v>
      </c>
      <c r="X3178">
        <v>0</v>
      </c>
      <c r="Y3178">
        <v>0</v>
      </c>
      <c r="Z3178">
        <v>0</v>
      </c>
      <c r="AA3178">
        <v>0</v>
      </c>
      <c r="AB3178">
        <v>0</v>
      </c>
      <c r="AC3178">
        <v>0</v>
      </c>
      <c r="AD3178">
        <v>27</v>
      </c>
      <c r="AE3178">
        <v>0</v>
      </c>
      <c r="AF3178">
        <v>0</v>
      </c>
      <c r="AG3178">
        <v>0</v>
      </c>
      <c r="AH3178">
        <v>0</v>
      </c>
      <c r="AI3178">
        <v>0</v>
      </c>
      <c r="AJ3178">
        <v>0</v>
      </c>
      <c r="AK3178">
        <v>0</v>
      </c>
    </row>
    <row r="3179" spans="1:37" x14ac:dyDescent="0.3">
      <c r="A3179">
        <v>7134</v>
      </c>
      <c r="B3179" t="s">
        <v>28</v>
      </c>
      <c r="C3179">
        <v>799</v>
      </c>
      <c r="D3179" t="s">
        <v>3500</v>
      </c>
      <c r="E3179">
        <v>99999999</v>
      </c>
      <c r="F3179">
        <v>11111111</v>
      </c>
      <c r="G3179">
        <v>1111111111</v>
      </c>
      <c r="H3179" t="s">
        <v>6748</v>
      </c>
      <c r="I3179">
        <v>99999999</v>
      </c>
      <c r="J3179" s="188">
        <v>45238</v>
      </c>
      <c r="K3179" t="s">
        <v>6748</v>
      </c>
      <c r="L3179" t="s">
        <v>6748</v>
      </c>
      <c r="M3179" t="s">
        <v>3300</v>
      </c>
      <c r="N3179" t="s">
        <v>141</v>
      </c>
      <c r="O3179">
        <v>32609</v>
      </c>
      <c r="Q3179" t="s">
        <v>124</v>
      </c>
      <c r="R3179">
        <v>25</v>
      </c>
      <c r="S3179">
        <v>22</v>
      </c>
      <c r="T3179">
        <v>0</v>
      </c>
      <c r="U3179">
        <v>0</v>
      </c>
      <c r="V3179">
        <v>13</v>
      </c>
      <c r="W3179">
        <v>0</v>
      </c>
      <c r="X3179">
        <v>0</v>
      </c>
      <c r="Y3179">
        <v>0</v>
      </c>
      <c r="Z3179">
        <v>0</v>
      </c>
      <c r="AA3179">
        <v>0</v>
      </c>
      <c r="AB3179">
        <v>0</v>
      </c>
      <c r="AC3179">
        <v>0</v>
      </c>
      <c r="AD3179">
        <v>25</v>
      </c>
      <c r="AE3179">
        <v>0</v>
      </c>
      <c r="AF3179">
        <v>0</v>
      </c>
      <c r="AG3179">
        <v>0</v>
      </c>
      <c r="AH3179">
        <v>0</v>
      </c>
      <c r="AI3179">
        <v>0</v>
      </c>
      <c r="AJ3179">
        <v>0</v>
      </c>
      <c r="AK3179">
        <v>0</v>
      </c>
    </row>
    <row r="3180" spans="1:37" x14ac:dyDescent="0.3">
      <c r="A3180">
        <v>7134</v>
      </c>
      <c r="B3180" t="s">
        <v>28</v>
      </c>
      <c r="C3180">
        <v>799</v>
      </c>
      <c r="D3180" t="s">
        <v>3500</v>
      </c>
      <c r="E3180">
        <v>99999999</v>
      </c>
      <c r="F3180">
        <v>11111111</v>
      </c>
      <c r="G3180">
        <v>1111111111</v>
      </c>
      <c r="H3180" t="s">
        <v>6749</v>
      </c>
      <c r="I3180">
        <v>99999999</v>
      </c>
      <c r="J3180" s="188">
        <v>45238</v>
      </c>
      <c r="K3180" t="s">
        <v>6749</v>
      </c>
      <c r="L3180" t="s">
        <v>6749</v>
      </c>
      <c r="M3180" t="s">
        <v>3300</v>
      </c>
      <c r="N3180" t="s">
        <v>141</v>
      </c>
      <c r="O3180">
        <v>32609</v>
      </c>
      <c r="Q3180" t="s">
        <v>124</v>
      </c>
      <c r="R3180">
        <v>22</v>
      </c>
      <c r="S3180">
        <v>19.39</v>
      </c>
      <c r="T3180">
        <v>0</v>
      </c>
      <c r="U3180">
        <v>0</v>
      </c>
      <c r="V3180">
        <v>13</v>
      </c>
      <c r="W3180">
        <v>0</v>
      </c>
      <c r="X3180">
        <v>0</v>
      </c>
      <c r="Y3180">
        <v>0</v>
      </c>
      <c r="Z3180">
        <v>0</v>
      </c>
      <c r="AA3180">
        <v>0</v>
      </c>
      <c r="AB3180">
        <v>0</v>
      </c>
      <c r="AC3180">
        <v>0</v>
      </c>
      <c r="AD3180">
        <v>22</v>
      </c>
      <c r="AE3180">
        <v>0</v>
      </c>
      <c r="AF3180">
        <v>0</v>
      </c>
      <c r="AG3180">
        <v>0</v>
      </c>
      <c r="AH3180">
        <v>0</v>
      </c>
      <c r="AI3180">
        <v>0</v>
      </c>
      <c r="AJ3180">
        <v>0</v>
      </c>
      <c r="AK3180">
        <v>0</v>
      </c>
    </row>
    <row r="3181" spans="1:37" x14ac:dyDescent="0.3">
      <c r="A3181">
        <v>7134</v>
      </c>
      <c r="B3181" t="s">
        <v>28</v>
      </c>
      <c r="C3181">
        <v>799</v>
      </c>
      <c r="D3181" t="s">
        <v>3500</v>
      </c>
      <c r="E3181">
        <v>99999999</v>
      </c>
      <c r="F3181">
        <v>11111111</v>
      </c>
      <c r="G3181">
        <v>1111111111</v>
      </c>
      <c r="H3181" t="s">
        <v>6750</v>
      </c>
      <c r="I3181">
        <v>99999999</v>
      </c>
      <c r="J3181" s="188">
        <v>45238</v>
      </c>
      <c r="K3181" t="s">
        <v>6750</v>
      </c>
      <c r="L3181" t="s">
        <v>6750</v>
      </c>
      <c r="M3181" t="s">
        <v>3300</v>
      </c>
      <c r="N3181" t="s">
        <v>141</v>
      </c>
      <c r="O3181">
        <v>32609</v>
      </c>
      <c r="Q3181" t="s">
        <v>124</v>
      </c>
      <c r="R3181">
        <v>19</v>
      </c>
      <c r="S3181">
        <v>16.739999999999998</v>
      </c>
      <c r="T3181">
        <v>0</v>
      </c>
      <c r="U3181">
        <v>0</v>
      </c>
      <c r="V3181">
        <v>13</v>
      </c>
      <c r="W3181">
        <v>0</v>
      </c>
      <c r="X3181">
        <v>0</v>
      </c>
      <c r="Y3181">
        <v>0</v>
      </c>
      <c r="Z3181">
        <v>0</v>
      </c>
      <c r="AA3181">
        <v>0</v>
      </c>
      <c r="AB3181">
        <v>0</v>
      </c>
      <c r="AC3181">
        <v>0</v>
      </c>
      <c r="AD3181">
        <v>19</v>
      </c>
      <c r="AE3181">
        <v>0</v>
      </c>
      <c r="AF3181">
        <v>0</v>
      </c>
      <c r="AG3181">
        <v>0</v>
      </c>
      <c r="AH3181">
        <v>0</v>
      </c>
      <c r="AI3181">
        <v>0</v>
      </c>
      <c r="AJ3181">
        <v>0</v>
      </c>
      <c r="AK3181">
        <v>0</v>
      </c>
    </row>
    <row r="3182" spans="1:37" x14ac:dyDescent="0.3">
      <c r="A3182">
        <v>7134</v>
      </c>
      <c r="B3182" t="s">
        <v>28</v>
      </c>
      <c r="C3182">
        <v>799</v>
      </c>
      <c r="D3182" t="s">
        <v>3500</v>
      </c>
      <c r="E3182">
        <v>99999999</v>
      </c>
      <c r="F3182">
        <v>11111111</v>
      </c>
      <c r="G3182">
        <v>1111111111</v>
      </c>
      <c r="H3182" t="s">
        <v>6751</v>
      </c>
      <c r="I3182">
        <v>99999999</v>
      </c>
      <c r="J3182" s="188">
        <v>45238</v>
      </c>
      <c r="K3182" t="s">
        <v>6751</v>
      </c>
      <c r="L3182" t="s">
        <v>6751</v>
      </c>
      <c r="M3182" t="s">
        <v>3300</v>
      </c>
      <c r="N3182" t="s">
        <v>141</v>
      </c>
      <c r="O3182">
        <v>32609</v>
      </c>
      <c r="Q3182" t="s">
        <v>124</v>
      </c>
      <c r="R3182">
        <v>31</v>
      </c>
      <c r="S3182">
        <v>27.1</v>
      </c>
      <c r="T3182">
        <v>0</v>
      </c>
      <c r="U3182">
        <v>0</v>
      </c>
      <c r="V3182">
        <v>13</v>
      </c>
      <c r="W3182">
        <v>0</v>
      </c>
      <c r="X3182">
        <v>0</v>
      </c>
      <c r="Y3182">
        <v>0</v>
      </c>
      <c r="Z3182">
        <v>0</v>
      </c>
      <c r="AA3182">
        <v>0</v>
      </c>
      <c r="AB3182">
        <v>0</v>
      </c>
      <c r="AC3182">
        <v>0</v>
      </c>
      <c r="AD3182">
        <v>31</v>
      </c>
      <c r="AE3182">
        <v>0</v>
      </c>
      <c r="AF3182">
        <v>0</v>
      </c>
      <c r="AG3182">
        <v>0</v>
      </c>
      <c r="AH3182">
        <v>0</v>
      </c>
      <c r="AI3182">
        <v>0</v>
      </c>
      <c r="AJ3182">
        <v>0</v>
      </c>
      <c r="AK3182">
        <v>0</v>
      </c>
    </row>
    <row r="3183" spans="1:37" x14ac:dyDescent="0.3">
      <c r="A3183">
        <v>7134</v>
      </c>
      <c r="B3183" t="s">
        <v>28</v>
      </c>
      <c r="C3183">
        <v>799</v>
      </c>
      <c r="D3183" t="s">
        <v>3500</v>
      </c>
      <c r="E3183">
        <v>99999999</v>
      </c>
      <c r="F3183">
        <v>11111111</v>
      </c>
      <c r="G3183">
        <v>1111111111</v>
      </c>
      <c r="H3183" t="s">
        <v>6752</v>
      </c>
      <c r="I3183">
        <v>99999999</v>
      </c>
      <c r="J3183" s="188">
        <v>45238</v>
      </c>
      <c r="K3183" t="s">
        <v>6752</v>
      </c>
      <c r="L3183" t="s">
        <v>6752</v>
      </c>
      <c r="M3183" t="s">
        <v>3300</v>
      </c>
      <c r="N3183" t="s">
        <v>141</v>
      </c>
      <c r="O3183">
        <v>32609</v>
      </c>
      <c r="Q3183" t="s">
        <v>124</v>
      </c>
      <c r="R3183">
        <v>25</v>
      </c>
      <c r="S3183">
        <v>22</v>
      </c>
      <c r="T3183">
        <v>0</v>
      </c>
      <c r="U3183">
        <v>0</v>
      </c>
      <c r="V3183">
        <v>13</v>
      </c>
      <c r="W3183">
        <v>0</v>
      </c>
      <c r="X3183">
        <v>0</v>
      </c>
      <c r="Y3183">
        <v>0</v>
      </c>
      <c r="Z3183">
        <v>0</v>
      </c>
      <c r="AA3183">
        <v>0</v>
      </c>
      <c r="AB3183">
        <v>0</v>
      </c>
      <c r="AC3183">
        <v>0</v>
      </c>
      <c r="AD3183">
        <v>25</v>
      </c>
      <c r="AE3183">
        <v>0</v>
      </c>
      <c r="AF3183">
        <v>0</v>
      </c>
      <c r="AG3183">
        <v>0</v>
      </c>
      <c r="AH3183">
        <v>0</v>
      </c>
      <c r="AI3183">
        <v>0</v>
      </c>
      <c r="AJ3183">
        <v>0</v>
      </c>
      <c r="AK3183">
        <v>0</v>
      </c>
    </row>
    <row r="3184" spans="1:37" x14ac:dyDescent="0.3">
      <c r="A3184">
        <v>7134</v>
      </c>
      <c r="B3184" t="s">
        <v>28</v>
      </c>
      <c r="C3184">
        <v>799</v>
      </c>
      <c r="D3184" t="s">
        <v>3500</v>
      </c>
      <c r="E3184">
        <v>99999999</v>
      </c>
      <c r="F3184">
        <v>11111111</v>
      </c>
      <c r="G3184">
        <v>1111111111</v>
      </c>
      <c r="H3184" t="s">
        <v>6753</v>
      </c>
      <c r="I3184">
        <v>99999999</v>
      </c>
      <c r="J3184" s="188">
        <v>45238</v>
      </c>
      <c r="K3184" t="s">
        <v>6753</v>
      </c>
      <c r="L3184" t="s">
        <v>6753</v>
      </c>
      <c r="M3184" t="s">
        <v>3300</v>
      </c>
      <c r="N3184" t="s">
        <v>141</v>
      </c>
      <c r="O3184">
        <v>32609</v>
      </c>
      <c r="Q3184" t="s">
        <v>124</v>
      </c>
      <c r="R3184">
        <v>20</v>
      </c>
      <c r="S3184">
        <v>17.95</v>
      </c>
      <c r="T3184">
        <v>0</v>
      </c>
      <c r="U3184">
        <v>0</v>
      </c>
      <c r="V3184">
        <v>13</v>
      </c>
      <c r="W3184">
        <v>0</v>
      </c>
      <c r="X3184">
        <v>0</v>
      </c>
      <c r="Y3184">
        <v>0</v>
      </c>
      <c r="Z3184">
        <v>0</v>
      </c>
      <c r="AA3184">
        <v>0</v>
      </c>
      <c r="AB3184">
        <v>0</v>
      </c>
      <c r="AC3184">
        <v>0</v>
      </c>
      <c r="AD3184">
        <v>20</v>
      </c>
      <c r="AE3184">
        <v>0</v>
      </c>
      <c r="AF3184">
        <v>0</v>
      </c>
      <c r="AG3184">
        <v>0</v>
      </c>
      <c r="AH3184">
        <v>0</v>
      </c>
      <c r="AI3184">
        <v>0</v>
      </c>
      <c r="AJ3184">
        <v>0</v>
      </c>
      <c r="AK3184">
        <v>0</v>
      </c>
    </row>
    <row r="3185" spans="1:37" x14ac:dyDescent="0.3">
      <c r="A3185">
        <v>7134</v>
      </c>
      <c r="B3185" t="s">
        <v>28</v>
      </c>
      <c r="C3185">
        <v>799</v>
      </c>
      <c r="D3185" t="s">
        <v>3500</v>
      </c>
      <c r="E3185">
        <v>99999999</v>
      </c>
      <c r="F3185">
        <v>11111111</v>
      </c>
      <c r="G3185">
        <v>1111111111</v>
      </c>
      <c r="H3185" t="s">
        <v>6754</v>
      </c>
      <c r="I3185">
        <v>99999999</v>
      </c>
      <c r="J3185" s="188">
        <v>45238</v>
      </c>
      <c r="K3185" t="s">
        <v>6754</v>
      </c>
      <c r="L3185" t="s">
        <v>6754</v>
      </c>
      <c r="M3185" t="s">
        <v>3300</v>
      </c>
      <c r="N3185" t="s">
        <v>141</v>
      </c>
      <c r="O3185">
        <v>32609</v>
      </c>
      <c r="Q3185" t="s">
        <v>124</v>
      </c>
      <c r="R3185">
        <v>22</v>
      </c>
      <c r="S3185">
        <v>19.71</v>
      </c>
      <c r="T3185">
        <v>0</v>
      </c>
      <c r="U3185">
        <v>0</v>
      </c>
      <c r="V3185">
        <v>13</v>
      </c>
      <c r="W3185">
        <v>0</v>
      </c>
      <c r="X3185">
        <v>0</v>
      </c>
      <c r="Y3185">
        <v>0</v>
      </c>
      <c r="Z3185">
        <v>0</v>
      </c>
      <c r="AA3185">
        <v>0</v>
      </c>
      <c r="AB3185">
        <v>0</v>
      </c>
      <c r="AC3185">
        <v>0</v>
      </c>
      <c r="AD3185">
        <v>22</v>
      </c>
      <c r="AE3185">
        <v>0</v>
      </c>
      <c r="AF3185">
        <v>0</v>
      </c>
      <c r="AG3185">
        <v>0</v>
      </c>
      <c r="AH3185">
        <v>0</v>
      </c>
      <c r="AI3185">
        <v>0</v>
      </c>
      <c r="AJ3185">
        <v>0</v>
      </c>
      <c r="AK3185">
        <v>0</v>
      </c>
    </row>
    <row r="3186" spans="1:37" x14ac:dyDescent="0.3">
      <c r="A3186">
        <v>7134</v>
      </c>
      <c r="B3186" t="s">
        <v>28</v>
      </c>
      <c r="C3186">
        <v>799</v>
      </c>
      <c r="D3186" t="s">
        <v>3500</v>
      </c>
      <c r="E3186">
        <v>99999999</v>
      </c>
      <c r="F3186">
        <v>11111111</v>
      </c>
      <c r="G3186">
        <v>1111111111</v>
      </c>
      <c r="H3186" t="s">
        <v>6755</v>
      </c>
      <c r="I3186">
        <v>99999999</v>
      </c>
      <c r="J3186" s="188">
        <v>45238</v>
      </c>
      <c r="K3186" t="s">
        <v>6755</v>
      </c>
      <c r="L3186" t="s">
        <v>6755</v>
      </c>
      <c r="M3186" t="s">
        <v>3300</v>
      </c>
      <c r="N3186" t="s">
        <v>141</v>
      </c>
      <c r="O3186">
        <v>32609</v>
      </c>
      <c r="Q3186" t="s">
        <v>124</v>
      </c>
      <c r="R3186">
        <v>22</v>
      </c>
      <c r="S3186">
        <v>19.71</v>
      </c>
      <c r="T3186">
        <v>0</v>
      </c>
      <c r="U3186">
        <v>0</v>
      </c>
      <c r="V3186">
        <v>13</v>
      </c>
      <c r="W3186">
        <v>0</v>
      </c>
      <c r="X3186">
        <v>0</v>
      </c>
      <c r="Y3186">
        <v>0</v>
      </c>
      <c r="Z3186">
        <v>0</v>
      </c>
      <c r="AA3186">
        <v>0</v>
      </c>
      <c r="AB3186">
        <v>0</v>
      </c>
      <c r="AC3186">
        <v>0</v>
      </c>
      <c r="AD3186">
        <v>22</v>
      </c>
      <c r="AE3186">
        <v>0</v>
      </c>
      <c r="AF3186">
        <v>0</v>
      </c>
      <c r="AG3186">
        <v>0</v>
      </c>
      <c r="AH3186">
        <v>0</v>
      </c>
      <c r="AI3186">
        <v>0</v>
      </c>
      <c r="AJ3186">
        <v>0</v>
      </c>
      <c r="AK3186">
        <v>0</v>
      </c>
    </row>
    <row r="3187" spans="1:37" x14ac:dyDescent="0.3">
      <c r="A3187">
        <v>7134</v>
      </c>
      <c r="B3187" t="s">
        <v>28</v>
      </c>
      <c r="C3187">
        <v>799</v>
      </c>
      <c r="D3187" t="s">
        <v>3500</v>
      </c>
      <c r="E3187">
        <v>99999999</v>
      </c>
      <c r="F3187">
        <v>11111111</v>
      </c>
      <c r="G3187">
        <v>1111111111</v>
      </c>
      <c r="H3187" t="s">
        <v>6756</v>
      </c>
      <c r="I3187">
        <v>99999999</v>
      </c>
      <c r="J3187" s="188">
        <v>45238</v>
      </c>
      <c r="K3187" t="s">
        <v>6756</v>
      </c>
      <c r="L3187" t="s">
        <v>6756</v>
      </c>
      <c r="M3187" t="s">
        <v>3300</v>
      </c>
      <c r="N3187" t="s">
        <v>141</v>
      </c>
      <c r="O3187">
        <v>32609</v>
      </c>
      <c r="Q3187" t="s">
        <v>124</v>
      </c>
      <c r="R3187">
        <v>18</v>
      </c>
      <c r="S3187">
        <v>15.69</v>
      </c>
      <c r="T3187">
        <v>0</v>
      </c>
      <c r="U3187">
        <v>0</v>
      </c>
      <c r="V3187">
        <v>12</v>
      </c>
      <c r="W3187">
        <v>0</v>
      </c>
      <c r="X3187">
        <v>0</v>
      </c>
      <c r="Y3187">
        <v>0</v>
      </c>
      <c r="Z3187">
        <v>0</v>
      </c>
      <c r="AA3187">
        <v>0</v>
      </c>
      <c r="AB3187">
        <v>0</v>
      </c>
      <c r="AC3187">
        <v>0</v>
      </c>
      <c r="AD3187">
        <v>18</v>
      </c>
      <c r="AE3187">
        <v>0</v>
      </c>
      <c r="AF3187">
        <v>0</v>
      </c>
      <c r="AG3187">
        <v>0</v>
      </c>
      <c r="AH3187">
        <v>0</v>
      </c>
      <c r="AI3187">
        <v>0</v>
      </c>
      <c r="AJ3187">
        <v>0</v>
      </c>
      <c r="AK3187">
        <v>0</v>
      </c>
    </row>
    <row r="3188" spans="1:37" x14ac:dyDescent="0.3">
      <c r="A3188">
        <v>7134</v>
      </c>
      <c r="B3188" t="s">
        <v>28</v>
      </c>
      <c r="C3188">
        <v>799</v>
      </c>
      <c r="D3188" t="s">
        <v>3500</v>
      </c>
      <c r="E3188">
        <v>99999999</v>
      </c>
      <c r="F3188">
        <v>11111111</v>
      </c>
      <c r="G3188">
        <v>1111111111</v>
      </c>
      <c r="H3188" t="s">
        <v>6757</v>
      </c>
      <c r="I3188">
        <v>99999999</v>
      </c>
      <c r="J3188" s="188">
        <v>45238</v>
      </c>
      <c r="K3188" t="s">
        <v>6757</v>
      </c>
      <c r="L3188" t="s">
        <v>6757</v>
      </c>
      <c r="M3188" t="s">
        <v>3300</v>
      </c>
      <c r="N3188" t="s">
        <v>141</v>
      </c>
      <c r="O3188">
        <v>32609</v>
      </c>
      <c r="Q3188" t="s">
        <v>124</v>
      </c>
      <c r="R3188">
        <v>25</v>
      </c>
      <c r="S3188">
        <v>22</v>
      </c>
      <c r="T3188">
        <v>0</v>
      </c>
      <c r="U3188">
        <v>0</v>
      </c>
      <c r="V3188">
        <v>13</v>
      </c>
      <c r="W3188">
        <v>0</v>
      </c>
      <c r="X3188">
        <v>0</v>
      </c>
      <c r="Y3188">
        <v>0</v>
      </c>
      <c r="Z3188">
        <v>0</v>
      </c>
      <c r="AA3188">
        <v>0</v>
      </c>
      <c r="AB3188">
        <v>0</v>
      </c>
      <c r="AC3188">
        <v>0</v>
      </c>
      <c r="AD3188">
        <v>25</v>
      </c>
      <c r="AE3188">
        <v>0</v>
      </c>
      <c r="AF3188">
        <v>0</v>
      </c>
      <c r="AG3188">
        <v>0</v>
      </c>
      <c r="AH3188">
        <v>0</v>
      </c>
      <c r="AI3188">
        <v>0</v>
      </c>
      <c r="AJ3188">
        <v>0</v>
      </c>
      <c r="AK3188">
        <v>0</v>
      </c>
    </row>
    <row r="3189" spans="1:37" x14ac:dyDescent="0.3">
      <c r="A3189">
        <v>7134</v>
      </c>
      <c r="B3189" t="s">
        <v>28</v>
      </c>
      <c r="C3189">
        <v>799</v>
      </c>
      <c r="D3189" t="s">
        <v>3500</v>
      </c>
      <c r="E3189">
        <v>99999999</v>
      </c>
      <c r="F3189">
        <v>11111111</v>
      </c>
      <c r="G3189">
        <v>1111111111</v>
      </c>
      <c r="H3189" t="s">
        <v>6758</v>
      </c>
      <c r="I3189">
        <v>99999999</v>
      </c>
      <c r="J3189" s="188">
        <v>45238</v>
      </c>
      <c r="K3189" t="s">
        <v>6758</v>
      </c>
      <c r="L3189" t="s">
        <v>6758</v>
      </c>
      <c r="M3189" t="s">
        <v>3300</v>
      </c>
      <c r="N3189" t="s">
        <v>141</v>
      </c>
      <c r="O3189">
        <v>32609</v>
      </c>
      <c r="Q3189" t="s">
        <v>124</v>
      </c>
      <c r="R3189">
        <v>20</v>
      </c>
      <c r="S3189">
        <v>17.86</v>
      </c>
      <c r="T3189">
        <v>0</v>
      </c>
      <c r="U3189">
        <v>0</v>
      </c>
      <c r="V3189">
        <v>13</v>
      </c>
      <c r="W3189">
        <v>0</v>
      </c>
      <c r="X3189">
        <v>0</v>
      </c>
      <c r="Y3189">
        <v>0</v>
      </c>
      <c r="Z3189">
        <v>0</v>
      </c>
      <c r="AA3189">
        <v>0</v>
      </c>
      <c r="AB3189">
        <v>0</v>
      </c>
      <c r="AC3189">
        <v>0</v>
      </c>
      <c r="AD3189">
        <v>20</v>
      </c>
      <c r="AE3189">
        <v>0</v>
      </c>
      <c r="AF3189">
        <v>0</v>
      </c>
      <c r="AG3189">
        <v>0</v>
      </c>
      <c r="AH3189">
        <v>0</v>
      </c>
      <c r="AI3189">
        <v>0</v>
      </c>
      <c r="AJ3189">
        <v>0</v>
      </c>
      <c r="AK3189">
        <v>0</v>
      </c>
    </row>
    <row r="3190" spans="1:37" x14ac:dyDescent="0.3">
      <c r="A3190">
        <v>7134</v>
      </c>
      <c r="B3190" t="s">
        <v>28</v>
      </c>
      <c r="C3190">
        <v>799</v>
      </c>
      <c r="D3190" t="s">
        <v>3500</v>
      </c>
      <c r="E3190">
        <v>99999999</v>
      </c>
      <c r="F3190">
        <v>11111111</v>
      </c>
      <c r="G3190">
        <v>1111111111</v>
      </c>
      <c r="H3190" t="s">
        <v>6759</v>
      </c>
      <c r="I3190">
        <v>99999999</v>
      </c>
      <c r="J3190" s="188">
        <v>45238</v>
      </c>
      <c r="K3190" t="s">
        <v>6759</v>
      </c>
      <c r="L3190" t="s">
        <v>6759</v>
      </c>
      <c r="M3190" t="s">
        <v>3300</v>
      </c>
      <c r="N3190" t="s">
        <v>141</v>
      </c>
      <c r="O3190">
        <v>32609</v>
      </c>
      <c r="Q3190" t="s">
        <v>124</v>
      </c>
      <c r="R3190">
        <v>18</v>
      </c>
      <c r="S3190">
        <v>15.69</v>
      </c>
      <c r="T3190">
        <v>0</v>
      </c>
      <c r="U3190">
        <v>0</v>
      </c>
      <c r="V3190">
        <v>12</v>
      </c>
      <c r="W3190">
        <v>0</v>
      </c>
      <c r="X3190">
        <v>0</v>
      </c>
      <c r="Y3190">
        <v>0</v>
      </c>
      <c r="Z3190">
        <v>0</v>
      </c>
      <c r="AA3190">
        <v>0</v>
      </c>
      <c r="AB3190">
        <v>0</v>
      </c>
      <c r="AC3190">
        <v>0</v>
      </c>
      <c r="AD3190">
        <v>18</v>
      </c>
      <c r="AE3190">
        <v>0</v>
      </c>
      <c r="AF3190">
        <v>0</v>
      </c>
      <c r="AG3190">
        <v>0</v>
      </c>
      <c r="AH3190">
        <v>0</v>
      </c>
      <c r="AI3190">
        <v>0</v>
      </c>
      <c r="AJ3190">
        <v>0</v>
      </c>
      <c r="AK3190">
        <v>0</v>
      </c>
    </row>
    <row r="3191" spans="1:37" x14ac:dyDescent="0.3">
      <c r="A3191">
        <v>7134</v>
      </c>
      <c r="B3191" t="s">
        <v>28</v>
      </c>
      <c r="C3191">
        <v>299</v>
      </c>
      <c r="D3191" t="s">
        <v>3500</v>
      </c>
      <c r="E3191">
        <v>99999999</v>
      </c>
      <c r="F3191">
        <v>11111111</v>
      </c>
      <c r="G3191">
        <v>1111111111</v>
      </c>
      <c r="H3191" t="s">
        <v>6760</v>
      </c>
      <c r="I3191">
        <v>99999999</v>
      </c>
      <c r="J3191" s="188">
        <v>45238</v>
      </c>
      <c r="K3191" t="s">
        <v>6760</v>
      </c>
      <c r="L3191" t="s">
        <v>6760</v>
      </c>
      <c r="Q3191" t="s">
        <v>124</v>
      </c>
      <c r="R3191">
        <v>0</v>
      </c>
      <c r="T3191">
        <v>1</v>
      </c>
      <c r="U3191">
        <v>36</v>
      </c>
      <c r="V3191">
        <v>0</v>
      </c>
      <c r="W3191">
        <v>0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  <c r="AF3191">
        <v>0</v>
      </c>
      <c r="AG3191">
        <v>0</v>
      </c>
      <c r="AH3191">
        <v>0</v>
      </c>
      <c r="AI3191">
        <v>0</v>
      </c>
      <c r="AJ3191">
        <v>0</v>
      </c>
      <c r="AK3191">
        <v>0</v>
      </c>
    </row>
    <row r="3192" spans="1:37" x14ac:dyDescent="0.3">
      <c r="A3192">
        <v>7134</v>
      </c>
      <c r="B3192" t="s">
        <v>28</v>
      </c>
      <c r="C3192">
        <v>299</v>
      </c>
      <c r="D3192" t="s">
        <v>3500</v>
      </c>
      <c r="E3192">
        <v>99999999</v>
      </c>
      <c r="F3192">
        <v>11111111</v>
      </c>
      <c r="G3192">
        <v>1111111111</v>
      </c>
      <c r="H3192" t="s">
        <v>6761</v>
      </c>
      <c r="I3192">
        <v>99999999</v>
      </c>
      <c r="J3192" s="188">
        <v>45238</v>
      </c>
      <c r="K3192" t="s">
        <v>6761</v>
      </c>
      <c r="L3192" t="s">
        <v>6761</v>
      </c>
      <c r="M3192" t="s">
        <v>3299</v>
      </c>
      <c r="N3192" t="s">
        <v>950</v>
      </c>
      <c r="O3192">
        <v>52002</v>
      </c>
      <c r="Q3192" t="s">
        <v>124</v>
      </c>
      <c r="R3192">
        <v>20</v>
      </c>
      <c r="S3192">
        <v>17.86</v>
      </c>
      <c r="T3192">
        <v>0</v>
      </c>
      <c r="U3192">
        <v>0</v>
      </c>
      <c r="V3192">
        <v>13</v>
      </c>
      <c r="W3192">
        <v>0</v>
      </c>
      <c r="X3192">
        <v>0</v>
      </c>
      <c r="Y3192">
        <v>0</v>
      </c>
      <c r="Z3192">
        <v>0</v>
      </c>
      <c r="AA3192">
        <v>0</v>
      </c>
      <c r="AB3192">
        <v>0</v>
      </c>
      <c r="AC3192">
        <v>0</v>
      </c>
      <c r="AD3192">
        <v>20</v>
      </c>
      <c r="AE3192">
        <v>0</v>
      </c>
      <c r="AF3192">
        <v>0</v>
      </c>
      <c r="AG3192">
        <v>0</v>
      </c>
      <c r="AH3192">
        <v>0</v>
      </c>
      <c r="AI3192">
        <v>0</v>
      </c>
      <c r="AJ3192">
        <v>0</v>
      </c>
      <c r="AK3192">
        <v>0</v>
      </c>
    </row>
    <row r="3193" spans="1:37" x14ac:dyDescent="0.3">
      <c r="A3193">
        <v>7134</v>
      </c>
      <c r="B3193" t="s">
        <v>28</v>
      </c>
      <c r="C3193">
        <v>299</v>
      </c>
      <c r="D3193" t="s">
        <v>3500</v>
      </c>
      <c r="E3193">
        <v>99999999</v>
      </c>
      <c r="F3193">
        <v>11111111</v>
      </c>
      <c r="G3193">
        <v>1111111111</v>
      </c>
      <c r="H3193" t="s">
        <v>6762</v>
      </c>
      <c r="I3193">
        <v>99999999</v>
      </c>
      <c r="J3193" s="188">
        <v>45238</v>
      </c>
      <c r="K3193" t="s">
        <v>6762</v>
      </c>
      <c r="L3193" t="s">
        <v>6762</v>
      </c>
      <c r="M3193" t="s">
        <v>3299</v>
      </c>
      <c r="N3193" t="s">
        <v>950</v>
      </c>
      <c r="O3193">
        <v>52002</v>
      </c>
      <c r="Q3193" t="s">
        <v>124</v>
      </c>
      <c r="R3193">
        <v>20</v>
      </c>
      <c r="S3193">
        <v>17.95</v>
      </c>
      <c r="T3193">
        <v>0</v>
      </c>
      <c r="U3193">
        <v>0</v>
      </c>
      <c r="V3193">
        <v>13</v>
      </c>
      <c r="W3193">
        <v>0</v>
      </c>
      <c r="X3193">
        <v>0</v>
      </c>
      <c r="Y3193">
        <v>0</v>
      </c>
      <c r="Z3193">
        <v>0</v>
      </c>
      <c r="AA3193">
        <v>0</v>
      </c>
      <c r="AB3193">
        <v>0</v>
      </c>
      <c r="AC3193">
        <v>0</v>
      </c>
      <c r="AD3193">
        <v>20</v>
      </c>
      <c r="AE3193">
        <v>0</v>
      </c>
      <c r="AF3193">
        <v>0</v>
      </c>
      <c r="AG3193">
        <v>0</v>
      </c>
      <c r="AH3193">
        <v>0</v>
      </c>
      <c r="AI3193">
        <v>0</v>
      </c>
      <c r="AJ3193">
        <v>0</v>
      </c>
      <c r="AK3193">
        <v>0</v>
      </c>
    </row>
    <row r="3194" spans="1:37" x14ac:dyDescent="0.3">
      <c r="A3194">
        <v>7134</v>
      </c>
      <c r="B3194" t="s">
        <v>28</v>
      </c>
      <c r="C3194">
        <v>299</v>
      </c>
      <c r="D3194" t="s">
        <v>3500</v>
      </c>
      <c r="E3194">
        <v>99999999</v>
      </c>
      <c r="F3194">
        <v>11111111</v>
      </c>
      <c r="G3194">
        <v>1111111111</v>
      </c>
      <c r="H3194" t="s">
        <v>6763</v>
      </c>
      <c r="I3194">
        <v>99999999</v>
      </c>
      <c r="J3194" s="188">
        <v>45238</v>
      </c>
      <c r="K3194" t="s">
        <v>6763</v>
      </c>
      <c r="L3194" t="s">
        <v>6763</v>
      </c>
      <c r="M3194" t="s">
        <v>3299</v>
      </c>
      <c r="N3194" t="s">
        <v>950</v>
      </c>
      <c r="O3194">
        <v>52002</v>
      </c>
      <c r="Q3194" t="s">
        <v>124</v>
      </c>
      <c r="R3194">
        <v>17</v>
      </c>
      <c r="S3194">
        <v>15.13</v>
      </c>
      <c r="T3194">
        <v>0</v>
      </c>
      <c r="U3194">
        <v>0</v>
      </c>
      <c r="V3194">
        <v>12</v>
      </c>
      <c r="W3194">
        <v>0</v>
      </c>
      <c r="X3194">
        <v>0</v>
      </c>
      <c r="Y3194">
        <v>0</v>
      </c>
      <c r="Z3194">
        <v>0</v>
      </c>
      <c r="AA3194">
        <v>0</v>
      </c>
      <c r="AB3194">
        <v>0</v>
      </c>
      <c r="AC3194">
        <v>0</v>
      </c>
      <c r="AD3194">
        <v>17</v>
      </c>
      <c r="AE3194">
        <v>0</v>
      </c>
      <c r="AF3194">
        <v>0</v>
      </c>
      <c r="AG3194">
        <v>0</v>
      </c>
      <c r="AH3194">
        <v>0</v>
      </c>
      <c r="AI3194">
        <v>0</v>
      </c>
      <c r="AJ3194">
        <v>0</v>
      </c>
      <c r="AK3194">
        <v>0</v>
      </c>
    </row>
    <row r="3195" spans="1:37" x14ac:dyDescent="0.3">
      <c r="A3195">
        <v>7134</v>
      </c>
      <c r="B3195" t="s">
        <v>28</v>
      </c>
      <c r="C3195">
        <v>299</v>
      </c>
      <c r="D3195" t="s">
        <v>3500</v>
      </c>
      <c r="E3195">
        <v>99999999</v>
      </c>
      <c r="F3195">
        <v>11111111</v>
      </c>
      <c r="G3195">
        <v>1111111111</v>
      </c>
      <c r="H3195" t="s">
        <v>6764</v>
      </c>
      <c r="I3195">
        <v>99999999</v>
      </c>
      <c r="J3195" s="188">
        <v>45238</v>
      </c>
      <c r="K3195" t="s">
        <v>6764</v>
      </c>
      <c r="L3195" t="s">
        <v>6764</v>
      </c>
      <c r="M3195" t="s">
        <v>3299</v>
      </c>
      <c r="N3195" t="s">
        <v>950</v>
      </c>
      <c r="O3195">
        <v>52002</v>
      </c>
      <c r="Q3195" t="s">
        <v>124</v>
      </c>
      <c r="R3195">
        <v>16</v>
      </c>
      <c r="S3195">
        <v>13.63</v>
      </c>
      <c r="T3195">
        <v>0</v>
      </c>
      <c r="U3195">
        <v>0</v>
      </c>
      <c r="V3195">
        <v>11</v>
      </c>
      <c r="W3195">
        <v>0</v>
      </c>
      <c r="X3195">
        <v>0</v>
      </c>
      <c r="Y3195">
        <v>0</v>
      </c>
      <c r="Z3195">
        <v>0</v>
      </c>
      <c r="AA3195">
        <v>0</v>
      </c>
      <c r="AB3195">
        <v>0</v>
      </c>
      <c r="AC3195">
        <v>0</v>
      </c>
      <c r="AD3195">
        <v>16</v>
      </c>
      <c r="AE3195">
        <v>0</v>
      </c>
      <c r="AF3195">
        <v>0</v>
      </c>
      <c r="AG3195">
        <v>0</v>
      </c>
      <c r="AH3195">
        <v>0</v>
      </c>
      <c r="AI3195">
        <v>0</v>
      </c>
      <c r="AJ3195">
        <v>0</v>
      </c>
      <c r="AK3195">
        <v>0</v>
      </c>
    </row>
    <row r="3196" spans="1:37" x14ac:dyDescent="0.3">
      <c r="A3196">
        <v>7134</v>
      </c>
      <c r="B3196" t="s">
        <v>28</v>
      </c>
      <c r="C3196">
        <v>299</v>
      </c>
      <c r="D3196" t="s">
        <v>3500</v>
      </c>
      <c r="E3196">
        <v>99999999</v>
      </c>
      <c r="F3196">
        <v>11111111</v>
      </c>
      <c r="G3196">
        <v>1111111111</v>
      </c>
      <c r="H3196" t="s">
        <v>6765</v>
      </c>
      <c r="I3196">
        <v>99999999</v>
      </c>
      <c r="J3196" s="188">
        <v>45238</v>
      </c>
      <c r="K3196" t="s">
        <v>6765</v>
      </c>
      <c r="L3196" t="s">
        <v>6765</v>
      </c>
      <c r="M3196" t="s">
        <v>3299</v>
      </c>
      <c r="N3196" t="s">
        <v>950</v>
      </c>
      <c r="O3196">
        <v>52002</v>
      </c>
      <c r="Q3196" t="s">
        <v>124</v>
      </c>
      <c r="R3196">
        <v>16</v>
      </c>
      <c r="S3196">
        <v>14.28</v>
      </c>
      <c r="T3196">
        <v>0</v>
      </c>
      <c r="U3196">
        <v>0</v>
      </c>
      <c r="V3196">
        <v>11</v>
      </c>
      <c r="W3196">
        <v>0</v>
      </c>
      <c r="X3196">
        <v>0</v>
      </c>
      <c r="Y3196">
        <v>0</v>
      </c>
      <c r="Z3196">
        <v>0</v>
      </c>
      <c r="AA3196">
        <v>0</v>
      </c>
      <c r="AB3196">
        <v>0</v>
      </c>
      <c r="AC3196">
        <v>0</v>
      </c>
      <c r="AD3196">
        <v>16</v>
      </c>
      <c r="AE3196">
        <v>0</v>
      </c>
      <c r="AF3196">
        <v>0</v>
      </c>
      <c r="AG3196">
        <v>0</v>
      </c>
      <c r="AH3196">
        <v>0</v>
      </c>
      <c r="AI3196">
        <v>0</v>
      </c>
      <c r="AJ3196">
        <v>0</v>
      </c>
      <c r="AK3196">
        <v>0</v>
      </c>
    </row>
    <row r="3197" spans="1:37" x14ac:dyDescent="0.3">
      <c r="A3197">
        <v>7134</v>
      </c>
      <c r="B3197" t="s">
        <v>28</v>
      </c>
      <c r="C3197">
        <v>299</v>
      </c>
      <c r="D3197" t="s">
        <v>3500</v>
      </c>
      <c r="E3197">
        <v>99999999</v>
      </c>
      <c r="F3197">
        <v>11111111</v>
      </c>
      <c r="G3197">
        <v>1111111111</v>
      </c>
      <c r="H3197" t="s">
        <v>6766</v>
      </c>
      <c r="I3197">
        <v>99999999</v>
      </c>
      <c r="J3197" s="188">
        <v>45238</v>
      </c>
      <c r="K3197" t="s">
        <v>6766</v>
      </c>
      <c r="L3197" t="s">
        <v>6766</v>
      </c>
      <c r="M3197" t="s">
        <v>3299</v>
      </c>
      <c r="N3197" t="s">
        <v>950</v>
      </c>
      <c r="O3197">
        <v>52002</v>
      </c>
      <c r="Q3197" t="s">
        <v>124</v>
      </c>
      <c r="R3197">
        <v>20</v>
      </c>
      <c r="S3197">
        <v>17.59</v>
      </c>
      <c r="T3197">
        <v>0</v>
      </c>
      <c r="U3197">
        <v>0</v>
      </c>
      <c r="V3197">
        <v>13</v>
      </c>
      <c r="W3197">
        <v>0</v>
      </c>
      <c r="X3197">
        <v>0</v>
      </c>
      <c r="Y3197">
        <v>0</v>
      </c>
      <c r="Z3197">
        <v>0</v>
      </c>
      <c r="AA3197">
        <v>0</v>
      </c>
      <c r="AB3197">
        <v>0</v>
      </c>
      <c r="AC3197">
        <v>0</v>
      </c>
      <c r="AD3197">
        <v>20</v>
      </c>
      <c r="AE3197">
        <v>0</v>
      </c>
      <c r="AF3197">
        <v>0</v>
      </c>
      <c r="AG3197">
        <v>0</v>
      </c>
      <c r="AH3197">
        <v>0</v>
      </c>
      <c r="AI3197">
        <v>0</v>
      </c>
      <c r="AJ3197">
        <v>0</v>
      </c>
      <c r="AK3197">
        <v>0</v>
      </c>
    </row>
    <row r="3198" spans="1:37" x14ac:dyDescent="0.3">
      <c r="A3198">
        <v>7134</v>
      </c>
      <c r="B3198" t="s">
        <v>28</v>
      </c>
      <c r="C3198">
        <v>299</v>
      </c>
      <c r="D3198" t="s">
        <v>3500</v>
      </c>
      <c r="E3198">
        <v>99999999</v>
      </c>
      <c r="F3198">
        <v>11111111</v>
      </c>
      <c r="G3198">
        <v>1111111111</v>
      </c>
      <c r="H3198" t="s">
        <v>6767</v>
      </c>
      <c r="I3198">
        <v>99999999</v>
      </c>
      <c r="J3198" s="188">
        <v>45238</v>
      </c>
      <c r="K3198" t="s">
        <v>6767</v>
      </c>
      <c r="L3198" t="s">
        <v>6767</v>
      </c>
      <c r="M3198" t="s">
        <v>3299</v>
      </c>
      <c r="N3198" t="s">
        <v>950</v>
      </c>
      <c r="O3198">
        <v>52002</v>
      </c>
      <c r="Q3198" t="s">
        <v>124</v>
      </c>
      <c r="R3198">
        <v>19</v>
      </c>
      <c r="S3198">
        <v>16.649999999999999</v>
      </c>
      <c r="T3198">
        <v>0</v>
      </c>
      <c r="U3198">
        <v>0</v>
      </c>
      <c r="V3198">
        <v>13</v>
      </c>
      <c r="W3198">
        <v>0</v>
      </c>
      <c r="X3198">
        <v>0</v>
      </c>
      <c r="Y3198">
        <v>0</v>
      </c>
      <c r="Z3198">
        <v>0</v>
      </c>
      <c r="AA3198">
        <v>0</v>
      </c>
      <c r="AB3198">
        <v>0</v>
      </c>
      <c r="AC3198">
        <v>0</v>
      </c>
      <c r="AD3198">
        <v>19</v>
      </c>
      <c r="AE3198">
        <v>0</v>
      </c>
      <c r="AF3198">
        <v>0</v>
      </c>
      <c r="AG3198">
        <v>0</v>
      </c>
      <c r="AH3198">
        <v>0</v>
      </c>
      <c r="AI3198">
        <v>0</v>
      </c>
      <c r="AJ3198">
        <v>0</v>
      </c>
      <c r="AK3198">
        <v>0</v>
      </c>
    </row>
    <row r="3199" spans="1:37" x14ac:dyDescent="0.3">
      <c r="A3199">
        <v>7134</v>
      </c>
      <c r="B3199" t="s">
        <v>28</v>
      </c>
      <c r="C3199">
        <v>299</v>
      </c>
      <c r="D3199" t="s">
        <v>3500</v>
      </c>
      <c r="E3199">
        <v>99999999</v>
      </c>
      <c r="F3199">
        <v>11111111</v>
      </c>
      <c r="G3199">
        <v>1111111111</v>
      </c>
      <c r="H3199" t="s">
        <v>6768</v>
      </c>
      <c r="I3199">
        <v>99999999</v>
      </c>
      <c r="J3199" s="188">
        <v>45238</v>
      </c>
      <c r="K3199" t="s">
        <v>6768</v>
      </c>
      <c r="L3199" t="s">
        <v>6768</v>
      </c>
      <c r="M3199" t="s">
        <v>3299</v>
      </c>
      <c r="N3199" t="s">
        <v>950</v>
      </c>
      <c r="O3199">
        <v>52002</v>
      </c>
      <c r="Q3199" t="s">
        <v>124</v>
      </c>
      <c r="R3199">
        <v>20</v>
      </c>
      <c r="S3199">
        <v>17.95</v>
      </c>
      <c r="T3199">
        <v>0</v>
      </c>
      <c r="U3199">
        <v>0</v>
      </c>
      <c r="V3199">
        <v>13</v>
      </c>
      <c r="W3199">
        <v>0</v>
      </c>
      <c r="X3199">
        <v>0</v>
      </c>
      <c r="Y3199">
        <v>0</v>
      </c>
      <c r="Z3199">
        <v>0</v>
      </c>
      <c r="AA3199">
        <v>0</v>
      </c>
      <c r="AB3199">
        <v>0</v>
      </c>
      <c r="AC3199">
        <v>0</v>
      </c>
      <c r="AD3199">
        <v>20</v>
      </c>
      <c r="AE3199">
        <v>0</v>
      </c>
      <c r="AF3199">
        <v>0</v>
      </c>
      <c r="AG3199">
        <v>0</v>
      </c>
      <c r="AH3199">
        <v>0</v>
      </c>
      <c r="AI3199">
        <v>0</v>
      </c>
      <c r="AJ3199">
        <v>0</v>
      </c>
      <c r="AK3199">
        <v>0</v>
      </c>
    </row>
    <row r="3200" spans="1:37" x14ac:dyDescent="0.3">
      <c r="A3200">
        <v>7134</v>
      </c>
      <c r="B3200" t="s">
        <v>28</v>
      </c>
      <c r="C3200">
        <v>299</v>
      </c>
      <c r="D3200" t="s">
        <v>3500</v>
      </c>
      <c r="E3200">
        <v>99999999</v>
      </c>
      <c r="F3200">
        <v>11111111</v>
      </c>
      <c r="G3200">
        <v>1111111111</v>
      </c>
      <c r="H3200" t="s">
        <v>6769</v>
      </c>
      <c r="I3200">
        <v>99999999</v>
      </c>
      <c r="J3200" s="188">
        <v>45238</v>
      </c>
      <c r="K3200" t="s">
        <v>6769</v>
      </c>
      <c r="L3200" t="s">
        <v>6769</v>
      </c>
      <c r="M3200" t="s">
        <v>3299</v>
      </c>
      <c r="N3200" t="s">
        <v>950</v>
      </c>
      <c r="O3200">
        <v>52002</v>
      </c>
      <c r="Q3200" t="s">
        <v>124</v>
      </c>
      <c r="R3200">
        <v>17</v>
      </c>
      <c r="S3200">
        <v>14.52</v>
      </c>
      <c r="T3200">
        <v>0</v>
      </c>
      <c r="U3200">
        <v>0</v>
      </c>
      <c r="V3200">
        <v>12</v>
      </c>
      <c r="W3200">
        <v>0</v>
      </c>
      <c r="X3200">
        <v>0</v>
      </c>
      <c r="Y3200">
        <v>0</v>
      </c>
      <c r="Z3200">
        <v>0</v>
      </c>
      <c r="AA3200">
        <v>0</v>
      </c>
      <c r="AB3200">
        <v>0</v>
      </c>
      <c r="AC3200">
        <v>0</v>
      </c>
      <c r="AD3200">
        <v>17</v>
      </c>
      <c r="AE3200">
        <v>0</v>
      </c>
      <c r="AF3200">
        <v>0</v>
      </c>
      <c r="AG3200">
        <v>0</v>
      </c>
      <c r="AH3200">
        <v>0</v>
      </c>
      <c r="AI3200">
        <v>0</v>
      </c>
      <c r="AJ3200">
        <v>0</v>
      </c>
      <c r="AK3200">
        <v>0</v>
      </c>
    </row>
    <row r="3201" spans="1:37" x14ac:dyDescent="0.3">
      <c r="A3201">
        <v>7134</v>
      </c>
      <c r="B3201" t="s">
        <v>28</v>
      </c>
      <c r="C3201">
        <v>299</v>
      </c>
      <c r="D3201" t="s">
        <v>3500</v>
      </c>
      <c r="E3201">
        <v>99999999</v>
      </c>
      <c r="F3201">
        <v>11111111</v>
      </c>
      <c r="G3201">
        <v>1111111111</v>
      </c>
      <c r="H3201" t="s">
        <v>6770</v>
      </c>
      <c r="I3201">
        <v>99999999</v>
      </c>
      <c r="J3201" s="188">
        <v>45238</v>
      </c>
      <c r="K3201" t="s">
        <v>6770</v>
      </c>
      <c r="L3201" t="s">
        <v>6770</v>
      </c>
      <c r="M3201" t="s">
        <v>3299</v>
      </c>
      <c r="N3201" t="s">
        <v>950</v>
      </c>
      <c r="O3201">
        <v>52002</v>
      </c>
      <c r="Q3201" t="s">
        <v>124</v>
      </c>
      <c r="R3201">
        <v>28</v>
      </c>
      <c r="S3201">
        <v>24.38</v>
      </c>
      <c r="T3201">
        <v>0</v>
      </c>
      <c r="U3201">
        <v>0</v>
      </c>
      <c r="V3201">
        <v>13</v>
      </c>
      <c r="W3201">
        <v>0</v>
      </c>
      <c r="X3201">
        <v>0</v>
      </c>
      <c r="Y3201">
        <v>0</v>
      </c>
      <c r="Z3201">
        <v>0</v>
      </c>
      <c r="AA3201">
        <v>0</v>
      </c>
      <c r="AB3201">
        <v>0</v>
      </c>
      <c r="AC3201">
        <v>0</v>
      </c>
      <c r="AD3201">
        <v>28</v>
      </c>
      <c r="AE3201">
        <v>0</v>
      </c>
      <c r="AF3201">
        <v>0</v>
      </c>
      <c r="AG3201">
        <v>0</v>
      </c>
      <c r="AH3201">
        <v>0</v>
      </c>
      <c r="AI3201">
        <v>0</v>
      </c>
      <c r="AJ3201">
        <v>0</v>
      </c>
      <c r="AK3201">
        <v>0</v>
      </c>
    </row>
    <row r="3202" spans="1:37" x14ac:dyDescent="0.3">
      <c r="A3202">
        <v>7134</v>
      </c>
      <c r="B3202" t="s">
        <v>28</v>
      </c>
      <c r="C3202">
        <v>299</v>
      </c>
      <c r="D3202" t="s">
        <v>3500</v>
      </c>
      <c r="E3202">
        <v>99999999</v>
      </c>
      <c r="F3202">
        <v>11111111</v>
      </c>
      <c r="G3202">
        <v>1111111111</v>
      </c>
      <c r="H3202" t="s">
        <v>6771</v>
      </c>
      <c r="I3202">
        <v>99999999</v>
      </c>
      <c r="J3202" s="188">
        <v>45238</v>
      </c>
      <c r="K3202" t="s">
        <v>6771</v>
      </c>
      <c r="L3202" t="s">
        <v>6771</v>
      </c>
      <c r="M3202" t="s">
        <v>3299</v>
      </c>
      <c r="N3202" t="s">
        <v>950</v>
      </c>
      <c r="O3202">
        <v>52002</v>
      </c>
      <c r="Q3202" t="s">
        <v>124</v>
      </c>
      <c r="R3202">
        <v>19</v>
      </c>
      <c r="S3202">
        <v>16.649999999999999</v>
      </c>
      <c r="T3202">
        <v>0</v>
      </c>
      <c r="U3202">
        <v>0</v>
      </c>
      <c r="V3202">
        <v>13</v>
      </c>
      <c r="W3202">
        <v>0</v>
      </c>
      <c r="X3202">
        <v>0</v>
      </c>
      <c r="Y3202">
        <v>0</v>
      </c>
      <c r="Z3202">
        <v>0</v>
      </c>
      <c r="AA3202">
        <v>0</v>
      </c>
      <c r="AB3202">
        <v>0</v>
      </c>
      <c r="AC3202">
        <v>0</v>
      </c>
      <c r="AD3202">
        <v>19</v>
      </c>
      <c r="AE3202">
        <v>0</v>
      </c>
      <c r="AF3202">
        <v>0</v>
      </c>
      <c r="AG3202">
        <v>0</v>
      </c>
      <c r="AH3202">
        <v>0</v>
      </c>
      <c r="AI3202">
        <v>0</v>
      </c>
      <c r="AJ3202">
        <v>0</v>
      </c>
      <c r="AK3202">
        <v>0</v>
      </c>
    </row>
    <row r="3203" spans="1:37" x14ac:dyDescent="0.3">
      <c r="A3203">
        <v>7134</v>
      </c>
      <c r="B3203" t="s">
        <v>28</v>
      </c>
      <c r="C3203">
        <v>299</v>
      </c>
      <c r="D3203" t="s">
        <v>3500</v>
      </c>
      <c r="E3203">
        <v>99999999</v>
      </c>
      <c r="F3203">
        <v>11111111</v>
      </c>
      <c r="G3203">
        <v>1111111111</v>
      </c>
      <c r="H3203" t="s">
        <v>6772</v>
      </c>
      <c r="I3203">
        <v>99999999</v>
      </c>
      <c r="J3203" s="188">
        <v>45238</v>
      </c>
      <c r="K3203" t="s">
        <v>6772</v>
      </c>
      <c r="L3203" t="s">
        <v>6772</v>
      </c>
      <c r="M3203" t="s">
        <v>3299</v>
      </c>
      <c r="N3203" t="s">
        <v>950</v>
      </c>
      <c r="O3203">
        <v>52002</v>
      </c>
      <c r="Q3203" t="s">
        <v>124</v>
      </c>
      <c r="R3203">
        <v>18</v>
      </c>
      <c r="S3203">
        <v>15.69</v>
      </c>
      <c r="T3203">
        <v>0</v>
      </c>
      <c r="U3203">
        <v>0</v>
      </c>
      <c r="V3203">
        <v>12</v>
      </c>
      <c r="W3203">
        <v>0</v>
      </c>
      <c r="X3203">
        <v>0</v>
      </c>
      <c r="Y3203">
        <v>0</v>
      </c>
      <c r="Z3203">
        <v>0</v>
      </c>
      <c r="AA3203">
        <v>0</v>
      </c>
      <c r="AB3203">
        <v>0</v>
      </c>
      <c r="AC3203">
        <v>0</v>
      </c>
      <c r="AD3203">
        <v>18</v>
      </c>
      <c r="AE3203">
        <v>0</v>
      </c>
      <c r="AF3203">
        <v>0</v>
      </c>
      <c r="AG3203">
        <v>0</v>
      </c>
      <c r="AH3203">
        <v>0</v>
      </c>
      <c r="AI3203">
        <v>0</v>
      </c>
      <c r="AJ3203">
        <v>0</v>
      </c>
      <c r="AK3203">
        <v>0</v>
      </c>
    </row>
    <row r="3204" spans="1:37" x14ac:dyDescent="0.3">
      <c r="A3204">
        <v>7134</v>
      </c>
      <c r="B3204" t="s">
        <v>28</v>
      </c>
      <c r="C3204">
        <v>299</v>
      </c>
      <c r="D3204" t="s">
        <v>3500</v>
      </c>
      <c r="E3204">
        <v>99999999</v>
      </c>
      <c r="F3204">
        <v>11111111</v>
      </c>
      <c r="G3204">
        <v>1111111111</v>
      </c>
      <c r="H3204" t="s">
        <v>6773</v>
      </c>
      <c r="I3204">
        <v>99999999</v>
      </c>
      <c r="J3204" s="188">
        <v>45238</v>
      </c>
      <c r="K3204" t="s">
        <v>6773</v>
      </c>
      <c r="L3204" t="s">
        <v>6773</v>
      </c>
      <c r="M3204" t="s">
        <v>3299</v>
      </c>
      <c r="N3204" t="s">
        <v>950</v>
      </c>
      <c r="O3204">
        <v>52002</v>
      </c>
      <c r="Q3204" t="s">
        <v>124</v>
      </c>
      <c r="R3204">
        <v>14</v>
      </c>
      <c r="S3204">
        <v>12.23</v>
      </c>
      <c r="T3204">
        <v>0</v>
      </c>
      <c r="U3204">
        <v>0</v>
      </c>
      <c r="V3204">
        <v>11</v>
      </c>
      <c r="W3204">
        <v>0</v>
      </c>
      <c r="X3204">
        <v>0</v>
      </c>
      <c r="Y3204">
        <v>0</v>
      </c>
      <c r="Z3204">
        <v>0</v>
      </c>
      <c r="AA3204">
        <v>0</v>
      </c>
      <c r="AB3204">
        <v>0</v>
      </c>
      <c r="AC3204">
        <v>0</v>
      </c>
      <c r="AD3204">
        <v>14</v>
      </c>
      <c r="AE3204">
        <v>0</v>
      </c>
      <c r="AF3204">
        <v>0</v>
      </c>
      <c r="AG3204">
        <v>0</v>
      </c>
      <c r="AH3204">
        <v>0</v>
      </c>
      <c r="AI3204">
        <v>0</v>
      </c>
      <c r="AJ3204">
        <v>0</v>
      </c>
      <c r="AK3204">
        <v>0</v>
      </c>
    </row>
    <row r="3205" spans="1:37" x14ac:dyDescent="0.3">
      <c r="A3205">
        <v>7134</v>
      </c>
      <c r="B3205" t="s">
        <v>28</v>
      </c>
      <c r="C3205">
        <v>299</v>
      </c>
      <c r="D3205" t="s">
        <v>3500</v>
      </c>
      <c r="E3205">
        <v>99999999</v>
      </c>
      <c r="F3205">
        <v>11111111</v>
      </c>
      <c r="G3205">
        <v>1111111111</v>
      </c>
      <c r="H3205" t="s">
        <v>6774</v>
      </c>
      <c r="I3205">
        <v>99999999</v>
      </c>
      <c r="J3205" s="188">
        <v>45238</v>
      </c>
      <c r="K3205" t="s">
        <v>6774</v>
      </c>
      <c r="L3205" t="s">
        <v>6774</v>
      </c>
      <c r="M3205" t="s">
        <v>3299</v>
      </c>
      <c r="N3205" t="s">
        <v>950</v>
      </c>
      <c r="O3205">
        <v>52002</v>
      </c>
      <c r="Q3205" t="s">
        <v>124</v>
      </c>
      <c r="R3205">
        <v>18</v>
      </c>
      <c r="S3205">
        <v>15.69</v>
      </c>
      <c r="T3205">
        <v>0</v>
      </c>
      <c r="U3205">
        <v>0</v>
      </c>
      <c r="V3205">
        <v>12</v>
      </c>
      <c r="W3205">
        <v>0</v>
      </c>
      <c r="X3205">
        <v>0</v>
      </c>
      <c r="Y3205">
        <v>0</v>
      </c>
      <c r="Z3205">
        <v>0</v>
      </c>
      <c r="AA3205">
        <v>0</v>
      </c>
      <c r="AB3205">
        <v>0</v>
      </c>
      <c r="AC3205">
        <v>0</v>
      </c>
      <c r="AD3205">
        <v>18</v>
      </c>
      <c r="AE3205">
        <v>0</v>
      </c>
      <c r="AF3205">
        <v>0</v>
      </c>
      <c r="AG3205">
        <v>0</v>
      </c>
      <c r="AH3205">
        <v>0</v>
      </c>
      <c r="AI3205">
        <v>0</v>
      </c>
      <c r="AJ3205">
        <v>0</v>
      </c>
      <c r="AK3205">
        <v>0</v>
      </c>
    </row>
    <row r="3206" spans="1:37" x14ac:dyDescent="0.3">
      <c r="A3206">
        <v>7134</v>
      </c>
      <c r="B3206" t="s">
        <v>28</v>
      </c>
      <c r="C3206">
        <v>299</v>
      </c>
      <c r="D3206" t="s">
        <v>3500</v>
      </c>
      <c r="E3206">
        <v>99999999</v>
      </c>
      <c r="F3206">
        <v>11111111</v>
      </c>
      <c r="G3206">
        <v>1111111111</v>
      </c>
      <c r="H3206" t="s">
        <v>6775</v>
      </c>
      <c r="I3206">
        <v>99999999</v>
      </c>
      <c r="J3206" s="188">
        <v>45238</v>
      </c>
      <c r="K3206" t="s">
        <v>6775</v>
      </c>
      <c r="L3206" t="s">
        <v>6775</v>
      </c>
      <c r="M3206" t="s">
        <v>3299</v>
      </c>
      <c r="N3206" t="s">
        <v>950</v>
      </c>
      <c r="O3206">
        <v>52002</v>
      </c>
      <c r="Q3206" t="s">
        <v>124</v>
      </c>
      <c r="R3206">
        <v>20</v>
      </c>
      <c r="S3206">
        <v>17.59</v>
      </c>
      <c r="T3206">
        <v>0</v>
      </c>
      <c r="U3206">
        <v>0</v>
      </c>
      <c r="V3206">
        <v>13</v>
      </c>
      <c r="W3206">
        <v>0</v>
      </c>
      <c r="X3206">
        <v>0</v>
      </c>
      <c r="Y3206">
        <v>0</v>
      </c>
      <c r="Z3206">
        <v>0</v>
      </c>
      <c r="AA3206">
        <v>0</v>
      </c>
      <c r="AB3206">
        <v>0</v>
      </c>
      <c r="AC3206">
        <v>0</v>
      </c>
      <c r="AD3206">
        <v>20</v>
      </c>
      <c r="AE3206">
        <v>0</v>
      </c>
      <c r="AF3206">
        <v>0</v>
      </c>
      <c r="AG3206">
        <v>0</v>
      </c>
      <c r="AH3206">
        <v>0</v>
      </c>
      <c r="AI3206">
        <v>0</v>
      </c>
      <c r="AJ3206">
        <v>0</v>
      </c>
      <c r="AK3206">
        <v>0</v>
      </c>
    </row>
    <row r="3207" spans="1:37" x14ac:dyDescent="0.3">
      <c r="A3207">
        <v>7134</v>
      </c>
      <c r="B3207" t="s">
        <v>28</v>
      </c>
      <c r="C3207">
        <v>299</v>
      </c>
      <c r="D3207" t="s">
        <v>3500</v>
      </c>
      <c r="E3207">
        <v>99999999</v>
      </c>
      <c r="F3207">
        <v>11111111</v>
      </c>
      <c r="G3207">
        <v>1111111111</v>
      </c>
      <c r="H3207" t="s">
        <v>6776</v>
      </c>
      <c r="I3207">
        <v>99999999</v>
      </c>
      <c r="J3207" s="188">
        <v>45238</v>
      </c>
      <c r="K3207" t="s">
        <v>6776</v>
      </c>
      <c r="L3207" t="s">
        <v>6776</v>
      </c>
      <c r="M3207" t="s">
        <v>3299</v>
      </c>
      <c r="N3207" t="s">
        <v>950</v>
      </c>
      <c r="O3207">
        <v>52002</v>
      </c>
      <c r="Q3207" t="s">
        <v>124</v>
      </c>
      <c r="R3207">
        <v>17</v>
      </c>
      <c r="S3207">
        <v>14.84</v>
      </c>
      <c r="T3207">
        <v>0</v>
      </c>
      <c r="U3207">
        <v>0</v>
      </c>
      <c r="V3207">
        <v>12</v>
      </c>
      <c r="W3207">
        <v>0</v>
      </c>
      <c r="X3207">
        <v>0</v>
      </c>
      <c r="Y3207">
        <v>0</v>
      </c>
      <c r="Z3207">
        <v>0</v>
      </c>
      <c r="AA3207">
        <v>0</v>
      </c>
      <c r="AB3207">
        <v>0</v>
      </c>
      <c r="AC3207">
        <v>0</v>
      </c>
      <c r="AD3207">
        <v>17</v>
      </c>
      <c r="AE3207">
        <v>0</v>
      </c>
      <c r="AF3207">
        <v>0</v>
      </c>
      <c r="AG3207">
        <v>0</v>
      </c>
      <c r="AH3207">
        <v>0</v>
      </c>
      <c r="AI3207">
        <v>0</v>
      </c>
      <c r="AJ3207">
        <v>0</v>
      </c>
      <c r="AK3207">
        <v>0</v>
      </c>
    </row>
    <row r="3208" spans="1:37" x14ac:dyDescent="0.3">
      <c r="A3208">
        <v>7134</v>
      </c>
      <c r="B3208" t="s">
        <v>28</v>
      </c>
      <c r="C3208">
        <v>299</v>
      </c>
      <c r="D3208" t="s">
        <v>3500</v>
      </c>
      <c r="E3208">
        <v>99999999</v>
      </c>
      <c r="F3208">
        <v>11111111</v>
      </c>
      <c r="G3208">
        <v>1111111111</v>
      </c>
      <c r="H3208" t="s">
        <v>6777</v>
      </c>
      <c r="I3208">
        <v>99999999</v>
      </c>
      <c r="J3208" s="188">
        <v>45238</v>
      </c>
      <c r="K3208" t="s">
        <v>6777</v>
      </c>
      <c r="L3208" t="s">
        <v>6777</v>
      </c>
      <c r="M3208" t="s">
        <v>3299</v>
      </c>
      <c r="N3208" t="s">
        <v>950</v>
      </c>
      <c r="O3208">
        <v>52002</v>
      </c>
      <c r="Q3208" t="s">
        <v>124</v>
      </c>
      <c r="R3208">
        <v>18</v>
      </c>
      <c r="S3208">
        <v>15.69</v>
      </c>
      <c r="T3208">
        <v>0</v>
      </c>
      <c r="U3208">
        <v>0</v>
      </c>
      <c r="V3208">
        <v>12</v>
      </c>
      <c r="W3208">
        <v>0</v>
      </c>
      <c r="X3208">
        <v>0</v>
      </c>
      <c r="Y3208">
        <v>0</v>
      </c>
      <c r="Z3208">
        <v>0</v>
      </c>
      <c r="AA3208">
        <v>0</v>
      </c>
      <c r="AB3208">
        <v>0</v>
      </c>
      <c r="AC3208">
        <v>0</v>
      </c>
      <c r="AD3208">
        <v>18</v>
      </c>
      <c r="AE3208">
        <v>0</v>
      </c>
      <c r="AF3208">
        <v>0</v>
      </c>
      <c r="AG3208">
        <v>0</v>
      </c>
      <c r="AH3208">
        <v>0</v>
      </c>
      <c r="AI3208">
        <v>0</v>
      </c>
      <c r="AJ3208">
        <v>0</v>
      </c>
      <c r="AK3208">
        <v>0</v>
      </c>
    </row>
    <row r="3209" spans="1:37" x14ac:dyDescent="0.3">
      <c r="A3209">
        <v>7134</v>
      </c>
      <c r="B3209" t="s">
        <v>28</v>
      </c>
      <c r="C3209">
        <v>299</v>
      </c>
      <c r="D3209" t="s">
        <v>3500</v>
      </c>
      <c r="E3209">
        <v>99999999</v>
      </c>
      <c r="F3209">
        <v>11111111</v>
      </c>
      <c r="G3209">
        <v>1111111111</v>
      </c>
      <c r="H3209" t="s">
        <v>6778</v>
      </c>
      <c r="I3209">
        <v>99999999</v>
      </c>
      <c r="J3209" s="188">
        <v>45238</v>
      </c>
      <c r="K3209" t="s">
        <v>6778</v>
      </c>
      <c r="L3209" t="s">
        <v>6778</v>
      </c>
      <c r="M3209" t="s">
        <v>3299</v>
      </c>
      <c r="N3209" t="s">
        <v>950</v>
      </c>
      <c r="O3209">
        <v>52002</v>
      </c>
      <c r="Q3209" t="s">
        <v>124</v>
      </c>
      <c r="R3209">
        <v>17</v>
      </c>
      <c r="S3209">
        <v>15.13</v>
      </c>
      <c r="T3209">
        <v>0</v>
      </c>
      <c r="U3209">
        <v>0</v>
      </c>
      <c r="V3209">
        <v>12</v>
      </c>
      <c r="W3209">
        <v>0</v>
      </c>
      <c r="X3209">
        <v>0</v>
      </c>
      <c r="Y3209">
        <v>0</v>
      </c>
      <c r="Z3209">
        <v>0</v>
      </c>
      <c r="AA3209">
        <v>0</v>
      </c>
      <c r="AB3209">
        <v>0</v>
      </c>
      <c r="AC3209">
        <v>0</v>
      </c>
      <c r="AD3209">
        <v>17</v>
      </c>
      <c r="AE3209">
        <v>0</v>
      </c>
      <c r="AF3209">
        <v>0</v>
      </c>
      <c r="AG3209">
        <v>0</v>
      </c>
      <c r="AH3209">
        <v>0</v>
      </c>
      <c r="AI3209">
        <v>0</v>
      </c>
      <c r="AJ3209">
        <v>0</v>
      </c>
      <c r="AK3209">
        <v>0</v>
      </c>
    </row>
    <row r="3210" spans="1:37" x14ac:dyDescent="0.3">
      <c r="A3210">
        <v>7134</v>
      </c>
      <c r="B3210" t="s">
        <v>28</v>
      </c>
      <c r="C3210">
        <v>299</v>
      </c>
      <c r="D3210" t="s">
        <v>3500</v>
      </c>
      <c r="E3210">
        <v>99999999</v>
      </c>
      <c r="F3210">
        <v>11111111</v>
      </c>
      <c r="G3210">
        <v>1111111111</v>
      </c>
      <c r="H3210" t="s">
        <v>6779</v>
      </c>
      <c r="I3210">
        <v>99999999</v>
      </c>
      <c r="J3210" s="188">
        <v>45238</v>
      </c>
      <c r="K3210" t="s">
        <v>6779</v>
      </c>
      <c r="L3210" t="s">
        <v>6779</v>
      </c>
      <c r="M3210" t="s">
        <v>3299</v>
      </c>
      <c r="N3210" t="s">
        <v>950</v>
      </c>
      <c r="O3210">
        <v>52002</v>
      </c>
      <c r="Q3210" t="s">
        <v>124</v>
      </c>
      <c r="R3210">
        <v>17</v>
      </c>
      <c r="S3210">
        <v>15.13</v>
      </c>
      <c r="T3210">
        <v>0</v>
      </c>
      <c r="U3210">
        <v>0</v>
      </c>
      <c r="V3210">
        <v>12</v>
      </c>
      <c r="W3210">
        <v>0</v>
      </c>
      <c r="X3210">
        <v>0</v>
      </c>
      <c r="Y3210">
        <v>0</v>
      </c>
      <c r="Z3210">
        <v>0</v>
      </c>
      <c r="AA3210">
        <v>0</v>
      </c>
      <c r="AB3210">
        <v>0</v>
      </c>
      <c r="AC3210">
        <v>0</v>
      </c>
      <c r="AD3210">
        <v>17</v>
      </c>
      <c r="AE3210">
        <v>0</v>
      </c>
      <c r="AF3210">
        <v>0</v>
      </c>
      <c r="AG3210">
        <v>0</v>
      </c>
      <c r="AH3210">
        <v>0</v>
      </c>
      <c r="AI3210">
        <v>0</v>
      </c>
      <c r="AJ3210">
        <v>0</v>
      </c>
      <c r="AK3210">
        <v>0</v>
      </c>
    </row>
    <row r="3211" spans="1:37" x14ac:dyDescent="0.3">
      <c r="A3211">
        <v>7134</v>
      </c>
      <c r="B3211" t="s">
        <v>28</v>
      </c>
      <c r="C3211">
        <v>299</v>
      </c>
      <c r="D3211" t="s">
        <v>3500</v>
      </c>
      <c r="E3211">
        <v>99999999</v>
      </c>
      <c r="F3211">
        <v>11111111</v>
      </c>
      <c r="G3211">
        <v>1111111111</v>
      </c>
      <c r="H3211" t="s">
        <v>6780</v>
      </c>
      <c r="I3211">
        <v>99999999</v>
      </c>
      <c r="J3211" s="188">
        <v>45238</v>
      </c>
      <c r="K3211" t="s">
        <v>6780</v>
      </c>
      <c r="L3211" t="s">
        <v>6780</v>
      </c>
      <c r="M3211" t="s">
        <v>3299</v>
      </c>
      <c r="N3211" t="s">
        <v>950</v>
      </c>
      <c r="O3211">
        <v>52002</v>
      </c>
      <c r="Q3211" t="s">
        <v>124</v>
      </c>
      <c r="R3211">
        <v>15</v>
      </c>
      <c r="S3211">
        <v>13.04</v>
      </c>
      <c r="T3211">
        <v>0</v>
      </c>
      <c r="U3211">
        <v>0</v>
      </c>
      <c r="V3211">
        <v>11</v>
      </c>
      <c r="W3211">
        <v>0</v>
      </c>
      <c r="X3211">
        <v>0</v>
      </c>
      <c r="Y3211">
        <v>0</v>
      </c>
      <c r="Z3211">
        <v>0</v>
      </c>
      <c r="AA3211">
        <v>0</v>
      </c>
      <c r="AB3211">
        <v>0</v>
      </c>
      <c r="AC3211">
        <v>0</v>
      </c>
      <c r="AD3211">
        <v>15</v>
      </c>
      <c r="AE3211">
        <v>0</v>
      </c>
      <c r="AF3211">
        <v>0</v>
      </c>
      <c r="AG3211">
        <v>0</v>
      </c>
      <c r="AH3211">
        <v>0</v>
      </c>
      <c r="AI3211">
        <v>0</v>
      </c>
      <c r="AJ3211">
        <v>0</v>
      </c>
      <c r="AK3211">
        <v>0</v>
      </c>
    </row>
    <row r="3212" spans="1:37" x14ac:dyDescent="0.3">
      <c r="A3212">
        <v>7134</v>
      </c>
      <c r="B3212" t="s">
        <v>28</v>
      </c>
      <c r="C3212">
        <v>299</v>
      </c>
      <c r="D3212" t="s">
        <v>3500</v>
      </c>
      <c r="E3212">
        <v>99999999</v>
      </c>
      <c r="F3212">
        <v>11111111</v>
      </c>
      <c r="G3212">
        <v>1111111111</v>
      </c>
      <c r="H3212" t="s">
        <v>6781</v>
      </c>
      <c r="I3212">
        <v>99999999</v>
      </c>
      <c r="J3212" s="188">
        <v>45238</v>
      </c>
      <c r="K3212" t="s">
        <v>6781</v>
      </c>
      <c r="L3212" t="s">
        <v>6781</v>
      </c>
      <c r="M3212" t="s">
        <v>3299</v>
      </c>
      <c r="N3212" t="s">
        <v>950</v>
      </c>
      <c r="O3212">
        <v>52002</v>
      </c>
      <c r="Q3212" t="s">
        <v>124</v>
      </c>
      <c r="R3212">
        <v>19</v>
      </c>
      <c r="S3212">
        <v>16.739999999999998</v>
      </c>
      <c r="T3212">
        <v>0</v>
      </c>
      <c r="U3212">
        <v>0</v>
      </c>
      <c r="V3212">
        <v>13</v>
      </c>
      <c r="W3212">
        <v>0</v>
      </c>
      <c r="X3212">
        <v>0</v>
      </c>
      <c r="Y3212">
        <v>0</v>
      </c>
      <c r="Z3212">
        <v>0</v>
      </c>
      <c r="AA3212">
        <v>0</v>
      </c>
      <c r="AB3212">
        <v>0</v>
      </c>
      <c r="AC3212">
        <v>0</v>
      </c>
      <c r="AD3212">
        <v>19</v>
      </c>
      <c r="AE3212">
        <v>0</v>
      </c>
      <c r="AF3212">
        <v>0</v>
      </c>
      <c r="AG3212">
        <v>0</v>
      </c>
      <c r="AH3212">
        <v>0</v>
      </c>
      <c r="AI3212">
        <v>0</v>
      </c>
      <c r="AJ3212">
        <v>0</v>
      </c>
      <c r="AK3212">
        <v>0</v>
      </c>
    </row>
    <row r="3213" spans="1:37" x14ac:dyDescent="0.3">
      <c r="A3213">
        <v>7134</v>
      </c>
      <c r="B3213" t="s">
        <v>28</v>
      </c>
      <c r="C3213">
        <v>299</v>
      </c>
      <c r="D3213" t="s">
        <v>3500</v>
      </c>
      <c r="E3213">
        <v>99999999</v>
      </c>
      <c r="F3213">
        <v>11111111</v>
      </c>
      <c r="G3213">
        <v>1111111111</v>
      </c>
      <c r="H3213" t="s">
        <v>6782</v>
      </c>
      <c r="I3213">
        <v>99999999</v>
      </c>
      <c r="J3213" s="188">
        <v>45238</v>
      </c>
      <c r="K3213" t="s">
        <v>6782</v>
      </c>
      <c r="L3213" t="s">
        <v>6782</v>
      </c>
      <c r="M3213" t="s">
        <v>3299</v>
      </c>
      <c r="N3213" t="s">
        <v>950</v>
      </c>
      <c r="O3213">
        <v>52002</v>
      </c>
      <c r="Q3213" t="s">
        <v>124</v>
      </c>
      <c r="R3213">
        <v>18</v>
      </c>
      <c r="S3213">
        <v>15.69</v>
      </c>
      <c r="T3213">
        <v>0</v>
      </c>
      <c r="U3213">
        <v>0</v>
      </c>
      <c r="V3213">
        <v>12</v>
      </c>
      <c r="W3213">
        <v>0</v>
      </c>
      <c r="X3213">
        <v>0</v>
      </c>
      <c r="Y3213">
        <v>0</v>
      </c>
      <c r="Z3213">
        <v>0</v>
      </c>
      <c r="AA3213">
        <v>0</v>
      </c>
      <c r="AB3213">
        <v>0</v>
      </c>
      <c r="AC3213">
        <v>0</v>
      </c>
      <c r="AD3213">
        <v>18</v>
      </c>
      <c r="AE3213">
        <v>0</v>
      </c>
      <c r="AF3213">
        <v>0</v>
      </c>
      <c r="AG3213">
        <v>0</v>
      </c>
      <c r="AH3213">
        <v>0</v>
      </c>
      <c r="AI3213">
        <v>0</v>
      </c>
      <c r="AJ3213">
        <v>0</v>
      </c>
      <c r="AK3213">
        <v>0</v>
      </c>
    </row>
    <row r="3214" spans="1:37" x14ac:dyDescent="0.3">
      <c r="A3214">
        <v>7134</v>
      </c>
      <c r="B3214" t="s">
        <v>28</v>
      </c>
      <c r="C3214">
        <v>299</v>
      </c>
      <c r="D3214" t="s">
        <v>3500</v>
      </c>
      <c r="E3214">
        <v>99999999</v>
      </c>
      <c r="F3214">
        <v>11111111</v>
      </c>
      <c r="G3214">
        <v>1111111111</v>
      </c>
      <c r="H3214" t="s">
        <v>6783</v>
      </c>
      <c r="I3214">
        <v>99999999</v>
      </c>
      <c r="J3214" s="188">
        <v>45238</v>
      </c>
      <c r="K3214" t="s">
        <v>6783</v>
      </c>
      <c r="L3214" t="s">
        <v>6783</v>
      </c>
      <c r="M3214" t="s">
        <v>3299</v>
      </c>
      <c r="N3214" t="s">
        <v>950</v>
      </c>
      <c r="O3214">
        <v>52002</v>
      </c>
      <c r="Q3214" t="s">
        <v>124</v>
      </c>
      <c r="R3214">
        <v>17</v>
      </c>
      <c r="S3214">
        <v>14.77</v>
      </c>
      <c r="T3214">
        <v>0</v>
      </c>
      <c r="U3214">
        <v>0</v>
      </c>
      <c r="V3214">
        <v>12</v>
      </c>
      <c r="W3214">
        <v>0</v>
      </c>
      <c r="X3214">
        <v>0</v>
      </c>
      <c r="Y3214">
        <v>0</v>
      </c>
      <c r="Z3214">
        <v>0</v>
      </c>
      <c r="AA3214">
        <v>0</v>
      </c>
      <c r="AB3214">
        <v>0</v>
      </c>
      <c r="AC3214">
        <v>0</v>
      </c>
      <c r="AD3214">
        <v>17</v>
      </c>
      <c r="AE3214">
        <v>0</v>
      </c>
      <c r="AF3214">
        <v>0</v>
      </c>
      <c r="AG3214">
        <v>0</v>
      </c>
      <c r="AH3214">
        <v>0</v>
      </c>
      <c r="AI3214">
        <v>0</v>
      </c>
      <c r="AJ3214">
        <v>0</v>
      </c>
      <c r="AK3214">
        <v>0</v>
      </c>
    </row>
    <row r="3215" spans="1:37" x14ac:dyDescent="0.3">
      <c r="A3215">
        <v>7134</v>
      </c>
      <c r="B3215" t="s">
        <v>28</v>
      </c>
      <c r="C3215">
        <v>299</v>
      </c>
      <c r="D3215" t="s">
        <v>3500</v>
      </c>
      <c r="E3215">
        <v>99999999</v>
      </c>
      <c r="F3215">
        <v>11111111</v>
      </c>
      <c r="G3215">
        <v>1111111111</v>
      </c>
      <c r="H3215" t="s">
        <v>6784</v>
      </c>
      <c r="I3215">
        <v>99999999</v>
      </c>
      <c r="J3215" s="188">
        <v>45238</v>
      </c>
      <c r="K3215" t="s">
        <v>6784</v>
      </c>
      <c r="L3215" t="s">
        <v>6784</v>
      </c>
      <c r="M3215" t="s">
        <v>3299</v>
      </c>
      <c r="N3215" t="s">
        <v>950</v>
      </c>
      <c r="O3215">
        <v>52002</v>
      </c>
      <c r="Q3215" t="s">
        <v>124</v>
      </c>
      <c r="R3215">
        <v>16</v>
      </c>
      <c r="S3215">
        <v>14.28</v>
      </c>
      <c r="T3215">
        <v>0</v>
      </c>
      <c r="U3215">
        <v>0</v>
      </c>
      <c r="V3215">
        <v>11</v>
      </c>
      <c r="W3215">
        <v>0</v>
      </c>
      <c r="X3215">
        <v>0</v>
      </c>
      <c r="Y3215">
        <v>0</v>
      </c>
      <c r="Z3215">
        <v>0</v>
      </c>
      <c r="AA3215">
        <v>0</v>
      </c>
      <c r="AB3215">
        <v>0</v>
      </c>
      <c r="AC3215">
        <v>0</v>
      </c>
      <c r="AD3215">
        <v>16</v>
      </c>
      <c r="AE3215">
        <v>0</v>
      </c>
      <c r="AF3215">
        <v>0</v>
      </c>
      <c r="AG3215">
        <v>0</v>
      </c>
      <c r="AH3215">
        <v>0</v>
      </c>
      <c r="AI3215">
        <v>0</v>
      </c>
      <c r="AJ3215">
        <v>0</v>
      </c>
      <c r="AK3215">
        <v>0</v>
      </c>
    </row>
    <row r="3216" spans="1:37" x14ac:dyDescent="0.3">
      <c r="A3216">
        <v>7134</v>
      </c>
      <c r="B3216" t="s">
        <v>28</v>
      </c>
      <c r="C3216">
        <v>299</v>
      </c>
      <c r="D3216" t="s">
        <v>3500</v>
      </c>
      <c r="E3216">
        <v>99999999</v>
      </c>
      <c r="F3216">
        <v>11111111</v>
      </c>
      <c r="G3216">
        <v>1111111111</v>
      </c>
      <c r="H3216" t="s">
        <v>6785</v>
      </c>
      <c r="I3216">
        <v>99999999</v>
      </c>
      <c r="J3216" s="188">
        <v>45238</v>
      </c>
      <c r="K3216" t="s">
        <v>6785</v>
      </c>
      <c r="L3216" t="s">
        <v>6785</v>
      </c>
      <c r="M3216" t="s">
        <v>3299</v>
      </c>
      <c r="N3216" t="s">
        <v>950</v>
      </c>
      <c r="O3216">
        <v>52002</v>
      </c>
      <c r="Q3216" t="s">
        <v>124</v>
      </c>
      <c r="R3216">
        <v>19</v>
      </c>
      <c r="S3216">
        <v>16.739999999999998</v>
      </c>
      <c r="T3216">
        <v>0</v>
      </c>
      <c r="U3216">
        <v>0</v>
      </c>
      <c r="V3216">
        <v>13</v>
      </c>
      <c r="W3216">
        <v>0</v>
      </c>
      <c r="X3216">
        <v>0</v>
      </c>
      <c r="Y3216">
        <v>0</v>
      </c>
      <c r="Z3216">
        <v>0</v>
      </c>
      <c r="AA3216">
        <v>0</v>
      </c>
      <c r="AB3216">
        <v>0</v>
      </c>
      <c r="AC3216">
        <v>0</v>
      </c>
      <c r="AD3216">
        <v>19</v>
      </c>
      <c r="AE3216">
        <v>0</v>
      </c>
      <c r="AF3216">
        <v>0</v>
      </c>
      <c r="AG3216">
        <v>0</v>
      </c>
      <c r="AH3216">
        <v>0</v>
      </c>
      <c r="AI3216">
        <v>0</v>
      </c>
      <c r="AJ3216">
        <v>0</v>
      </c>
      <c r="AK3216">
        <v>0</v>
      </c>
    </row>
    <row r="3217" spans="1:37" x14ac:dyDescent="0.3">
      <c r="A3217">
        <v>7134</v>
      </c>
      <c r="B3217" t="s">
        <v>28</v>
      </c>
      <c r="C3217">
        <v>299</v>
      </c>
      <c r="D3217" t="s">
        <v>3500</v>
      </c>
      <c r="E3217">
        <v>99999999</v>
      </c>
      <c r="F3217">
        <v>11111111</v>
      </c>
      <c r="G3217">
        <v>1111111111</v>
      </c>
      <c r="H3217" t="s">
        <v>6786</v>
      </c>
      <c r="I3217">
        <v>99999999</v>
      </c>
      <c r="J3217" s="188">
        <v>45238</v>
      </c>
      <c r="K3217" t="s">
        <v>6786</v>
      </c>
      <c r="L3217" t="s">
        <v>6786</v>
      </c>
      <c r="M3217" t="s">
        <v>3299</v>
      </c>
      <c r="N3217" t="s">
        <v>950</v>
      </c>
      <c r="O3217">
        <v>52002</v>
      </c>
      <c r="Q3217" t="s">
        <v>124</v>
      </c>
      <c r="R3217">
        <v>19</v>
      </c>
      <c r="S3217">
        <v>16.649999999999999</v>
      </c>
      <c r="T3217">
        <v>0</v>
      </c>
      <c r="U3217">
        <v>0</v>
      </c>
      <c r="V3217">
        <v>13</v>
      </c>
      <c r="W3217">
        <v>0</v>
      </c>
      <c r="X3217">
        <v>0</v>
      </c>
      <c r="Y3217">
        <v>0</v>
      </c>
      <c r="Z3217">
        <v>0</v>
      </c>
      <c r="AA3217">
        <v>0</v>
      </c>
      <c r="AB3217">
        <v>0</v>
      </c>
      <c r="AC3217">
        <v>0</v>
      </c>
      <c r="AD3217">
        <v>19</v>
      </c>
      <c r="AE3217">
        <v>0</v>
      </c>
      <c r="AF3217">
        <v>0</v>
      </c>
      <c r="AG3217">
        <v>0</v>
      </c>
      <c r="AH3217">
        <v>0</v>
      </c>
      <c r="AI3217">
        <v>0</v>
      </c>
      <c r="AJ3217">
        <v>0</v>
      </c>
      <c r="AK3217">
        <v>0</v>
      </c>
    </row>
    <row r="3218" spans="1:37" x14ac:dyDescent="0.3">
      <c r="A3218">
        <v>7134</v>
      </c>
      <c r="B3218" t="s">
        <v>28</v>
      </c>
      <c r="C3218">
        <v>299</v>
      </c>
      <c r="D3218" t="s">
        <v>3500</v>
      </c>
      <c r="E3218">
        <v>99999999</v>
      </c>
      <c r="F3218">
        <v>11111111</v>
      </c>
      <c r="G3218">
        <v>1111111111</v>
      </c>
      <c r="H3218" t="s">
        <v>6787</v>
      </c>
      <c r="I3218">
        <v>99999999</v>
      </c>
      <c r="J3218" s="188">
        <v>45238</v>
      </c>
      <c r="K3218" t="s">
        <v>6787</v>
      </c>
      <c r="L3218" t="s">
        <v>6787</v>
      </c>
      <c r="M3218" t="s">
        <v>3299</v>
      </c>
      <c r="N3218" t="s">
        <v>950</v>
      </c>
      <c r="O3218">
        <v>52002</v>
      </c>
      <c r="Q3218" t="s">
        <v>124</v>
      </c>
      <c r="R3218">
        <v>17</v>
      </c>
      <c r="S3218">
        <v>15.13</v>
      </c>
      <c r="T3218">
        <v>0</v>
      </c>
      <c r="U3218">
        <v>0</v>
      </c>
      <c r="V3218">
        <v>12</v>
      </c>
      <c r="W3218">
        <v>0</v>
      </c>
      <c r="X3218">
        <v>0</v>
      </c>
      <c r="Y3218">
        <v>0</v>
      </c>
      <c r="Z3218">
        <v>0</v>
      </c>
      <c r="AA3218">
        <v>0</v>
      </c>
      <c r="AB3218">
        <v>0</v>
      </c>
      <c r="AC3218">
        <v>0</v>
      </c>
      <c r="AD3218">
        <v>17</v>
      </c>
      <c r="AE3218">
        <v>0</v>
      </c>
      <c r="AF3218">
        <v>0</v>
      </c>
      <c r="AG3218">
        <v>0</v>
      </c>
      <c r="AH3218">
        <v>0</v>
      </c>
      <c r="AI3218">
        <v>0</v>
      </c>
      <c r="AJ3218">
        <v>0</v>
      </c>
      <c r="AK3218">
        <v>0</v>
      </c>
    </row>
    <row r="3219" spans="1:37" x14ac:dyDescent="0.3">
      <c r="A3219">
        <v>7134</v>
      </c>
      <c r="B3219" t="s">
        <v>28</v>
      </c>
      <c r="C3219">
        <v>299</v>
      </c>
      <c r="D3219" t="s">
        <v>3500</v>
      </c>
      <c r="E3219">
        <v>99999999</v>
      </c>
      <c r="F3219">
        <v>11111111</v>
      </c>
      <c r="G3219">
        <v>1111111111</v>
      </c>
      <c r="H3219" t="s">
        <v>6788</v>
      </c>
      <c r="I3219">
        <v>99999999</v>
      </c>
      <c r="J3219" s="188">
        <v>45238</v>
      </c>
      <c r="K3219" t="s">
        <v>6788</v>
      </c>
      <c r="L3219" t="s">
        <v>6788</v>
      </c>
      <c r="M3219" t="s">
        <v>3299</v>
      </c>
      <c r="N3219" t="s">
        <v>950</v>
      </c>
      <c r="O3219">
        <v>52002</v>
      </c>
      <c r="Q3219" t="s">
        <v>124</v>
      </c>
      <c r="R3219">
        <v>36</v>
      </c>
      <c r="S3219">
        <v>32.130000000000003</v>
      </c>
      <c r="T3219">
        <v>0</v>
      </c>
      <c r="U3219">
        <v>0</v>
      </c>
      <c r="V3219">
        <v>13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36</v>
      </c>
      <c r="AE3219">
        <v>0</v>
      </c>
      <c r="AF3219">
        <v>0</v>
      </c>
      <c r="AG3219">
        <v>0</v>
      </c>
      <c r="AH3219">
        <v>0</v>
      </c>
      <c r="AI3219">
        <v>0</v>
      </c>
      <c r="AJ3219">
        <v>0</v>
      </c>
      <c r="AK3219">
        <v>0</v>
      </c>
    </row>
    <row r="3220" spans="1:37" x14ac:dyDescent="0.3">
      <c r="A3220">
        <v>7134</v>
      </c>
      <c r="B3220" t="s">
        <v>28</v>
      </c>
      <c r="C3220">
        <v>299</v>
      </c>
      <c r="D3220" t="s">
        <v>3500</v>
      </c>
      <c r="E3220">
        <v>99999999</v>
      </c>
      <c r="F3220">
        <v>11111111</v>
      </c>
      <c r="G3220">
        <v>1111111111</v>
      </c>
      <c r="H3220" t="s">
        <v>6789</v>
      </c>
      <c r="I3220">
        <v>99999999</v>
      </c>
      <c r="J3220" s="188">
        <v>45238</v>
      </c>
      <c r="K3220" t="s">
        <v>6789</v>
      </c>
      <c r="L3220" t="s">
        <v>6789</v>
      </c>
      <c r="M3220" t="s">
        <v>3299</v>
      </c>
      <c r="N3220" t="s">
        <v>950</v>
      </c>
      <c r="O3220">
        <v>52002</v>
      </c>
      <c r="Q3220" t="s">
        <v>124</v>
      </c>
      <c r="R3220">
        <v>17</v>
      </c>
      <c r="S3220">
        <v>15.13</v>
      </c>
      <c r="T3220">
        <v>0</v>
      </c>
      <c r="U3220">
        <v>0</v>
      </c>
      <c r="V3220">
        <v>12</v>
      </c>
      <c r="W3220">
        <v>0</v>
      </c>
      <c r="X3220">
        <v>0</v>
      </c>
      <c r="Y3220">
        <v>0</v>
      </c>
      <c r="Z3220">
        <v>0</v>
      </c>
      <c r="AA3220">
        <v>0</v>
      </c>
      <c r="AB3220">
        <v>0</v>
      </c>
      <c r="AC3220">
        <v>0</v>
      </c>
      <c r="AD3220">
        <v>17</v>
      </c>
      <c r="AE3220">
        <v>0</v>
      </c>
      <c r="AF3220">
        <v>0</v>
      </c>
      <c r="AG3220">
        <v>0</v>
      </c>
      <c r="AH3220">
        <v>0</v>
      </c>
      <c r="AI3220">
        <v>0</v>
      </c>
      <c r="AJ3220">
        <v>0</v>
      </c>
      <c r="AK3220">
        <v>0</v>
      </c>
    </row>
    <row r="3221" spans="1:37" x14ac:dyDescent="0.3">
      <c r="A3221">
        <v>7134</v>
      </c>
      <c r="B3221" t="s">
        <v>28</v>
      </c>
      <c r="C3221">
        <v>299</v>
      </c>
      <c r="D3221" t="s">
        <v>3500</v>
      </c>
      <c r="E3221">
        <v>99999999</v>
      </c>
      <c r="F3221">
        <v>11111111</v>
      </c>
      <c r="G3221">
        <v>1111111111</v>
      </c>
      <c r="H3221" t="s">
        <v>6790</v>
      </c>
      <c r="I3221">
        <v>99999999</v>
      </c>
      <c r="J3221" s="188">
        <v>45238</v>
      </c>
      <c r="K3221" t="s">
        <v>6790</v>
      </c>
      <c r="L3221" t="s">
        <v>6790</v>
      </c>
      <c r="M3221" t="s">
        <v>3299</v>
      </c>
      <c r="N3221" t="s">
        <v>950</v>
      </c>
      <c r="O3221">
        <v>52002</v>
      </c>
      <c r="Q3221" t="s">
        <v>124</v>
      </c>
      <c r="R3221">
        <v>18</v>
      </c>
      <c r="S3221">
        <v>15.69</v>
      </c>
      <c r="T3221">
        <v>0</v>
      </c>
      <c r="U3221">
        <v>0</v>
      </c>
      <c r="V3221">
        <v>12</v>
      </c>
      <c r="W3221">
        <v>0</v>
      </c>
      <c r="X3221">
        <v>0</v>
      </c>
      <c r="Y3221">
        <v>0</v>
      </c>
      <c r="Z3221">
        <v>0</v>
      </c>
      <c r="AA3221">
        <v>0</v>
      </c>
      <c r="AB3221">
        <v>0</v>
      </c>
      <c r="AC3221">
        <v>0</v>
      </c>
      <c r="AD3221">
        <v>18</v>
      </c>
      <c r="AE3221">
        <v>0</v>
      </c>
      <c r="AF3221">
        <v>0</v>
      </c>
      <c r="AG3221">
        <v>0</v>
      </c>
      <c r="AH3221">
        <v>0</v>
      </c>
      <c r="AI3221">
        <v>0</v>
      </c>
      <c r="AJ3221">
        <v>0</v>
      </c>
      <c r="AK3221">
        <v>0</v>
      </c>
    </row>
    <row r="3222" spans="1:37" x14ac:dyDescent="0.3">
      <c r="A3222">
        <v>7134</v>
      </c>
      <c r="B3222" t="s">
        <v>28</v>
      </c>
      <c r="C3222">
        <v>299</v>
      </c>
      <c r="D3222" t="s">
        <v>3500</v>
      </c>
      <c r="E3222">
        <v>99999999</v>
      </c>
      <c r="F3222">
        <v>11111111</v>
      </c>
      <c r="G3222">
        <v>1111111111</v>
      </c>
      <c r="H3222" t="s">
        <v>6791</v>
      </c>
      <c r="I3222">
        <v>99999999</v>
      </c>
      <c r="J3222" s="188">
        <v>45238</v>
      </c>
      <c r="K3222" t="s">
        <v>6791</v>
      </c>
      <c r="L3222" t="s">
        <v>6791</v>
      </c>
      <c r="M3222" t="s">
        <v>3299</v>
      </c>
      <c r="N3222" t="s">
        <v>950</v>
      </c>
      <c r="O3222">
        <v>52002</v>
      </c>
      <c r="Q3222" t="s">
        <v>124</v>
      </c>
      <c r="R3222">
        <v>17</v>
      </c>
      <c r="S3222">
        <v>14.81</v>
      </c>
      <c r="T3222">
        <v>0</v>
      </c>
      <c r="U3222">
        <v>0</v>
      </c>
      <c r="V3222">
        <v>12</v>
      </c>
      <c r="W3222">
        <v>0</v>
      </c>
      <c r="X3222">
        <v>0</v>
      </c>
      <c r="Y3222">
        <v>0</v>
      </c>
      <c r="Z3222">
        <v>0</v>
      </c>
      <c r="AA3222">
        <v>0</v>
      </c>
      <c r="AB3222">
        <v>0</v>
      </c>
      <c r="AC3222">
        <v>0</v>
      </c>
      <c r="AD3222">
        <v>17</v>
      </c>
      <c r="AE3222">
        <v>0</v>
      </c>
      <c r="AF3222">
        <v>0</v>
      </c>
      <c r="AG3222">
        <v>0</v>
      </c>
      <c r="AH3222">
        <v>0</v>
      </c>
      <c r="AI3222">
        <v>0</v>
      </c>
      <c r="AJ3222">
        <v>0</v>
      </c>
      <c r="AK3222">
        <v>0</v>
      </c>
    </row>
    <row r="3223" spans="1:37" x14ac:dyDescent="0.3">
      <c r="A3223">
        <v>7134</v>
      </c>
      <c r="B3223" t="s">
        <v>28</v>
      </c>
      <c r="C3223">
        <v>299</v>
      </c>
      <c r="D3223" t="s">
        <v>3500</v>
      </c>
      <c r="E3223">
        <v>99999999</v>
      </c>
      <c r="F3223">
        <v>11111111</v>
      </c>
      <c r="G3223">
        <v>1111111111</v>
      </c>
      <c r="H3223" t="s">
        <v>6792</v>
      </c>
      <c r="I3223">
        <v>99999999</v>
      </c>
      <c r="J3223" s="188">
        <v>45238</v>
      </c>
      <c r="K3223" t="s">
        <v>6792</v>
      </c>
      <c r="L3223" t="s">
        <v>6792</v>
      </c>
      <c r="M3223" t="s">
        <v>3299</v>
      </c>
      <c r="N3223" t="s">
        <v>950</v>
      </c>
      <c r="O3223">
        <v>52002</v>
      </c>
      <c r="Q3223" t="s">
        <v>124</v>
      </c>
      <c r="R3223">
        <v>18</v>
      </c>
      <c r="S3223">
        <v>15.69</v>
      </c>
      <c r="T3223">
        <v>0</v>
      </c>
      <c r="U3223">
        <v>0</v>
      </c>
      <c r="V3223">
        <v>12</v>
      </c>
      <c r="W3223">
        <v>0</v>
      </c>
      <c r="X3223">
        <v>0</v>
      </c>
      <c r="Y3223">
        <v>0</v>
      </c>
      <c r="Z3223">
        <v>0</v>
      </c>
      <c r="AA3223">
        <v>0</v>
      </c>
      <c r="AB3223">
        <v>0</v>
      </c>
      <c r="AC3223">
        <v>0</v>
      </c>
      <c r="AD3223">
        <v>18</v>
      </c>
      <c r="AE3223">
        <v>0</v>
      </c>
      <c r="AF3223">
        <v>0</v>
      </c>
      <c r="AG3223">
        <v>0</v>
      </c>
      <c r="AH3223">
        <v>0</v>
      </c>
      <c r="AI3223">
        <v>0</v>
      </c>
      <c r="AJ3223">
        <v>0</v>
      </c>
      <c r="AK3223">
        <v>0</v>
      </c>
    </row>
    <row r="3224" spans="1:37" x14ac:dyDescent="0.3">
      <c r="A3224">
        <v>7134</v>
      </c>
      <c r="B3224" t="s">
        <v>28</v>
      </c>
      <c r="C3224">
        <v>299</v>
      </c>
      <c r="D3224" t="s">
        <v>3500</v>
      </c>
      <c r="E3224">
        <v>99999999</v>
      </c>
      <c r="F3224">
        <v>11111111</v>
      </c>
      <c r="G3224">
        <v>1111111111</v>
      </c>
      <c r="H3224" t="s">
        <v>6793</v>
      </c>
      <c r="I3224">
        <v>99999999</v>
      </c>
      <c r="J3224" s="188">
        <v>45238</v>
      </c>
      <c r="K3224" t="s">
        <v>6793</v>
      </c>
      <c r="L3224" t="s">
        <v>6793</v>
      </c>
      <c r="M3224" t="s">
        <v>3299</v>
      </c>
      <c r="N3224" t="s">
        <v>950</v>
      </c>
      <c r="O3224">
        <v>52002</v>
      </c>
      <c r="Q3224" t="s">
        <v>124</v>
      </c>
      <c r="R3224">
        <v>20</v>
      </c>
      <c r="S3224">
        <v>17.86</v>
      </c>
      <c r="T3224">
        <v>0</v>
      </c>
      <c r="U3224">
        <v>0</v>
      </c>
      <c r="V3224">
        <v>13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20</v>
      </c>
      <c r="AE3224">
        <v>0</v>
      </c>
      <c r="AF3224">
        <v>0</v>
      </c>
      <c r="AG3224">
        <v>0</v>
      </c>
      <c r="AH3224">
        <v>0</v>
      </c>
      <c r="AI3224">
        <v>0</v>
      </c>
      <c r="AJ3224">
        <v>0</v>
      </c>
      <c r="AK3224">
        <v>0</v>
      </c>
    </row>
    <row r="3225" spans="1:37" x14ac:dyDescent="0.3">
      <c r="A3225">
        <v>7134</v>
      </c>
      <c r="B3225" t="s">
        <v>28</v>
      </c>
      <c r="C3225">
        <v>299</v>
      </c>
      <c r="D3225" t="s">
        <v>3500</v>
      </c>
      <c r="E3225">
        <v>99999999</v>
      </c>
      <c r="F3225">
        <v>11111111</v>
      </c>
      <c r="G3225">
        <v>1111111111</v>
      </c>
      <c r="H3225" t="s">
        <v>6794</v>
      </c>
      <c r="I3225">
        <v>99999999</v>
      </c>
      <c r="J3225" s="188">
        <v>45238</v>
      </c>
      <c r="K3225" t="s">
        <v>6794</v>
      </c>
      <c r="L3225" t="s">
        <v>6794</v>
      </c>
      <c r="M3225" t="s">
        <v>3299</v>
      </c>
      <c r="N3225" t="s">
        <v>950</v>
      </c>
      <c r="O3225">
        <v>52002</v>
      </c>
      <c r="Q3225" t="s">
        <v>124</v>
      </c>
      <c r="R3225">
        <v>19</v>
      </c>
      <c r="S3225">
        <v>16.739999999999998</v>
      </c>
      <c r="T3225">
        <v>0</v>
      </c>
      <c r="U3225">
        <v>0</v>
      </c>
      <c r="V3225">
        <v>13</v>
      </c>
      <c r="W3225">
        <v>0</v>
      </c>
      <c r="X3225">
        <v>0</v>
      </c>
      <c r="Y3225">
        <v>0</v>
      </c>
      <c r="Z3225">
        <v>0</v>
      </c>
      <c r="AA3225">
        <v>0</v>
      </c>
      <c r="AB3225">
        <v>0</v>
      </c>
      <c r="AC3225">
        <v>0</v>
      </c>
      <c r="AD3225">
        <v>19</v>
      </c>
      <c r="AE3225">
        <v>0</v>
      </c>
      <c r="AF3225">
        <v>0</v>
      </c>
      <c r="AG3225">
        <v>0</v>
      </c>
      <c r="AH3225">
        <v>0</v>
      </c>
      <c r="AI3225">
        <v>0</v>
      </c>
      <c r="AJ3225">
        <v>0</v>
      </c>
      <c r="AK3225">
        <v>0</v>
      </c>
    </row>
    <row r="3226" spans="1:37" x14ac:dyDescent="0.3">
      <c r="A3226">
        <v>7134</v>
      </c>
      <c r="B3226" t="s">
        <v>28</v>
      </c>
      <c r="C3226">
        <v>299</v>
      </c>
      <c r="D3226" t="s">
        <v>3500</v>
      </c>
      <c r="E3226">
        <v>99999999</v>
      </c>
      <c r="F3226">
        <v>11111111</v>
      </c>
      <c r="G3226">
        <v>1111111111</v>
      </c>
      <c r="H3226" t="s">
        <v>6795</v>
      </c>
      <c r="I3226">
        <v>99999999</v>
      </c>
      <c r="J3226" s="188">
        <v>45238</v>
      </c>
      <c r="K3226" t="s">
        <v>6795</v>
      </c>
      <c r="L3226" t="s">
        <v>6795</v>
      </c>
      <c r="M3226" t="s">
        <v>3299</v>
      </c>
      <c r="N3226" t="s">
        <v>950</v>
      </c>
      <c r="O3226">
        <v>52002</v>
      </c>
      <c r="Q3226" t="s">
        <v>124</v>
      </c>
      <c r="R3226">
        <v>17</v>
      </c>
      <c r="S3226">
        <v>14.84</v>
      </c>
      <c r="T3226">
        <v>0</v>
      </c>
      <c r="U3226">
        <v>0</v>
      </c>
      <c r="V3226">
        <v>12</v>
      </c>
      <c r="W3226">
        <v>0</v>
      </c>
      <c r="X3226">
        <v>0</v>
      </c>
      <c r="Y3226">
        <v>0</v>
      </c>
      <c r="Z3226">
        <v>0</v>
      </c>
      <c r="AA3226">
        <v>0</v>
      </c>
      <c r="AB3226">
        <v>0</v>
      </c>
      <c r="AC3226">
        <v>0</v>
      </c>
      <c r="AD3226">
        <v>17</v>
      </c>
      <c r="AE3226">
        <v>0</v>
      </c>
      <c r="AF3226">
        <v>0</v>
      </c>
      <c r="AG3226">
        <v>0</v>
      </c>
      <c r="AH3226">
        <v>0</v>
      </c>
      <c r="AI3226">
        <v>0</v>
      </c>
      <c r="AJ3226">
        <v>0</v>
      </c>
      <c r="AK3226">
        <v>0</v>
      </c>
    </row>
    <row r="3227" spans="1:37" x14ac:dyDescent="0.3">
      <c r="A3227">
        <v>7134</v>
      </c>
      <c r="B3227" t="s">
        <v>28</v>
      </c>
      <c r="C3227">
        <v>299</v>
      </c>
      <c r="D3227" t="s">
        <v>3500</v>
      </c>
      <c r="E3227">
        <v>99999999</v>
      </c>
      <c r="F3227">
        <v>11111111</v>
      </c>
      <c r="G3227">
        <v>1111111111</v>
      </c>
      <c r="H3227" t="s">
        <v>6796</v>
      </c>
      <c r="I3227">
        <v>99999999</v>
      </c>
      <c r="J3227" s="188">
        <v>45238</v>
      </c>
      <c r="K3227" t="s">
        <v>6796</v>
      </c>
      <c r="L3227" t="s">
        <v>6796</v>
      </c>
      <c r="M3227" t="s">
        <v>3299</v>
      </c>
      <c r="N3227" t="s">
        <v>950</v>
      </c>
      <c r="O3227">
        <v>52002</v>
      </c>
      <c r="Q3227" t="s">
        <v>124</v>
      </c>
      <c r="R3227">
        <v>29</v>
      </c>
      <c r="S3227">
        <v>25.91</v>
      </c>
      <c r="T3227">
        <v>0</v>
      </c>
      <c r="U3227">
        <v>0</v>
      </c>
      <c r="V3227">
        <v>13</v>
      </c>
      <c r="W3227">
        <v>0</v>
      </c>
      <c r="X3227">
        <v>0</v>
      </c>
      <c r="Y3227">
        <v>0</v>
      </c>
      <c r="Z3227">
        <v>0</v>
      </c>
      <c r="AA3227">
        <v>0</v>
      </c>
      <c r="AB3227">
        <v>0</v>
      </c>
      <c r="AC3227">
        <v>0</v>
      </c>
      <c r="AD3227">
        <v>29</v>
      </c>
      <c r="AE3227">
        <v>0</v>
      </c>
      <c r="AF3227">
        <v>0</v>
      </c>
      <c r="AG3227">
        <v>0</v>
      </c>
      <c r="AH3227">
        <v>0</v>
      </c>
      <c r="AI3227">
        <v>0</v>
      </c>
      <c r="AJ3227">
        <v>0</v>
      </c>
      <c r="AK3227">
        <v>0</v>
      </c>
    </row>
    <row r="3228" spans="1:37" x14ac:dyDescent="0.3">
      <c r="A3228">
        <v>7134</v>
      </c>
      <c r="B3228" t="s">
        <v>28</v>
      </c>
      <c r="C3228">
        <v>699</v>
      </c>
      <c r="D3228" t="s">
        <v>3500</v>
      </c>
      <c r="E3228">
        <v>99999999</v>
      </c>
      <c r="F3228">
        <v>11111111</v>
      </c>
      <c r="G3228">
        <v>1111111111</v>
      </c>
      <c r="H3228" t="s">
        <v>6797</v>
      </c>
      <c r="I3228">
        <v>99999999</v>
      </c>
      <c r="J3228" s="188">
        <v>45238</v>
      </c>
      <c r="K3228" t="s">
        <v>6797</v>
      </c>
      <c r="L3228" t="s">
        <v>6797</v>
      </c>
      <c r="Q3228" t="s">
        <v>124</v>
      </c>
      <c r="R3228">
        <v>0</v>
      </c>
      <c r="T3228">
        <v>1</v>
      </c>
      <c r="U3228">
        <v>43</v>
      </c>
      <c r="V3228">
        <v>0</v>
      </c>
      <c r="W3228">
        <v>0</v>
      </c>
      <c r="X3228">
        <v>0</v>
      </c>
      <c r="Y3228">
        <v>0</v>
      </c>
      <c r="Z3228">
        <v>0</v>
      </c>
      <c r="AA3228">
        <v>0</v>
      </c>
      <c r="AB3228">
        <v>0</v>
      </c>
      <c r="AC3228">
        <v>0</v>
      </c>
      <c r="AD3228">
        <v>0</v>
      </c>
      <c r="AE3228">
        <v>0</v>
      </c>
      <c r="AF3228">
        <v>0</v>
      </c>
      <c r="AG3228">
        <v>0</v>
      </c>
      <c r="AH3228">
        <v>0</v>
      </c>
      <c r="AI3228">
        <v>0</v>
      </c>
      <c r="AJ3228">
        <v>0</v>
      </c>
      <c r="AK3228">
        <v>0</v>
      </c>
    </row>
    <row r="3229" spans="1:37" x14ac:dyDescent="0.3">
      <c r="A3229">
        <v>7134</v>
      </c>
      <c r="B3229" t="s">
        <v>28</v>
      </c>
      <c r="C3229">
        <v>699</v>
      </c>
      <c r="D3229" t="s">
        <v>3500</v>
      </c>
      <c r="E3229">
        <v>99999999</v>
      </c>
      <c r="F3229">
        <v>11111111</v>
      </c>
      <c r="G3229">
        <v>1111111111</v>
      </c>
      <c r="H3229" t="s">
        <v>6798</v>
      </c>
      <c r="I3229">
        <v>99999999</v>
      </c>
      <c r="J3229" s="188">
        <v>45238</v>
      </c>
      <c r="K3229" t="s">
        <v>6798</v>
      </c>
      <c r="L3229" t="s">
        <v>6798</v>
      </c>
      <c r="M3229" t="s">
        <v>3297</v>
      </c>
      <c r="N3229" t="s">
        <v>811</v>
      </c>
      <c r="O3229">
        <v>20774</v>
      </c>
      <c r="Q3229" t="s">
        <v>124</v>
      </c>
      <c r="R3229">
        <v>18</v>
      </c>
      <c r="S3229">
        <v>15.69</v>
      </c>
      <c r="T3229">
        <v>0</v>
      </c>
      <c r="U3229">
        <v>0</v>
      </c>
      <c r="V3229">
        <v>12</v>
      </c>
      <c r="W3229">
        <v>0</v>
      </c>
      <c r="X3229">
        <v>0</v>
      </c>
      <c r="Y3229">
        <v>0</v>
      </c>
      <c r="Z3229">
        <v>0</v>
      </c>
      <c r="AA3229">
        <v>0</v>
      </c>
      <c r="AB3229">
        <v>0</v>
      </c>
      <c r="AC3229">
        <v>0</v>
      </c>
      <c r="AD3229">
        <v>18</v>
      </c>
      <c r="AE3229">
        <v>0</v>
      </c>
      <c r="AF3229">
        <v>0</v>
      </c>
      <c r="AG3229">
        <v>0</v>
      </c>
      <c r="AH3229">
        <v>0</v>
      </c>
      <c r="AI3229">
        <v>0</v>
      </c>
      <c r="AJ3229">
        <v>0</v>
      </c>
      <c r="AK3229">
        <v>0</v>
      </c>
    </row>
    <row r="3230" spans="1:37" x14ac:dyDescent="0.3">
      <c r="A3230">
        <v>7134</v>
      </c>
      <c r="B3230" t="s">
        <v>28</v>
      </c>
      <c r="C3230">
        <v>699</v>
      </c>
      <c r="D3230" t="s">
        <v>3500</v>
      </c>
      <c r="E3230">
        <v>99999999</v>
      </c>
      <c r="F3230">
        <v>11111111</v>
      </c>
      <c r="G3230">
        <v>1111111111</v>
      </c>
      <c r="H3230" t="s">
        <v>6799</v>
      </c>
      <c r="I3230">
        <v>99999999</v>
      </c>
      <c r="J3230" s="188">
        <v>45238</v>
      </c>
      <c r="K3230" t="s">
        <v>6799</v>
      </c>
      <c r="L3230" t="s">
        <v>6799</v>
      </c>
      <c r="M3230" t="s">
        <v>3297</v>
      </c>
      <c r="N3230" t="s">
        <v>811</v>
      </c>
      <c r="O3230">
        <v>20774</v>
      </c>
      <c r="Q3230" t="s">
        <v>124</v>
      </c>
      <c r="R3230">
        <v>19</v>
      </c>
      <c r="S3230">
        <v>16.649999999999999</v>
      </c>
      <c r="T3230">
        <v>0</v>
      </c>
      <c r="U3230">
        <v>0</v>
      </c>
      <c r="V3230">
        <v>13</v>
      </c>
      <c r="W3230">
        <v>0</v>
      </c>
      <c r="X3230">
        <v>0</v>
      </c>
      <c r="Y3230">
        <v>0</v>
      </c>
      <c r="Z3230">
        <v>0</v>
      </c>
      <c r="AA3230">
        <v>0</v>
      </c>
      <c r="AB3230">
        <v>0</v>
      </c>
      <c r="AC3230">
        <v>0</v>
      </c>
      <c r="AD3230">
        <v>19</v>
      </c>
      <c r="AE3230">
        <v>0</v>
      </c>
      <c r="AF3230">
        <v>0</v>
      </c>
      <c r="AG3230">
        <v>0</v>
      </c>
      <c r="AH3230">
        <v>0</v>
      </c>
      <c r="AI3230">
        <v>0</v>
      </c>
      <c r="AJ3230">
        <v>0</v>
      </c>
      <c r="AK3230">
        <v>0</v>
      </c>
    </row>
    <row r="3231" spans="1:37" x14ac:dyDescent="0.3">
      <c r="A3231">
        <v>7134</v>
      </c>
      <c r="B3231" t="s">
        <v>28</v>
      </c>
      <c r="C3231">
        <v>699</v>
      </c>
      <c r="D3231" t="s">
        <v>3500</v>
      </c>
      <c r="E3231">
        <v>99999999</v>
      </c>
      <c r="F3231">
        <v>11111111</v>
      </c>
      <c r="G3231">
        <v>1111111111</v>
      </c>
      <c r="H3231" t="s">
        <v>6800</v>
      </c>
      <c r="I3231">
        <v>99999999</v>
      </c>
      <c r="J3231" s="188">
        <v>45238</v>
      </c>
      <c r="K3231" t="s">
        <v>6800</v>
      </c>
      <c r="L3231" t="s">
        <v>6800</v>
      </c>
      <c r="M3231" t="s">
        <v>3297</v>
      </c>
      <c r="N3231" t="s">
        <v>811</v>
      </c>
      <c r="O3231">
        <v>20774</v>
      </c>
      <c r="Q3231" t="s">
        <v>124</v>
      </c>
      <c r="R3231">
        <v>19</v>
      </c>
      <c r="S3231">
        <v>16.739999999999998</v>
      </c>
      <c r="T3231">
        <v>0</v>
      </c>
      <c r="U3231">
        <v>0</v>
      </c>
      <c r="V3231">
        <v>13</v>
      </c>
      <c r="W3231">
        <v>0</v>
      </c>
      <c r="X3231">
        <v>0</v>
      </c>
      <c r="Y3231">
        <v>0</v>
      </c>
      <c r="Z3231">
        <v>0</v>
      </c>
      <c r="AA3231">
        <v>0</v>
      </c>
      <c r="AB3231">
        <v>0</v>
      </c>
      <c r="AC3231">
        <v>0</v>
      </c>
      <c r="AD3231">
        <v>19</v>
      </c>
      <c r="AE3231">
        <v>0</v>
      </c>
      <c r="AF3231">
        <v>0</v>
      </c>
      <c r="AG3231">
        <v>0</v>
      </c>
      <c r="AH3231">
        <v>0</v>
      </c>
      <c r="AI3231">
        <v>0</v>
      </c>
      <c r="AJ3231">
        <v>0</v>
      </c>
      <c r="AK3231">
        <v>0</v>
      </c>
    </row>
    <row r="3232" spans="1:37" x14ac:dyDescent="0.3">
      <c r="A3232">
        <v>7134</v>
      </c>
      <c r="B3232" t="s">
        <v>28</v>
      </c>
      <c r="C3232">
        <v>699</v>
      </c>
      <c r="D3232" t="s">
        <v>3500</v>
      </c>
      <c r="E3232">
        <v>99999999</v>
      </c>
      <c r="F3232">
        <v>11111111</v>
      </c>
      <c r="G3232">
        <v>1111111111</v>
      </c>
      <c r="H3232" t="s">
        <v>6801</v>
      </c>
      <c r="I3232">
        <v>99999999</v>
      </c>
      <c r="J3232" s="188">
        <v>45238</v>
      </c>
      <c r="K3232" t="s">
        <v>6801</v>
      </c>
      <c r="L3232" t="s">
        <v>6801</v>
      </c>
      <c r="M3232" t="s">
        <v>3297</v>
      </c>
      <c r="N3232" t="s">
        <v>811</v>
      </c>
      <c r="O3232">
        <v>20774</v>
      </c>
      <c r="Q3232" t="s">
        <v>124</v>
      </c>
      <c r="R3232">
        <v>18</v>
      </c>
      <c r="S3232">
        <v>15.69</v>
      </c>
      <c r="T3232">
        <v>0</v>
      </c>
      <c r="U3232">
        <v>0</v>
      </c>
      <c r="V3232">
        <v>12</v>
      </c>
      <c r="W3232">
        <v>0</v>
      </c>
      <c r="X3232">
        <v>0</v>
      </c>
      <c r="Y3232">
        <v>0</v>
      </c>
      <c r="Z3232">
        <v>0</v>
      </c>
      <c r="AA3232">
        <v>0</v>
      </c>
      <c r="AB3232">
        <v>0</v>
      </c>
      <c r="AC3232">
        <v>0</v>
      </c>
      <c r="AD3232">
        <v>18</v>
      </c>
      <c r="AE3232">
        <v>0</v>
      </c>
      <c r="AF3232">
        <v>0</v>
      </c>
      <c r="AG3232">
        <v>0</v>
      </c>
      <c r="AH3232">
        <v>0</v>
      </c>
      <c r="AI3232">
        <v>0</v>
      </c>
      <c r="AJ3232">
        <v>0</v>
      </c>
      <c r="AK3232">
        <v>0</v>
      </c>
    </row>
    <row r="3233" spans="1:37" x14ac:dyDescent="0.3">
      <c r="A3233">
        <v>7134</v>
      </c>
      <c r="B3233" t="s">
        <v>28</v>
      </c>
      <c r="C3233">
        <v>699</v>
      </c>
      <c r="D3233" t="s">
        <v>3500</v>
      </c>
      <c r="E3233">
        <v>99999999</v>
      </c>
      <c r="F3233">
        <v>11111111</v>
      </c>
      <c r="G3233">
        <v>1111111111</v>
      </c>
      <c r="H3233" t="s">
        <v>6802</v>
      </c>
      <c r="I3233">
        <v>99999999</v>
      </c>
      <c r="J3233" s="188">
        <v>45238</v>
      </c>
      <c r="K3233" t="s">
        <v>6802</v>
      </c>
      <c r="L3233" t="s">
        <v>6802</v>
      </c>
      <c r="M3233" t="s">
        <v>3297</v>
      </c>
      <c r="N3233" t="s">
        <v>811</v>
      </c>
      <c r="O3233">
        <v>20774</v>
      </c>
      <c r="Q3233" t="s">
        <v>124</v>
      </c>
      <c r="R3233">
        <v>33</v>
      </c>
      <c r="S3233">
        <v>29.26</v>
      </c>
      <c r="T3233">
        <v>0</v>
      </c>
      <c r="U3233">
        <v>0</v>
      </c>
      <c r="V3233">
        <v>13</v>
      </c>
      <c r="W3233">
        <v>0</v>
      </c>
      <c r="X3233">
        <v>0</v>
      </c>
      <c r="Y3233">
        <v>0</v>
      </c>
      <c r="Z3233">
        <v>0</v>
      </c>
      <c r="AA3233">
        <v>0</v>
      </c>
      <c r="AB3233">
        <v>0</v>
      </c>
      <c r="AC3233">
        <v>0</v>
      </c>
      <c r="AD3233">
        <v>33</v>
      </c>
      <c r="AE3233">
        <v>0</v>
      </c>
      <c r="AF3233">
        <v>0</v>
      </c>
      <c r="AG3233">
        <v>0</v>
      </c>
      <c r="AH3233">
        <v>0</v>
      </c>
      <c r="AI3233">
        <v>0</v>
      </c>
      <c r="AJ3233">
        <v>0</v>
      </c>
      <c r="AK3233">
        <v>0</v>
      </c>
    </row>
    <row r="3234" spans="1:37" x14ac:dyDescent="0.3">
      <c r="A3234">
        <v>7134</v>
      </c>
      <c r="B3234" t="s">
        <v>28</v>
      </c>
      <c r="C3234">
        <v>699</v>
      </c>
      <c r="D3234" t="s">
        <v>3500</v>
      </c>
      <c r="E3234">
        <v>99999999</v>
      </c>
      <c r="F3234">
        <v>11111111</v>
      </c>
      <c r="G3234">
        <v>1111111111</v>
      </c>
      <c r="H3234" t="s">
        <v>6803</v>
      </c>
      <c r="I3234">
        <v>99999999</v>
      </c>
      <c r="J3234" s="188">
        <v>45238</v>
      </c>
      <c r="K3234" t="s">
        <v>6803</v>
      </c>
      <c r="L3234" t="s">
        <v>6803</v>
      </c>
      <c r="M3234" t="s">
        <v>3297</v>
      </c>
      <c r="N3234" t="s">
        <v>811</v>
      </c>
      <c r="O3234">
        <v>20774</v>
      </c>
      <c r="Q3234" t="s">
        <v>124</v>
      </c>
      <c r="R3234">
        <v>22</v>
      </c>
      <c r="S3234">
        <v>19.62</v>
      </c>
      <c r="T3234">
        <v>0</v>
      </c>
      <c r="U3234">
        <v>0</v>
      </c>
      <c r="V3234">
        <v>13</v>
      </c>
      <c r="W3234">
        <v>0</v>
      </c>
      <c r="X3234">
        <v>0</v>
      </c>
      <c r="Y3234">
        <v>0</v>
      </c>
      <c r="Z3234">
        <v>0</v>
      </c>
      <c r="AA3234">
        <v>0</v>
      </c>
      <c r="AB3234">
        <v>0</v>
      </c>
      <c r="AC3234">
        <v>0</v>
      </c>
      <c r="AD3234">
        <v>22</v>
      </c>
      <c r="AE3234">
        <v>0</v>
      </c>
      <c r="AF3234">
        <v>0</v>
      </c>
      <c r="AG3234">
        <v>0</v>
      </c>
      <c r="AH3234">
        <v>0</v>
      </c>
      <c r="AI3234">
        <v>0</v>
      </c>
      <c r="AJ3234">
        <v>0</v>
      </c>
      <c r="AK3234">
        <v>0</v>
      </c>
    </row>
    <row r="3235" spans="1:37" x14ac:dyDescent="0.3">
      <c r="A3235">
        <v>7134</v>
      </c>
      <c r="B3235" t="s">
        <v>28</v>
      </c>
      <c r="C3235">
        <v>699</v>
      </c>
      <c r="D3235" t="s">
        <v>3500</v>
      </c>
      <c r="E3235">
        <v>99999999</v>
      </c>
      <c r="F3235">
        <v>11111111</v>
      </c>
      <c r="G3235">
        <v>1111111111</v>
      </c>
      <c r="H3235" t="s">
        <v>6804</v>
      </c>
      <c r="I3235">
        <v>99999999</v>
      </c>
      <c r="J3235" s="188">
        <v>45238</v>
      </c>
      <c r="K3235" t="s">
        <v>6804</v>
      </c>
      <c r="L3235" t="s">
        <v>6804</v>
      </c>
      <c r="M3235" t="s">
        <v>3297</v>
      </c>
      <c r="N3235" t="s">
        <v>811</v>
      </c>
      <c r="O3235">
        <v>20774</v>
      </c>
      <c r="Q3235" t="s">
        <v>124</v>
      </c>
      <c r="R3235">
        <v>20</v>
      </c>
      <c r="S3235">
        <v>17.59</v>
      </c>
      <c r="T3235">
        <v>0</v>
      </c>
      <c r="U3235">
        <v>0</v>
      </c>
      <c r="V3235">
        <v>13</v>
      </c>
      <c r="W3235">
        <v>0</v>
      </c>
      <c r="X3235">
        <v>0</v>
      </c>
      <c r="Y3235">
        <v>0</v>
      </c>
      <c r="Z3235">
        <v>0</v>
      </c>
      <c r="AA3235">
        <v>0</v>
      </c>
      <c r="AB3235">
        <v>0</v>
      </c>
      <c r="AC3235">
        <v>0</v>
      </c>
      <c r="AD3235">
        <v>20</v>
      </c>
      <c r="AE3235">
        <v>0</v>
      </c>
      <c r="AF3235">
        <v>0</v>
      </c>
      <c r="AG3235">
        <v>0</v>
      </c>
      <c r="AH3235">
        <v>0</v>
      </c>
      <c r="AI3235">
        <v>0</v>
      </c>
      <c r="AJ3235">
        <v>0</v>
      </c>
      <c r="AK3235">
        <v>0</v>
      </c>
    </row>
    <row r="3236" spans="1:37" x14ac:dyDescent="0.3">
      <c r="A3236">
        <v>7134</v>
      </c>
      <c r="B3236" t="s">
        <v>28</v>
      </c>
      <c r="C3236">
        <v>699</v>
      </c>
      <c r="D3236" t="s">
        <v>3500</v>
      </c>
      <c r="E3236">
        <v>99999999</v>
      </c>
      <c r="F3236">
        <v>11111111</v>
      </c>
      <c r="G3236">
        <v>1111111111</v>
      </c>
      <c r="H3236" t="s">
        <v>6805</v>
      </c>
      <c r="I3236">
        <v>99999999</v>
      </c>
      <c r="J3236" s="188">
        <v>45238</v>
      </c>
      <c r="K3236" t="s">
        <v>6805</v>
      </c>
      <c r="L3236" t="s">
        <v>6805</v>
      </c>
      <c r="M3236" t="s">
        <v>3297</v>
      </c>
      <c r="N3236" t="s">
        <v>811</v>
      </c>
      <c r="O3236">
        <v>20774</v>
      </c>
      <c r="Q3236" t="s">
        <v>124</v>
      </c>
      <c r="R3236">
        <v>19</v>
      </c>
      <c r="S3236">
        <v>16.63</v>
      </c>
      <c r="T3236">
        <v>0</v>
      </c>
      <c r="U3236">
        <v>0</v>
      </c>
      <c r="V3236">
        <v>13</v>
      </c>
      <c r="W3236">
        <v>0</v>
      </c>
      <c r="X3236">
        <v>0</v>
      </c>
      <c r="Y3236">
        <v>0</v>
      </c>
      <c r="Z3236">
        <v>0</v>
      </c>
      <c r="AA3236">
        <v>0</v>
      </c>
      <c r="AB3236">
        <v>0</v>
      </c>
      <c r="AC3236">
        <v>0</v>
      </c>
      <c r="AD3236">
        <v>19</v>
      </c>
      <c r="AE3236">
        <v>0</v>
      </c>
      <c r="AF3236">
        <v>0</v>
      </c>
      <c r="AG3236">
        <v>0</v>
      </c>
      <c r="AH3236">
        <v>0</v>
      </c>
      <c r="AI3236">
        <v>0</v>
      </c>
      <c r="AJ3236">
        <v>0</v>
      </c>
      <c r="AK3236">
        <v>0</v>
      </c>
    </row>
    <row r="3237" spans="1:37" x14ac:dyDescent="0.3">
      <c r="A3237">
        <v>7134</v>
      </c>
      <c r="B3237" t="s">
        <v>28</v>
      </c>
      <c r="C3237">
        <v>699</v>
      </c>
      <c r="D3237" t="s">
        <v>3500</v>
      </c>
      <c r="E3237">
        <v>99999999</v>
      </c>
      <c r="F3237">
        <v>11111111</v>
      </c>
      <c r="G3237">
        <v>1111111111</v>
      </c>
      <c r="H3237" t="s">
        <v>6806</v>
      </c>
      <c r="I3237">
        <v>99999999</v>
      </c>
      <c r="J3237" s="188">
        <v>45238</v>
      </c>
      <c r="K3237" t="s">
        <v>6806</v>
      </c>
      <c r="L3237" t="s">
        <v>6806</v>
      </c>
      <c r="M3237" t="s">
        <v>3297</v>
      </c>
      <c r="N3237" t="s">
        <v>811</v>
      </c>
      <c r="O3237">
        <v>20774</v>
      </c>
      <c r="Q3237" t="s">
        <v>124</v>
      </c>
      <c r="R3237">
        <v>22</v>
      </c>
      <c r="S3237">
        <v>19.62</v>
      </c>
      <c r="T3237">
        <v>0</v>
      </c>
      <c r="U3237">
        <v>0</v>
      </c>
      <c r="V3237">
        <v>13</v>
      </c>
      <c r="W3237">
        <v>0</v>
      </c>
      <c r="X3237">
        <v>0</v>
      </c>
      <c r="Y3237">
        <v>0</v>
      </c>
      <c r="Z3237">
        <v>0</v>
      </c>
      <c r="AA3237">
        <v>0</v>
      </c>
      <c r="AB3237">
        <v>0</v>
      </c>
      <c r="AC3237">
        <v>0</v>
      </c>
      <c r="AD3237">
        <v>22</v>
      </c>
      <c r="AE3237">
        <v>0</v>
      </c>
      <c r="AF3237">
        <v>0</v>
      </c>
      <c r="AG3237">
        <v>0</v>
      </c>
      <c r="AH3237">
        <v>0</v>
      </c>
      <c r="AI3237">
        <v>0</v>
      </c>
      <c r="AJ3237">
        <v>0</v>
      </c>
      <c r="AK3237">
        <v>0</v>
      </c>
    </row>
    <row r="3238" spans="1:37" x14ac:dyDescent="0.3">
      <c r="A3238">
        <v>7134</v>
      </c>
      <c r="B3238" t="s">
        <v>28</v>
      </c>
      <c r="C3238">
        <v>699</v>
      </c>
      <c r="D3238" t="s">
        <v>3500</v>
      </c>
      <c r="E3238">
        <v>99999999</v>
      </c>
      <c r="F3238">
        <v>11111111</v>
      </c>
      <c r="G3238">
        <v>1111111111</v>
      </c>
      <c r="H3238" t="s">
        <v>6807</v>
      </c>
      <c r="I3238">
        <v>99999999</v>
      </c>
      <c r="J3238" s="188">
        <v>45238</v>
      </c>
      <c r="K3238" t="s">
        <v>6807</v>
      </c>
      <c r="L3238" t="s">
        <v>6807</v>
      </c>
      <c r="M3238" t="s">
        <v>3297</v>
      </c>
      <c r="N3238" t="s">
        <v>811</v>
      </c>
      <c r="O3238">
        <v>20774</v>
      </c>
      <c r="Q3238" t="s">
        <v>124</v>
      </c>
      <c r="R3238">
        <v>20</v>
      </c>
      <c r="S3238">
        <v>17.86</v>
      </c>
      <c r="T3238">
        <v>0</v>
      </c>
      <c r="U3238">
        <v>0</v>
      </c>
      <c r="V3238">
        <v>13</v>
      </c>
      <c r="W3238">
        <v>0</v>
      </c>
      <c r="X3238">
        <v>0</v>
      </c>
      <c r="Y3238">
        <v>0</v>
      </c>
      <c r="Z3238">
        <v>0</v>
      </c>
      <c r="AA3238">
        <v>0</v>
      </c>
      <c r="AB3238">
        <v>0</v>
      </c>
      <c r="AC3238">
        <v>0</v>
      </c>
      <c r="AD3238">
        <v>20</v>
      </c>
      <c r="AE3238">
        <v>0</v>
      </c>
      <c r="AF3238">
        <v>0</v>
      </c>
      <c r="AG3238">
        <v>0</v>
      </c>
      <c r="AH3238">
        <v>0</v>
      </c>
      <c r="AI3238">
        <v>0</v>
      </c>
      <c r="AJ3238">
        <v>0</v>
      </c>
      <c r="AK3238">
        <v>0</v>
      </c>
    </row>
    <row r="3239" spans="1:37" x14ac:dyDescent="0.3">
      <c r="A3239">
        <v>7134</v>
      </c>
      <c r="B3239" t="s">
        <v>28</v>
      </c>
      <c r="C3239">
        <v>699</v>
      </c>
      <c r="D3239" t="s">
        <v>3500</v>
      </c>
      <c r="E3239">
        <v>99999999</v>
      </c>
      <c r="F3239">
        <v>11111111</v>
      </c>
      <c r="G3239">
        <v>1111111111</v>
      </c>
      <c r="H3239" t="s">
        <v>6808</v>
      </c>
      <c r="I3239">
        <v>99999999</v>
      </c>
      <c r="J3239" s="188">
        <v>45238</v>
      </c>
      <c r="K3239" t="s">
        <v>6808</v>
      </c>
      <c r="L3239" t="s">
        <v>6808</v>
      </c>
      <c r="M3239" t="s">
        <v>3297</v>
      </c>
      <c r="N3239" t="s">
        <v>811</v>
      </c>
      <c r="O3239">
        <v>20774</v>
      </c>
      <c r="Q3239" t="s">
        <v>124</v>
      </c>
      <c r="R3239">
        <v>44</v>
      </c>
      <c r="S3239">
        <v>38.74</v>
      </c>
      <c r="T3239">
        <v>0</v>
      </c>
      <c r="U3239">
        <v>0</v>
      </c>
      <c r="V3239">
        <v>13</v>
      </c>
      <c r="W3239">
        <v>0</v>
      </c>
      <c r="X3239">
        <v>0</v>
      </c>
      <c r="Y3239">
        <v>0</v>
      </c>
      <c r="Z3239">
        <v>0</v>
      </c>
      <c r="AA3239">
        <v>0</v>
      </c>
      <c r="AB3239">
        <v>0</v>
      </c>
      <c r="AC3239">
        <v>0</v>
      </c>
      <c r="AD3239">
        <v>44</v>
      </c>
      <c r="AE3239">
        <v>0</v>
      </c>
      <c r="AF3239">
        <v>0</v>
      </c>
      <c r="AG3239">
        <v>0</v>
      </c>
      <c r="AH3239">
        <v>0</v>
      </c>
      <c r="AI3239">
        <v>0</v>
      </c>
      <c r="AJ3239">
        <v>0</v>
      </c>
      <c r="AK3239">
        <v>0</v>
      </c>
    </row>
    <row r="3240" spans="1:37" x14ac:dyDescent="0.3">
      <c r="A3240">
        <v>7134</v>
      </c>
      <c r="B3240" t="s">
        <v>28</v>
      </c>
      <c r="C3240">
        <v>699</v>
      </c>
      <c r="D3240" t="s">
        <v>3500</v>
      </c>
      <c r="E3240">
        <v>99999999</v>
      </c>
      <c r="F3240">
        <v>11111111</v>
      </c>
      <c r="G3240">
        <v>1111111111</v>
      </c>
      <c r="H3240" t="s">
        <v>6809</v>
      </c>
      <c r="I3240">
        <v>99999999</v>
      </c>
      <c r="J3240" s="188">
        <v>45238</v>
      </c>
      <c r="K3240" t="s">
        <v>6809</v>
      </c>
      <c r="L3240" t="s">
        <v>6809</v>
      </c>
      <c r="M3240" t="s">
        <v>3297</v>
      </c>
      <c r="N3240" t="s">
        <v>811</v>
      </c>
      <c r="O3240">
        <v>20774</v>
      </c>
      <c r="Q3240" t="s">
        <v>124</v>
      </c>
      <c r="R3240">
        <v>19</v>
      </c>
      <c r="S3240">
        <v>16.739999999999998</v>
      </c>
      <c r="T3240">
        <v>0</v>
      </c>
      <c r="U3240">
        <v>0</v>
      </c>
      <c r="V3240">
        <v>13</v>
      </c>
      <c r="W3240">
        <v>0</v>
      </c>
      <c r="X3240">
        <v>0</v>
      </c>
      <c r="Y3240">
        <v>0</v>
      </c>
      <c r="Z3240">
        <v>0</v>
      </c>
      <c r="AA3240">
        <v>0</v>
      </c>
      <c r="AB3240">
        <v>0</v>
      </c>
      <c r="AC3240">
        <v>0</v>
      </c>
      <c r="AD3240">
        <v>19</v>
      </c>
      <c r="AE3240">
        <v>0</v>
      </c>
      <c r="AF3240">
        <v>0</v>
      </c>
      <c r="AG3240">
        <v>0</v>
      </c>
      <c r="AH3240">
        <v>0</v>
      </c>
      <c r="AI3240">
        <v>0</v>
      </c>
      <c r="AJ3240">
        <v>0</v>
      </c>
      <c r="AK3240">
        <v>0</v>
      </c>
    </row>
    <row r="3241" spans="1:37" x14ac:dyDescent="0.3">
      <c r="A3241">
        <v>7134</v>
      </c>
      <c r="B3241" t="s">
        <v>28</v>
      </c>
      <c r="C3241">
        <v>699</v>
      </c>
      <c r="D3241" t="s">
        <v>3500</v>
      </c>
      <c r="E3241">
        <v>99999999</v>
      </c>
      <c r="F3241">
        <v>11111111</v>
      </c>
      <c r="G3241">
        <v>1111111111</v>
      </c>
      <c r="H3241" t="s">
        <v>6810</v>
      </c>
      <c r="I3241">
        <v>99999999</v>
      </c>
      <c r="J3241" s="188">
        <v>45238</v>
      </c>
      <c r="K3241" t="s">
        <v>6810</v>
      </c>
      <c r="L3241" t="s">
        <v>6810</v>
      </c>
      <c r="M3241" t="s">
        <v>3297</v>
      </c>
      <c r="N3241" t="s">
        <v>811</v>
      </c>
      <c r="O3241">
        <v>20774</v>
      </c>
      <c r="Q3241" t="s">
        <v>124</v>
      </c>
      <c r="R3241">
        <v>32</v>
      </c>
      <c r="S3241">
        <v>28.31</v>
      </c>
      <c r="T3241">
        <v>0</v>
      </c>
      <c r="U3241">
        <v>0</v>
      </c>
      <c r="V3241">
        <v>13</v>
      </c>
      <c r="W3241">
        <v>0</v>
      </c>
      <c r="X3241">
        <v>0</v>
      </c>
      <c r="Y3241">
        <v>0</v>
      </c>
      <c r="Z3241">
        <v>0</v>
      </c>
      <c r="AA3241">
        <v>0</v>
      </c>
      <c r="AB3241">
        <v>0</v>
      </c>
      <c r="AC3241">
        <v>0</v>
      </c>
      <c r="AD3241">
        <v>32</v>
      </c>
      <c r="AE3241">
        <v>0</v>
      </c>
      <c r="AF3241">
        <v>0</v>
      </c>
      <c r="AG3241">
        <v>0</v>
      </c>
      <c r="AH3241">
        <v>0</v>
      </c>
      <c r="AI3241">
        <v>0</v>
      </c>
      <c r="AJ3241">
        <v>0</v>
      </c>
      <c r="AK3241">
        <v>0</v>
      </c>
    </row>
    <row r="3242" spans="1:37" x14ac:dyDescent="0.3">
      <c r="A3242">
        <v>7134</v>
      </c>
      <c r="B3242" t="s">
        <v>28</v>
      </c>
      <c r="C3242">
        <v>699</v>
      </c>
      <c r="D3242" t="s">
        <v>3500</v>
      </c>
      <c r="E3242">
        <v>99999999</v>
      </c>
      <c r="F3242">
        <v>11111111</v>
      </c>
      <c r="G3242">
        <v>1111111111</v>
      </c>
      <c r="H3242" t="s">
        <v>6811</v>
      </c>
      <c r="I3242">
        <v>99999999</v>
      </c>
      <c r="J3242" s="188">
        <v>45238</v>
      </c>
      <c r="K3242" t="s">
        <v>6811</v>
      </c>
      <c r="L3242" t="s">
        <v>6811</v>
      </c>
      <c r="M3242" t="s">
        <v>3297</v>
      </c>
      <c r="N3242" t="s">
        <v>811</v>
      </c>
      <c r="O3242">
        <v>20774</v>
      </c>
      <c r="Q3242" t="s">
        <v>124</v>
      </c>
      <c r="R3242">
        <v>22</v>
      </c>
      <c r="S3242">
        <v>19.62</v>
      </c>
      <c r="T3242">
        <v>0</v>
      </c>
      <c r="U3242">
        <v>0</v>
      </c>
      <c r="V3242">
        <v>13</v>
      </c>
      <c r="W3242">
        <v>0</v>
      </c>
      <c r="X3242">
        <v>0</v>
      </c>
      <c r="Y3242">
        <v>0</v>
      </c>
      <c r="Z3242">
        <v>0</v>
      </c>
      <c r="AA3242">
        <v>0</v>
      </c>
      <c r="AB3242">
        <v>0</v>
      </c>
      <c r="AC3242">
        <v>0</v>
      </c>
      <c r="AD3242">
        <v>22</v>
      </c>
      <c r="AE3242">
        <v>0</v>
      </c>
      <c r="AF3242">
        <v>0</v>
      </c>
      <c r="AG3242">
        <v>0</v>
      </c>
      <c r="AH3242">
        <v>0</v>
      </c>
      <c r="AI3242">
        <v>0</v>
      </c>
      <c r="AJ3242">
        <v>0</v>
      </c>
      <c r="AK3242">
        <v>0</v>
      </c>
    </row>
    <row r="3243" spans="1:37" x14ac:dyDescent="0.3">
      <c r="A3243">
        <v>7134</v>
      </c>
      <c r="B3243" t="s">
        <v>28</v>
      </c>
      <c r="C3243">
        <v>699</v>
      </c>
      <c r="D3243" t="s">
        <v>3500</v>
      </c>
      <c r="E3243">
        <v>99999999</v>
      </c>
      <c r="F3243">
        <v>11111111</v>
      </c>
      <c r="G3243">
        <v>1111111111</v>
      </c>
      <c r="H3243" t="s">
        <v>6812</v>
      </c>
      <c r="I3243">
        <v>99999999</v>
      </c>
      <c r="J3243" s="188">
        <v>45238</v>
      </c>
      <c r="K3243" t="s">
        <v>6812</v>
      </c>
      <c r="L3243" t="s">
        <v>6812</v>
      </c>
      <c r="M3243" t="s">
        <v>3297</v>
      </c>
      <c r="N3243" t="s">
        <v>811</v>
      </c>
      <c r="O3243">
        <v>20774</v>
      </c>
      <c r="Q3243" t="s">
        <v>124</v>
      </c>
      <c r="R3243">
        <v>19</v>
      </c>
      <c r="S3243">
        <v>16.739999999999998</v>
      </c>
      <c r="T3243">
        <v>0</v>
      </c>
      <c r="U3243">
        <v>0</v>
      </c>
      <c r="V3243">
        <v>13</v>
      </c>
      <c r="W3243">
        <v>0</v>
      </c>
      <c r="X3243">
        <v>0</v>
      </c>
      <c r="Y3243">
        <v>0</v>
      </c>
      <c r="Z3243">
        <v>0</v>
      </c>
      <c r="AA3243">
        <v>0</v>
      </c>
      <c r="AB3243">
        <v>0</v>
      </c>
      <c r="AC3243">
        <v>0</v>
      </c>
      <c r="AD3243">
        <v>19</v>
      </c>
      <c r="AE3243">
        <v>0</v>
      </c>
      <c r="AF3243">
        <v>0</v>
      </c>
      <c r="AG3243">
        <v>0</v>
      </c>
      <c r="AH3243">
        <v>0</v>
      </c>
      <c r="AI3243">
        <v>0</v>
      </c>
      <c r="AJ3243">
        <v>0</v>
      </c>
      <c r="AK3243">
        <v>0</v>
      </c>
    </row>
    <row r="3244" spans="1:37" x14ac:dyDescent="0.3">
      <c r="A3244">
        <v>7134</v>
      </c>
      <c r="B3244" t="s">
        <v>28</v>
      </c>
      <c r="C3244">
        <v>699</v>
      </c>
      <c r="D3244" t="s">
        <v>3500</v>
      </c>
      <c r="E3244">
        <v>99999999</v>
      </c>
      <c r="F3244">
        <v>11111111</v>
      </c>
      <c r="G3244">
        <v>1111111111</v>
      </c>
      <c r="H3244" t="s">
        <v>6813</v>
      </c>
      <c r="I3244">
        <v>99999999</v>
      </c>
      <c r="J3244" s="188">
        <v>45238</v>
      </c>
      <c r="K3244" t="s">
        <v>6813</v>
      </c>
      <c r="L3244" t="s">
        <v>6813</v>
      </c>
      <c r="M3244" t="s">
        <v>3297</v>
      </c>
      <c r="N3244" t="s">
        <v>811</v>
      </c>
      <c r="O3244">
        <v>20774</v>
      </c>
      <c r="Q3244" t="s">
        <v>124</v>
      </c>
      <c r="R3244">
        <v>19</v>
      </c>
      <c r="S3244">
        <v>16.739999999999998</v>
      </c>
      <c r="T3244">
        <v>0</v>
      </c>
      <c r="U3244">
        <v>0</v>
      </c>
      <c r="V3244">
        <v>13</v>
      </c>
      <c r="W3244">
        <v>0</v>
      </c>
      <c r="X3244">
        <v>0</v>
      </c>
      <c r="Y3244">
        <v>0</v>
      </c>
      <c r="Z3244">
        <v>0</v>
      </c>
      <c r="AA3244">
        <v>0</v>
      </c>
      <c r="AB3244">
        <v>0</v>
      </c>
      <c r="AC3244">
        <v>0</v>
      </c>
      <c r="AD3244">
        <v>19</v>
      </c>
      <c r="AE3244">
        <v>0</v>
      </c>
      <c r="AF3244">
        <v>0</v>
      </c>
      <c r="AG3244">
        <v>0</v>
      </c>
      <c r="AH3244">
        <v>0</v>
      </c>
      <c r="AI3244">
        <v>0</v>
      </c>
      <c r="AJ3244">
        <v>0</v>
      </c>
      <c r="AK3244">
        <v>0</v>
      </c>
    </row>
    <row r="3245" spans="1:37" x14ac:dyDescent="0.3">
      <c r="A3245">
        <v>7134</v>
      </c>
      <c r="B3245" t="s">
        <v>28</v>
      </c>
      <c r="C3245">
        <v>699</v>
      </c>
      <c r="D3245" t="s">
        <v>3500</v>
      </c>
      <c r="E3245">
        <v>99999999</v>
      </c>
      <c r="F3245">
        <v>11111111</v>
      </c>
      <c r="G3245">
        <v>1111111111</v>
      </c>
      <c r="H3245" t="s">
        <v>6814</v>
      </c>
      <c r="I3245">
        <v>99999999</v>
      </c>
      <c r="J3245" s="188">
        <v>45238</v>
      </c>
      <c r="K3245" t="s">
        <v>6814</v>
      </c>
      <c r="L3245" t="s">
        <v>6814</v>
      </c>
      <c r="M3245" t="s">
        <v>3297</v>
      </c>
      <c r="N3245" t="s">
        <v>811</v>
      </c>
      <c r="O3245">
        <v>20774</v>
      </c>
      <c r="Q3245" t="s">
        <v>124</v>
      </c>
      <c r="R3245">
        <v>20</v>
      </c>
      <c r="S3245">
        <v>17.95</v>
      </c>
      <c r="T3245">
        <v>0</v>
      </c>
      <c r="U3245">
        <v>0</v>
      </c>
      <c r="V3245">
        <v>13</v>
      </c>
      <c r="W3245">
        <v>0</v>
      </c>
      <c r="X3245">
        <v>0</v>
      </c>
      <c r="Y3245">
        <v>0</v>
      </c>
      <c r="Z3245">
        <v>0</v>
      </c>
      <c r="AA3245">
        <v>0</v>
      </c>
      <c r="AB3245">
        <v>0</v>
      </c>
      <c r="AC3245">
        <v>0</v>
      </c>
      <c r="AD3245">
        <v>20</v>
      </c>
      <c r="AE3245">
        <v>0</v>
      </c>
      <c r="AF3245">
        <v>0</v>
      </c>
      <c r="AG3245">
        <v>0</v>
      </c>
      <c r="AH3245">
        <v>0</v>
      </c>
      <c r="AI3245">
        <v>0</v>
      </c>
      <c r="AJ3245">
        <v>0</v>
      </c>
      <c r="AK3245">
        <v>0</v>
      </c>
    </row>
    <row r="3246" spans="1:37" x14ac:dyDescent="0.3">
      <c r="A3246">
        <v>7134</v>
      </c>
      <c r="B3246" t="s">
        <v>28</v>
      </c>
      <c r="C3246">
        <v>699</v>
      </c>
      <c r="D3246" t="s">
        <v>3500</v>
      </c>
      <c r="E3246">
        <v>99999999</v>
      </c>
      <c r="F3246">
        <v>11111111</v>
      </c>
      <c r="G3246">
        <v>1111111111</v>
      </c>
      <c r="H3246" t="s">
        <v>6815</v>
      </c>
      <c r="I3246">
        <v>99999999</v>
      </c>
      <c r="J3246" s="188">
        <v>45238</v>
      </c>
      <c r="K3246" t="s">
        <v>6815</v>
      </c>
      <c r="L3246" t="s">
        <v>6815</v>
      </c>
      <c r="M3246" t="s">
        <v>3297</v>
      </c>
      <c r="N3246" t="s">
        <v>811</v>
      </c>
      <c r="O3246">
        <v>20774</v>
      </c>
      <c r="Q3246" t="s">
        <v>124</v>
      </c>
      <c r="R3246">
        <v>17</v>
      </c>
      <c r="S3246">
        <v>14.77</v>
      </c>
      <c r="T3246">
        <v>0</v>
      </c>
      <c r="U3246">
        <v>0</v>
      </c>
      <c r="V3246">
        <v>12</v>
      </c>
      <c r="W3246">
        <v>0</v>
      </c>
      <c r="X3246">
        <v>0</v>
      </c>
      <c r="Y3246">
        <v>0</v>
      </c>
      <c r="Z3246">
        <v>0</v>
      </c>
      <c r="AA3246">
        <v>0</v>
      </c>
      <c r="AB3246">
        <v>0</v>
      </c>
      <c r="AC3246">
        <v>0</v>
      </c>
      <c r="AD3246">
        <v>17</v>
      </c>
      <c r="AE3246">
        <v>0</v>
      </c>
      <c r="AF3246">
        <v>0</v>
      </c>
      <c r="AG3246">
        <v>0</v>
      </c>
      <c r="AH3246">
        <v>0</v>
      </c>
      <c r="AI3246">
        <v>0</v>
      </c>
      <c r="AJ3246">
        <v>0</v>
      </c>
      <c r="AK3246">
        <v>0</v>
      </c>
    </row>
    <row r="3247" spans="1:37" x14ac:dyDescent="0.3">
      <c r="A3247">
        <v>7134</v>
      </c>
      <c r="B3247" t="s">
        <v>28</v>
      </c>
      <c r="C3247">
        <v>699</v>
      </c>
      <c r="D3247" t="s">
        <v>3500</v>
      </c>
      <c r="E3247">
        <v>99999999</v>
      </c>
      <c r="F3247">
        <v>11111111</v>
      </c>
      <c r="G3247">
        <v>1111111111</v>
      </c>
      <c r="H3247" t="s">
        <v>6816</v>
      </c>
      <c r="I3247">
        <v>99999999</v>
      </c>
      <c r="J3247" s="188">
        <v>45238</v>
      </c>
      <c r="K3247" t="s">
        <v>6816</v>
      </c>
      <c r="L3247" t="s">
        <v>6816</v>
      </c>
      <c r="M3247" t="s">
        <v>3297</v>
      </c>
      <c r="N3247" t="s">
        <v>811</v>
      </c>
      <c r="O3247">
        <v>20774</v>
      </c>
      <c r="Q3247" t="s">
        <v>124</v>
      </c>
      <c r="R3247">
        <v>19</v>
      </c>
      <c r="S3247">
        <v>16.649999999999999</v>
      </c>
      <c r="T3247">
        <v>0</v>
      </c>
      <c r="U3247">
        <v>0</v>
      </c>
      <c r="V3247">
        <v>13</v>
      </c>
      <c r="W3247">
        <v>0</v>
      </c>
      <c r="X3247">
        <v>0</v>
      </c>
      <c r="Y3247">
        <v>0</v>
      </c>
      <c r="Z3247">
        <v>0</v>
      </c>
      <c r="AA3247">
        <v>0</v>
      </c>
      <c r="AB3247">
        <v>0</v>
      </c>
      <c r="AC3247">
        <v>0</v>
      </c>
      <c r="AD3247">
        <v>19</v>
      </c>
      <c r="AE3247">
        <v>0</v>
      </c>
      <c r="AF3247">
        <v>0</v>
      </c>
      <c r="AG3247">
        <v>0</v>
      </c>
      <c r="AH3247">
        <v>0</v>
      </c>
      <c r="AI3247">
        <v>0</v>
      </c>
      <c r="AJ3247">
        <v>0</v>
      </c>
      <c r="AK3247">
        <v>0</v>
      </c>
    </row>
    <row r="3248" spans="1:37" x14ac:dyDescent="0.3">
      <c r="A3248">
        <v>7134</v>
      </c>
      <c r="B3248" t="s">
        <v>28</v>
      </c>
      <c r="C3248">
        <v>699</v>
      </c>
      <c r="D3248" t="s">
        <v>3500</v>
      </c>
      <c r="E3248">
        <v>99999999</v>
      </c>
      <c r="F3248">
        <v>11111111</v>
      </c>
      <c r="G3248">
        <v>1111111111</v>
      </c>
      <c r="H3248" t="s">
        <v>6817</v>
      </c>
      <c r="I3248">
        <v>99999999</v>
      </c>
      <c r="J3248" s="188">
        <v>45238</v>
      </c>
      <c r="K3248" t="s">
        <v>6817</v>
      </c>
      <c r="L3248" t="s">
        <v>6817</v>
      </c>
      <c r="M3248" t="s">
        <v>3297</v>
      </c>
      <c r="N3248" t="s">
        <v>811</v>
      </c>
      <c r="O3248">
        <v>20774</v>
      </c>
      <c r="Q3248" t="s">
        <v>124</v>
      </c>
      <c r="R3248">
        <v>20</v>
      </c>
      <c r="S3248">
        <v>17.59</v>
      </c>
      <c r="T3248">
        <v>0</v>
      </c>
      <c r="U3248">
        <v>0</v>
      </c>
      <c r="V3248">
        <v>13</v>
      </c>
      <c r="W3248">
        <v>0</v>
      </c>
      <c r="X3248">
        <v>0</v>
      </c>
      <c r="Y3248">
        <v>0</v>
      </c>
      <c r="Z3248">
        <v>0</v>
      </c>
      <c r="AA3248">
        <v>0</v>
      </c>
      <c r="AB3248">
        <v>0</v>
      </c>
      <c r="AC3248">
        <v>0</v>
      </c>
      <c r="AD3248">
        <v>20</v>
      </c>
      <c r="AE3248">
        <v>0</v>
      </c>
      <c r="AF3248">
        <v>0</v>
      </c>
      <c r="AG3248">
        <v>0</v>
      </c>
      <c r="AH3248">
        <v>0</v>
      </c>
      <c r="AI3248">
        <v>0</v>
      </c>
      <c r="AJ3248">
        <v>0</v>
      </c>
      <c r="AK3248">
        <v>0</v>
      </c>
    </row>
    <row r="3249" spans="1:37" x14ac:dyDescent="0.3">
      <c r="A3249">
        <v>7134</v>
      </c>
      <c r="B3249" t="s">
        <v>28</v>
      </c>
      <c r="C3249">
        <v>699</v>
      </c>
      <c r="D3249" t="s">
        <v>3500</v>
      </c>
      <c r="E3249">
        <v>99999999</v>
      </c>
      <c r="F3249">
        <v>11111111</v>
      </c>
      <c r="G3249">
        <v>1111111111</v>
      </c>
      <c r="H3249" t="s">
        <v>6818</v>
      </c>
      <c r="I3249">
        <v>99999999</v>
      </c>
      <c r="J3249" s="188">
        <v>45238</v>
      </c>
      <c r="K3249" t="s">
        <v>6818</v>
      </c>
      <c r="L3249" t="s">
        <v>6818</v>
      </c>
      <c r="M3249" t="s">
        <v>3297</v>
      </c>
      <c r="N3249" t="s">
        <v>811</v>
      </c>
      <c r="O3249">
        <v>20774</v>
      </c>
      <c r="Q3249" t="s">
        <v>124</v>
      </c>
      <c r="R3249">
        <v>20</v>
      </c>
      <c r="S3249">
        <v>17.95</v>
      </c>
      <c r="T3249">
        <v>0</v>
      </c>
      <c r="U3249">
        <v>0</v>
      </c>
      <c r="V3249">
        <v>13</v>
      </c>
      <c r="W3249">
        <v>0</v>
      </c>
      <c r="X3249">
        <v>0</v>
      </c>
      <c r="Y3249">
        <v>0</v>
      </c>
      <c r="Z3249">
        <v>0</v>
      </c>
      <c r="AA3249">
        <v>0</v>
      </c>
      <c r="AB3249">
        <v>0</v>
      </c>
      <c r="AC3249">
        <v>0</v>
      </c>
      <c r="AD3249">
        <v>20</v>
      </c>
      <c r="AE3249">
        <v>0</v>
      </c>
      <c r="AF3249">
        <v>0</v>
      </c>
      <c r="AG3249">
        <v>0</v>
      </c>
      <c r="AH3249">
        <v>0</v>
      </c>
      <c r="AI3249">
        <v>0</v>
      </c>
      <c r="AJ3249">
        <v>0</v>
      </c>
      <c r="AK3249">
        <v>0</v>
      </c>
    </row>
    <row r="3250" spans="1:37" x14ac:dyDescent="0.3">
      <c r="A3250">
        <v>7134</v>
      </c>
      <c r="B3250" t="s">
        <v>28</v>
      </c>
      <c r="C3250">
        <v>699</v>
      </c>
      <c r="D3250" t="s">
        <v>3500</v>
      </c>
      <c r="E3250">
        <v>99999999</v>
      </c>
      <c r="F3250">
        <v>11111111</v>
      </c>
      <c r="G3250">
        <v>1111111111</v>
      </c>
      <c r="H3250" t="s">
        <v>6819</v>
      </c>
      <c r="I3250">
        <v>99999999</v>
      </c>
      <c r="J3250" s="188">
        <v>45238</v>
      </c>
      <c r="K3250" t="s">
        <v>6819</v>
      </c>
      <c r="L3250" t="s">
        <v>6819</v>
      </c>
      <c r="M3250" t="s">
        <v>3297</v>
      </c>
      <c r="N3250" t="s">
        <v>811</v>
      </c>
      <c r="O3250">
        <v>20774</v>
      </c>
      <c r="Q3250" t="s">
        <v>124</v>
      </c>
      <c r="R3250">
        <v>20</v>
      </c>
      <c r="S3250">
        <v>17.95</v>
      </c>
      <c r="T3250">
        <v>0</v>
      </c>
      <c r="U3250">
        <v>0</v>
      </c>
      <c r="V3250">
        <v>13</v>
      </c>
      <c r="W3250">
        <v>0</v>
      </c>
      <c r="X3250">
        <v>0</v>
      </c>
      <c r="Y3250">
        <v>0</v>
      </c>
      <c r="Z3250">
        <v>0</v>
      </c>
      <c r="AA3250">
        <v>0</v>
      </c>
      <c r="AB3250">
        <v>0</v>
      </c>
      <c r="AC3250">
        <v>0</v>
      </c>
      <c r="AD3250">
        <v>20</v>
      </c>
      <c r="AE3250">
        <v>0</v>
      </c>
      <c r="AF3250">
        <v>0</v>
      </c>
      <c r="AG3250">
        <v>0</v>
      </c>
      <c r="AH3250">
        <v>0</v>
      </c>
      <c r="AI3250">
        <v>0</v>
      </c>
      <c r="AJ3250">
        <v>0</v>
      </c>
      <c r="AK3250">
        <v>0</v>
      </c>
    </row>
    <row r="3251" spans="1:37" x14ac:dyDescent="0.3">
      <c r="A3251">
        <v>7134</v>
      </c>
      <c r="B3251" t="s">
        <v>28</v>
      </c>
      <c r="C3251">
        <v>699</v>
      </c>
      <c r="D3251" t="s">
        <v>3500</v>
      </c>
      <c r="E3251">
        <v>99999999</v>
      </c>
      <c r="F3251">
        <v>11111111</v>
      </c>
      <c r="G3251">
        <v>1111111111</v>
      </c>
      <c r="H3251" t="s">
        <v>6820</v>
      </c>
      <c r="I3251">
        <v>99999999</v>
      </c>
      <c r="J3251" s="188">
        <v>45238</v>
      </c>
      <c r="K3251" t="s">
        <v>6820</v>
      </c>
      <c r="L3251" t="s">
        <v>6820</v>
      </c>
      <c r="M3251" t="s">
        <v>3297</v>
      </c>
      <c r="N3251" t="s">
        <v>811</v>
      </c>
      <c r="O3251">
        <v>20774</v>
      </c>
      <c r="Q3251" t="s">
        <v>124</v>
      </c>
      <c r="R3251">
        <v>20</v>
      </c>
      <c r="S3251">
        <v>17.59</v>
      </c>
      <c r="T3251">
        <v>0</v>
      </c>
      <c r="U3251">
        <v>0</v>
      </c>
      <c r="V3251">
        <v>13</v>
      </c>
      <c r="W3251">
        <v>0</v>
      </c>
      <c r="X3251">
        <v>0</v>
      </c>
      <c r="Y3251">
        <v>0</v>
      </c>
      <c r="Z3251">
        <v>0</v>
      </c>
      <c r="AA3251">
        <v>0</v>
      </c>
      <c r="AB3251">
        <v>0</v>
      </c>
      <c r="AC3251">
        <v>0</v>
      </c>
      <c r="AD3251">
        <v>20</v>
      </c>
      <c r="AE3251">
        <v>0</v>
      </c>
      <c r="AF3251">
        <v>0</v>
      </c>
      <c r="AG3251">
        <v>0</v>
      </c>
      <c r="AH3251">
        <v>0</v>
      </c>
      <c r="AI3251">
        <v>0</v>
      </c>
      <c r="AJ3251">
        <v>0</v>
      </c>
      <c r="AK3251">
        <v>0</v>
      </c>
    </row>
    <row r="3252" spans="1:37" x14ac:dyDescent="0.3">
      <c r="A3252">
        <v>7134</v>
      </c>
      <c r="B3252" t="s">
        <v>28</v>
      </c>
      <c r="C3252">
        <v>699</v>
      </c>
      <c r="D3252" t="s">
        <v>3500</v>
      </c>
      <c r="E3252">
        <v>99999999</v>
      </c>
      <c r="F3252">
        <v>11111111</v>
      </c>
      <c r="G3252">
        <v>1111111111</v>
      </c>
      <c r="H3252" t="s">
        <v>6821</v>
      </c>
      <c r="I3252">
        <v>99999999</v>
      </c>
      <c r="J3252" s="188">
        <v>45238</v>
      </c>
      <c r="K3252" t="s">
        <v>6821</v>
      </c>
      <c r="L3252" t="s">
        <v>6821</v>
      </c>
      <c r="M3252" t="s">
        <v>3297</v>
      </c>
      <c r="N3252" t="s">
        <v>811</v>
      </c>
      <c r="O3252">
        <v>20774</v>
      </c>
      <c r="Q3252" t="s">
        <v>124</v>
      </c>
      <c r="R3252">
        <v>20</v>
      </c>
      <c r="S3252">
        <v>17.59</v>
      </c>
      <c r="T3252">
        <v>0</v>
      </c>
      <c r="U3252">
        <v>0</v>
      </c>
      <c r="V3252">
        <v>13</v>
      </c>
      <c r="W3252">
        <v>0</v>
      </c>
      <c r="X3252">
        <v>0</v>
      </c>
      <c r="Y3252">
        <v>0</v>
      </c>
      <c r="Z3252">
        <v>0</v>
      </c>
      <c r="AA3252">
        <v>0</v>
      </c>
      <c r="AB3252">
        <v>0</v>
      </c>
      <c r="AC3252">
        <v>0</v>
      </c>
      <c r="AD3252">
        <v>20</v>
      </c>
      <c r="AE3252">
        <v>0</v>
      </c>
      <c r="AF3252">
        <v>0</v>
      </c>
      <c r="AG3252">
        <v>0</v>
      </c>
      <c r="AH3252">
        <v>0</v>
      </c>
      <c r="AI3252">
        <v>0</v>
      </c>
      <c r="AJ3252">
        <v>0</v>
      </c>
      <c r="AK3252">
        <v>0</v>
      </c>
    </row>
    <row r="3253" spans="1:37" x14ac:dyDescent="0.3">
      <c r="A3253">
        <v>7134</v>
      </c>
      <c r="B3253" t="s">
        <v>28</v>
      </c>
      <c r="C3253">
        <v>699</v>
      </c>
      <c r="D3253" t="s">
        <v>3500</v>
      </c>
      <c r="E3253">
        <v>99999999</v>
      </c>
      <c r="F3253">
        <v>11111111</v>
      </c>
      <c r="G3253">
        <v>1111111111</v>
      </c>
      <c r="H3253" t="s">
        <v>6822</v>
      </c>
      <c r="I3253">
        <v>99999999</v>
      </c>
      <c r="J3253" s="188">
        <v>45238</v>
      </c>
      <c r="K3253" t="s">
        <v>6822</v>
      </c>
      <c r="L3253" t="s">
        <v>6822</v>
      </c>
      <c r="M3253" t="s">
        <v>3297</v>
      </c>
      <c r="N3253" t="s">
        <v>811</v>
      </c>
      <c r="O3253">
        <v>20774</v>
      </c>
      <c r="Q3253" t="s">
        <v>124</v>
      </c>
      <c r="R3253">
        <v>18</v>
      </c>
      <c r="S3253">
        <v>15.69</v>
      </c>
      <c r="T3253">
        <v>0</v>
      </c>
      <c r="U3253">
        <v>0</v>
      </c>
      <c r="V3253">
        <v>12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18</v>
      </c>
      <c r="AE3253">
        <v>0</v>
      </c>
      <c r="AF3253">
        <v>0</v>
      </c>
      <c r="AG3253">
        <v>0</v>
      </c>
      <c r="AH3253">
        <v>0</v>
      </c>
      <c r="AI3253">
        <v>0</v>
      </c>
      <c r="AJ3253">
        <v>0</v>
      </c>
      <c r="AK3253">
        <v>0</v>
      </c>
    </row>
    <row r="3254" spans="1:37" x14ac:dyDescent="0.3">
      <c r="A3254">
        <v>7134</v>
      </c>
      <c r="B3254" t="s">
        <v>28</v>
      </c>
      <c r="C3254">
        <v>699</v>
      </c>
      <c r="D3254" t="s">
        <v>3500</v>
      </c>
      <c r="E3254">
        <v>99999999</v>
      </c>
      <c r="F3254">
        <v>11111111</v>
      </c>
      <c r="G3254">
        <v>1111111111</v>
      </c>
      <c r="H3254" t="s">
        <v>6823</v>
      </c>
      <c r="I3254">
        <v>99999999</v>
      </c>
      <c r="J3254" s="188">
        <v>45238</v>
      </c>
      <c r="K3254" t="s">
        <v>6823</v>
      </c>
      <c r="L3254" t="s">
        <v>6823</v>
      </c>
      <c r="M3254" t="s">
        <v>3297</v>
      </c>
      <c r="N3254" t="s">
        <v>811</v>
      </c>
      <c r="O3254">
        <v>20774</v>
      </c>
      <c r="Q3254" t="s">
        <v>124</v>
      </c>
      <c r="R3254">
        <v>20</v>
      </c>
      <c r="S3254">
        <v>17.86</v>
      </c>
      <c r="T3254">
        <v>0</v>
      </c>
      <c r="U3254">
        <v>0</v>
      </c>
      <c r="V3254">
        <v>13</v>
      </c>
      <c r="W3254">
        <v>0</v>
      </c>
      <c r="X3254">
        <v>0</v>
      </c>
      <c r="Y3254">
        <v>0</v>
      </c>
      <c r="Z3254">
        <v>0</v>
      </c>
      <c r="AA3254">
        <v>0</v>
      </c>
      <c r="AB3254">
        <v>0</v>
      </c>
      <c r="AC3254">
        <v>0</v>
      </c>
      <c r="AD3254">
        <v>20</v>
      </c>
      <c r="AE3254">
        <v>0</v>
      </c>
      <c r="AF3254">
        <v>0</v>
      </c>
      <c r="AG3254">
        <v>0</v>
      </c>
      <c r="AH3254">
        <v>0</v>
      </c>
      <c r="AI3254">
        <v>0</v>
      </c>
      <c r="AJ3254">
        <v>0</v>
      </c>
      <c r="AK3254">
        <v>0</v>
      </c>
    </row>
    <row r="3255" spans="1:37" x14ac:dyDescent="0.3">
      <c r="A3255">
        <v>7134</v>
      </c>
      <c r="B3255" t="s">
        <v>28</v>
      </c>
      <c r="C3255">
        <v>699</v>
      </c>
      <c r="D3255" t="s">
        <v>3500</v>
      </c>
      <c r="E3255">
        <v>99999999</v>
      </c>
      <c r="F3255">
        <v>11111111</v>
      </c>
      <c r="G3255">
        <v>1111111111</v>
      </c>
      <c r="H3255" t="s">
        <v>6824</v>
      </c>
      <c r="I3255">
        <v>99999999</v>
      </c>
      <c r="J3255" s="188">
        <v>45238</v>
      </c>
      <c r="K3255" t="s">
        <v>6824</v>
      </c>
      <c r="L3255" t="s">
        <v>6824</v>
      </c>
      <c r="M3255" t="s">
        <v>3297</v>
      </c>
      <c r="N3255" t="s">
        <v>811</v>
      </c>
      <c r="O3255">
        <v>20774</v>
      </c>
      <c r="Q3255" t="s">
        <v>124</v>
      </c>
      <c r="R3255">
        <v>20</v>
      </c>
      <c r="S3255">
        <v>17.59</v>
      </c>
      <c r="T3255">
        <v>0</v>
      </c>
      <c r="U3255">
        <v>0</v>
      </c>
      <c r="V3255">
        <v>13</v>
      </c>
      <c r="W3255">
        <v>0</v>
      </c>
      <c r="X3255">
        <v>0</v>
      </c>
      <c r="Y3255">
        <v>0</v>
      </c>
      <c r="Z3255">
        <v>0</v>
      </c>
      <c r="AA3255">
        <v>0</v>
      </c>
      <c r="AB3255">
        <v>0</v>
      </c>
      <c r="AC3255">
        <v>0</v>
      </c>
      <c r="AD3255">
        <v>20</v>
      </c>
      <c r="AE3255">
        <v>0</v>
      </c>
      <c r="AF3255">
        <v>0</v>
      </c>
      <c r="AG3255">
        <v>0</v>
      </c>
      <c r="AH3255">
        <v>0</v>
      </c>
      <c r="AI3255">
        <v>0</v>
      </c>
      <c r="AJ3255">
        <v>0</v>
      </c>
      <c r="AK3255">
        <v>0</v>
      </c>
    </row>
    <row r="3256" spans="1:37" x14ac:dyDescent="0.3">
      <c r="A3256">
        <v>7134</v>
      </c>
      <c r="B3256" t="s">
        <v>28</v>
      </c>
      <c r="C3256">
        <v>699</v>
      </c>
      <c r="D3256" t="s">
        <v>3500</v>
      </c>
      <c r="E3256">
        <v>99999999</v>
      </c>
      <c r="F3256">
        <v>11111111</v>
      </c>
      <c r="G3256">
        <v>1111111111</v>
      </c>
      <c r="H3256" t="s">
        <v>6825</v>
      </c>
      <c r="I3256">
        <v>99999999</v>
      </c>
      <c r="J3256" s="188">
        <v>45238</v>
      </c>
      <c r="K3256" t="s">
        <v>6825</v>
      </c>
      <c r="L3256" t="s">
        <v>6825</v>
      </c>
      <c r="M3256" t="s">
        <v>3297</v>
      </c>
      <c r="N3256" t="s">
        <v>811</v>
      </c>
      <c r="O3256">
        <v>20774</v>
      </c>
      <c r="Q3256" t="s">
        <v>124</v>
      </c>
      <c r="R3256">
        <v>22</v>
      </c>
      <c r="S3256">
        <v>19.71</v>
      </c>
      <c r="T3256">
        <v>0</v>
      </c>
      <c r="U3256">
        <v>0</v>
      </c>
      <c r="V3256">
        <v>13</v>
      </c>
      <c r="W3256">
        <v>0</v>
      </c>
      <c r="X3256">
        <v>0</v>
      </c>
      <c r="Y3256">
        <v>0</v>
      </c>
      <c r="Z3256">
        <v>0</v>
      </c>
      <c r="AA3256">
        <v>0</v>
      </c>
      <c r="AB3256">
        <v>0</v>
      </c>
      <c r="AC3256">
        <v>0</v>
      </c>
      <c r="AD3256">
        <v>22</v>
      </c>
      <c r="AE3256">
        <v>0</v>
      </c>
      <c r="AF3256">
        <v>0</v>
      </c>
      <c r="AG3256">
        <v>0</v>
      </c>
      <c r="AH3256">
        <v>0</v>
      </c>
      <c r="AI3256">
        <v>0</v>
      </c>
      <c r="AJ3256">
        <v>0</v>
      </c>
      <c r="AK3256">
        <v>0</v>
      </c>
    </row>
    <row r="3257" spans="1:37" x14ac:dyDescent="0.3">
      <c r="A3257">
        <v>7134</v>
      </c>
      <c r="B3257" t="s">
        <v>28</v>
      </c>
      <c r="C3257">
        <v>699</v>
      </c>
      <c r="D3257" t="s">
        <v>3500</v>
      </c>
      <c r="E3257">
        <v>99999999</v>
      </c>
      <c r="F3257">
        <v>11111111</v>
      </c>
      <c r="G3257">
        <v>1111111111</v>
      </c>
      <c r="H3257" t="s">
        <v>6826</v>
      </c>
      <c r="I3257">
        <v>99999999</v>
      </c>
      <c r="J3257" s="188">
        <v>45238</v>
      </c>
      <c r="K3257" t="s">
        <v>6826</v>
      </c>
      <c r="L3257" t="s">
        <v>6826</v>
      </c>
      <c r="M3257" t="s">
        <v>3297</v>
      </c>
      <c r="N3257" t="s">
        <v>811</v>
      </c>
      <c r="O3257">
        <v>20774</v>
      </c>
      <c r="Q3257" t="s">
        <v>124</v>
      </c>
      <c r="R3257">
        <v>22</v>
      </c>
      <c r="S3257">
        <v>19.71</v>
      </c>
      <c r="T3257">
        <v>0</v>
      </c>
      <c r="U3257">
        <v>0</v>
      </c>
      <c r="V3257">
        <v>13</v>
      </c>
      <c r="W3257">
        <v>0</v>
      </c>
      <c r="X3257">
        <v>0</v>
      </c>
      <c r="Y3257">
        <v>0</v>
      </c>
      <c r="Z3257">
        <v>0</v>
      </c>
      <c r="AA3257">
        <v>0</v>
      </c>
      <c r="AB3257">
        <v>0</v>
      </c>
      <c r="AC3257">
        <v>0</v>
      </c>
      <c r="AD3257">
        <v>22</v>
      </c>
      <c r="AE3257">
        <v>0</v>
      </c>
      <c r="AF3257">
        <v>0</v>
      </c>
      <c r="AG3257">
        <v>0</v>
      </c>
      <c r="AH3257">
        <v>0</v>
      </c>
      <c r="AI3257">
        <v>0</v>
      </c>
      <c r="AJ3257">
        <v>0</v>
      </c>
      <c r="AK3257">
        <v>0</v>
      </c>
    </row>
    <row r="3258" spans="1:37" x14ac:dyDescent="0.3">
      <c r="A3258">
        <v>7134</v>
      </c>
      <c r="B3258" t="s">
        <v>28</v>
      </c>
      <c r="C3258">
        <v>699</v>
      </c>
      <c r="D3258" t="s">
        <v>3500</v>
      </c>
      <c r="E3258">
        <v>99999999</v>
      </c>
      <c r="F3258">
        <v>11111111</v>
      </c>
      <c r="G3258">
        <v>1111111111</v>
      </c>
      <c r="H3258" t="s">
        <v>6827</v>
      </c>
      <c r="I3258">
        <v>99999999</v>
      </c>
      <c r="J3258" s="188">
        <v>45238</v>
      </c>
      <c r="K3258" t="s">
        <v>6827</v>
      </c>
      <c r="L3258" t="s">
        <v>6827</v>
      </c>
      <c r="M3258" t="s">
        <v>3297</v>
      </c>
      <c r="N3258" t="s">
        <v>811</v>
      </c>
      <c r="O3258">
        <v>20774</v>
      </c>
      <c r="Q3258" t="s">
        <v>124</v>
      </c>
      <c r="R3258">
        <v>20</v>
      </c>
      <c r="S3258">
        <v>17.59</v>
      </c>
      <c r="T3258">
        <v>0</v>
      </c>
      <c r="U3258">
        <v>0</v>
      </c>
      <c r="V3258">
        <v>13</v>
      </c>
      <c r="W3258">
        <v>0</v>
      </c>
      <c r="X3258">
        <v>0</v>
      </c>
      <c r="Y3258">
        <v>0</v>
      </c>
      <c r="Z3258">
        <v>0</v>
      </c>
      <c r="AA3258">
        <v>0</v>
      </c>
      <c r="AB3258">
        <v>0</v>
      </c>
      <c r="AC3258">
        <v>0</v>
      </c>
      <c r="AD3258">
        <v>20</v>
      </c>
      <c r="AE3258">
        <v>0</v>
      </c>
      <c r="AF3258">
        <v>0</v>
      </c>
      <c r="AG3258">
        <v>0</v>
      </c>
      <c r="AH3258">
        <v>0</v>
      </c>
      <c r="AI3258">
        <v>0</v>
      </c>
      <c r="AJ3258">
        <v>0</v>
      </c>
      <c r="AK3258">
        <v>0</v>
      </c>
    </row>
    <row r="3259" spans="1:37" x14ac:dyDescent="0.3">
      <c r="A3259">
        <v>7134</v>
      </c>
      <c r="B3259" t="s">
        <v>28</v>
      </c>
      <c r="C3259">
        <v>699</v>
      </c>
      <c r="D3259" t="s">
        <v>3500</v>
      </c>
      <c r="E3259">
        <v>99999999</v>
      </c>
      <c r="F3259">
        <v>11111111</v>
      </c>
      <c r="G3259">
        <v>1111111111</v>
      </c>
      <c r="H3259" t="s">
        <v>6828</v>
      </c>
      <c r="I3259">
        <v>99999999</v>
      </c>
      <c r="J3259" s="188">
        <v>45238</v>
      </c>
      <c r="K3259" t="s">
        <v>6828</v>
      </c>
      <c r="L3259" t="s">
        <v>6828</v>
      </c>
      <c r="M3259" t="s">
        <v>3297</v>
      </c>
      <c r="N3259" t="s">
        <v>811</v>
      </c>
      <c r="O3259">
        <v>20774</v>
      </c>
      <c r="Q3259" t="s">
        <v>124</v>
      </c>
      <c r="R3259">
        <v>22</v>
      </c>
      <c r="S3259">
        <v>19.71</v>
      </c>
      <c r="T3259">
        <v>0</v>
      </c>
      <c r="U3259">
        <v>0</v>
      </c>
      <c r="V3259">
        <v>13</v>
      </c>
      <c r="W3259">
        <v>0</v>
      </c>
      <c r="X3259">
        <v>0</v>
      </c>
      <c r="Y3259">
        <v>0</v>
      </c>
      <c r="Z3259">
        <v>0</v>
      </c>
      <c r="AA3259">
        <v>0</v>
      </c>
      <c r="AB3259">
        <v>0</v>
      </c>
      <c r="AC3259">
        <v>0</v>
      </c>
      <c r="AD3259">
        <v>22</v>
      </c>
      <c r="AE3259">
        <v>0</v>
      </c>
      <c r="AF3259">
        <v>0</v>
      </c>
      <c r="AG3259">
        <v>0</v>
      </c>
      <c r="AH3259">
        <v>0</v>
      </c>
      <c r="AI3259">
        <v>0</v>
      </c>
      <c r="AJ3259">
        <v>0</v>
      </c>
      <c r="AK3259">
        <v>0</v>
      </c>
    </row>
    <row r="3260" spans="1:37" x14ac:dyDescent="0.3">
      <c r="A3260">
        <v>7134</v>
      </c>
      <c r="B3260" t="s">
        <v>28</v>
      </c>
      <c r="C3260">
        <v>699</v>
      </c>
      <c r="D3260" t="s">
        <v>3500</v>
      </c>
      <c r="E3260">
        <v>99999999</v>
      </c>
      <c r="F3260">
        <v>11111111</v>
      </c>
      <c r="G3260">
        <v>1111111111</v>
      </c>
      <c r="H3260" t="s">
        <v>6829</v>
      </c>
      <c r="I3260">
        <v>99999999</v>
      </c>
      <c r="J3260" s="188">
        <v>45238</v>
      </c>
      <c r="K3260" t="s">
        <v>6829</v>
      </c>
      <c r="L3260" t="s">
        <v>6829</v>
      </c>
      <c r="M3260" t="s">
        <v>3297</v>
      </c>
      <c r="N3260" t="s">
        <v>811</v>
      </c>
      <c r="O3260">
        <v>20774</v>
      </c>
      <c r="Q3260" t="s">
        <v>124</v>
      </c>
      <c r="R3260">
        <v>19</v>
      </c>
      <c r="S3260">
        <v>16.989999999999998</v>
      </c>
      <c r="T3260">
        <v>0</v>
      </c>
      <c r="U3260">
        <v>0</v>
      </c>
      <c r="V3260">
        <v>13</v>
      </c>
      <c r="W3260">
        <v>0</v>
      </c>
      <c r="X3260">
        <v>0</v>
      </c>
      <c r="Y3260">
        <v>0</v>
      </c>
      <c r="Z3260">
        <v>0</v>
      </c>
      <c r="AA3260">
        <v>0</v>
      </c>
      <c r="AB3260">
        <v>0</v>
      </c>
      <c r="AC3260">
        <v>0</v>
      </c>
      <c r="AD3260">
        <v>19</v>
      </c>
      <c r="AE3260">
        <v>0</v>
      </c>
      <c r="AF3260">
        <v>0</v>
      </c>
      <c r="AG3260">
        <v>0</v>
      </c>
      <c r="AH3260">
        <v>0</v>
      </c>
      <c r="AI3260">
        <v>0</v>
      </c>
      <c r="AJ3260">
        <v>0</v>
      </c>
      <c r="AK3260">
        <v>0</v>
      </c>
    </row>
    <row r="3261" spans="1:37" x14ac:dyDescent="0.3">
      <c r="A3261">
        <v>7134</v>
      </c>
      <c r="B3261" t="s">
        <v>28</v>
      </c>
      <c r="C3261">
        <v>699</v>
      </c>
      <c r="D3261" t="s">
        <v>3500</v>
      </c>
      <c r="E3261">
        <v>99999999</v>
      </c>
      <c r="F3261">
        <v>11111111</v>
      </c>
      <c r="G3261">
        <v>1111111111</v>
      </c>
      <c r="H3261" t="s">
        <v>6830</v>
      </c>
      <c r="I3261">
        <v>99999999</v>
      </c>
      <c r="J3261" s="188">
        <v>45238</v>
      </c>
      <c r="K3261" t="s">
        <v>6830</v>
      </c>
      <c r="L3261" t="s">
        <v>6830</v>
      </c>
      <c r="M3261" t="s">
        <v>3297</v>
      </c>
      <c r="N3261" t="s">
        <v>811</v>
      </c>
      <c r="O3261">
        <v>20774</v>
      </c>
      <c r="Q3261" t="s">
        <v>124</v>
      </c>
      <c r="R3261">
        <v>40</v>
      </c>
      <c r="S3261">
        <v>35.43</v>
      </c>
      <c r="T3261">
        <v>0</v>
      </c>
      <c r="U3261">
        <v>0</v>
      </c>
      <c r="V3261">
        <v>13</v>
      </c>
      <c r="W3261">
        <v>0</v>
      </c>
      <c r="X3261">
        <v>0</v>
      </c>
      <c r="Y3261">
        <v>0</v>
      </c>
      <c r="Z3261">
        <v>0</v>
      </c>
      <c r="AA3261">
        <v>0</v>
      </c>
      <c r="AB3261">
        <v>0</v>
      </c>
      <c r="AC3261">
        <v>0</v>
      </c>
      <c r="AD3261">
        <v>40</v>
      </c>
      <c r="AE3261">
        <v>0</v>
      </c>
      <c r="AF3261">
        <v>0</v>
      </c>
      <c r="AG3261">
        <v>0</v>
      </c>
      <c r="AH3261">
        <v>0</v>
      </c>
      <c r="AI3261">
        <v>0</v>
      </c>
      <c r="AJ3261">
        <v>0</v>
      </c>
      <c r="AK3261">
        <v>0</v>
      </c>
    </row>
    <row r="3262" spans="1:37" x14ac:dyDescent="0.3">
      <c r="A3262">
        <v>7134</v>
      </c>
      <c r="B3262" t="s">
        <v>28</v>
      </c>
      <c r="C3262">
        <v>699</v>
      </c>
      <c r="D3262" t="s">
        <v>3500</v>
      </c>
      <c r="E3262">
        <v>99999999</v>
      </c>
      <c r="F3262">
        <v>11111111</v>
      </c>
      <c r="G3262">
        <v>1111111111</v>
      </c>
      <c r="H3262" t="s">
        <v>6831</v>
      </c>
      <c r="I3262">
        <v>99999999</v>
      </c>
      <c r="J3262" s="188">
        <v>45238</v>
      </c>
      <c r="K3262" t="s">
        <v>6831</v>
      </c>
      <c r="L3262" t="s">
        <v>6831</v>
      </c>
      <c r="M3262" t="s">
        <v>3297</v>
      </c>
      <c r="N3262" t="s">
        <v>811</v>
      </c>
      <c r="O3262">
        <v>20774</v>
      </c>
      <c r="Q3262" t="s">
        <v>124</v>
      </c>
      <c r="R3262">
        <v>20</v>
      </c>
      <c r="S3262">
        <v>17.59</v>
      </c>
      <c r="T3262">
        <v>0</v>
      </c>
      <c r="U3262">
        <v>0</v>
      </c>
      <c r="V3262">
        <v>13</v>
      </c>
      <c r="W3262">
        <v>0</v>
      </c>
      <c r="X3262">
        <v>0</v>
      </c>
      <c r="Y3262">
        <v>0</v>
      </c>
      <c r="Z3262">
        <v>0</v>
      </c>
      <c r="AA3262">
        <v>0</v>
      </c>
      <c r="AB3262">
        <v>0</v>
      </c>
      <c r="AC3262">
        <v>0</v>
      </c>
      <c r="AD3262">
        <v>20</v>
      </c>
      <c r="AE3262">
        <v>0</v>
      </c>
      <c r="AF3262">
        <v>0</v>
      </c>
      <c r="AG3262">
        <v>0</v>
      </c>
      <c r="AH3262">
        <v>0</v>
      </c>
      <c r="AI3262">
        <v>0</v>
      </c>
      <c r="AJ3262">
        <v>0</v>
      </c>
      <c r="AK3262">
        <v>0</v>
      </c>
    </row>
    <row r="3263" spans="1:37" x14ac:dyDescent="0.3">
      <c r="A3263">
        <v>7134</v>
      </c>
      <c r="B3263" t="s">
        <v>28</v>
      </c>
      <c r="C3263">
        <v>699</v>
      </c>
      <c r="D3263" t="s">
        <v>3500</v>
      </c>
      <c r="E3263">
        <v>99999999</v>
      </c>
      <c r="F3263">
        <v>11111111</v>
      </c>
      <c r="G3263">
        <v>1111111111</v>
      </c>
      <c r="H3263" t="s">
        <v>6832</v>
      </c>
      <c r="I3263">
        <v>99999999</v>
      </c>
      <c r="J3263" s="188">
        <v>45238</v>
      </c>
      <c r="K3263" t="s">
        <v>6832</v>
      </c>
      <c r="L3263" t="s">
        <v>6832</v>
      </c>
      <c r="M3263" t="s">
        <v>3297</v>
      </c>
      <c r="N3263" t="s">
        <v>811</v>
      </c>
      <c r="O3263">
        <v>20774</v>
      </c>
      <c r="Q3263" t="s">
        <v>124</v>
      </c>
      <c r="R3263">
        <v>18</v>
      </c>
      <c r="S3263">
        <v>15.69</v>
      </c>
      <c r="T3263">
        <v>0</v>
      </c>
      <c r="U3263">
        <v>0</v>
      </c>
      <c r="V3263">
        <v>12</v>
      </c>
      <c r="W3263">
        <v>0</v>
      </c>
      <c r="X3263">
        <v>0</v>
      </c>
      <c r="Y3263">
        <v>0</v>
      </c>
      <c r="Z3263">
        <v>0</v>
      </c>
      <c r="AA3263">
        <v>0</v>
      </c>
      <c r="AB3263">
        <v>0</v>
      </c>
      <c r="AC3263">
        <v>0</v>
      </c>
      <c r="AD3263">
        <v>18</v>
      </c>
      <c r="AE3263">
        <v>0</v>
      </c>
      <c r="AF3263">
        <v>0</v>
      </c>
      <c r="AG3263">
        <v>0</v>
      </c>
      <c r="AH3263">
        <v>0</v>
      </c>
      <c r="AI3263">
        <v>0</v>
      </c>
      <c r="AJ3263">
        <v>0</v>
      </c>
      <c r="AK3263">
        <v>0</v>
      </c>
    </row>
    <row r="3264" spans="1:37" x14ac:dyDescent="0.3">
      <c r="A3264">
        <v>7134</v>
      </c>
      <c r="B3264" t="s">
        <v>28</v>
      </c>
      <c r="C3264">
        <v>699</v>
      </c>
      <c r="D3264" t="s">
        <v>3500</v>
      </c>
      <c r="E3264">
        <v>99999999</v>
      </c>
      <c r="F3264">
        <v>11111111</v>
      </c>
      <c r="G3264">
        <v>1111111111</v>
      </c>
      <c r="H3264" t="s">
        <v>6833</v>
      </c>
      <c r="I3264">
        <v>99999999</v>
      </c>
      <c r="J3264" s="188">
        <v>45238</v>
      </c>
      <c r="K3264" t="s">
        <v>6833</v>
      </c>
      <c r="L3264" t="s">
        <v>6833</v>
      </c>
      <c r="M3264" t="s">
        <v>3297</v>
      </c>
      <c r="N3264" t="s">
        <v>811</v>
      </c>
      <c r="O3264">
        <v>20774</v>
      </c>
      <c r="Q3264" t="s">
        <v>124</v>
      </c>
      <c r="R3264">
        <v>20</v>
      </c>
      <c r="S3264">
        <v>17.86</v>
      </c>
      <c r="T3264">
        <v>0</v>
      </c>
      <c r="U3264">
        <v>0</v>
      </c>
      <c r="V3264">
        <v>13</v>
      </c>
      <c r="W3264">
        <v>0</v>
      </c>
      <c r="X3264">
        <v>0</v>
      </c>
      <c r="Y3264">
        <v>0</v>
      </c>
      <c r="Z3264">
        <v>0</v>
      </c>
      <c r="AA3264">
        <v>0</v>
      </c>
      <c r="AB3264">
        <v>0</v>
      </c>
      <c r="AC3264">
        <v>0</v>
      </c>
      <c r="AD3264">
        <v>20</v>
      </c>
      <c r="AE3264">
        <v>0</v>
      </c>
      <c r="AF3264">
        <v>0</v>
      </c>
      <c r="AG3264">
        <v>0</v>
      </c>
      <c r="AH3264">
        <v>0</v>
      </c>
      <c r="AI3264">
        <v>0</v>
      </c>
      <c r="AJ3264">
        <v>0</v>
      </c>
      <c r="AK3264">
        <v>0</v>
      </c>
    </row>
    <row r="3265" spans="1:37" x14ac:dyDescent="0.3">
      <c r="A3265">
        <v>7134</v>
      </c>
      <c r="B3265" t="s">
        <v>28</v>
      </c>
      <c r="C3265">
        <v>699</v>
      </c>
      <c r="D3265" t="s">
        <v>3500</v>
      </c>
      <c r="E3265">
        <v>99999999</v>
      </c>
      <c r="F3265">
        <v>11111111</v>
      </c>
      <c r="G3265">
        <v>1111111111</v>
      </c>
      <c r="H3265" t="s">
        <v>6834</v>
      </c>
      <c r="I3265">
        <v>99999999</v>
      </c>
      <c r="J3265" s="188">
        <v>45238</v>
      </c>
      <c r="K3265" t="s">
        <v>6834</v>
      </c>
      <c r="L3265" t="s">
        <v>6834</v>
      </c>
      <c r="M3265" t="s">
        <v>3297</v>
      </c>
      <c r="N3265" t="s">
        <v>811</v>
      </c>
      <c r="O3265">
        <v>20774</v>
      </c>
      <c r="Q3265" t="s">
        <v>124</v>
      </c>
      <c r="R3265">
        <v>16</v>
      </c>
      <c r="S3265">
        <v>14.28</v>
      </c>
      <c r="T3265">
        <v>0</v>
      </c>
      <c r="U3265">
        <v>0</v>
      </c>
      <c r="V3265">
        <v>11</v>
      </c>
      <c r="W3265">
        <v>0</v>
      </c>
      <c r="X3265">
        <v>0</v>
      </c>
      <c r="Y3265">
        <v>0</v>
      </c>
      <c r="Z3265">
        <v>0</v>
      </c>
      <c r="AA3265">
        <v>0</v>
      </c>
      <c r="AB3265">
        <v>0</v>
      </c>
      <c r="AC3265">
        <v>0</v>
      </c>
      <c r="AD3265">
        <v>16</v>
      </c>
      <c r="AE3265">
        <v>0</v>
      </c>
      <c r="AF3265">
        <v>0</v>
      </c>
      <c r="AG3265">
        <v>0</v>
      </c>
      <c r="AH3265">
        <v>0</v>
      </c>
      <c r="AI3265">
        <v>0</v>
      </c>
      <c r="AJ3265">
        <v>0</v>
      </c>
      <c r="AK3265">
        <v>0</v>
      </c>
    </row>
    <row r="3266" spans="1:37" x14ac:dyDescent="0.3">
      <c r="A3266">
        <v>7134</v>
      </c>
      <c r="B3266" t="s">
        <v>28</v>
      </c>
      <c r="C3266">
        <v>699</v>
      </c>
      <c r="D3266" t="s">
        <v>3500</v>
      </c>
      <c r="E3266">
        <v>99999999</v>
      </c>
      <c r="F3266">
        <v>11111111</v>
      </c>
      <c r="G3266">
        <v>1111111111</v>
      </c>
      <c r="H3266" t="s">
        <v>6835</v>
      </c>
      <c r="I3266">
        <v>99999999</v>
      </c>
      <c r="J3266" s="188">
        <v>45238</v>
      </c>
      <c r="K3266" t="s">
        <v>6835</v>
      </c>
      <c r="L3266" t="s">
        <v>6835</v>
      </c>
      <c r="M3266" t="s">
        <v>3297</v>
      </c>
      <c r="N3266" t="s">
        <v>811</v>
      </c>
      <c r="O3266">
        <v>20774</v>
      </c>
      <c r="Q3266" t="s">
        <v>124</v>
      </c>
      <c r="R3266">
        <v>43</v>
      </c>
      <c r="S3266">
        <v>37.72</v>
      </c>
      <c r="T3266">
        <v>0</v>
      </c>
      <c r="U3266">
        <v>0</v>
      </c>
      <c r="V3266">
        <v>13</v>
      </c>
      <c r="W3266">
        <v>0</v>
      </c>
      <c r="X3266">
        <v>0</v>
      </c>
      <c r="Y3266">
        <v>0</v>
      </c>
      <c r="Z3266">
        <v>0</v>
      </c>
      <c r="AA3266">
        <v>0</v>
      </c>
      <c r="AB3266">
        <v>0</v>
      </c>
      <c r="AC3266">
        <v>0</v>
      </c>
      <c r="AD3266">
        <v>43</v>
      </c>
      <c r="AE3266">
        <v>0</v>
      </c>
      <c r="AF3266">
        <v>0</v>
      </c>
      <c r="AG3266">
        <v>0</v>
      </c>
      <c r="AH3266">
        <v>0</v>
      </c>
      <c r="AI3266">
        <v>0</v>
      </c>
      <c r="AJ3266">
        <v>0</v>
      </c>
      <c r="AK3266">
        <v>0</v>
      </c>
    </row>
    <row r="3267" spans="1:37" x14ac:dyDescent="0.3">
      <c r="A3267">
        <v>7134</v>
      </c>
      <c r="B3267" t="s">
        <v>28</v>
      </c>
      <c r="C3267">
        <v>699</v>
      </c>
      <c r="D3267" t="s">
        <v>3500</v>
      </c>
      <c r="E3267">
        <v>99999999</v>
      </c>
      <c r="F3267">
        <v>11111111</v>
      </c>
      <c r="G3267">
        <v>1111111111</v>
      </c>
      <c r="H3267" t="s">
        <v>6836</v>
      </c>
      <c r="I3267">
        <v>99999999</v>
      </c>
      <c r="J3267" s="188">
        <v>45238</v>
      </c>
      <c r="K3267" t="s">
        <v>6836</v>
      </c>
      <c r="L3267" t="s">
        <v>6836</v>
      </c>
      <c r="M3267" t="s">
        <v>3297</v>
      </c>
      <c r="N3267" t="s">
        <v>811</v>
      </c>
      <c r="O3267">
        <v>20774</v>
      </c>
      <c r="Q3267" t="s">
        <v>124</v>
      </c>
      <c r="R3267">
        <v>19</v>
      </c>
      <c r="S3267">
        <v>16.739999999999998</v>
      </c>
      <c r="T3267">
        <v>0</v>
      </c>
      <c r="U3267">
        <v>0</v>
      </c>
      <c r="V3267">
        <v>13</v>
      </c>
      <c r="W3267">
        <v>0</v>
      </c>
      <c r="X3267">
        <v>0</v>
      </c>
      <c r="Y3267">
        <v>0</v>
      </c>
      <c r="Z3267">
        <v>0</v>
      </c>
      <c r="AA3267">
        <v>0</v>
      </c>
      <c r="AB3267">
        <v>0</v>
      </c>
      <c r="AC3267">
        <v>0</v>
      </c>
      <c r="AD3267">
        <v>19</v>
      </c>
      <c r="AE3267">
        <v>0</v>
      </c>
      <c r="AF3267">
        <v>0</v>
      </c>
      <c r="AG3267">
        <v>0</v>
      </c>
      <c r="AH3267">
        <v>0</v>
      </c>
      <c r="AI3267">
        <v>0</v>
      </c>
      <c r="AJ3267">
        <v>0</v>
      </c>
      <c r="AK3267">
        <v>0</v>
      </c>
    </row>
    <row r="3268" spans="1:37" x14ac:dyDescent="0.3">
      <c r="A3268">
        <v>7134</v>
      </c>
      <c r="B3268" t="s">
        <v>28</v>
      </c>
      <c r="C3268">
        <v>699</v>
      </c>
      <c r="D3268" t="s">
        <v>3500</v>
      </c>
      <c r="E3268">
        <v>99999999</v>
      </c>
      <c r="F3268">
        <v>11111111</v>
      </c>
      <c r="G3268">
        <v>1111111111</v>
      </c>
      <c r="H3268" t="s">
        <v>6837</v>
      </c>
      <c r="I3268">
        <v>99999999</v>
      </c>
      <c r="J3268" s="188">
        <v>45238</v>
      </c>
      <c r="K3268" t="s">
        <v>6837</v>
      </c>
      <c r="L3268" t="s">
        <v>6837</v>
      </c>
      <c r="M3268" t="s">
        <v>3297</v>
      </c>
      <c r="N3268" t="s">
        <v>811</v>
      </c>
      <c r="O3268">
        <v>20774</v>
      </c>
      <c r="Q3268" t="s">
        <v>124</v>
      </c>
      <c r="R3268">
        <v>22</v>
      </c>
      <c r="S3268">
        <v>19.39</v>
      </c>
      <c r="T3268">
        <v>0</v>
      </c>
      <c r="U3268">
        <v>0</v>
      </c>
      <c r="V3268">
        <v>13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22</v>
      </c>
      <c r="AE3268">
        <v>0</v>
      </c>
      <c r="AF3268">
        <v>0</v>
      </c>
      <c r="AG3268">
        <v>0</v>
      </c>
      <c r="AH3268">
        <v>0</v>
      </c>
      <c r="AI3268">
        <v>0</v>
      </c>
      <c r="AJ3268">
        <v>0</v>
      </c>
      <c r="AK3268">
        <v>0</v>
      </c>
    </row>
    <row r="3269" spans="1:37" x14ac:dyDescent="0.3">
      <c r="A3269">
        <v>7134</v>
      </c>
      <c r="B3269" t="s">
        <v>28</v>
      </c>
      <c r="C3269">
        <v>699</v>
      </c>
      <c r="D3269" t="s">
        <v>3500</v>
      </c>
      <c r="E3269">
        <v>99999999</v>
      </c>
      <c r="F3269">
        <v>11111111</v>
      </c>
      <c r="G3269">
        <v>1111111111</v>
      </c>
      <c r="H3269" t="s">
        <v>6838</v>
      </c>
      <c r="I3269">
        <v>99999999</v>
      </c>
      <c r="J3269" s="188">
        <v>45238</v>
      </c>
      <c r="K3269" t="s">
        <v>6838</v>
      </c>
      <c r="L3269" t="s">
        <v>6838</v>
      </c>
      <c r="M3269" t="s">
        <v>3297</v>
      </c>
      <c r="N3269" t="s">
        <v>811</v>
      </c>
      <c r="O3269">
        <v>20774</v>
      </c>
      <c r="Q3269" t="s">
        <v>124</v>
      </c>
      <c r="R3269">
        <v>17</v>
      </c>
      <c r="S3269">
        <v>14.84</v>
      </c>
      <c r="T3269">
        <v>0</v>
      </c>
      <c r="U3269">
        <v>0</v>
      </c>
      <c r="V3269">
        <v>12</v>
      </c>
      <c r="W3269">
        <v>0</v>
      </c>
      <c r="X3269">
        <v>0</v>
      </c>
      <c r="Y3269">
        <v>0</v>
      </c>
      <c r="Z3269">
        <v>0</v>
      </c>
      <c r="AA3269">
        <v>0</v>
      </c>
      <c r="AB3269">
        <v>0</v>
      </c>
      <c r="AC3269">
        <v>0</v>
      </c>
      <c r="AD3269">
        <v>17</v>
      </c>
      <c r="AE3269">
        <v>0</v>
      </c>
      <c r="AF3269">
        <v>0</v>
      </c>
      <c r="AG3269">
        <v>0</v>
      </c>
      <c r="AH3269">
        <v>0</v>
      </c>
      <c r="AI3269">
        <v>0</v>
      </c>
      <c r="AJ3269">
        <v>0</v>
      </c>
      <c r="AK3269">
        <v>0</v>
      </c>
    </row>
    <row r="3270" spans="1:37" x14ac:dyDescent="0.3">
      <c r="A3270">
        <v>7134</v>
      </c>
      <c r="B3270" t="s">
        <v>28</v>
      </c>
      <c r="C3270">
        <v>699</v>
      </c>
      <c r="D3270" t="s">
        <v>3500</v>
      </c>
      <c r="E3270">
        <v>99999999</v>
      </c>
      <c r="F3270">
        <v>11111111</v>
      </c>
      <c r="G3270">
        <v>1111111111</v>
      </c>
      <c r="H3270" t="s">
        <v>6839</v>
      </c>
      <c r="I3270">
        <v>99999999</v>
      </c>
      <c r="J3270" s="188">
        <v>45238</v>
      </c>
      <c r="K3270" t="s">
        <v>6839</v>
      </c>
      <c r="L3270" t="s">
        <v>6839</v>
      </c>
      <c r="M3270" t="s">
        <v>3297</v>
      </c>
      <c r="N3270" t="s">
        <v>811</v>
      </c>
      <c r="O3270">
        <v>20774</v>
      </c>
      <c r="Q3270" t="s">
        <v>124</v>
      </c>
      <c r="R3270">
        <v>37</v>
      </c>
      <c r="S3270">
        <v>32.72</v>
      </c>
      <c r="T3270">
        <v>0</v>
      </c>
      <c r="U3270">
        <v>0</v>
      </c>
      <c r="V3270">
        <v>13</v>
      </c>
      <c r="W3270">
        <v>0</v>
      </c>
      <c r="X3270">
        <v>0</v>
      </c>
      <c r="Y3270">
        <v>0</v>
      </c>
      <c r="Z3270">
        <v>0</v>
      </c>
      <c r="AA3270">
        <v>0</v>
      </c>
      <c r="AB3270">
        <v>0</v>
      </c>
      <c r="AC3270">
        <v>0</v>
      </c>
      <c r="AD3270">
        <v>37</v>
      </c>
      <c r="AE3270">
        <v>0</v>
      </c>
      <c r="AF3270">
        <v>0</v>
      </c>
      <c r="AG3270">
        <v>0</v>
      </c>
      <c r="AH3270">
        <v>0</v>
      </c>
      <c r="AI3270">
        <v>0</v>
      </c>
      <c r="AJ3270">
        <v>0</v>
      </c>
      <c r="AK3270">
        <v>0</v>
      </c>
    </row>
    <row r="3271" spans="1:37" x14ac:dyDescent="0.3">
      <c r="A3271">
        <v>7134</v>
      </c>
      <c r="B3271" t="s">
        <v>28</v>
      </c>
      <c r="C3271">
        <v>699</v>
      </c>
      <c r="D3271" t="s">
        <v>3500</v>
      </c>
      <c r="E3271">
        <v>99999999</v>
      </c>
      <c r="F3271">
        <v>11111111</v>
      </c>
      <c r="G3271">
        <v>1111111111</v>
      </c>
      <c r="H3271" t="s">
        <v>6840</v>
      </c>
      <c r="I3271">
        <v>99999999</v>
      </c>
      <c r="J3271" s="188">
        <v>45238</v>
      </c>
      <c r="K3271" t="s">
        <v>6840</v>
      </c>
      <c r="L3271" t="s">
        <v>6840</v>
      </c>
      <c r="M3271" t="s">
        <v>3297</v>
      </c>
      <c r="N3271" t="s">
        <v>811</v>
      </c>
      <c r="O3271">
        <v>20774</v>
      </c>
      <c r="Q3271" t="s">
        <v>124</v>
      </c>
      <c r="R3271">
        <v>19</v>
      </c>
      <c r="S3271">
        <v>16.989999999999998</v>
      </c>
      <c r="T3271">
        <v>0</v>
      </c>
      <c r="U3271">
        <v>0</v>
      </c>
      <c r="V3271">
        <v>13</v>
      </c>
      <c r="W3271">
        <v>0</v>
      </c>
      <c r="X3271">
        <v>0</v>
      </c>
      <c r="Y3271">
        <v>0</v>
      </c>
      <c r="Z3271">
        <v>0</v>
      </c>
      <c r="AA3271">
        <v>0</v>
      </c>
      <c r="AB3271">
        <v>0</v>
      </c>
      <c r="AC3271">
        <v>0</v>
      </c>
      <c r="AD3271">
        <v>19</v>
      </c>
      <c r="AE3271">
        <v>0</v>
      </c>
      <c r="AF3271">
        <v>0</v>
      </c>
      <c r="AG3271">
        <v>0</v>
      </c>
      <c r="AH3271">
        <v>0</v>
      </c>
      <c r="AI3271">
        <v>0</v>
      </c>
      <c r="AJ3271">
        <v>0</v>
      </c>
      <c r="AK3271">
        <v>0</v>
      </c>
    </row>
    <row r="3272" spans="1:37" x14ac:dyDescent="0.3">
      <c r="A3272">
        <v>7484</v>
      </c>
      <c r="B3272" t="s">
        <v>33</v>
      </c>
      <c r="D3272" t="s">
        <v>3531</v>
      </c>
      <c r="E3272">
        <v>99999999</v>
      </c>
      <c r="F3272">
        <v>11111111</v>
      </c>
      <c r="G3272">
        <v>1111111111</v>
      </c>
      <c r="H3272" t="s">
        <v>6841</v>
      </c>
      <c r="I3272">
        <v>99999999</v>
      </c>
      <c r="J3272" s="188">
        <v>45238</v>
      </c>
      <c r="K3272" t="s">
        <v>6841</v>
      </c>
      <c r="L3272" t="s">
        <v>6841</v>
      </c>
      <c r="Q3272" t="s">
        <v>82</v>
      </c>
      <c r="R3272">
        <v>0</v>
      </c>
      <c r="T3272">
        <v>3</v>
      </c>
      <c r="U3272">
        <v>38</v>
      </c>
      <c r="V3272">
        <v>0</v>
      </c>
      <c r="W3272">
        <v>0</v>
      </c>
      <c r="X3272">
        <v>0</v>
      </c>
      <c r="Y3272">
        <v>0</v>
      </c>
      <c r="Z3272">
        <v>0</v>
      </c>
      <c r="AA3272">
        <v>0</v>
      </c>
      <c r="AB3272">
        <v>0</v>
      </c>
      <c r="AC3272">
        <v>0</v>
      </c>
      <c r="AD3272">
        <v>0</v>
      </c>
      <c r="AE3272">
        <v>0</v>
      </c>
      <c r="AF3272">
        <v>0</v>
      </c>
      <c r="AG3272">
        <v>0</v>
      </c>
      <c r="AH3272">
        <v>0</v>
      </c>
      <c r="AI3272">
        <v>0</v>
      </c>
      <c r="AJ3272">
        <v>0</v>
      </c>
      <c r="AK3272">
        <v>0</v>
      </c>
    </row>
    <row r="3273" spans="1:37" x14ac:dyDescent="0.3">
      <c r="A3273">
        <v>7484</v>
      </c>
      <c r="B3273" t="s">
        <v>33</v>
      </c>
      <c r="D3273" t="s">
        <v>3531</v>
      </c>
      <c r="E3273">
        <v>99999999</v>
      </c>
      <c r="F3273">
        <v>11111111</v>
      </c>
      <c r="G3273">
        <v>1111111111</v>
      </c>
      <c r="H3273" t="s">
        <v>6842</v>
      </c>
      <c r="I3273">
        <v>99999999</v>
      </c>
      <c r="J3273" s="188">
        <v>45238</v>
      </c>
      <c r="K3273" t="s">
        <v>6842</v>
      </c>
      <c r="L3273" t="s">
        <v>6842</v>
      </c>
      <c r="M3273" t="s">
        <v>3542</v>
      </c>
      <c r="N3273" t="s">
        <v>99</v>
      </c>
      <c r="O3273">
        <v>90670</v>
      </c>
      <c r="P3273" t="s">
        <v>221</v>
      </c>
      <c r="Q3273" t="s">
        <v>82</v>
      </c>
      <c r="R3273">
        <v>2</v>
      </c>
      <c r="S3273">
        <v>117.5</v>
      </c>
      <c r="T3273">
        <v>0</v>
      </c>
      <c r="U3273">
        <v>0</v>
      </c>
      <c r="V3273">
        <v>1</v>
      </c>
      <c r="W3273">
        <v>0</v>
      </c>
      <c r="X3273">
        <v>0</v>
      </c>
      <c r="Y3273">
        <v>0</v>
      </c>
      <c r="Z3273">
        <v>0</v>
      </c>
      <c r="AA3273">
        <v>2</v>
      </c>
      <c r="AB3273">
        <v>0</v>
      </c>
      <c r="AC3273">
        <v>0</v>
      </c>
      <c r="AD3273">
        <v>0</v>
      </c>
      <c r="AE3273">
        <v>0</v>
      </c>
      <c r="AF3273">
        <v>0</v>
      </c>
      <c r="AG3273">
        <v>0</v>
      </c>
      <c r="AH3273">
        <v>0</v>
      </c>
      <c r="AI3273">
        <v>0</v>
      </c>
      <c r="AJ3273">
        <v>0</v>
      </c>
      <c r="AK3273">
        <v>0</v>
      </c>
    </row>
    <row r="3274" spans="1:37" x14ac:dyDescent="0.3">
      <c r="A3274">
        <v>7484</v>
      </c>
      <c r="B3274" t="s">
        <v>33</v>
      </c>
      <c r="D3274" t="s">
        <v>3531</v>
      </c>
      <c r="E3274">
        <v>99999999</v>
      </c>
      <c r="F3274">
        <v>11111111</v>
      </c>
      <c r="G3274">
        <v>1111111111</v>
      </c>
      <c r="H3274" t="s">
        <v>6843</v>
      </c>
      <c r="I3274">
        <v>99999999</v>
      </c>
      <c r="J3274" s="188">
        <v>45238</v>
      </c>
      <c r="K3274" t="s">
        <v>6843</v>
      </c>
      <c r="L3274" t="s">
        <v>6843</v>
      </c>
      <c r="M3274" t="s">
        <v>98</v>
      </c>
      <c r="N3274" t="s">
        <v>99</v>
      </c>
      <c r="O3274">
        <v>90670</v>
      </c>
      <c r="P3274" t="s">
        <v>221</v>
      </c>
      <c r="Q3274" t="s">
        <v>82</v>
      </c>
      <c r="R3274">
        <v>1</v>
      </c>
      <c r="S3274">
        <v>137.9</v>
      </c>
      <c r="T3274">
        <v>0</v>
      </c>
      <c r="U3274">
        <v>0</v>
      </c>
      <c r="V3274">
        <v>1</v>
      </c>
      <c r="W3274">
        <v>0</v>
      </c>
      <c r="X3274">
        <v>0</v>
      </c>
      <c r="Y3274">
        <v>0</v>
      </c>
      <c r="Z3274">
        <v>0</v>
      </c>
      <c r="AA3274">
        <v>1</v>
      </c>
      <c r="AB3274">
        <v>0</v>
      </c>
      <c r="AC3274">
        <v>0</v>
      </c>
      <c r="AD3274">
        <v>0</v>
      </c>
      <c r="AE3274">
        <v>0</v>
      </c>
      <c r="AF3274">
        <v>0</v>
      </c>
      <c r="AG3274">
        <v>0</v>
      </c>
      <c r="AH3274">
        <v>0</v>
      </c>
      <c r="AI3274">
        <v>0</v>
      </c>
      <c r="AJ3274">
        <v>0</v>
      </c>
      <c r="AK3274">
        <v>0</v>
      </c>
    </row>
    <row r="3275" spans="1:37" x14ac:dyDescent="0.3">
      <c r="A3275">
        <v>7484</v>
      </c>
      <c r="B3275" t="s">
        <v>33</v>
      </c>
      <c r="D3275" t="s">
        <v>3531</v>
      </c>
      <c r="E3275">
        <v>99999999</v>
      </c>
      <c r="F3275">
        <v>11111111</v>
      </c>
      <c r="G3275">
        <v>1111111111</v>
      </c>
      <c r="H3275" t="s">
        <v>6844</v>
      </c>
      <c r="I3275">
        <v>99999999</v>
      </c>
      <c r="J3275" s="188">
        <v>45238</v>
      </c>
      <c r="K3275" t="s">
        <v>6844</v>
      </c>
      <c r="L3275" t="s">
        <v>6844</v>
      </c>
      <c r="M3275" t="s">
        <v>3542</v>
      </c>
      <c r="N3275" t="s">
        <v>99</v>
      </c>
      <c r="O3275">
        <v>90670</v>
      </c>
      <c r="P3275" t="s">
        <v>221</v>
      </c>
      <c r="Q3275" t="s">
        <v>82</v>
      </c>
      <c r="R3275">
        <v>33</v>
      </c>
      <c r="S3275">
        <v>2304.7199999999998</v>
      </c>
      <c r="T3275">
        <v>0</v>
      </c>
      <c r="U3275">
        <v>0</v>
      </c>
      <c r="V3275">
        <v>8</v>
      </c>
      <c r="W3275">
        <v>0</v>
      </c>
      <c r="X3275">
        <v>0</v>
      </c>
      <c r="Y3275">
        <v>0</v>
      </c>
      <c r="Z3275">
        <v>0</v>
      </c>
      <c r="AA3275">
        <v>33</v>
      </c>
      <c r="AB3275">
        <v>0</v>
      </c>
      <c r="AC3275">
        <v>0</v>
      </c>
      <c r="AD3275">
        <v>0</v>
      </c>
      <c r="AE3275">
        <v>0</v>
      </c>
      <c r="AF3275">
        <v>0</v>
      </c>
      <c r="AG3275">
        <v>0</v>
      </c>
      <c r="AH3275">
        <v>0</v>
      </c>
      <c r="AI3275">
        <v>0</v>
      </c>
      <c r="AJ3275">
        <v>0</v>
      </c>
      <c r="AK3275">
        <v>0</v>
      </c>
    </row>
    <row r="3276" spans="1:37" x14ac:dyDescent="0.3">
      <c r="A3276">
        <v>7484</v>
      </c>
      <c r="B3276" t="s">
        <v>33</v>
      </c>
      <c r="D3276" t="s">
        <v>3531</v>
      </c>
      <c r="E3276">
        <v>99999999</v>
      </c>
      <c r="F3276">
        <v>11111111</v>
      </c>
      <c r="G3276">
        <v>1111111111</v>
      </c>
      <c r="H3276" t="s">
        <v>6845</v>
      </c>
      <c r="I3276">
        <v>99999999</v>
      </c>
      <c r="J3276" s="188">
        <v>45238</v>
      </c>
      <c r="K3276" t="s">
        <v>6845</v>
      </c>
      <c r="L3276" t="s">
        <v>6845</v>
      </c>
      <c r="M3276" t="s">
        <v>3542</v>
      </c>
      <c r="N3276" t="s">
        <v>99</v>
      </c>
      <c r="O3276">
        <v>90670</v>
      </c>
      <c r="P3276" t="s">
        <v>221</v>
      </c>
      <c r="Q3276" t="s">
        <v>82</v>
      </c>
      <c r="R3276">
        <v>2</v>
      </c>
      <c r="S3276">
        <v>188.95</v>
      </c>
      <c r="T3276">
        <v>0</v>
      </c>
      <c r="U3276">
        <v>0</v>
      </c>
      <c r="V3276">
        <v>2</v>
      </c>
      <c r="W3276">
        <v>0</v>
      </c>
      <c r="X3276">
        <v>0</v>
      </c>
      <c r="Y3276">
        <v>0</v>
      </c>
      <c r="Z3276">
        <v>0</v>
      </c>
      <c r="AA3276">
        <v>2</v>
      </c>
      <c r="AB3276">
        <v>0</v>
      </c>
      <c r="AC3276">
        <v>0</v>
      </c>
      <c r="AD3276">
        <v>0</v>
      </c>
      <c r="AE3276">
        <v>0</v>
      </c>
      <c r="AF3276">
        <v>0</v>
      </c>
      <c r="AG3276">
        <v>0</v>
      </c>
      <c r="AH3276">
        <v>0</v>
      </c>
      <c r="AI3276">
        <v>0</v>
      </c>
      <c r="AJ3276">
        <v>0</v>
      </c>
      <c r="AK3276">
        <v>0</v>
      </c>
    </row>
    <row r="3277" spans="1:37" x14ac:dyDescent="0.3">
      <c r="A3277">
        <v>7484</v>
      </c>
      <c r="B3277" t="s">
        <v>33</v>
      </c>
      <c r="D3277" t="s">
        <v>3531</v>
      </c>
      <c r="E3277">
        <v>99999999</v>
      </c>
      <c r="F3277">
        <v>11111111</v>
      </c>
      <c r="G3277">
        <v>1111111111</v>
      </c>
      <c r="H3277" t="s">
        <v>6846</v>
      </c>
      <c r="I3277">
        <v>99999999</v>
      </c>
      <c r="J3277" s="188">
        <v>45238</v>
      </c>
      <c r="K3277" t="s">
        <v>6846</v>
      </c>
      <c r="L3277" t="s">
        <v>6846</v>
      </c>
      <c r="Q3277" t="s">
        <v>82</v>
      </c>
      <c r="R3277">
        <v>0</v>
      </c>
      <c r="T3277">
        <v>2</v>
      </c>
      <c r="U3277">
        <v>24</v>
      </c>
      <c r="V3277">
        <v>0</v>
      </c>
      <c r="W3277">
        <v>0</v>
      </c>
      <c r="X3277">
        <v>0</v>
      </c>
      <c r="Y3277">
        <v>0</v>
      </c>
      <c r="Z3277">
        <v>0</v>
      </c>
      <c r="AA3277">
        <v>0</v>
      </c>
      <c r="AB3277">
        <v>0</v>
      </c>
      <c r="AC3277">
        <v>0</v>
      </c>
      <c r="AD3277">
        <v>0</v>
      </c>
      <c r="AE3277">
        <v>0</v>
      </c>
      <c r="AF3277">
        <v>0</v>
      </c>
      <c r="AG3277">
        <v>0</v>
      </c>
      <c r="AH3277">
        <v>0</v>
      </c>
      <c r="AI3277">
        <v>0</v>
      </c>
      <c r="AJ3277">
        <v>0</v>
      </c>
      <c r="AK3277">
        <v>0</v>
      </c>
    </row>
    <row r="3278" spans="1:37" x14ac:dyDescent="0.3">
      <c r="A3278">
        <v>7484</v>
      </c>
      <c r="B3278" t="s">
        <v>33</v>
      </c>
      <c r="D3278" t="s">
        <v>3531</v>
      </c>
      <c r="E3278">
        <v>99999999</v>
      </c>
      <c r="F3278">
        <v>11111111</v>
      </c>
      <c r="G3278">
        <v>1111111111</v>
      </c>
      <c r="H3278" t="s">
        <v>6847</v>
      </c>
      <c r="I3278">
        <v>99999999</v>
      </c>
      <c r="J3278" s="188">
        <v>45238</v>
      </c>
      <c r="K3278" t="s">
        <v>6847</v>
      </c>
      <c r="L3278" t="s">
        <v>6847</v>
      </c>
      <c r="M3278" t="s">
        <v>3562</v>
      </c>
      <c r="N3278" t="s">
        <v>99</v>
      </c>
      <c r="O3278">
        <v>92081</v>
      </c>
      <c r="P3278" t="s">
        <v>221</v>
      </c>
      <c r="Q3278" t="s">
        <v>82</v>
      </c>
      <c r="R3278">
        <v>2</v>
      </c>
      <c r="S3278">
        <v>289.2</v>
      </c>
      <c r="T3278">
        <v>0</v>
      </c>
      <c r="U3278">
        <v>0</v>
      </c>
      <c r="V3278">
        <v>2</v>
      </c>
      <c r="W3278">
        <v>0</v>
      </c>
      <c r="X3278">
        <v>0</v>
      </c>
      <c r="Y3278">
        <v>0</v>
      </c>
      <c r="Z3278">
        <v>0</v>
      </c>
      <c r="AA3278">
        <v>2</v>
      </c>
      <c r="AB3278">
        <v>0</v>
      </c>
      <c r="AC3278">
        <v>0</v>
      </c>
      <c r="AD3278">
        <v>0</v>
      </c>
      <c r="AE3278">
        <v>0</v>
      </c>
      <c r="AF3278">
        <v>0</v>
      </c>
      <c r="AG3278">
        <v>0</v>
      </c>
      <c r="AH3278">
        <v>0</v>
      </c>
      <c r="AI3278">
        <v>0</v>
      </c>
      <c r="AJ3278">
        <v>0</v>
      </c>
      <c r="AK3278">
        <v>0</v>
      </c>
    </row>
    <row r="3279" spans="1:37" x14ac:dyDescent="0.3">
      <c r="A3279">
        <v>7484</v>
      </c>
      <c r="B3279" t="s">
        <v>33</v>
      </c>
      <c r="D3279" t="s">
        <v>3531</v>
      </c>
      <c r="E3279">
        <v>99999999</v>
      </c>
      <c r="F3279">
        <v>11111111</v>
      </c>
      <c r="G3279">
        <v>1111111111</v>
      </c>
      <c r="H3279" t="s">
        <v>6848</v>
      </c>
      <c r="I3279">
        <v>99999999</v>
      </c>
      <c r="J3279" s="188">
        <v>45238</v>
      </c>
      <c r="K3279" t="s">
        <v>6848</v>
      </c>
      <c r="L3279" t="s">
        <v>6848</v>
      </c>
      <c r="M3279" t="s">
        <v>3562</v>
      </c>
      <c r="N3279" t="s">
        <v>99</v>
      </c>
      <c r="O3279">
        <v>92081</v>
      </c>
      <c r="P3279" t="s">
        <v>221</v>
      </c>
      <c r="Q3279" t="s">
        <v>82</v>
      </c>
      <c r="R3279">
        <v>8</v>
      </c>
      <c r="S3279">
        <v>458.25</v>
      </c>
      <c r="T3279">
        <v>0</v>
      </c>
      <c r="U3279">
        <v>0</v>
      </c>
      <c r="V3279">
        <v>2</v>
      </c>
      <c r="W3279">
        <v>0</v>
      </c>
      <c r="X3279">
        <v>0</v>
      </c>
      <c r="Y3279">
        <v>0</v>
      </c>
      <c r="Z3279">
        <v>0</v>
      </c>
      <c r="AA3279">
        <v>8</v>
      </c>
      <c r="AB3279">
        <v>0</v>
      </c>
      <c r="AC3279">
        <v>0</v>
      </c>
      <c r="AD3279">
        <v>0</v>
      </c>
      <c r="AE3279">
        <v>0</v>
      </c>
      <c r="AF3279">
        <v>0</v>
      </c>
      <c r="AG3279">
        <v>0</v>
      </c>
      <c r="AH3279">
        <v>0</v>
      </c>
      <c r="AI3279">
        <v>0</v>
      </c>
      <c r="AJ3279">
        <v>0</v>
      </c>
      <c r="AK3279">
        <v>0</v>
      </c>
    </row>
    <row r="3280" spans="1:37" x14ac:dyDescent="0.3">
      <c r="A3280">
        <v>7484</v>
      </c>
      <c r="B3280" t="s">
        <v>33</v>
      </c>
      <c r="D3280" t="s">
        <v>3531</v>
      </c>
      <c r="E3280">
        <v>99999999</v>
      </c>
      <c r="F3280">
        <v>11111111</v>
      </c>
      <c r="G3280">
        <v>1111111111</v>
      </c>
      <c r="H3280" t="s">
        <v>6849</v>
      </c>
      <c r="I3280">
        <v>99999999</v>
      </c>
      <c r="J3280" s="188">
        <v>45238</v>
      </c>
      <c r="K3280" t="s">
        <v>6849</v>
      </c>
      <c r="L3280" t="s">
        <v>6849</v>
      </c>
      <c r="M3280" t="s">
        <v>3562</v>
      </c>
      <c r="N3280" t="s">
        <v>99</v>
      </c>
      <c r="O3280">
        <v>92081</v>
      </c>
      <c r="P3280" t="s">
        <v>221</v>
      </c>
      <c r="Q3280" t="s">
        <v>82</v>
      </c>
      <c r="R3280">
        <v>14</v>
      </c>
      <c r="S3280">
        <v>985</v>
      </c>
      <c r="T3280">
        <v>0</v>
      </c>
      <c r="U3280">
        <v>0</v>
      </c>
      <c r="V3280">
        <v>3</v>
      </c>
      <c r="W3280">
        <v>0</v>
      </c>
      <c r="X3280">
        <v>0</v>
      </c>
      <c r="Y3280">
        <v>0</v>
      </c>
      <c r="Z3280">
        <v>0</v>
      </c>
      <c r="AA3280">
        <v>14</v>
      </c>
      <c r="AB3280">
        <v>0</v>
      </c>
      <c r="AC3280">
        <v>0</v>
      </c>
      <c r="AD3280">
        <v>0</v>
      </c>
      <c r="AE3280">
        <v>0</v>
      </c>
      <c r="AF3280">
        <v>0</v>
      </c>
      <c r="AG3280">
        <v>0</v>
      </c>
      <c r="AH3280">
        <v>0</v>
      </c>
      <c r="AI3280">
        <v>0</v>
      </c>
      <c r="AJ3280">
        <v>0</v>
      </c>
      <c r="AK3280">
        <v>0</v>
      </c>
    </row>
    <row r="3281" spans="1:37" x14ac:dyDescent="0.3">
      <c r="A3281">
        <v>7484</v>
      </c>
      <c r="B3281" t="s">
        <v>33</v>
      </c>
      <c r="D3281" t="s">
        <v>212</v>
      </c>
      <c r="E3281">
        <v>99999999</v>
      </c>
      <c r="F3281">
        <v>11111111</v>
      </c>
      <c r="G3281">
        <v>1111111111</v>
      </c>
      <c r="H3281" t="s">
        <v>6850</v>
      </c>
      <c r="I3281">
        <v>99999999</v>
      </c>
      <c r="J3281" s="188">
        <v>45238</v>
      </c>
      <c r="K3281" t="s">
        <v>6850</v>
      </c>
      <c r="L3281" t="s">
        <v>6850</v>
      </c>
      <c r="M3281" t="s">
        <v>209</v>
      </c>
      <c r="N3281" t="s">
        <v>3563</v>
      </c>
      <c r="O3281" t="s">
        <v>3564</v>
      </c>
      <c r="P3281" t="s">
        <v>99</v>
      </c>
      <c r="Q3281" t="s">
        <v>82</v>
      </c>
      <c r="R3281">
        <v>2</v>
      </c>
      <c r="S3281">
        <v>230.5</v>
      </c>
      <c r="T3281">
        <v>0</v>
      </c>
      <c r="U3281">
        <v>0</v>
      </c>
      <c r="V3281">
        <v>2</v>
      </c>
      <c r="W3281">
        <v>0</v>
      </c>
      <c r="X3281">
        <v>0</v>
      </c>
      <c r="Y3281">
        <v>0</v>
      </c>
      <c r="Z3281">
        <v>0</v>
      </c>
      <c r="AA3281">
        <v>2</v>
      </c>
      <c r="AB3281">
        <v>0</v>
      </c>
      <c r="AC3281">
        <v>0</v>
      </c>
      <c r="AD3281">
        <v>0</v>
      </c>
      <c r="AE3281">
        <v>0</v>
      </c>
      <c r="AF3281">
        <v>0</v>
      </c>
      <c r="AG3281">
        <v>0</v>
      </c>
      <c r="AH3281">
        <v>0</v>
      </c>
      <c r="AI3281">
        <v>0</v>
      </c>
      <c r="AJ3281">
        <v>0</v>
      </c>
      <c r="AK3281">
        <v>0</v>
      </c>
    </row>
    <row r="3282" spans="1:37" x14ac:dyDescent="0.3">
      <c r="A3282">
        <v>7484</v>
      </c>
      <c r="B3282" t="s">
        <v>33</v>
      </c>
      <c r="D3282" t="s">
        <v>212</v>
      </c>
      <c r="E3282">
        <v>99999999</v>
      </c>
      <c r="F3282">
        <v>11111111</v>
      </c>
      <c r="G3282">
        <v>1111111111</v>
      </c>
      <c r="H3282" t="s">
        <v>6851</v>
      </c>
      <c r="I3282">
        <v>99999999</v>
      </c>
      <c r="J3282" s="188">
        <v>45238</v>
      </c>
      <c r="K3282" t="s">
        <v>6851</v>
      </c>
      <c r="L3282" t="s">
        <v>6851</v>
      </c>
      <c r="M3282" t="s">
        <v>209</v>
      </c>
      <c r="N3282" t="s">
        <v>3563</v>
      </c>
      <c r="O3282" t="s">
        <v>3564</v>
      </c>
      <c r="P3282" t="s">
        <v>99</v>
      </c>
      <c r="Q3282" t="s">
        <v>82</v>
      </c>
      <c r="R3282">
        <v>2</v>
      </c>
      <c r="S3282">
        <v>240</v>
      </c>
      <c r="T3282">
        <v>0</v>
      </c>
      <c r="U3282">
        <v>0</v>
      </c>
      <c r="V3282">
        <v>1</v>
      </c>
      <c r="W3282">
        <v>0</v>
      </c>
      <c r="X3282">
        <v>0</v>
      </c>
      <c r="Y3282">
        <v>0</v>
      </c>
      <c r="Z3282">
        <v>0</v>
      </c>
      <c r="AA3282">
        <v>2</v>
      </c>
      <c r="AB3282">
        <v>0</v>
      </c>
      <c r="AC3282">
        <v>0</v>
      </c>
      <c r="AD3282">
        <v>0</v>
      </c>
      <c r="AE3282">
        <v>0</v>
      </c>
      <c r="AF3282">
        <v>0</v>
      </c>
      <c r="AG3282">
        <v>0</v>
      </c>
      <c r="AH3282">
        <v>0</v>
      </c>
      <c r="AI3282">
        <v>0</v>
      </c>
      <c r="AJ3282">
        <v>0</v>
      </c>
      <c r="AK3282">
        <v>0</v>
      </c>
    </row>
    <row r="3283" spans="1:37" x14ac:dyDescent="0.3">
      <c r="A3283">
        <v>7484</v>
      </c>
      <c r="B3283" t="s">
        <v>33</v>
      </c>
      <c r="D3283" t="s">
        <v>212</v>
      </c>
      <c r="E3283">
        <v>99999999</v>
      </c>
      <c r="F3283">
        <v>11111111</v>
      </c>
      <c r="G3283">
        <v>1111111111</v>
      </c>
      <c r="H3283" t="s">
        <v>6852</v>
      </c>
      <c r="I3283">
        <v>99999999</v>
      </c>
      <c r="J3283" s="188">
        <v>45238</v>
      </c>
      <c r="K3283" t="s">
        <v>6852</v>
      </c>
      <c r="L3283" t="s">
        <v>6852</v>
      </c>
      <c r="M3283" t="s">
        <v>209</v>
      </c>
      <c r="N3283" t="s">
        <v>3563</v>
      </c>
      <c r="O3283" t="s">
        <v>3564</v>
      </c>
      <c r="P3283" t="s">
        <v>99</v>
      </c>
      <c r="Q3283" t="s">
        <v>82</v>
      </c>
      <c r="R3283">
        <v>4</v>
      </c>
      <c r="S3283">
        <v>240</v>
      </c>
      <c r="T3283">
        <v>0</v>
      </c>
      <c r="U3283">
        <v>0</v>
      </c>
      <c r="V3283">
        <v>1</v>
      </c>
      <c r="W3283">
        <v>0</v>
      </c>
      <c r="X3283">
        <v>0</v>
      </c>
      <c r="Y3283">
        <v>0</v>
      </c>
      <c r="Z3283">
        <v>0</v>
      </c>
      <c r="AA3283">
        <v>4</v>
      </c>
      <c r="AB3283">
        <v>0</v>
      </c>
      <c r="AC3283">
        <v>0</v>
      </c>
      <c r="AD3283">
        <v>0</v>
      </c>
      <c r="AE3283">
        <v>0</v>
      </c>
      <c r="AF3283">
        <v>0</v>
      </c>
      <c r="AG3283">
        <v>0</v>
      </c>
      <c r="AH3283">
        <v>0</v>
      </c>
      <c r="AI3283">
        <v>0</v>
      </c>
      <c r="AJ3283">
        <v>0</v>
      </c>
      <c r="AK3283">
        <v>0</v>
      </c>
    </row>
    <row r="3284" spans="1:37" x14ac:dyDescent="0.3">
      <c r="A3284">
        <v>7484</v>
      </c>
      <c r="B3284" t="s">
        <v>33</v>
      </c>
      <c r="D3284" t="s">
        <v>212</v>
      </c>
      <c r="E3284">
        <v>99999999</v>
      </c>
      <c r="F3284">
        <v>11111111</v>
      </c>
      <c r="G3284">
        <v>1111111111</v>
      </c>
      <c r="H3284" t="s">
        <v>6853</v>
      </c>
      <c r="I3284">
        <v>99999999</v>
      </c>
      <c r="J3284" s="188">
        <v>45238</v>
      </c>
      <c r="K3284" t="s">
        <v>6853</v>
      </c>
      <c r="L3284" t="s">
        <v>6853</v>
      </c>
      <c r="M3284" t="s">
        <v>209</v>
      </c>
      <c r="N3284" t="s">
        <v>3563</v>
      </c>
      <c r="O3284" t="s">
        <v>3564</v>
      </c>
      <c r="P3284" t="s">
        <v>99</v>
      </c>
      <c r="Q3284" t="s">
        <v>82</v>
      </c>
      <c r="R3284">
        <v>1</v>
      </c>
      <c r="S3284">
        <v>128</v>
      </c>
      <c r="T3284">
        <v>0</v>
      </c>
      <c r="U3284">
        <v>0</v>
      </c>
      <c r="V3284">
        <v>1</v>
      </c>
      <c r="W3284">
        <v>0</v>
      </c>
      <c r="X3284">
        <v>0</v>
      </c>
      <c r="Y3284">
        <v>0</v>
      </c>
      <c r="Z3284">
        <v>0</v>
      </c>
      <c r="AA3284">
        <v>1</v>
      </c>
      <c r="AB3284">
        <v>0</v>
      </c>
      <c r="AC3284">
        <v>0</v>
      </c>
      <c r="AD3284">
        <v>0</v>
      </c>
      <c r="AE3284">
        <v>0</v>
      </c>
      <c r="AF3284">
        <v>0</v>
      </c>
      <c r="AG3284">
        <v>0</v>
      </c>
      <c r="AH3284">
        <v>0</v>
      </c>
      <c r="AI3284">
        <v>0</v>
      </c>
      <c r="AJ3284">
        <v>0</v>
      </c>
      <c r="AK3284">
        <v>0</v>
      </c>
    </row>
    <row r="3285" spans="1:37" x14ac:dyDescent="0.3">
      <c r="A3285">
        <v>7484</v>
      </c>
      <c r="B3285" t="s">
        <v>33</v>
      </c>
      <c r="D3285" t="s">
        <v>212</v>
      </c>
      <c r="E3285">
        <v>99999999</v>
      </c>
      <c r="F3285">
        <v>11111111</v>
      </c>
      <c r="G3285">
        <v>1111111111</v>
      </c>
      <c r="H3285" t="s">
        <v>6854</v>
      </c>
      <c r="I3285">
        <v>99999999</v>
      </c>
      <c r="J3285" s="188">
        <v>45238</v>
      </c>
      <c r="K3285" t="s">
        <v>6854</v>
      </c>
      <c r="L3285" t="s">
        <v>6854</v>
      </c>
      <c r="M3285" t="s">
        <v>209</v>
      </c>
      <c r="N3285" t="s">
        <v>3563</v>
      </c>
      <c r="O3285" t="s">
        <v>3564</v>
      </c>
      <c r="P3285" t="s">
        <v>99</v>
      </c>
      <c r="Q3285" t="s">
        <v>82</v>
      </c>
      <c r="R3285">
        <v>12</v>
      </c>
      <c r="S3285">
        <v>780.52</v>
      </c>
      <c r="T3285">
        <v>0</v>
      </c>
      <c r="U3285">
        <v>0</v>
      </c>
      <c r="V3285">
        <v>4</v>
      </c>
      <c r="W3285">
        <v>0</v>
      </c>
      <c r="X3285">
        <v>0</v>
      </c>
      <c r="Y3285">
        <v>0</v>
      </c>
      <c r="Z3285">
        <v>0</v>
      </c>
      <c r="AA3285">
        <v>12</v>
      </c>
      <c r="AB3285">
        <v>0</v>
      </c>
      <c r="AC3285">
        <v>0</v>
      </c>
      <c r="AD3285">
        <v>0</v>
      </c>
      <c r="AE3285">
        <v>0</v>
      </c>
      <c r="AF3285">
        <v>0</v>
      </c>
      <c r="AG3285">
        <v>0</v>
      </c>
      <c r="AH3285">
        <v>0</v>
      </c>
      <c r="AI3285">
        <v>0</v>
      </c>
      <c r="AJ3285">
        <v>0</v>
      </c>
      <c r="AK3285">
        <v>0</v>
      </c>
    </row>
    <row r="3286" spans="1:37" x14ac:dyDescent="0.3">
      <c r="A3286">
        <v>7484</v>
      </c>
      <c r="B3286" t="s">
        <v>33</v>
      </c>
      <c r="D3286" t="s">
        <v>212</v>
      </c>
      <c r="E3286">
        <v>99999999</v>
      </c>
      <c r="F3286">
        <v>11111111</v>
      </c>
      <c r="G3286">
        <v>1111111111</v>
      </c>
      <c r="H3286" t="s">
        <v>6855</v>
      </c>
      <c r="I3286">
        <v>99999999</v>
      </c>
      <c r="J3286" s="188">
        <v>45238</v>
      </c>
      <c r="K3286" t="s">
        <v>6855</v>
      </c>
      <c r="L3286" t="s">
        <v>6855</v>
      </c>
      <c r="M3286" t="s">
        <v>209</v>
      </c>
      <c r="N3286" t="s">
        <v>3563</v>
      </c>
      <c r="O3286" t="s">
        <v>3564</v>
      </c>
      <c r="P3286" t="s">
        <v>99</v>
      </c>
      <c r="Q3286" t="s">
        <v>82</v>
      </c>
      <c r="R3286">
        <v>2</v>
      </c>
      <c r="S3286">
        <v>56</v>
      </c>
      <c r="T3286">
        <v>0</v>
      </c>
      <c r="U3286">
        <v>0</v>
      </c>
      <c r="V3286">
        <v>1</v>
      </c>
      <c r="W3286">
        <v>0</v>
      </c>
      <c r="X3286">
        <v>0</v>
      </c>
      <c r="Y3286">
        <v>0</v>
      </c>
      <c r="Z3286">
        <v>0</v>
      </c>
      <c r="AA3286">
        <v>2</v>
      </c>
      <c r="AB3286">
        <v>0</v>
      </c>
      <c r="AC3286">
        <v>0</v>
      </c>
      <c r="AD3286">
        <v>0</v>
      </c>
      <c r="AE3286">
        <v>0</v>
      </c>
      <c r="AF3286">
        <v>0</v>
      </c>
      <c r="AG3286">
        <v>0</v>
      </c>
      <c r="AH3286">
        <v>0</v>
      </c>
      <c r="AI3286">
        <v>0</v>
      </c>
      <c r="AJ3286">
        <v>0</v>
      </c>
      <c r="AK3286">
        <v>0</v>
      </c>
    </row>
    <row r="3287" spans="1:37" x14ac:dyDescent="0.3">
      <c r="A3287">
        <v>7484</v>
      </c>
      <c r="B3287" t="s">
        <v>33</v>
      </c>
      <c r="D3287" t="s">
        <v>212</v>
      </c>
      <c r="E3287">
        <v>99999999</v>
      </c>
      <c r="F3287">
        <v>11111111</v>
      </c>
      <c r="G3287">
        <v>1111111111</v>
      </c>
      <c r="H3287" t="s">
        <v>6856</v>
      </c>
      <c r="I3287">
        <v>99999999</v>
      </c>
      <c r="J3287" s="188">
        <v>45238</v>
      </c>
      <c r="K3287" t="s">
        <v>6856</v>
      </c>
      <c r="L3287" t="s">
        <v>6856</v>
      </c>
      <c r="M3287" t="s">
        <v>209</v>
      </c>
      <c r="N3287" t="s">
        <v>3563</v>
      </c>
      <c r="O3287" t="s">
        <v>3564</v>
      </c>
      <c r="P3287" t="s">
        <v>99</v>
      </c>
      <c r="Q3287" t="s">
        <v>82</v>
      </c>
      <c r="R3287">
        <v>1</v>
      </c>
      <c r="S3287">
        <v>30</v>
      </c>
      <c r="T3287">
        <v>0</v>
      </c>
      <c r="U3287">
        <v>0</v>
      </c>
      <c r="V3287">
        <v>1</v>
      </c>
      <c r="W3287">
        <v>0</v>
      </c>
      <c r="X3287">
        <v>0</v>
      </c>
      <c r="Y3287">
        <v>0</v>
      </c>
      <c r="Z3287">
        <v>0</v>
      </c>
      <c r="AA3287">
        <v>1</v>
      </c>
      <c r="AB3287">
        <v>0</v>
      </c>
      <c r="AC3287">
        <v>0</v>
      </c>
      <c r="AD3287">
        <v>0</v>
      </c>
      <c r="AE3287">
        <v>0</v>
      </c>
      <c r="AF3287">
        <v>0</v>
      </c>
      <c r="AG3287">
        <v>0</v>
      </c>
      <c r="AH3287">
        <v>0</v>
      </c>
      <c r="AI3287">
        <v>0</v>
      </c>
      <c r="AJ3287">
        <v>0</v>
      </c>
      <c r="AK3287">
        <v>0</v>
      </c>
    </row>
    <row r="3288" spans="1:37" x14ac:dyDescent="0.3">
      <c r="A3288">
        <v>7484</v>
      </c>
      <c r="B3288" t="s">
        <v>33</v>
      </c>
      <c r="D3288" t="s">
        <v>212</v>
      </c>
      <c r="E3288">
        <v>99999999</v>
      </c>
      <c r="F3288">
        <v>11111111</v>
      </c>
      <c r="G3288">
        <v>1111111111</v>
      </c>
      <c r="H3288" t="s">
        <v>6857</v>
      </c>
      <c r="I3288">
        <v>99999999</v>
      </c>
      <c r="J3288" s="188">
        <v>45238</v>
      </c>
      <c r="K3288" t="s">
        <v>6857</v>
      </c>
      <c r="L3288" t="s">
        <v>6857</v>
      </c>
      <c r="M3288" t="s">
        <v>209</v>
      </c>
      <c r="N3288" t="s">
        <v>3563</v>
      </c>
      <c r="O3288" t="s">
        <v>3564</v>
      </c>
      <c r="P3288" t="s">
        <v>99</v>
      </c>
      <c r="Q3288" t="s">
        <v>82</v>
      </c>
      <c r="R3288">
        <v>1</v>
      </c>
      <c r="S3288">
        <v>57.52</v>
      </c>
      <c r="T3288">
        <v>0</v>
      </c>
      <c r="U3288">
        <v>0</v>
      </c>
      <c r="V3288">
        <v>1</v>
      </c>
      <c r="W3288">
        <v>0</v>
      </c>
      <c r="X3288">
        <v>0</v>
      </c>
      <c r="Y3288">
        <v>0</v>
      </c>
      <c r="Z3288">
        <v>0</v>
      </c>
      <c r="AA3288">
        <v>1</v>
      </c>
      <c r="AB3288">
        <v>0</v>
      </c>
      <c r="AC3288">
        <v>0</v>
      </c>
      <c r="AD3288">
        <v>0</v>
      </c>
      <c r="AE3288">
        <v>0</v>
      </c>
      <c r="AF3288">
        <v>0</v>
      </c>
      <c r="AG3288">
        <v>0</v>
      </c>
      <c r="AH3288">
        <v>0</v>
      </c>
      <c r="AI3288">
        <v>0</v>
      </c>
      <c r="AJ3288">
        <v>0</v>
      </c>
      <c r="AK3288">
        <v>0</v>
      </c>
    </row>
    <row r="3289" spans="1:37" x14ac:dyDescent="0.3">
      <c r="A3289">
        <v>7484</v>
      </c>
      <c r="B3289" t="s">
        <v>33</v>
      </c>
      <c r="D3289" t="s">
        <v>212</v>
      </c>
      <c r="E3289">
        <v>99999999</v>
      </c>
      <c r="F3289">
        <v>11111111</v>
      </c>
      <c r="G3289">
        <v>1111111111</v>
      </c>
      <c r="H3289" t="s">
        <v>6858</v>
      </c>
      <c r="I3289">
        <v>99999999</v>
      </c>
      <c r="J3289" s="188">
        <v>45238</v>
      </c>
      <c r="K3289" t="s">
        <v>6858</v>
      </c>
      <c r="L3289" t="s">
        <v>6858</v>
      </c>
      <c r="M3289" t="s">
        <v>209</v>
      </c>
      <c r="N3289" t="s">
        <v>3563</v>
      </c>
      <c r="O3289" t="s">
        <v>3564</v>
      </c>
      <c r="P3289" t="s">
        <v>99</v>
      </c>
      <c r="Q3289" t="s">
        <v>82</v>
      </c>
      <c r="R3289">
        <v>2</v>
      </c>
      <c r="S3289">
        <v>251</v>
      </c>
      <c r="T3289">
        <v>0</v>
      </c>
      <c r="U3289">
        <v>0</v>
      </c>
      <c r="V3289">
        <v>2</v>
      </c>
      <c r="W3289">
        <v>0</v>
      </c>
      <c r="X3289">
        <v>0</v>
      </c>
      <c r="Y3289">
        <v>0</v>
      </c>
      <c r="Z3289">
        <v>0</v>
      </c>
      <c r="AA3289">
        <v>2</v>
      </c>
      <c r="AB3289">
        <v>0</v>
      </c>
      <c r="AC3289">
        <v>0</v>
      </c>
      <c r="AD3289">
        <v>0</v>
      </c>
      <c r="AE3289">
        <v>0</v>
      </c>
      <c r="AF3289">
        <v>0</v>
      </c>
      <c r="AG3289">
        <v>0</v>
      </c>
      <c r="AH3289">
        <v>0</v>
      </c>
      <c r="AI3289">
        <v>0</v>
      </c>
      <c r="AJ3289">
        <v>0</v>
      </c>
      <c r="AK3289">
        <v>0</v>
      </c>
    </row>
    <row r="3290" spans="1:37" x14ac:dyDescent="0.3">
      <c r="A3290">
        <v>7484</v>
      </c>
      <c r="B3290" t="s">
        <v>33</v>
      </c>
      <c r="D3290" t="s">
        <v>212</v>
      </c>
      <c r="E3290">
        <v>99999999</v>
      </c>
      <c r="F3290">
        <v>11111111</v>
      </c>
      <c r="G3290">
        <v>1111111111</v>
      </c>
      <c r="H3290" t="s">
        <v>6859</v>
      </c>
      <c r="I3290">
        <v>99999999</v>
      </c>
      <c r="J3290" s="188">
        <v>45238</v>
      </c>
      <c r="K3290" t="s">
        <v>6859</v>
      </c>
      <c r="L3290" t="s">
        <v>6859</v>
      </c>
      <c r="M3290" t="s">
        <v>209</v>
      </c>
      <c r="N3290" t="s">
        <v>3563</v>
      </c>
      <c r="O3290" t="s">
        <v>3564</v>
      </c>
      <c r="P3290" t="s">
        <v>99</v>
      </c>
      <c r="Q3290" t="s">
        <v>82</v>
      </c>
      <c r="R3290">
        <v>2</v>
      </c>
      <c r="S3290">
        <v>270</v>
      </c>
      <c r="T3290">
        <v>0</v>
      </c>
      <c r="U3290">
        <v>0</v>
      </c>
      <c r="V3290">
        <v>1</v>
      </c>
      <c r="W3290">
        <v>0</v>
      </c>
      <c r="X3290">
        <v>0</v>
      </c>
      <c r="Y3290">
        <v>0</v>
      </c>
      <c r="Z3290">
        <v>0</v>
      </c>
      <c r="AA3290">
        <v>2</v>
      </c>
      <c r="AB3290">
        <v>0</v>
      </c>
      <c r="AC3290">
        <v>0</v>
      </c>
      <c r="AD3290">
        <v>0</v>
      </c>
      <c r="AE3290">
        <v>0</v>
      </c>
      <c r="AF3290">
        <v>0</v>
      </c>
      <c r="AG3290">
        <v>0</v>
      </c>
      <c r="AH3290">
        <v>0</v>
      </c>
      <c r="AI3290">
        <v>0</v>
      </c>
      <c r="AJ3290">
        <v>0</v>
      </c>
      <c r="AK3290">
        <v>0</v>
      </c>
    </row>
    <row r="3291" spans="1:37" x14ac:dyDescent="0.3">
      <c r="A3291">
        <v>7484</v>
      </c>
      <c r="B3291" t="s">
        <v>33</v>
      </c>
      <c r="D3291" t="s">
        <v>212</v>
      </c>
      <c r="E3291">
        <v>99999999</v>
      </c>
      <c r="F3291">
        <v>11111111</v>
      </c>
      <c r="G3291">
        <v>1111111111</v>
      </c>
      <c r="H3291" t="s">
        <v>6860</v>
      </c>
      <c r="I3291">
        <v>99999999</v>
      </c>
      <c r="J3291" s="188">
        <v>45238</v>
      </c>
      <c r="K3291" t="s">
        <v>6860</v>
      </c>
      <c r="L3291" t="s">
        <v>6860</v>
      </c>
      <c r="M3291" t="s">
        <v>209</v>
      </c>
      <c r="N3291" t="s">
        <v>3563</v>
      </c>
      <c r="O3291" t="s">
        <v>3564</v>
      </c>
      <c r="P3291" t="s">
        <v>99</v>
      </c>
      <c r="Q3291" t="s">
        <v>82</v>
      </c>
      <c r="R3291">
        <v>52</v>
      </c>
      <c r="S3291">
        <v>2267.89</v>
      </c>
      <c r="T3291">
        <v>0</v>
      </c>
      <c r="U3291">
        <v>0</v>
      </c>
      <c r="V3291">
        <v>8</v>
      </c>
      <c r="W3291">
        <v>0</v>
      </c>
      <c r="X3291">
        <v>0</v>
      </c>
      <c r="Y3291">
        <v>0</v>
      </c>
      <c r="Z3291">
        <v>0</v>
      </c>
      <c r="AA3291">
        <v>52</v>
      </c>
      <c r="AB3291">
        <v>0</v>
      </c>
      <c r="AC3291">
        <v>0</v>
      </c>
      <c r="AD3291">
        <v>0</v>
      </c>
      <c r="AE3291">
        <v>0</v>
      </c>
      <c r="AF3291">
        <v>0</v>
      </c>
      <c r="AG3291">
        <v>0</v>
      </c>
      <c r="AH3291">
        <v>0</v>
      </c>
      <c r="AI3291">
        <v>0</v>
      </c>
      <c r="AJ3291">
        <v>0</v>
      </c>
      <c r="AK3291">
        <v>0</v>
      </c>
    </row>
    <row r="3292" spans="1:37" x14ac:dyDescent="0.3">
      <c r="A3292">
        <v>7484</v>
      </c>
      <c r="B3292" t="s">
        <v>33</v>
      </c>
      <c r="D3292" t="s">
        <v>212</v>
      </c>
      <c r="E3292">
        <v>99999999</v>
      </c>
      <c r="F3292">
        <v>11111111</v>
      </c>
      <c r="G3292">
        <v>1111111111</v>
      </c>
      <c r="H3292" t="s">
        <v>6861</v>
      </c>
      <c r="I3292">
        <v>99999999</v>
      </c>
      <c r="J3292" s="188">
        <v>45238</v>
      </c>
      <c r="K3292" t="s">
        <v>6861</v>
      </c>
      <c r="L3292" t="s">
        <v>6861</v>
      </c>
      <c r="M3292" t="s">
        <v>209</v>
      </c>
      <c r="N3292" t="s">
        <v>3563</v>
      </c>
      <c r="O3292" t="s">
        <v>3564</v>
      </c>
      <c r="P3292" t="s">
        <v>99</v>
      </c>
      <c r="Q3292" t="s">
        <v>82</v>
      </c>
      <c r="R3292">
        <v>25</v>
      </c>
      <c r="S3292">
        <v>1044.2</v>
      </c>
      <c r="T3292">
        <v>0</v>
      </c>
      <c r="U3292">
        <v>0</v>
      </c>
      <c r="V3292">
        <v>3</v>
      </c>
      <c r="W3292">
        <v>0</v>
      </c>
      <c r="X3292">
        <v>0</v>
      </c>
      <c r="Y3292">
        <v>0</v>
      </c>
      <c r="Z3292">
        <v>0</v>
      </c>
      <c r="AA3292">
        <v>25</v>
      </c>
      <c r="AB3292">
        <v>0</v>
      </c>
      <c r="AC3292">
        <v>0</v>
      </c>
      <c r="AD3292">
        <v>0</v>
      </c>
      <c r="AE3292">
        <v>0</v>
      </c>
      <c r="AF3292">
        <v>0</v>
      </c>
      <c r="AG3292">
        <v>0</v>
      </c>
      <c r="AH3292">
        <v>0</v>
      </c>
      <c r="AI3292">
        <v>0</v>
      </c>
      <c r="AJ3292">
        <v>0</v>
      </c>
      <c r="AK3292">
        <v>0</v>
      </c>
    </row>
    <row r="3293" spans="1:37" x14ac:dyDescent="0.3">
      <c r="A3293">
        <v>7484</v>
      </c>
      <c r="B3293" t="s">
        <v>33</v>
      </c>
      <c r="D3293" t="s">
        <v>212</v>
      </c>
      <c r="E3293">
        <v>99999999</v>
      </c>
      <c r="F3293">
        <v>11111111</v>
      </c>
      <c r="G3293">
        <v>1111111111</v>
      </c>
      <c r="H3293" t="s">
        <v>6862</v>
      </c>
      <c r="I3293">
        <v>99999999</v>
      </c>
      <c r="J3293" s="188">
        <v>45238</v>
      </c>
      <c r="K3293" t="s">
        <v>6862</v>
      </c>
      <c r="L3293" t="s">
        <v>6862</v>
      </c>
      <c r="M3293" t="s">
        <v>209</v>
      </c>
      <c r="N3293" t="s">
        <v>3563</v>
      </c>
      <c r="O3293" t="s">
        <v>3564</v>
      </c>
      <c r="P3293" t="s">
        <v>99</v>
      </c>
      <c r="Q3293" t="s">
        <v>82</v>
      </c>
      <c r="R3293">
        <v>6</v>
      </c>
      <c r="S3293">
        <v>566.92499999999995</v>
      </c>
      <c r="T3293">
        <v>0</v>
      </c>
      <c r="U3293">
        <v>0</v>
      </c>
      <c r="V3293">
        <v>4</v>
      </c>
      <c r="W3293">
        <v>0</v>
      </c>
      <c r="X3293">
        <v>0</v>
      </c>
      <c r="Y3293">
        <v>0</v>
      </c>
      <c r="Z3293">
        <v>0</v>
      </c>
      <c r="AA3293">
        <v>6</v>
      </c>
      <c r="AB3293">
        <v>0</v>
      </c>
      <c r="AC3293">
        <v>0</v>
      </c>
      <c r="AD3293">
        <v>0</v>
      </c>
      <c r="AE3293">
        <v>0</v>
      </c>
      <c r="AF3293">
        <v>0</v>
      </c>
      <c r="AG3293">
        <v>0</v>
      </c>
      <c r="AH3293">
        <v>0</v>
      </c>
      <c r="AI3293">
        <v>0</v>
      </c>
      <c r="AJ3293">
        <v>0</v>
      </c>
      <c r="AK3293">
        <v>0</v>
      </c>
    </row>
    <row r="3294" spans="1:37" x14ac:dyDescent="0.3">
      <c r="A3294">
        <v>7484</v>
      </c>
      <c r="B3294" t="s">
        <v>33</v>
      </c>
      <c r="D3294" t="s">
        <v>212</v>
      </c>
      <c r="E3294">
        <v>99999999</v>
      </c>
      <c r="F3294">
        <v>11111111</v>
      </c>
      <c r="G3294">
        <v>1111111111</v>
      </c>
      <c r="H3294" t="s">
        <v>6863</v>
      </c>
      <c r="I3294">
        <v>99999999</v>
      </c>
      <c r="J3294" s="188">
        <v>45238</v>
      </c>
      <c r="K3294" t="s">
        <v>6863</v>
      </c>
      <c r="L3294" t="s">
        <v>6863</v>
      </c>
      <c r="M3294" t="s">
        <v>209</v>
      </c>
      <c r="N3294" t="s">
        <v>3563</v>
      </c>
      <c r="O3294" t="s">
        <v>3564</v>
      </c>
      <c r="P3294" t="s">
        <v>99</v>
      </c>
      <c r="Q3294" t="s">
        <v>82</v>
      </c>
      <c r="R3294">
        <v>6</v>
      </c>
      <c r="S3294">
        <v>180.18</v>
      </c>
      <c r="T3294">
        <v>0</v>
      </c>
      <c r="U3294">
        <v>0</v>
      </c>
      <c r="V3294">
        <v>3</v>
      </c>
      <c r="W3294">
        <v>0</v>
      </c>
      <c r="X3294">
        <v>0</v>
      </c>
      <c r="Y3294">
        <v>0</v>
      </c>
      <c r="Z3294">
        <v>0</v>
      </c>
      <c r="AA3294">
        <v>6</v>
      </c>
      <c r="AB3294">
        <v>0</v>
      </c>
      <c r="AC3294">
        <v>0</v>
      </c>
      <c r="AD3294">
        <v>0</v>
      </c>
      <c r="AE3294">
        <v>0</v>
      </c>
      <c r="AF3294">
        <v>0</v>
      </c>
      <c r="AG3294">
        <v>0</v>
      </c>
      <c r="AH3294">
        <v>0</v>
      </c>
      <c r="AI3294">
        <v>0</v>
      </c>
      <c r="AJ3294">
        <v>0</v>
      </c>
      <c r="AK3294">
        <v>0</v>
      </c>
    </row>
    <row r="3295" spans="1:37" x14ac:dyDescent="0.3">
      <c r="A3295">
        <v>7484</v>
      </c>
      <c r="B3295" t="s">
        <v>33</v>
      </c>
      <c r="D3295" t="s">
        <v>212</v>
      </c>
      <c r="E3295">
        <v>99999999</v>
      </c>
      <c r="F3295">
        <v>11111111</v>
      </c>
      <c r="G3295">
        <v>1111111111</v>
      </c>
      <c r="H3295" t="s">
        <v>6864</v>
      </c>
      <c r="I3295">
        <v>99999999</v>
      </c>
      <c r="J3295" s="188">
        <v>45238</v>
      </c>
      <c r="K3295" t="s">
        <v>6864</v>
      </c>
      <c r="L3295" t="s">
        <v>6864</v>
      </c>
      <c r="M3295" t="s">
        <v>3565</v>
      </c>
      <c r="N3295" t="s">
        <v>3566</v>
      </c>
      <c r="O3295" t="s">
        <v>3567</v>
      </c>
      <c r="P3295" t="s">
        <v>99</v>
      </c>
      <c r="Q3295" t="s">
        <v>82</v>
      </c>
      <c r="R3295">
        <v>3</v>
      </c>
      <c r="S3295">
        <v>170</v>
      </c>
      <c r="T3295">
        <v>0</v>
      </c>
      <c r="U3295">
        <v>0</v>
      </c>
      <c r="V3295">
        <v>2</v>
      </c>
      <c r="W3295">
        <v>0</v>
      </c>
      <c r="X3295">
        <v>0</v>
      </c>
      <c r="Y3295">
        <v>0</v>
      </c>
      <c r="Z3295">
        <v>0</v>
      </c>
      <c r="AA3295">
        <v>3</v>
      </c>
      <c r="AB3295">
        <v>0</v>
      </c>
      <c r="AC3295">
        <v>0</v>
      </c>
      <c r="AD3295">
        <v>0</v>
      </c>
      <c r="AE3295">
        <v>0</v>
      </c>
      <c r="AF3295">
        <v>0</v>
      </c>
      <c r="AG3295">
        <v>0</v>
      </c>
      <c r="AH3295">
        <v>0</v>
      </c>
      <c r="AI3295">
        <v>0</v>
      </c>
      <c r="AJ3295">
        <v>0</v>
      </c>
      <c r="AK3295">
        <v>0</v>
      </c>
    </row>
    <row r="3296" spans="1:37" x14ac:dyDescent="0.3">
      <c r="A3296">
        <v>7484</v>
      </c>
      <c r="B3296" t="s">
        <v>33</v>
      </c>
      <c r="D3296" t="s">
        <v>212</v>
      </c>
      <c r="E3296">
        <v>99999999</v>
      </c>
      <c r="F3296">
        <v>11111111</v>
      </c>
      <c r="G3296">
        <v>1111111111</v>
      </c>
      <c r="H3296" t="s">
        <v>6865</v>
      </c>
      <c r="I3296">
        <v>99999999</v>
      </c>
      <c r="J3296" s="188">
        <v>45238</v>
      </c>
      <c r="K3296" t="s">
        <v>6865</v>
      </c>
      <c r="L3296" t="s">
        <v>6865</v>
      </c>
      <c r="M3296" t="s">
        <v>3565</v>
      </c>
      <c r="N3296" t="s">
        <v>3566</v>
      </c>
      <c r="O3296" t="s">
        <v>3567</v>
      </c>
      <c r="P3296" t="s">
        <v>99</v>
      </c>
      <c r="Q3296" t="s">
        <v>82</v>
      </c>
      <c r="R3296">
        <v>4</v>
      </c>
      <c r="S3296">
        <v>494.99</v>
      </c>
      <c r="T3296">
        <v>0</v>
      </c>
      <c r="U3296">
        <v>0</v>
      </c>
      <c r="V3296">
        <v>3</v>
      </c>
      <c r="W3296">
        <v>0</v>
      </c>
      <c r="X3296">
        <v>0</v>
      </c>
      <c r="Y3296">
        <v>0</v>
      </c>
      <c r="Z3296">
        <v>0</v>
      </c>
      <c r="AA3296">
        <v>4</v>
      </c>
      <c r="AB3296">
        <v>0</v>
      </c>
      <c r="AC3296">
        <v>0</v>
      </c>
      <c r="AD3296">
        <v>0</v>
      </c>
      <c r="AE3296">
        <v>0</v>
      </c>
      <c r="AF3296">
        <v>0</v>
      </c>
      <c r="AG3296">
        <v>0</v>
      </c>
      <c r="AH3296">
        <v>0</v>
      </c>
      <c r="AI3296">
        <v>0</v>
      </c>
      <c r="AJ3296">
        <v>0</v>
      </c>
      <c r="AK3296">
        <v>0</v>
      </c>
    </row>
    <row r="3297" spans="1:37" x14ac:dyDescent="0.3">
      <c r="A3297">
        <v>7484</v>
      </c>
      <c r="B3297" t="s">
        <v>33</v>
      </c>
      <c r="D3297" t="s">
        <v>212</v>
      </c>
      <c r="E3297">
        <v>99999999</v>
      </c>
      <c r="F3297">
        <v>11111111</v>
      </c>
      <c r="G3297">
        <v>1111111111</v>
      </c>
      <c r="H3297" t="s">
        <v>6866</v>
      </c>
      <c r="I3297">
        <v>99999999</v>
      </c>
      <c r="J3297" s="188">
        <v>45238</v>
      </c>
      <c r="K3297" t="s">
        <v>6866</v>
      </c>
      <c r="L3297" t="s">
        <v>6866</v>
      </c>
      <c r="M3297" t="s">
        <v>3565</v>
      </c>
      <c r="N3297" t="s">
        <v>3566</v>
      </c>
      <c r="O3297" t="s">
        <v>3567</v>
      </c>
      <c r="P3297" t="s">
        <v>99</v>
      </c>
      <c r="Q3297" t="s">
        <v>82</v>
      </c>
      <c r="R3297">
        <v>1</v>
      </c>
      <c r="S3297">
        <v>37.5</v>
      </c>
      <c r="T3297">
        <v>0</v>
      </c>
      <c r="U3297">
        <v>0</v>
      </c>
      <c r="V3297">
        <v>1</v>
      </c>
      <c r="W3297">
        <v>0</v>
      </c>
      <c r="X3297">
        <v>0</v>
      </c>
      <c r="Y3297">
        <v>0</v>
      </c>
      <c r="Z3297">
        <v>0</v>
      </c>
      <c r="AA3297">
        <v>1</v>
      </c>
      <c r="AB3297">
        <v>0</v>
      </c>
      <c r="AC3297">
        <v>0</v>
      </c>
      <c r="AD3297">
        <v>0</v>
      </c>
      <c r="AE3297">
        <v>0</v>
      </c>
      <c r="AF3297">
        <v>0</v>
      </c>
      <c r="AG3297">
        <v>0</v>
      </c>
      <c r="AH3297">
        <v>0</v>
      </c>
      <c r="AI3297">
        <v>0</v>
      </c>
      <c r="AJ3297">
        <v>0</v>
      </c>
      <c r="AK3297">
        <v>0</v>
      </c>
    </row>
    <row r="3298" spans="1:37" x14ac:dyDescent="0.3">
      <c r="A3298">
        <v>7484</v>
      </c>
      <c r="B3298" t="s">
        <v>33</v>
      </c>
      <c r="D3298" t="s">
        <v>212</v>
      </c>
      <c r="E3298">
        <v>99999999</v>
      </c>
      <c r="F3298">
        <v>11111111</v>
      </c>
      <c r="G3298">
        <v>1111111111</v>
      </c>
      <c r="H3298" t="s">
        <v>6867</v>
      </c>
      <c r="I3298">
        <v>99999999</v>
      </c>
      <c r="J3298" s="188">
        <v>45238</v>
      </c>
      <c r="K3298" t="s">
        <v>6867</v>
      </c>
      <c r="L3298" t="s">
        <v>6867</v>
      </c>
      <c r="M3298" t="s">
        <v>3565</v>
      </c>
      <c r="N3298" t="s">
        <v>3566</v>
      </c>
      <c r="O3298" t="s">
        <v>3567</v>
      </c>
      <c r="P3298" t="s">
        <v>99</v>
      </c>
      <c r="Q3298" t="s">
        <v>82</v>
      </c>
      <c r="R3298">
        <v>3</v>
      </c>
      <c r="S3298">
        <v>180</v>
      </c>
      <c r="T3298">
        <v>0</v>
      </c>
      <c r="U3298">
        <v>0</v>
      </c>
      <c r="V3298">
        <v>1</v>
      </c>
      <c r="W3298">
        <v>0</v>
      </c>
      <c r="X3298">
        <v>0</v>
      </c>
      <c r="Y3298">
        <v>0</v>
      </c>
      <c r="Z3298">
        <v>0</v>
      </c>
      <c r="AA3298">
        <v>3</v>
      </c>
      <c r="AB3298">
        <v>0</v>
      </c>
      <c r="AC3298">
        <v>0</v>
      </c>
      <c r="AD3298">
        <v>0</v>
      </c>
      <c r="AE3298">
        <v>0</v>
      </c>
      <c r="AF3298">
        <v>0</v>
      </c>
      <c r="AG3298">
        <v>0</v>
      </c>
      <c r="AH3298">
        <v>0</v>
      </c>
      <c r="AI3298">
        <v>0</v>
      </c>
      <c r="AJ3298">
        <v>0</v>
      </c>
      <c r="AK3298">
        <v>0</v>
      </c>
    </row>
    <row r="3299" spans="1:37" x14ac:dyDescent="0.3">
      <c r="A3299">
        <v>7484</v>
      </c>
      <c r="B3299" t="s">
        <v>33</v>
      </c>
      <c r="D3299" t="s">
        <v>212</v>
      </c>
      <c r="E3299">
        <v>99999999</v>
      </c>
      <c r="F3299">
        <v>11111111</v>
      </c>
      <c r="G3299">
        <v>1111111111</v>
      </c>
      <c r="H3299" t="s">
        <v>6868</v>
      </c>
      <c r="I3299">
        <v>99999999</v>
      </c>
      <c r="J3299" s="188">
        <v>45238</v>
      </c>
      <c r="K3299" t="s">
        <v>6868</v>
      </c>
      <c r="L3299" t="s">
        <v>6868</v>
      </c>
      <c r="M3299" t="s">
        <v>3565</v>
      </c>
      <c r="N3299" t="s">
        <v>3566</v>
      </c>
      <c r="O3299" t="s">
        <v>3567</v>
      </c>
      <c r="P3299" t="s">
        <v>99</v>
      </c>
      <c r="Q3299" t="s">
        <v>82</v>
      </c>
      <c r="R3299">
        <v>3</v>
      </c>
      <c r="S3299">
        <v>462.8</v>
      </c>
      <c r="T3299">
        <v>0</v>
      </c>
      <c r="U3299">
        <v>0</v>
      </c>
      <c r="V3299">
        <v>2</v>
      </c>
      <c r="W3299">
        <v>0</v>
      </c>
      <c r="X3299">
        <v>0</v>
      </c>
      <c r="Y3299">
        <v>0</v>
      </c>
      <c r="Z3299">
        <v>0</v>
      </c>
      <c r="AA3299">
        <v>3</v>
      </c>
      <c r="AB3299">
        <v>0</v>
      </c>
      <c r="AC3299">
        <v>0</v>
      </c>
      <c r="AD3299">
        <v>0</v>
      </c>
      <c r="AE3299">
        <v>0</v>
      </c>
      <c r="AF3299">
        <v>0</v>
      </c>
      <c r="AG3299">
        <v>0</v>
      </c>
      <c r="AH3299">
        <v>0</v>
      </c>
      <c r="AI3299">
        <v>0</v>
      </c>
      <c r="AJ3299">
        <v>0</v>
      </c>
      <c r="AK3299">
        <v>0</v>
      </c>
    </row>
    <row r="3300" spans="1:37" x14ac:dyDescent="0.3">
      <c r="A3300">
        <v>7484</v>
      </c>
      <c r="B3300" t="s">
        <v>33</v>
      </c>
      <c r="D3300" t="s">
        <v>212</v>
      </c>
      <c r="E3300">
        <v>99999999</v>
      </c>
      <c r="F3300">
        <v>11111111</v>
      </c>
      <c r="G3300">
        <v>1111111111</v>
      </c>
      <c r="H3300" t="s">
        <v>6869</v>
      </c>
      <c r="I3300">
        <v>99999999</v>
      </c>
      <c r="J3300" s="188">
        <v>45238</v>
      </c>
      <c r="K3300" t="s">
        <v>6869</v>
      </c>
      <c r="L3300" t="s">
        <v>6869</v>
      </c>
      <c r="M3300" t="s">
        <v>3565</v>
      </c>
      <c r="N3300" t="s">
        <v>3566</v>
      </c>
      <c r="O3300" t="s">
        <v>3567</v>
      </c>
      <c r="P3300" t="s">
        <v>99</v>
      </c>
      <c r="Q3300" t="s">
        <v>82</v>
      </c>
      <c r="R3300">
        <v>8</v>
      </c>
      <c r="S3300">
        <v>39.344000000000001</v>
      </c>
      <c r="T3300">
        <v>0</v>
      </c>
      <c r="U3300">
        <v>0</v>
      </c>
      <c r="V3300">
        <v>1</v>
      </c>
      <c r="W3300">
        <v>0</v>
      </c>
      <c r="X3300">
        <v>0</v>
      </c>
      <c r="Y3300">
        <v>0</v>
      </c>
      <c r="Z3300">
        <v>0</v>
      </c>
      <c r="AA3300">
        <v>8</v>
      </c>
      <c r="AB3300">
        <v>0</v>
      </c>
      <c r="AC3300">
        <v>0</v>
      </c>
      <c r="AD3300">
        <v>0</v>
      </c>
      <c r="AE3300">
        <v>0</v>
      </c>
      <c r="AF3300">
        <v>0</v>
      </c>
      <c r="AG3300">
        <v>0</v>
      </c>
      <c r="AH3300">
        <v>0</v>
      </c>
      <c r="AI3300">
        <v>0</v>
      </c>
      <c r="AJ3300">
        <v>0</v>
      </c>
      <c r="AK3300">
        <v>0</v>
      </c>
    </row>
    <row r="3301" spans="1:37" x14ac:dyDescent="0.3">
      <c r="A3301">
        <v>7484</v>
      </c>
      <c r="B3301" t="s">
        <v>33</v>
      </c>
      <c r="D3301" t="s">
        <v>3531</v>
      </c>
      <c r="E3301">
        <v>99999999</v>
      </c>
      <c r="F3301">
        <v>11111111</v>
      </c>
      <c r="G3301">
        <v>1111111111</v>
      </c>
      <c r="H3301" t="s">
        <v>6870</v>
      </c>
      <c r="I3301">
        <v>99999999</v>
      </c>
      <c r="J3301" s="188">
        <v>45238</v>
      </c>
      <c r="K3301" t="s">
        <v>6870</v>
      </c>
      <c r="L3301" t="s">
        <v>6870</v>
      </c>
      <c r="Q3301" t="s">
        <v>82</v>
      </c>
      <c r="R3301">
        <v>0</v>
      </c>
      <c r="T3301">
        <v>1</v>
      </c>
      <c r="U3301">
        <v>39</v>
      </c>
      <c r="V3301">
        <v>0</v>
      </c>
      <c r="W3301">
        <v>0</v>
      </c>
      <c r="X3301">
        <v>0</v>
      </c>
      <c r="Y3301">
        <v>0</v>
      </c>
      <c r="Z3301">
        <v>0</v>
      </c>
      <c r="AA3301">
        <v>0</v>
      </c>
      <c r="AB3301">
        <v>0</v>
      </c>
      <c r="AC3301">
        <v>0</v>
      </c>
      <c r="AD3301">
        <v>0</v>
      </c>
      <c r="AE3301">
        <v>0</v>
      </c>
      <c r="AF3301">
        <v>0</v>
      </c>
      <c r="AG3301">
        <v>0</v>
      </c>
      <c r="AH3301">
        <v>0</v>
      </c>
      <c r="AI3301">
        <v>0</v>
      </c>
      <c r="AJ3301">
        <v>0</v>
      </c>
      <c r="AK3301">
        <v>0</v>
      </c>
    </row>
    <row r="3302" spans="1:37" x14ac:dyDescent="0.3">
      <c r="A3302">
        <v>7484</v>
      </c>
      <c r="B3302" t="s">
        <v>33</v>
      </c>
      <c r="D3302" t="s">
        <v>3531</v>
      </c>
      <c r="E3302">
        <v>99999999</v>
      </c>
      <c r="F3302">
        <v>11111111</v>
      </c>
      <c r="G3302">
        <v>1111111111</v>
      </c>
      <c r="H3302" t="s">
        <v>6871</v>
      </c>
      <c r="I3302">
        <v>99999999</v>
      </c>
      <c r="J3302" s="188">
        <v>45238</v>
      </c>
      <c r="K3302" t="s">
        <v>6871</v>
      </c>
      <c r="L3302" t="s">
        <v>6871</v>
      </c>
      <c r="M3302" t="s">
        <v>1346</v>
      </c>
      <c r="N3302" t="s">
        <v>97</v>
      </c>
      <c r="O3302">
        <v>98032</v>
      </c>
      <c r="P3302" t="s">
        <v>221</v>
      </c>
      <c r="Q3302" t="s">
        <v>82</v>
      </c>
      <c r="R3302">
        <v>2</v>
      </c>
      <c r="S3302">
        <v>90.94</v>
      </c>
      <c r="T3302">
        <v>0</v>
      </c>
      <c r="U3302">
        <v>0</v>
      </c>
      <c r="V3302">
        <v>1</v>
      </c>
      <c r="W3302">
        <v>0</v>
      </c>
      <c r="X3302">
        <v>0</v>
      </c>
      <c r="Y3302">
        <v>0</v>
      </c>
      <c r="Z3302">
        <v>0</v>
      </c>
      <c r="AA3302">
        <v>2</v>
      </c>
      <c r="AB3302">
        <v>0</v>
      </c>
      <c r="AC3302">
        <v>0</v>
      </c>
      <c r="AD3302">
        <v>0</v>
      </c>
      <c r="AE3302">
        <v>0</v>
      </c>
      <c r="AF3302">
        <v>0</v>
      </c>
      <c r="AG3302">
        <v>0</v>
      </c>
      <c r="AH3302">
        <v>0</v>
      </c>
      <c r="AI3302">
        <v>0</v>
      </c>
      <c r="AJ3302">
        <v>0</v>
      </c>
      <c r="AK3302">
        <v>0</v>
      </c>
    </row>
    <row r="3303" spans="1:37" x14ac:dyDescent="0.3">
      <c r="A3303">
        <v>7484</v>
      </c>
      <c r="B3303" t="s">
        <v>33</v>
      </c>
      <c r="D3303" t="s">
        <v>3531</v>
      </c>
      <c r="E3303">
        <v>99999999</v>
      </c>
      <c r="F3303">
        <v>11111111</v>
      </c>
      <c r="G3303">
        <v>1111111111</v>
      </c>
      <c r="H3303" t="s">
        <v>6872</v>
      </c>
      <c r="I3303">
        <v>99999999</v>
      </c>
      <c r="J3303" s="188">
        <v>45238</v>
      </c>
      <c r="K3303" t="s">
        <v>6872</v>
      </c>
      <c r="L3303" t="s">
        <v>6872</v>
      </c>
      <c r="M3303" t="s">
        <v>1346</v>
      </c>
      <c r="N3303" t="s">
        <v>97</v>
      </c>
      <c r="O3303">
        <v>98032</v>
      </c>
      <c r="P3303" t="s">
        <v>221</v>
      </c>
      <c r="Q3303" t="s">
        <v>82</v>
      </c>
      <c r="R3303">
        <v>36</v>
      </c>
      <c r="S3303">
        <v>2083.8449999999998</v>
      </c>
      <c r="T3303">
        <v>0</v>
      </c>
      <c r="U3303">
        <v>0</v>
      </c>
      <c r="V3303">
        <v>8</v>
      </c>
      <c r="W3303">
        <v>0</v>
      </c>
      <c r="X3303">
        <v>0</v>
      </c>
      <c r="Y3303">
        <v>0</v>
      </c>
      <c r="Z3303">
        <v>0</v>
      </c>
      <c r="AA3303">
        <v>36</v>
      </c>
      <c r="AB3303">
        <v>0</v>
      </c>
      <c r="AC3303">
        <v>0</v>
      </c>
      <c r="AD3303">
        <v>0</v>
      </c>
      <c r="AE3303">
        <v>0</v>
      </c>
      <c r="AF3303">
        <v>0</v>
      </c>
      <c r="AG3303">
        <v>0</v>
      </c>
      <c r="AH3303">
        <v>0</v>
      </c>
      <c r="AI3303">
        <v>0</v>
      </c>
      <c r="AJ3303">
        <v>0</v>
      </c>
      <c r="AK3303">
        <v>0</v>
      </c>
    </row>
    <row r="3304" spans="1:37" x14ac:dyDescent="0.3">
      <c r="A3304">
        <v>7484</v>
      </c>
      <c r="B3304" t="s">
        <v>33</v>
      </c>
      <c r="D3304" t="s">
        <v>3531</v>
      </c>
      <c r="E3304">
        <v>99999999</v>
      </c>
      <c r="F3304">
        <v>11111111</v>
      </c>
      <c r="G3304">
        <v>1111111111</v>
      </c>
      <c r="H3304" t="s">
        <v>6873</v>
      </c>
      <c r="I3304">
        <v>99999999</v>
      </c>
      <c r="J3304" s="188">
        <v>45238</v>
      </c>
      <c r="K3304" t="s">
        <v>6873</v>
      </c>
      <c r="L3304" t="s">
        <v>6873</v>
      </c>
      <c r="M3304" t="s">
        <v>1346</v>
      </c>
      <c r="N3304" t="s">
        <v>97</v>
      </c>
      <c r="O3304">
        <v>98032</v>
      </c>
      <c r="P3304" t="s">
        <v>221</v>
      </c>
      <c r="Q3304" t="s">
        <v>82</v>
      </c>
      <c r="R3304">
        <v>1</v>
      </c>
      <c r="S3304">
        <v>160</v>
      </c>
      <c r="T3304">
        <v>0</v>
      </c>
      <c r="U3304">
        <v>0</v>
      </c>
      <c r="V3304">
        <v>1</v>
      </c>
      <c r="W3304">
        <v>0</v>
      </c>
      <c r="X3304">
        <v>0</v>
      </c>
      <c r="Y3304">
        <v>0</v>
      </c>
      <c r="Z3304">
        <v>0</v>
      </c>
      <c r="AA3304">
        <v>1</v>
      </c>
      <c r="AB3304">
        <v>0</v>
      </c>
      <c r="AC3304">
        <v>0</v>
      </c>
      <c r="AD3304">
        <v>0</v>
      </c>
      <c r="AE3304">
        <v>0</v>
      </c>
      <c r="AF3304">
        <v>0</v>
      </c>
      <c r="AG3304">
        <v>0</v>
      </c>
      <c r="AH3304">
        <v>0</v>
      </c>
      <c r="AI3304">
        <v>0</v>
      </c>
      <c r="AJ3304">
        <v>0</v>
      </c>
      <c r="AK3304">
        <v>0</v>
      </c>
    </row>
    <row r="3305" spans="1:37" x14ac:dyDescent="0.3">
      <c r="A3305">
        <v>7484</v>
      </c>
      <c r="B3305" t="s">
        <v>33</v>
      </c>
      <c r="D3305" t="s">
        <v>3531</v>
      </c>
      <c r="E3305">
        <v>99999999</v>
      </c>
      <c r="F3305">
        <v>11111111</v>
      </c>
      <c r="G3305">
        <v>1111111111</v>
      </c>
      <c r="H3305" t="s">
        <v>6874</v>
      </c>
      <c r="I3305">
        <v>99999999</v>
      </c>
      <c r="J3305" s="188">
        <v>45238</v>
      </c>
      <c r="K3305" t="s">
        <v>6874</v>
      </c>
      <c r="L3305" t="s">
        <v>6874</v>
      </c>
      <c r="Q3305" t="s">
        <v>82</v>
      </c>
      <c r="R3305">
        <v>0</v>
      </c>
      <c r="T3305">
        <v>2</v>
      </c>
      <c r="U3305">
        <v>83</v>
      </c>
      <c r="V3305">
        <v>0</v>
      </c>
      <c r="W3305">
        <v>0</v>
      </c>
      <c r="X3305">
        <v>0</v>
      </c>
      <c r="Y3305">
        <v>0</v>
      </c>
      <c r="Z3305">
        <v>0</v>
      </c>
      <c r="AA3305">
        <v>0</v>
      </c>
      <c r="AB3305">
        <v>0</v>
      </c>
      <c r="AC3305">
        <v>0</v>
      </c>
      <c r="AD3305">
        <v>0</v>
      </c>
      <c r="AE3305">
        <v>0</v>
      </c>
      <c r="AF3305">
        <v>0</v>
      </c>
      <c r="AG3305">
        <v>0</v>
      </c>
      <c r="AH3305">
        <v>0</v>
      </c>
      <c r="AI3305">
        <v>0</v>
      </c>
      <c r="AJ3305">
        <v>0</v>
      </c>
      <c r="AK3305">
        <v>0</v>
      </c>
    </row>
    <row r="3306" spans="1:37" x14ac:dyDescent="0.3">
      <c r="A3306">
        <v>7484</v>
      </c>
      <c r="B3306" t="s">
        <v>33</v>
      </c>
      <c r="D3306" t="s">
        <v>3531</v>
      </c>
      <c r="E3306">
        <v>99999999</v>
      </c>
      <c r="F3306">
        <v>11111111</v>
      </c>
      <c r="G3306">
        <v>1111111111</v>
      </c>
      <c r="H3306" t="s">
        <v>6875</v>
      </c>
      <c r="I3306">
        <v>99999999</v>
      </c>
      <c r="J3306" s="188">
        <v>45238</v>
      </c>
      <c r="K3306" t="s">
        <v>6875</v>
      </c>
      <c r="L3306" t="s">
        <v>6875</v>
      </c>
      <c r="M3306" t="s">
        <v>106</v>
      </c>
      <c r="N3306" t="s">
        <v>99</v>
      </c>
      <c r="O3306">
        <v>91789</v>
      </c>
      <c r="P3306" t="s">
        <v>221</v>
      </c>
      <c r="Q3306" t="s">
        <v>82</v>
      </c>
      <c r="R3306">
        <v>5</v>
      </c>
      <c r="S3306">
        <v>714</v>
      </c>
      <c r="T3306">
        <v>0</v>
      </c>
      <c r="U3306">
        <v>0</v>
      </c>
      <c r="V3306">
        <v>1</v>
      </c>
      <c r="W3306">
        <v>0</v>
      </c>
      <c r="X3306">
        <v>0</v>
      </c>
      <c r="Y3306">
        <v>0</v>
      </c>
      <c r="Z3306">
        <v>0</v>
      </c>
      <c r="AA3306">
        <v>5</v>
      </c>
      <c r="AB3306">
        <v>0</v>
      </c>
      <c r="AC3306">
        <v>0</v>
      </c>
      <c r="AD3306">
        <v>0</v>
      </c>
      <c r="AE3306">
        <v>0</v>
      </c>
      <c r="AF3306">
        <v>0</v>
      </c>
      <c r="AG3306">
        <v>0</v>
      </c>
      <c r="AH3306">
        <v>0</v>
      </c>
      <c r="AI3306">
        <v>0</v>
      </c>
      <c r="AJ3306">
        <v>0</v>
      </c>
      <c r="AK3306">
        <v>0</v>
      </c>
    </row>
    <row r="3307" spans="1:37" x14ac:dyDescent="0.3">
      <c r="A3307">
        <v>7484</v>
      </c>
      <c r="B3307" t="s">
        <v>33</v>
      </c>
      <c r="D3307" t="s">
        <v>3531</v>
      </c>
      <c r="E3307">
        <v>99999999</v>
      </c>
      <c r="F3307">
        <v>11111111</v>
      </c>
      <c r="G3307">
        <v>1111111111</v>
      </c>
      <c r="H3307" t="s">
        <v>6876</v>
      </c>
      <c r="I3307">
        <v>99999999</v>
      </c>
      <c r="J3307" s="188">
        <v>45238</v>
      </c>
      <c r="K3307" t="s">
        <v>6876</v>
      </c>
      <c r="L3307" t="s">
        <v>6876</v>
      </c>
      <c r="M3307" t="s">
        <v>106</v>
      </c>
      <c r="N3307" t="s">
        <v>99</v>
      </c>
      <c r="O3307">
        <v>91789</v>
      </c>
      <c r="P3307" t="s">
        <v>221</v>
      </c>
      <c r="Q3307" t="s">
        <v>82</v>
      </c>
      <c r="R3307">
        <v>8</v>
      </c>
      <c r="S3307">
        <v>256</v>
      </c>
      <c r="T3307">
        <v>0</v>
      </c>
      <c r="U3307">
        <v>0</v>
      </c>
      <c r="V3307">
        <v>1</v>
      </c>
      <c r="W3307">
        <v>0</v>
      </c>
      <c r="X3307">
        <v>0</v>
      </c>
      <c r="Y3307">
        <v>0</v>
      </c>
      <c r="Z3307">
        <v>0</v>
      </c>
      <c r="AA3307">
        <v>8</v>
      </c>
      <c r="AB3307">
        <v>0</v>
      </c>
      <c r="AC3307">
        <v>0</v>
      </c>
      <c r="AD3307">
        <v>0</v>
      </c>
      <c r="AE3307">
        <v>0</v>
      </c>
      <c r="AF3307">
        <v>0</v>
      </c>
      <c r="AG3307">
        <v>0</v>
      </c>
      <c r="AH3307">
        <v>0</v>
      </c>
      <c r="AI3307">
        <v>0</v>
      </c>
      <c r="AJ3307">
        <v>0</v>
      </c>
      <c r="AK3307">
        <v>0</v>
      </c>
    </row>
    <row r="3308" spans="1:37" x14ac:dyDescent="0.3">
      <c r="A3308">
        <v>7484</v>
      </c>
      <c r="B3308" t="s">
        <v>33</v>
      </c>
      <c r="D3308" t="s">
        <v>3531</v>
      </c>
      <c r="E3308">
        <v>99999999</v>
      </c>
      <c r="F3308">
        <v>11111111</v>
      </c>
      <c r="G3308">
        <v>1111111111</v>
      </c>
      <c r="H3308" t="s">
        <v>6877</v>
      </c>
      <c r="I3308">
        <v>99999999</v>
      </c>
      <c r="J3308" s="188">
        <v>45238</v>
      </c>
      <c r="K3308" t="s">
        <v>6877</v>
      </c>
      <c r="L3308" t="s">
        <v>6877</v>
      </c>
      <c r="M3308" t="s">
        <v>106</v>
      </c>
      <c r="N3308" t="s">
        <v>99</v>
      </c>
      <c r="O3308">
        <v>91789</v>
      </c>
      <c r="P3308" t="s">
        <v>221</v>
      </c>
      <c r="Q3308" t="s">
        <v>82</v>
      </c>
      <c r="R3308">
        <v>2</v>
      </c>
      <c r="S3308">
        <v>320</v>
      </c>
      <c r="T3308">
        <v>0</v>
      </c>
      <c r="U3308">
        <v>0</v>
      </c>
      <c r="V3308">
        <v>1</v>
      </c>
      <c r="W3308">
        <v>0</v>
      </c>
      <c r="X3308">
        <v>0</v>
      </c>
      <c r="Y3308">
        <v>0</v>
      </c>
      <c r="Z3308">
        <v>0</v>
      </c>
      <c r="AA3308">
        <v>2</v>
      </c>
      <c r="AB3308">
        <v>0</v>
      </c>
      <c r="AC3308">
        <v>0</v>
      </c>
      <c r="AD3308">
        <v>0</v>
      </c>
      <c r="AE3308">
        <v>0</v>
      </c>
      <c r="AF3308">
        <v>0</v>
      </c>
      <c r="AG3308">
        <v>0</v>
      </c>
      <c r="AH3308">
        <v>0</v>
      </c>
      <c r="AI3308">
        <v>0</v>
      </c>
      <c r="AJ3308">
        <v>0</v>
      </c>
      <c r="AK3308">
        <v>0</v>
      </c>
    </row>
    <row r="3309" spans="1:37" x14ac:dyDescent="0.3">
      <c r="A3309">
        <v>7484</v>
      </c>
      <c r="B3309" t="s">
        <v>33</v>
      </c>
      <c r="D3309" t="s">
        <v>3531</v>
      </c>
      <c r="E3309">
        <v>99999999</v>
      </c>
      <c r="F3309">
        <v>11111111</v>
      </c>
      <c r="G3309">
        <v>1111111111</v>
      </c>
      <c r="H3309" t="s">
        <v>6878</v>
      </c>
      <c r="I3309">
        <v>99999999</v>
      </c>
      <c r="J3309" s="188">
        <v>45238</v>
      </c>
      <c r="K3309" t="s">
        <v>6878</v>
      </c>
      <c r="L3309" t="s">
        <v>6878</v>
      </c>
      <c r="M3309" t="s">
        <v>106</v>
      </c>
      <c r="N3309" t="s">
        <v>99</v>
      </c>
      <c r="O3309">
        <v>91789</v>
      </c>
      <c r="P3309" t="s">
        <v>221</v>
      </c>
      <c r="Q3309" t="s">
        <v>82</v>
      </c>
      <c r="R3309">
        <v>1</v>
      </c>
      <c r="S3309">
        <v>28.5</v>
      </c>
      <c r="T3309">
        <v>0</v>
      </c>
      <c r="U3309">
        <v>0</v>
      </c>
      <c r="V3309">
        <v>1</v>
      </c>
      <c r="W3309">
        <v>0</v>
      </c>
      <c r="X3309">
        <v>0</v>
      </c>
      <c r="Y3309">
        <v>0</v>
      </c>
      <c r="Z3309">
        <v>0</v>
      </c>
      <c r="AA3309">
        <v>1</v>
      </c>
      <c r="AB3309">
        <v>0</v>
      </c>
      <c r="AC3309">
        <v>0</v>
      </c>
      <c r="AD3309">
        <v>0</v>
      </c>
      <c r="AE3309">
        <v>0</v>
      </c>
      <c r="AF3309">
        <v>0</v>
      </c>
      <c r="AG3309">
        <v>0</v>
      </c>
      <c r="AH3309">
        <v>0</v>
      </c>
      <c r="AI3309">
        <v>0</v>
      </c>
      <c r="AJ3309">
        <v>0</v>
      </c>
      <c r="AK3309">
        <v>0</v>
      </c>
    </row>
    <row r="3310" spans="1:37" x14ac:dyDescent="0.3">
      <c r="A3310">
        <v>7484</v>
      </c>
      <c r="B3310" t="s">
        <v>33</v>
      </c>
      <c r="D3310" t="s">
        <v>3531</v>
      </c>
      <c r="E3310">
        <v>99999999</v>
      </c>
      <c r="F3310">
        <v>11111111</v>
      </c>
      <c r="G3310">
        <v>1111111111</v>
      </c>
      <c r="H3310" t="s">
        <v>6879</v>
      </c>
      <c r="I3310">
        <v>99999999</v>
      </c>
      <c r="J3310" s="188">
        <v>45238</v>
      </c>
      <c r="K3310" t="s">
        <v>6879</v>
      </c>
      <c r="L3310" t="s">
        <v>6879</v>
      </c>
      <c r="M3310" t="s">
        <v>106</v>
      </c>
      <c r="N3310" t="s">
        <v>99</v>
      </c>
      <c r="O3310">
        <v>91789</v>
      </c>
      <c r="P3310" t="s">
        <v>221</v>
      </c>
      <c r="Q3310" t="s">
        <v>82</v>
      </c>
      <c r="R3310">
        <v>8</v>
      </c>
      <c r="S3310">
        <v>194.125</v>
      </c>
      <c r="T3310">
        <v>0</v>
      </c>
      <c r="U3310">
        <v>0</v>
      </c>
      <c r="V3310">
        <v>3</v>
      </c>
      <c r="W3310">
        <v>0</v>
      </c>
      <c r="X3310">
        <v>0</v>
      </c>
      <c r="Y3310">
        <v>0</v>
      </c>
      <c r="Z3310">
        <v>0</v>
      </c>
      <c r="AA3310">
        <v>8</v>
      </c>
      <c r="AB3310">
        <v>0</v>
      </c>
      <c r="AC3310">
        <v>0</v>
      </c>
      <c r="AD3310">
        <v>0</v>
      </c>
      <c r="AE3310">
        <v>0</v>
      </c>
      <c r="AF3310">
        <v>0</v>
      </c>
      <c r="AG3310">
        <v>0</v>
      </c>
      <c r="AH3310">
        <v>0</v>
      </c>
      <c r="AI3310">
        <v>0</v>
      </c>
      <c r="AJ3310">
        <v>0</v>
      </c>
      <c r="AK3310">
        <v>0</v>
      </c>
    </row>
    <row r="3311" spans="1:37" x14ac:dyDescent="0.3">
      <c r="A3311">
        <v>7484</v>
      </c>
      <c r="B3311" t="s">
        <v>33</v>
      </c>
      <c r="D3311" t="s">
        <v>3531</v>
      </c>
      <c r="E3311">
        <v>99999999</v>
      </c>
      <c r="F3311">
        <v>11111111</v>
      </c>
      <c r="G3311">
        <v>1111111111</v>
      </c>
      <c r="H3311" t="s">
        <v>6880</v>
      </c>
      <c r="I3311">
        <v>99999999</v>
      </c>
      <c r="J3311" s="188">
        <v>45238</v>
      </c>
      <c r="K3311" t="s">
        <v>6880</v>
      </c>
      <c r="L3311" t="s">
        <v>6880</v>
      </c>
      <c r="M3311" t="s">
        <v>106</v>
      </c>
      <c r="N3311" t="s">
        <v>99</v>
      </c>
      <c r="O3311">
        <v>91789</v>
      </c>
      <c r="P3311" t="s">
        <v>221</v>
      </c>
      <c r="Q3311" t="s">
        <v>82</v>
      </c>
      <c r="R3311">
        <v>40</v>
      </c>
      <c r="S3311">
        <v>1495.39</v>
      </c>
      <c r="T3311">
        <v>0</v>
      </c>
      <c r="U3311">
        <v>0</v>
      </c>
      <c r="V3311">
        <v>13</v>
      </c>
      <c r="W3311">
        <v>0</v>
      </c>
      <c r="X3311">
        <v>0</v>
      </c>
      <c r="Y3311">
        <v>0</v>
      </c>
      <c r="Z3311">
        <v>0</v>
      </c>
      <c r="AA3311">
        <v>40</v>
      </c>
      <c r="AB3311">
        <v>0</v>
      </c>
      <c r="AC3311">
        <v>0</v>
      </c>
      <c r="AD3311">
        <v>0</v>
      </c>
      <c r="AE3311">
        <v>0</v>
      </c>
      <c r="AF3311">
        <v>0</v>
      </c>
      <c r="AG3311">
        <v>0</v>
      </c>
      <c r="AH3311">
        <v>0</v>
      </c>
      <c r="AI3311">
        <v>0</v>
      </c>
      <c r="AJ3311">
        <v>0</v>
      </c>
      <c r="AK3311">
        <v>0</v>
      </c>
    </row>
    <row r="3312" spans="1:37" x14ac:dyDescent="0.3">
      <c r="A3312">
        <v>7484</v>
      </c>
      <c r="B3312" t="s">
        <v>33</v>
      </c>
      <c r="D3312" t="s">
        <v>3531</v>
      </c>
      <c r="E3312">
        <v>99999999</v>
      </c>
      <c r="F3312">
        <v>11111111</v>
      </c>
      <c r="G3312">
        <v>1111111111</v>
      </c>
      <c r="H3312" t="s">
        <v>6881</v>
      </c>
      <c r="I3312">
        <v>99999999</v>
      </c>
      <c r="J3312" s="188">
        <v>45238</v>
      </c>
      <c r="K3312" t="s">
        <v>6881</v>
      </c>
      <c r="L3312" t="s">
        <v>6881</v>
      </c>
      <c r="M3312" t="s">
        <v>106</v>
      </c>
      <c r="N3312" t="s">
        <v>99</v>
      </c>
      <c r="O3312">
        <v>91789</v>
      </c>
      <c r="P3312" t="s">
        <v>221</v>
      </c>
      <c r="Q3312" t="s">
        <v>82</v>
      </c>
      <c r="R3312">
        <v>5</v>
      </c>
      <c r="S3312">
        <v>315</v>
      </c>
      <c r="T3312">
        <v>0</v>
      </c>
      <c r="U3312">
        <v>0</v>
      </c>
      <c r="V3312">
        <v>1</v>
      </c>
      <c r="W3312">
        <v>0</v>
      </c>
      <c r="X3312">
        <v>0</v>
      </c>
      <c r="Y3312">
        <v>0</v>
      </c>
      <c r="Z3312">
        <v>0</v>
      </c>
      <c r="AA3312">
        <v>5</v>
      </c>
      <c r="AB3312">
        <v>0</v>
      </c>
      <c r="AC3312">
        <v>0</v>
      </c>
      <c r="AD3312">
        <v>0</v>
      </c>
      <c r="AE3312">
        <v>0</v>
      </c>
      <c r="AF3312">
        <v>0</v>
      </c>
      <c r="AG3312">
        <v>0</v>
      </c>
      <c r="AH3312">
        <v>0</v>
      </c>
      <c r="AI3312">
        <v>0</v>
      </c>
      <c r="AJ3312">
        <v>0</v>
      </c>
      <c r="AK3312">
        <v>0</v>
      </c>
    </row>
    <row r="3313" spans="1:37" x14ac:dyDescent="0.3">
      <c r="A3313">
        <v>7484</v>
      </c>
      <c r="B3313" t="s">
        <v>33</v>
      </c>
      <c r="D3313" t="s">
        <v>3531</v>
      </c>
      <c r="E3313">
        <v>99999999</v>
      </c>
      <c r="F3313">
        <v>11111111</v>
      </c>
      <c r="G3313">
        <v>1111111111</v>
      </c>
      <c r="H3313" t="s">
        <v>6882</v>
      </c>
      <c r="I3313">
        <v>99999999</v>
      </c>
      <c r="J3313" s="188">
        <v>45238</v>
      </c>
      <c r="K3313" t="s">
        <v>6882</v>
      </c>
      <c r="L3313" t="s">
        <v>6882</v>
      </c>
      <c r="M3313" t="s">
        <v>106</v>
      </c>
      <c r="N3313" t="s">
        <v>99</v>
      </c>
      <c r="O3313">
        <v>91789</v>
      </c>
      <c r="P3313" t="s">
        <v>221</v>
      </c>
      <c r="Q3313" t="s">
        <v>82</v>
      </c>
      <c r="R3313">
        <v>6</v>
      </c>
      <c r="S3313">
        <v>326.60000000000002</v>
      </c>
      <c r="T3313">
        <v>0</v>
      </c>
      <c r="U3313">
        <v>0</v>
      </c>
      <c r="V3313">
        <v>2</v>
      </c>
      <c r="W3313">
        <v>0</v>
      </c>
      <c r="X3313">
        <v>0</v>
      </c>
      <c r="Y3313">
        <v>0</v>
      </c>
      <c r="Z3313">
        <v>0</v>
      </c>
      <c r="AA3313">
        <v>6</v>
      </c>
      <c r="AB3313">
        <v>0</v>
      </c>
      <c r="AC3313">
        <v>0</v>
      </c>
      <c r="AD3313">
        <v>0</v>
      </c>
      <c r="AE3313">
        <v>0</v>
      </c>
      <c r="AF3313">
        <v>0</v>
      </c>
      <c r="AG3313">
        <v>0</v>
      </c>
      <c r="AH3313">
        <v>0</v>
      </c>
      <c r="AI3313">
        <v>0</v>
      </c>
      <c r="AJ3313">
        <v>0</v>
      </c>
      <c r="AK3313">
        <v>0</v>
      </c>
    </row>
    <row r="3314" spans="1:37" x14ac:dyDescent="0.3">
      <c r="A3314">
        <v>7484</v>
      </c>
      <c r="B3314" t="s">
        <v>33</v>
      </c>
      <c r="D3314" t="s">
        <v>3531</v>
      </c>
      <c r="E3314">
        <v>99999999</v>
      </c>
      <c r="F3314">
        <v>11111111</v>
      </c>
      <c r="G3314">
        <v>1111111111</v>
      </c>
      <c r="H3314" t="s">
        <v>6883</v>
      </c>
      <c r="I3314">
        <v>99999999</v>
      </c>
      <c r="J3314" s="188">
        <v>45238</v>
      </c>
      <c r="K3314" t="s">
        <v>6883</v>
      </c>
      <c r="L3314" t="s">
        <v>6883</v>
      </c>
      <c r="M3314" t="s">
        <v>106</v>
      </c>
      <c r="N3314" t="s">
        <v>99</v>
      </c>
      <c r="O3314">
        <v>91789</v>
      </c>
      <c r="P3314" t="s">
        <v>221</v>
      </c>
      <c r="Q3314" t="s">
        <v>82</v>
      </c>
      <c r="R3314">
        <v>2</v>
      </c>
      <c r="S3314">
        <v>206.8</v>
      </c>
      <c r="T3314">
        <v>0</v>
      </c>
      <c r="U3314">
        <v>0</v>
      </c>
      <c r="V3314">
        <v>1</v>
      </c>
      <c r="W3314">
        <v>0</v>
      </c>
      <c r="X3314">
        <v>0</v>
      </c>
      <c r="Y3314">
        <v>0</v>
      </c>
      <c r="Z3314">
        <v>0</v>
      </c>
      <c r="AA3314">
        <v>2</v>
      </c>
      <c r="AB3314">
        <v>0</v>
      </c>
      <c r="AC3314">
        <v>0</v>
      </c>
      <c r="AD3314">
        <v>0</v>
      </c>
      <c r="AE3314">
        <v>0</v>
      </c>
      <c r="AF3314">
        <v>0</v>
      </c>
      <c r="AG3314">
        <v>0</v>
      </c>
      <c r="AH3314">
        <v>0</v>
      </c>
      <c r="AI3314">
        <v>0</v>
      </c>
      <c r="AJ3314">
        <v>0</v>
      </c>
      <c r="AK3314">
        <v>0</v>
      </c>
    </row>
    <row r="3315" spans="1:37" x14ac:dyDescent="0.3">
      <c r="A3315">
        <v>7484</v>
      </c>
      <c r="B3315" t="s">
        <v>33</v>
      </c>
      <c r="D3315" t="s">
        <v>3531</v>
      </c>
      <c r="E3315">
        <v>99999999</v>
      </c>
      <c r="F3315">
        <v>11111111</v>
      </c>
      <c r="G3315">
        <v>1111111111</v>
      </c>
      <c r="H3315" t="s">
        <v>6884</v>
      </c>
      <c r="I3315">
        <v>99999999</v>
      </c>
      <c r="J3315" s="188">
        <v>45238</v>
      </c>
      <c r="K3315" t="s">
        <v>6884</v>
      </c>
      <c r="L3315" t="s">
        <v>6884</v>
      </c>
      <c r="M3315" t="s">
        <v>106</v>
      </c>
      <c r="N3315" t="s">
        <v>99</v>
      </c>
      <c r="O3315">
        <v>91789</v>
      </c>
      <c r="P3315" t="s">
        <v>221</v>
      </c>
      <c r="Q3315" t="s">
        <v>82</v>
      </c>
      <c r="R3315">
        <v>1</v>
      </c>
      <c r="S3315">
        <v>139.5</v>
      </c>
      <c r="T3315">
        <v>0</v>
      </c>
      <c r="U3315">
        <v>0</v>
      </c>
      <c r="V3315">
        <v>1</v>
      </c>
      <c r="W3315">
        <v>0</v>
      </c>
      <c r="X3315">
        <v>0</v>
      </c>
      <c r="Y3315">
        <v>0</v>
      </c>
      <c r="Z3315">
        <v>0</v>
      </c>
      <c r="AA3315">
        <v>1</v>
      </c>
      <c r="AB3315">
        <v>0</v>
      </c>
      <c r="AC3315">
        <v>0</v>
      </c>
      <c r="AD3315">
        <v>0</v>
      </c>
      <c r="AE3315">
        <v>0</v>
      </c>
      <c r="AF3315">
        <v>0</v>
      </c>
      <c r="AG3315">
        <v>0</v>
      </c>
      <c r="AH3315">
        <v>0</v>
      </c>
      <c r="AI3315">
        <v>0</v>
      </c>
      <c r="AJ3315">
        <v>0</v>
      </c>
      <c r="AK3315">
        <v>0</v>
      </c>
    </row>
    <row r="3316" spans="1:37" x14ac:dyDescent="0.3">
      <c r="A3316">
        <v>7484</v>
      </c>
      <c r="B3316" t="s">
        <v>33</v>
      </c>
      <c r="D3316" t="s">
        <v>3531</v>
      </c>
      <c r="E3316">
        <v>99999999</v>
      </c>
      <c r="F3316">
        <v>11111111</v>
      </c>
      <c r="G3316">
        <v>1111111111</v>
      </c>
      <c r="H3316" t="s">
        <v>6885</v>
      </c>
      <c r="I3316">
        <v>99999999</v>
      </c>
      <c r="J3316" s="188">
        <v>45238</v>
      </c>
      <c r="K3316" t="s">
        <v>6885</v>
      </c>
      <c r="L3316" t="s">
        <v>6885</v>
      </c>
      <c r="M3316" t="s">
        <v>106</v>
      </c>
      <c r="N3316" t="s">
        <v>99</v>
      </c>
      <c r="O3316">
        <v>91789</v>
      </c>
      <c r="P3316" t="s">
        <v>221</v>
      </c>
      <c r="Q3316" t="s">
        <v>82</v>
      </c>
      <c r="R3316">
        <v>1</v>
      </c>
      <c r="S3316">
        <v>139.5</v>
      </c>
      <c r="T3316">
        <v>0</v>
      </c>
      <c r="U3316">
        <v>0</v>
      </c>
      <c r="V3316">
        <v>1</v>
      </c>
      <c r="W3316">
        <v>0</v>
      </c>
      <c r="X3316">
        <v>0</v>
      </c>
      <c r="Y3316">
        <v>0</v>
      </c>
      <c r="Z3316">
        <v>0</v>
      </c>
      <c r="AA3316">
        <v>1</v>
      </c>
      <c r="AB3316">
        <v>0</v>
      </c>
      <c r="AC3316">
        <v>0</v>
      </c>
      <c r="AD3316">
        <v>0</v>
      </c>
      <c r="AE3316">
        <v>0</v>
      </c>
      <c r="AF3316">
        <v>0</v>
      </c>
      <c r="AG3316">
        <v>0</v>
      </c>
      <c r="AH3316">
        <v>0</v>
      </c>
      <c r="AI3316">
        <v>0</v>
      </c>
      <c r="AJ3316">
        <v>0</v>
      </c>
      <c r="AK3316">
        <v>0</v>
      </c>
    </row>
    <row r="3317" spans="1:37" x14ac:dyDescent="0.3">
      <c r="A3317">
        <v>7484</v>
      </c>
      <c r="B3317" t="s">
        <v>33</v>
      </c>
      <c r="D3317" t="s">
        <v>3531</v>
      </c>
      <c r="E3317">
        <v>99999999</v>
      </c>
      <c r="F3317">
        <v>11111111</v>
      </c>
      <c r="G3317">
        <v>1111111111</v>
      </c>
      <c r="H3317" t="s">
        <v>6886</v>
      </c>
      <c r="I3317">
        <v>99999999</v>
      </c>
      <c r="J3317" s="188">
        <v>45238</v>
      </c>
      <c r="K3317" t="s">
        <v>6886</v>
      </c>
      <c r="L3317" t="s">
        <v>6886</v>
      </c>
      <c r="M3317" t="s">
        <v>106</v>
      </c>
      <c r="N3317" t="s">
        <v>99</v>
      </c>
      <c r="O3317">
        <v>91789</v>
      </c>
      <c r="P3317" t="s">
        <v>221</v>
      </c>
      <c r="Q3317" t="s">
        <v>82</v>
      </c>
      <c r="R3317">
        <v>4</v>
      </c>
      <c r="S3317">
        <v>152</v>
      </c>
      <c r="T3317">
        <v>0</v>
      </c>
      <c r="U3317">
        <v>0</v>
      </c>
      <c r="V3317">
        <v>1</v>
      </c>
      <c r="W3317">
        <v>0</v>
      </c>
      <c r="X3317">
        <v>0</v>
      </c>
      <c r="Y3317">
        <v>0</v>
      </c>
      <c r="Z3317">
        <v>0</v>
      </c>
      <c r="AA3317">
        <v>4</v>
      </c>
      <c r="AB3317">
        <v>0</v>
      </c>
      <c r="AC3317">
        <v>0</v>
      </c>
      <c r="AD3317">
        <v>0</v>
      </c>
      <c r="AE3317">
        <v>0</v>
      </c>
      <c r="AF3317">
        <v>0</v>
      </c>
      <c r="AG3317">
        <v>0</v>
      </c>
      <c r="AH3317">
        <v>0</v>
      </c>
      <c r="AI3317">
        <v>0</v>
      </c>
      <c r="AJ3317">
        <v>0</v>
      </c>
      <c r="AK3317">
        <v>0</v>
      </c>
    </row>
    <row r="3318" spans="1:37" x14ac:dyDescent="0.3">
      <c r="A3318">
        <v>7484</v>
      </c>
      <c r="B3318" t="s">
        <v>33</v>
      </c>
      <c r="D3318" t="s">
        <v>3498</v>
      </c>
      <c r="E3318">
        <v>99999999</v>
      </c>
      <c r="F3318">
        <v>11111111</v>
      </c>
      <c r="G3318">
        <v>1111111111</v>
      </c>
      <c r="H3318" t="s">
        <v>6887</v>
      </c>
      <c r="I3318">
        <v>99999999</v>
      </c>
      <c r="J3318" s="188">
        <v>45238</v>
      </c>
      <c r="K3318" t="s">
        <v>6887</v>
      </c>
      <c r="L3318" t="s">
        <v>6887</v>
      </c>
      <c r="Q3318" t="s">
        <v>82</v>
      </c>
      <c r="R3318">
        <v>0</v>
      </c>
      <c r="T3318">
        <v>2</v>
      </c>
      <c r="U3318">
        <v>40</v>
      </c>
      <c r="V3318">
        <v>0</v>
      </c>
      <c r="W3318">
        <v>0</v>
      </c>
      <c r="X3318">
        <v>0</v>
      </c>
      <c r="Y3318">
        <v>0</v>
      </c>
      <c r="Z3318">
        <v>0</v>
      </c>
      <c r="AA3318">
        <v>0</v>
      </c>
      <c r="AB3318">
        <v>0</v>
      </c>
      <c r="AC3318">
        <v>0</v>
      </c>
      <c r="AD3318">
        <v>0</v>
      </c>
      <c r="AE3318">
        <v>0</v>
      </c>
      <c r="AF3318">
        <v>0</v>
      </c>
      <c r="AG3318">
        <v>0</v>
      </c>
      <c r="AH3318">
        <v>0</v>
      </c>
      <c r="AI3318">
        <v>0</v>
      </c>
      <c r="AJ3318">
        <v>0</v>
      </c>
      <c r="AK3318">
        <v>0</v>
      </c>
    </row>
    <row r="3319" spans="1:37" x14ac:dyDescent="0.3">
      <c r="A3319">
        <v>7484</v>
      </c>
      <c r="B3319" t="s">
        <v>33</v>
      </c>
      <c r="D3319" t="s">
        <v>3498</v>
      </c>
      <c r="E3319">
        <v>99999999</v>
      </c>
      <c r="F3319">
        <v>11111111</v>
      </c>
      <c r="G3319">
        <v>1111111111</v>
      </c>
      <c r="H3319" t="s">
        <v>6888</v>
      </c>
      <c r="I3319">
        <v>99999999</v>
      </c>
      <c r="J3319" s="188">
        <v>45238</v>
      </c>
      <c r="K3319" t="s">
        <v>6888</v>
      </c>
      <c r="L3319" t="s">
        <v>6888</v>
      </c>
      <c r="M3319" t="s">
        <v>132</v>
      </c>
      <c r="N3319" t="s">
        <v>99</v>
      </c>
      <c r="O3319">
        <v>94538</v>
      </c>
      <c r="P3319" t="s">
        <v>221</v>
      </c>
      <c r="Q3319" t="s">
        <v>82</v>
      </c>
      <c r="R3319">
        <v>2</v>
      </c>
      <c r="S3319">
        <v>74.099999999999994</v>
      </c>
      <c r="T3319">
        <v>0</v>
      </c>
      <c r="U3319">
        <v>0</v>
      </c>
      <c r="V3319">
        <v>1</v>
      </c>
      <c r="W3319">
        <v>0</v>
      </c>
      <c r="X3319">
        <v>0</v>
      </c>
      <c r="Y3319">
        <v>0</v>
      </c>
      <c r="Z3319">
        <v>0</v>
      </c>
      <c r="AA3319">
        <v>2</v>
      </c>
      <c r="AB3319">
        <v>0</v>
      </c>
      <c r="AC3319">
        <v>0</v>
      </c>
      <c r="AD3319">
        <v>0</v>
      </c>
      <c r="AE3319">
        <v>0</v>
      </c>
      <c r="AF3319">
        <v>0</v>
      </c>
      <c r="AG3319">
        <v>0</v>
      </c>
      <c r="AH3319">
        <v>0</v>
      </c>
      <c r="AI3319">
        <v>0</v>
      </c>
      <c r="AJ3319">
        <v>0</v>
      </c>
      <c r="AK3319">
        <v>0</v>
      </c>
    </row>
    <row r="3320" spans="1:37" x14ac:dyDescent="0.3">
      <c r="A3320">
        <v>7484</v>
      </c>
      <c r="B3320" t="s">
        <v>33</v>
      </c>
      <c r="D3320" t="s">
        <v>3498</v>
      </c>
      <c r="E3320">
        <v>99999999</v>
      </c>
      <c r="F3320">
        <v>11111111</v>
      </c>
      <c r="G3320">
        <v>1111111111</v>
      </c>
      <c r="H3320" t="s">
        <v>6889</v>
      </c>
      <c r="I3320">
        <v>99999999</v>
      </c>
      <c r="J3320" s="188">
        <v>45238</v>
      </c>
      <c r="K3320" t="s">
        <v>6889</v>
      </c>
      <c r="L3320" t="s">
        <v>6889</v>
      </c>
      <c r="M3320" t="s">
        <v>132</v>
      </c>
      <c r="N3320" t="s">
        <v>99</v>
      </c>
      <c r="O3320">
        <v>94538</v>
      </c>
      <c r="P3320" t="s">
        <v>221</v>
      </c>
      <c r="Q3320" t="s">
        <v>82</v>
      </c>
      <c r="R3320">
        <v>1</v>
      </c>
      <c r="S3320">
        <v>41.6</v>
      </c>
      <c r="T3320">
        <v>0</v>
      </c>
      <c r="U3320">
        <v>0</v>
      </c>
      <c r="V3320">
        <v>1</v>
      </c>
      <c r="W3320">
        <v>0</v>
      </c>
      <c r="X3320">
        <v>0</v>
      </c>
      <c r="Y3320">
        <v>0</v>
      </c>
      <c r="Z3320">
        <v>0</v>
      </c>
      <c r="AA3320">
        <v>1</v>
      </c>
      <c r="AB3320">
        <v>0</v>
      </c>
      <c r="AC3320">
        <v>0</v>
      </c>
      <c r="AD3320">
        <v>0</v>
      </c>
      <c r="AE3320">
        <v>0</v>
      </c>
      <c r="AF3320">
        <v>0</v>
      </c>
      <c r="AG3320">
        <v>0</v>
      </c>
      <c r="AH3320">
        <v>0</v>
      </c>
      <c r="AI3320">
        <v>0</v>
      </c>
      <c r="AJ3320">
        <v>0</v>
      </c>
      <c r="AK3320">
        <v>0</v>
      </c>
    </row>
    <row r="3321" spans="1:37" x14ac:dyDescent="0.3">
      <c r="A3321">
        <v>7484</v>
      </c>
      <c r="B3321" t="s">
        <v>33</v>
      </c>
      <c r="D3321" t="s">
        <v>3498</v>
      </c>
      <c r="E3321">
        <v>99999999</v>
      </c>
      <c r="F3321">
        <v>11111111</v>
      </c>
      <c r="G3321">
        <v>1111111111</v>
      </c>
      <c r="H3321" t="s">
        <v>6890</v>
      </c>
      <c r="I3321">
        <v>99999999</v>
      </c>
      <c r="J3321" s="188">
        <v>45238</v>
      </c>
      <c r="K3321" t="s">
        <v>6890</v>
      </c>
      <c r="L3321" t="s">
        <v>6890</v>
      </c>
      <c r="M3321" t="s">
        <v>132</v>
      </c>
      <c r="N3321" t="s">
        <v>99</v>
      </c>
      <c r="O3321">
        <v>94538</v>
      </c>
      <c r="P3321" t="s">
        <v>221</v>
      </c>
      <c r="Q3321" t="s">
        <v>82</v>
      </c>
      <c r="R3321">
        <v>33</v>
      </c>
      <c r="S3321">
        <v>1963.0630000000001</v>
      </c>
      <c r="T3321">
        <v>0</v>
      </c>
      <c r="U3321">
        <v>0</v>
      </c>
      <c r="V3321">
        <v>14</v>
      </c>
      <c r="W3321">
        <v>0</v>
      </c>
      <c r="X3321">
        <v>0</v>
      </c>
      <c r="Y3321">
        <v>0</v>
      </c>
      <c r="Z3321">
        <v>0</v>
      </c>
      <c r="AA3321">
        <v>33</v>
      </c>
      <c r="AB3321">
        <v>0</v>
      </c>
      <c r="AC3321">
        <v>0</v>
      </c>
      <c r="AD3321">
        <v>0</v>
      </c>
      <c r="AE3321">
        <v>0</v>
      </c>
      <c r="AF3321">
        <v>0</v>
      </c>
      <c r="AG3321">
        <v>0</v>
      </c>
      <c r="AH3321">
        <v>0</v>
      </c>
      <c r="AI3321">
        <v>0</v>
      </c>
      <c r="AJ3321">
        <v>0</v>
      </c>
      <c r="AK3321">
        <v>0</v>
      </c>
    </row>
    <row r="3322" spans="1:37" x14ac:dyDescent="0.3">
      <c r="A3322">
        <v>7484</v>
      </c>
      <c r="B3322" t="s">
        <v>33</v>
      </c>
      <c r="D3322" t="s">
        <v>3498</v>
      </c>
      <c r="E3322">
        <v>99999999</v>
      </c>
      <c r="F3322">
        <v>11111111</v>
      </c>
      <c r="G3322">
        <v>1111111111</v>
      </c>
      <c r="H3322" t="s">
        <v>6891</v>
      </c>
      <c r="I3322">
        <v>99999999</v>
      </c>
      <c r="J3322" s="188">
        <v>45238</v>
      </c>
      <c r="K3322" t="s">
        <v>6891</v>
      </c>
      <c r="L3322" t="s">
        <v>6891</v>
      </c>
      <c r="M3322" t="s">
        <v>132</v>
      </c>
      <c r="N3322" t="s">
        <v>99</v>
      </c>
      <c r="O3322">
        <v>94538</v>
      </c>
      <c r="P3322" t="s">
        <v>221</v>
      </c>
      <c r="Q3322" t="s">
        <v>82</v>
      </c>
      <c r="R3322">
        <v>4</v>
      </c>
      <c r="S3322">
        <v>260.95</v>
      </c>
      <c r="T3322">
        <v>0</v>
      </c>
      <c r="U3322">
        <v>0</v>
      </c>
      <c r="V3322">
        <v>2</v>
      </c>
      <c r="W3322">
        <v>0</v>
      </c>
      <c r="X3322">
        <v>0</v>
      </c>
      <c r="Y3322">
        <v>0</v>
      </c>
      <c r="Z3322">
        <v>0</v>
      </c>
      <c r="AA3322">
        <v>4</v>
      </c>
      <c r="AB3322">
        <v>0</v>
      </c>
      <c r="AC3322">
        <v>0</v>
      </c>
      <c r="AD3322">
        <v>0</v>
      </c>
      <c r="AE3322">
        <v>0</v>
      </c>
      <c r="AF3322">
        <v>0</v>
      </c>
      <c r="AG3322">
        <v>0</v>
      </c>
      <c r="AH3322">
        <v>0</v>
      </c>
      <c r="AI3322">
        <v>0</v>
      </c>
      <c r="AJ3322">
        <v>0</v>
      </c>
      <c r="AK3322">
        <v>0</v>
      </c>
    </row>
    <row r="3323" spans="1:37" x14ac:dyDescent="0.3">
      <c r="A3323">
        <v>7484</v>
      </c>
      <c r="B3323" t="s">
        <v>33</v>
      </c>
      <c r="D3323" t="s">
        <v>3531</v>
      </c>
      <c r="E3323">
        <v>99999999</v>
      </c>
      <c r="F3323">
        <v>11111111</v>
      </c>
      <c r="G3323">
        <v>1111111111</v>
      </c>
      <c r="H3323" t="s">
        <v>6892</v>
      </c>
      <c r="I3323">
        <v>99999999</v>
      </c>
      <c r="J3323" s="188">
        <v>45236</v>
      </c>
      <c r="K3323" t="s">
        <v>6892</v>
      </c>
      <c r="L3323" t="s">
        <v>6892</v>
      </c>
      <c r="Q3323" t="s">
        <v>82</v>
      </c>
      <c r="R3323">
        <v>0</v>
      </c>
      <c r="T3323">
        <v>1</v>
      </c>
      <c r="U3323">
        <v>13</v>
      </c>
      <c r="V3323">
        <v>0</v>
      </c>
      <c r="W3323">
        <v>0</v>
      </c>
      <c r="X3323">
        <v>0</v>
      </c>
      <c r="Y3323">
        <v>0</v>
      </c>
      <c r="Z3323">
        <v>0</v>
      </c>
      <c r="AA3323">
        <v>0</v>
      </c>
      <c r="AB3323">
        <v>0</v>
      </c>
      <c r="AC3323">
        <v>0</v>
      </c>
      <c r="AD3323">
        <v>0</v>
      </c>
      <c r="AE3323">
        <v>0</v>
      </c>
      <c r="AF3323">
        <v>0</v>
      </c>
      <c r="AG3323">
        <v>0</v>
      </c>
      <c r="AH3323">
        <v>0</v>
      </c>
      <c r="AI3323">
        <v>0</v>
      </c>
      <c r="AJ3323">
        <v>0</v>
      </c>
      <c r="AK3323">
        <v>0</v>
      </c>
    </row>
    <row r="3324" spans="1:37" x14ac:dyDescent="0.3">
      <c r="A3324">
        <v>7484</v>
      </c>
      <c r="B3324" t="s">
        <v>33</v>
      </c>
      <c r="D3324" t="s">
        <v>3531</v>
      </c>
      <c r="E3324">
        <v>99999999</v>
      </c>
      <c r="F3324">
        <v>11111111</v>
      </c>
      <c r="G3324">
        <v>1111111111</v>
      </c>
      <c r="H3324" t="s">
        <v>6893</v>
      </c>
      <c r="I3324">
        <v>99999999</v>
      </c>
      <c r="J3324" s="188">
        <v>45236</v>
      </c>
      <c r="K3324" t="s">
        <v>6893</v>
      </c>
      <c r="L3324" t="s">
        <v>6893</v>
      </c>
      <c r="M3324" t="s">
        <v>3562</v>
      </c>
      <c r="N3324" t="s">
        <v>99</v>
      </c>
      <c r="O3324">
        <v>92081</v>
      </c>
      <c r="P3324" t="s">
        <v>221</v>
      </c>
      <c r="Q3324" t="s">
        <v>82</v>
      </c>
      <c r="R3324">
        <v>9</v>
      </c>
      <c r="S3324">
        <v>1202</v>
      </c>
      <c r="T3324">
        <v>0</v>
      </c>
      <c r="U3324">
        <v>0</v>
      </c>
      <c r="V3324">
        <v>6</v>
      </c>
      <c r="W3324">
        <v>0</v>
      </c>
      <c r="X3324">
        <v>0</v>
      </c>
      <c r="Y3324">
        <v>0</v>
      </c>
      <c r="Z3324">
        <v>0</v>
      </c>
      <c r="AA3324">
        <v>9</v>
      </c>
      <c r="AB3324">
        <v>0</v>
      </c>
      <c r="AC3324">
        <v>0</v>
      </c>
      <c r="AD3324">
        <v>0</v>
      </c>
      <c r="AE3324">
        <v>0</v>
      </c>
      <c r="AF3324">
        <v>0</v>
      </c>
      <c r="AG3324">
        <v>0</v>
      </c>
      <c r="AH3324">
        <v>0</v>
      </c>
      <c r="AI3324">
        <v>0</v>
      </c>
      <c r="AJ3324">
        <v>0</v>
      </c>
      <c r="AK3324">
        <v>0</v>
      </c>
    </row>
    <row r="3325" spans="1:37" x14ac:dyDescent="0.3">
      <c r="A3325">
        <v>7484</v>
      </c>
      <c r="B3325" t="s">
        <v>33</v>
      </c>
      <c r="D3325" t="s">
        <v>3531</v>
      </c>
      <c r="E3325">
        <v>99999999</v>
      </c>
      <c r="F3325">
        <v>11111111</v>
      </c>
      <c r="G3325">
        <v>1111111111</v>
      </c>
      <c r="H3325" t="s">
        <v>6894</v>
      </c>
      <c r="I3325">
        <v>99999999</v>
      </c>
      <c r="J3325" s="188">
        <v>45236</v>
      </c>
      <c r="K3325" t="s">
        <v>6894</v>
      </c>
      <c r="L3325" t="s">
        <v>6894</v>
      </c>
      <c r="M3325" t="s">
        <v>3562</v>
      </c>
      <c r="N3325" t="s">
        <v>99</v>
      </c>
      <c r="O3325">
        <v>92081</v>
      </c>
      <c r="P3325" t="s">
        <v>221</v>
      </c>
      <c r="Q3325" t="s">
        <v>82</v>
      </c>
      <c r="R3325">
        <v>4</v>
      </c>
      <c r="S3325">
        <v>228</v>
      </c>
      <c r="T3325">
        <v>0</v>
      </c>
      <c r="U3325">
        <v>0</v>
      </c>
      <c r="V3325">
        <v>1</v>
      </c>
      <c r="W3325">
        <v>0</v>
      </c>
      <c r="X3325">
        <v>0</v>
      </c>
      <c r="Y3325">
        <v>0</v>
      </c>
      <c r="Z3325">
        <v>0</v>
      </c>
      <c r="AA3325">
        <v>4</v>
      </c>
      <c r="AB3325">
        <v>0</v>
      </c>
      <c r="AC3325">
        <v>0</v>
      </c>
      <c r="AD3325">
        <v>0</v>
      </c>
      <c r="AE3325">
        <v>0</v>
      </c>
      <c r="AF3325">
        <v>0</v>
      </c>
      <c r="AG3325">
        <v>0</v>
      </c>
      <c r="AH3325">
        <v>0</v>
      </c>
      <c r="AI3325">
        <v>0</v>
      </c>
      <c r="AJ3325">
        <v>0</v>
      </c>
      <c r="AK3325">
        <v>0</v>
      </c>
    </row>
    <row r="3326" spans="1:37" x14ac:dyDescent="0.3">
      <c r="A3326">
        <v>7134</v>
      </c>
      <c r="B3326" t="s">
        <v>28</v>
      </c>
      <c r="C3326">
        <v>699</v>
      </c>
      <c r="D3326" t="s">
        <v>3500</v>
      </c>
      <c r="E3326">
        <v>99999999</v>
      </c>
      <c r="F3326">
        <v>11111111</v>
      </c>
      <c r="G3326">
        <v>1111111111</v>
      </c>
      <c r="H3326" t="s">
        <v>6895</v>
      </c>
      <c r="I3326">
        <v>99999999</v>
      </c>
      <c r="J3326" s="188">
        <v>45236</v>
      </c>
      <c r="K3326" t="s">
        <v>6895</v>
      </c>
      <c r="L3326" t="s">
        <v>6895</v>
      </c>
      <c r="Q3326" t="s">
        <v>124</v>
      </c>
      <c r="R3326">
        <v>0</v>
      </c>
      <c r="T3326">
        <v>1</v>
      </c>
      <c r="U3326">
        <v>61</v>
      </c>
      <c r="V3326">
        <v>0</v>
      </c>
      <c r="W3326">
        <v>0</v>
      </c>
      <c r="X3326">
        <v>0</v>
      </c>
      <c r="Y3326">
        <v>0</v>
      </c>
      <c r="Z3326">
        <v>0</v>
      </c>
      <c r="AA3326">
        <v>0</v>
      </c>
      <c r="AB3326">
        <v>0</v>
      </c>
      <c r="AC3326">
        <v>0</v>
      </c>
      <c r="AD3326">
        <v>0</v>
      </c>
      <c r="AE3326">
        <v>0</v>
      </c>
      <c r="AF3326">
        <v>0</v>
      </c>
      <c r="AG3326">
        <v>0</v>
      </c>
      <c r="AH3326">
        <v>0</v>
      </c>
      <c r="AI3326">
        <v>0</v>
      </c>
      <c r="AJ3326">
        <v>0</v>
      </c>
      <c r="AK3326">
        <v>0</v>
      </c>
    </row>
    <row r="3327" spans="1:37" x14ac:dyDescent="0.3">
      <c r="A3327">
        <v>7134</v>
      </c>
      <c r="B3327" t="s">
        <v>28</v>
      </c>
      <c r="C3327">
        <v>699</v>
      </c>
      <c r="D3327" t="s">
        <v>3500</v>
      </c>
      <c r="E3327">
        <v>99999999</v>
      </c>
      <c r="F3327">
        <v>11111111</v>
      </c>
      <c r="G3327">
        <v>1111111111</v>
      </c>
      <c r="H3327" t="s">
        <v>6896</v>
      </c>
      <c r="I3327">
        <v>99999999</v>
      </c>
      <c r="J3327" s="188">
        <v>45236</v>
      </c>
      <c r="K3327" t="s">
        <v>6896</v>
      </c>
      <c r="L3327" t="s">
        <v>6896</v>
      </c>
      <c r="M3327" t="s">
        <v>3297</v>
      </c>
      <c r="N3327" t="s">
        <v>811</v>
      </c>
      <c r="O3327">
        <v>20774</v>
      </c>
      <c r="Q3327" t="s">
        <v>124</v>
      </c>
      <c r="R3327">
        <v>28</v>
      </c>
      <c r="S3327">
        <v>25.722000000000001</v>
      </c>
      <c r="T3327">
        <v>0</v>
      </c>
      <c r="U3327">
        <v>0</v>
      </c>
      <c r="V3327">
        <v>12</v>
      </c>
      <c r="W3327">
        <v>0</v>
      </c>
      <c r="X3327">
        <v>0</v>
      </c>
      <c r="Y3327">
        <v>0</v>
      </c>
      <c r="Z3327">
        <v>0</v>
      </c>
      <c r="AA3327">
        <v>0</v>
      </c>
      <c r="AB3327">
        <v>0</v>
      </c>
      <c r="AC3327">
        <v>0</v>
      </c>
      <c r="AD3327">
        <v>28</v>
      </c>
      <c r="AE3327">
        <v>0</v>
      </c>
      <c r="AF3327">
        <v>0</v>
      </c>
      <c r="AG3327">
        <v>0</v>
      </c>
      <c r="AH3327">
        <v>0</v>
      </c>
      <c r="AI3327">
        <v>0</v>
      </c>
      <c r="AJ3327">
        <v>0</v>
      </c>
      <c r="AK3327">
        <v>0</v>
      </c>
    </row>
    <row r="3328" spans="1:37" x14ac:dyDescent="0.3">
      <c r="A3328">
        <v>7134</v>
      </c>
      <c r="B3328" t="s">
        <v>28</v>
      </c>
      <c r="C3328">
        <v>699</v>
      </c>
      <c r="D3328" t="s">
        <v>3500</v>
      </c>
      <c r="E3328">
        <v>99999999</v>
      </c>
      <c r="F3328">
        <v>11111111</v>
      </c>
      <c r="G3328">
        <v>1111111111</v>
      </c>
      <c r="H3328" t="s">
        <v>6897</v>
      </c>
      <c r="I3328">
        <v>99999999</v>
      </c>
      <c r="J3328" s="188">
        <v>45236</v>
      </c>
      <c r="K3328" t="s">
        <v>6897</v>
      </c>
      <c r="L3328" t="s">
        <v>6897</v>
      </c>
      <c r="M3328" t="s">
        <v>3297</v>
      </c>
      <c r="N3328" t="s">
        <v>811</v>
      </c>
      <c r="O3328">
        <v>20774</v>
      </c>
      <c r="Q3328" t="s">
        <v>124</v>
      </c>
      <c r="R3328">
        <v>2</v>
      </c>
      <c r="S3328">
        <v>1.18</v>
      </c>
      <c r="T3328">
        <v>0</v>
      </c>
      <c r="U3328">
        <v>0</v>
      </c>
      <c r="V3328">
        <v>2</v>
      </c>
      <c r="W3328">
        <v>0</v>
      </c>
      <c r="X3328">
        <v>0</v>
      </c>
      <c r="Y3328">
        <v>0</v>
      </c>
      <c r="Z3328">
        <v>0</v>
      </c>
      <c r="AA3328">
        <v>0</v>
      </c>
      <c r="AB3328">
        <v>0</v>
      </c>
      <c r="AC3328">
        <v>0</v>
      </c>
      <c r="AD3328">
        <v>2</v>
      </c>
      <c r="AE3328">
        <v>0</v>
      </c>
      <c r="AF3328">
        <v>0</v>
      </c>
      <c r="AG3328">
        <v>0</v>
      </c>
      <c r="AH3328">
        <v>0</v>
      </c>
      <c r="AI3328">
        <v>0</v>
      </c>
      <c r="AJ3328">
        <v>0</v>
      </c>
      <c r="AK3328">
        <v>0</v>
      </c>
    </row>
    <row r="3329" spans="1:37" x14ac:dyDescent="0.3">
      <c r="A3329">
        <v>7134</v>
      </c>
      <c r="B3329" t="s">
        <v>28</v>
      </c>
      <c r="C3329">
        <v>699</v>
      </c>
      <c r="D3329" t="s">
        <v>3500</v>
      </c>
      <c r="E3329">
        <v>99999999</v>
      </c>
      <c r="F3329">
        <v>11111111</v>
      </c>
      <c r="G3329">
        <v>1111111111</v>
      </c>
      <c r="H3329" t="s">
        <v>6898</v>
      </c>
      <c r="I3329">
        <v>99999999</v>
      </c>
      <c r="J3329" s="188">
        <v>45236</v>
      </c>
      <c r="K3329" t="s">
        <v>6898</v>
      </c>
      <c r="L3329" t="s">
        <v>6898</v>
      </c>
      <c r="M3329" t="s">
        <v>3297</v>
      </c>
      <c r="N3329" t="s">
        <v>811</v>
      </c>
      <c r="O3329">
        <v>20774</v>
      </c>
      <c r="Q3329" t="s">
        <v>124</v>
      </c>
      <c r="R3329">
        <v>17</v>
      </c>
      <c r="S3329">
        <v>16.155999999999999</v>
      </c>
      <c r="T3329">
        <v>0</v>
      </c>
      <c r="U3329">
        <v>0</v>
      </c>
      <c r="V3329">
        <v>10</v>
      </c>
      <c r="W3329">
        <v>0</v>
      </c>
      <c r="X3329">
        <v>0</v>
      </c>
      <c r="Y3329">
        <v>0</v>
      </c>
      <c r="Z3329">
        <v>0</v>
      </c>
      <c r="AA3329">
        <v>0</v>
      </c>
      <c r="AB3329">
        <v>0</v>
      </c>
      <c r="AC3329">
        <v>0</v>
      </c>
      <c r="AD3329">
        <v>17</v>
      </c>
      <c r="AE3329">
        <v>0</v>
      </c>
      <c r="AF3329">
        <v>0</v>
      </c>
      <c r="AG3329">
        <v>0</v>
      </c>
      <c r="AH3329">
        <v>0</v>
      </c>
      <c r="AI3329">
        <v>0</v>
      </c>
      <c r="AJ3329">
        <v>0</v>
      </c>
      <c r="AK3329">
        <v>0</v>
      </c>
    </row>
    <row r="3330" spans="1:37" x14ac:dyDescent="0.3">
      <c r="A3330">
        <v>7134</v>
      </c>
      <c r="B3330" t="s">
        <v>28</v>
      </c>
      <c r="C3330">
        <v>699</v>
      </c>
      <c r="D3330" t="s">
        <v>3500</v>
      </c>
      <c r="E3330">
        <v>99999999</v>
      </c>
      <c r="F3330">
        <v>11111111</v>
      </c>
      <c r="G3330">
        <v>1111111111</v>
      </c>
      <c r="H3330" t="s">
        <v>6899</v>
      </c>
      <c r="I3330">
        <v>99999999</v>
      </c>
      <c r="J3330" s="188">
        <v>45236</v>
      </c>
      <c r="K3330" t="s">
        <v>6899</v>
      </c>
      <c r="L3330" t="s">
        <v>6899</v>
      </c>
      <c r="M3330" t="s">
        <v>3297</v>
      </c>
      <c r="N3330" t="s">
        <v>811</v>
      </c>
      <c r="O3330">
        <v>20774</v>
      </c>
      <c r="Q3330" t="s">
        <v>124</v>
      </c>
      <c r="R3330">
        <v>13</v>
      </c>
      <c r="S3330">
        <v>12.715999999999999</v>
      </c>
      <c r="T3330">
        <v>0</v>
      </c>
      <c r="U3330">
        <v>0</v>
      </c>
      <c r="V3330">
        <v>8</v>
      </c>
      <c r="W3330">
        <v>0</v>
      </c>
      <c r="X3330">
        <v>0</v>
      </c>
      <c r="Y3330">
        <v>0</v>
      </c>
      <c r="Z3330">
        <v>0</v>
      </c>
      <c r="AA3330">
        <v>0</v>
      </c>
      <c r="AB3330">
        <v>0</v>
      </c>
      <c r="AC3330">
        <v>0</v>
      </c>
      <c r="AD3330">
        <v>13</v>
      </c>
      <c r="AE3330">
        <v>0</v>
      </c>
      <c r="AF3330">
        <v>0</v>
      </c>
      <c r="AG3330">
        <v>0</v>
      </c>
      <c r="AH3330">
        <v>0</v>
      </c>
      <c r="AI3330">
        <v>0</v>
      </c>
      <c r="AJ3330">
        <v>0</v>
      </c>
      <c r="AK3330">
        <v>0</v>
      </c>
    </row>
    <row r="3331" spans="1:37" x14ac:dyDescent="0.3">
      <c r="A3331">
        <v>7134</v>
      </c>
      <c r="B3331" t="s">
        <v>28</v>
      </c>
      <c r="C3331">
        <v>699</v>
      </c>
      <c r="D3331" t="s">
        <v>3500</v>
      </c>
      <c r="E3331">
        <v>99999999</v>
      </c>
      <c r="F3331">
        <v>11111111</v>
      </c>
      <c r="G3331">
        <v>1111111111</v>
      </c>
      <c r="H3331" t="s">
        <v>6900</v>
      </c>
      <c r="I3331">
        <v>99999999</v>
      </c>
      <c r="J3331" s="188">
        <v>45236</v>
      </c>
      <c r="K3331" t="s">
        <v>6900</v>
      </c>
      <c r="L3331" t="s">
        <v>6900</v>
      </c>
      <c r="M3331" t="s">
        <v>3297</v>
      </c>
      <c r="N3331" t="s">
        <v>811</v>
      </c>
      <c r="O3331">
        <v>20774</v>
      </c>
      <c r="Q3331" t="s">
        <v>124</v>
      </c>
      <c r="R3331">
        <v>25</v>
      </c>
      <c r="S3331">
        <v>24.166</v>
      </c>
      <c r="T3331">
        <v>0</v>
      </c>
      <c r="U3331">
        <v>0</v>
      </c>
      <c r="V3331">
        <v>11</v>
      </c>
      <c r="W3331">
        <v>0</v>
      </c>
      <c r="X3331">
        <v>0</v>
      </c>
      <c r="Y3331">
        <v>0</v>
      </c>
      <c r="Z3331">
        <v>0</v>
      </c>
      <c r="AA3331">
        <v>0</v>
      </c>
      <c r="AB3331">
        <v>0</v>
      </c>
      <c r="AC3331">
        <v>0</v>
      </c>
      <c r="AD3331">
        <v>25</v>
      </c>
      <c r="AE3331">
        <v>0</v>
      </c>
      <c r="AF3331">
        <v>0</v>
      </c>
      <c r="AG3331">
        <v>0</v>
      </c>
      <c r="AH3331">
        <v>0</v>
      </c>
      <c r="AI3331">
        <v>0</v>
      </c>
      <c r="AJ3331">
        <v>0</v>
      </c>
      <c r="AK3331">
        <v>0</v>
      </c>
    </row>
    <row r="3332" spans="1:37" x14ac:dyDescent="0.3">
      <c r="A3332">
        <v>7134</v>
      </c>
      <c r="B3332" t="s">
        <v>28</v>
      </c>
      <c r="C3332">
        <v>699</v>
      </c>
      <c r="D3332" t="s">
        <v>3500</v>
      </c>
      <c r="E3332">
        <v>99999999</v>
      </c>
      <c r="F3332">
        <v>11111111</v>
      </c>
      <c r="G3332">
        <v>1111111111</v>
      </c>
      <c r="H3332" t="s">
        <v>6901</v>
      </c>
      <c r="I3332">
        <v>99999999</v>
      </c>
      <c r="J3332" s="188">
        <v>45236</v>
      </c>
      <c r="K3332" t="s">
        <v>6901</v>
      </c>
      <c r="L3332" t="s">
        <v>6901</v>
      </c>
      <c r="M3332" t="s">
        <v>3297</v>
      </c>
      <c r="N3332" t="s">
        <v>811</v>
      </c>
      <c r="O3332">
        <v>20774</v>
      </c>
      <c r="Q3332" t="s">
        <v>124</v>
      </c>
      <c r="R3332">
        <v>6</v>
      </c>
      <c r="S3332">
        <v>5.7759999999999998</v>
      </c>
      <c r="T3332">
        <v>0</v>
      </c>
      <c r="U3332">
        <v>0</v>
      </c>
      <c r="V3332">
        <v>6</v>
      </c>
      <c r="W3332">
        <v>0</v>
      </c>
      <c r="X3332">
        <v>0</v>
      </c>
      <c r="Y3332">
        <v>0</v>
      </c>
      <c r="Z3332">
        <v>0</v>
      </c>
      <c r="AA3332">
        <v>0</v>
      </c>
      <c r="AB3332">
        <v>0</v>
      </c>
      <c r="AC3332">
        <v>0</v>
      </c>
      <c r="AD3332">
        <v>6</v>
      </c>
      <c r="AE3332">
        <v>0</v>
      </c>
      <c r="AF3332">
        <v>0</v>
      </c>
      <c r="AG3332">
        <v>0</v>
      </c>
      <c r="AH3332">
        <v>0</v>
      </c>
      <c r="AI3332">
        <v>0</v>
      </c>
      <c r="AJ3332">
        <v>0</v>
      </c>
      <c r="AK3332">
        <v>0</v>
      </c>
    </row>
    <row r="3333" spans="1:37" x14ac:dyDescent="0.3">
      <c r="A3333">
        <v>7134</v>
      </c>
      <c r="B3333" t="s">
        <v>28</v>
      </c>
      <c r="C3333">
        <v>699</v>
      </c>
      <c r="D3333" t="s">
        <v>3500</v>
      </c>
      <c r="E3333">
        <v>99999999</v>
      </c>
      <c r="F3333">
        <v>11111111</v>
      </c>
      <c r="G3333">
        <v>1111111111</v>
      </c>
      <c r="H3333" t="s">
        <v>6902</v>
      </c>
      <c r="I3333">
        <v>99999999</v>
      </c>
      <c r="J3333" s="188">
        <v>45236</v>
      </c>
      <c r="K3333" t="s">
        <v>6902</v>
      </c>
      <c r="L3333" t="s">
        <v>6902</v>
      </c>
      <c r="M3333" t="s">
        <v>3297</v>
      </c>
      <c r="N3333" t="s">
        <v>811</v>
      </c>
      <c r="O3333">
        <v>20774</v>
      </c>
      <c r="Q3333" t="s">
        <v>124</v>
      </c>
      <c r="R3333">
        <v>4</v>
      </c>
      <c r="S3333">
        <v>2.94</v>
      </c>
      <c r="T3333">
        <v>0</v>
      </c>
      <c r="U3333">
        <v>0</v>
      </c>
      <c r="V3333">
        <v>4</v>
      </c>
      <c r="W3333">
        <v>0</v>
      </c>
      <c r="X3333">
        <v>0</v>
      </c>
      <c r="Y3333">
        <v>0</v>
      </c>
      <c r="Z3333">
        <v>0</v>
      </c>
      <c r="AA3333">
        <v>0</v>
      </c>
      <c r="AB3333">
        <v>0</v>
      </c>
      <c r="AC3333">
        <v>0</v>
      </c>
      <c r="AD3333">
        <v>4</v>
      </c>
      <c r="AE3333">
        <v>0</v>
      </c>
      <c r="AF3333">
        <v>0</v>
      </c>
      <c r="AG3333">
        <v>0</v>
      </c>
      <c r="AH3333">
        <v>0</v>
      </c>
      <c r="AI3333">
        <v>0</v>
      </c>
      <c r="AJ3333">
        <v>0</v>
      </c>
      <c r="AK3333">
        <v>0</v>
      </c>
    </row>
    <row r="3334" spans="1:37" x14ac:dyDescent="0.3">
      <c r="A3334">
        <v>7134</v>
      </c>
      <c r="B3334" t="s">
        <v>28</v>
      </c>
      <c r="C3334">
        <v>699</v>
      </c>
      <c r="D3334" t="s">
        <v>3500</v>
      </c>
      <c r="E3334">
        <v>99999999</v>
      </c>
      <c r="F3334">
        <v>11111111</v>
      </c>
      <c r="G3334">
        <v>1111111111</v>
      </c>
      <c r="H3334" t="s">
        <v>6903</v>
      </c>
      <c r="I3334">
        <v>99999999</v>
      </c>
      <c r="J3334" s="188">
        <v>45236</v>
      </c>
      <c r="K3334" t="s">
        <v>6903</v>
      </c>
      <c r="L3334" t="s">
        <v>6903</v>
      </c>
      <c r="M3334" t="s">
        <v>3297</v>
      </c>
      <c r="N3334" t="s">
        <v>811</v>
      </c>
      <c r="O3334">
        <v>20774</v>
      </c>
      <c r="Q3334" t="s">
        <v>124</v>
      </c>
      <c r="R3334">
        <v>12</v>
      </c>
      <c r="S3334">
        <v>10.11</v>
      </c>
      <c r="T3334">
        <v>0</v>
      </c>
      <c r="U3334">
        <v>0</v>
      </c>
      <c r="V3334">
        <v>6</v>
      </c>
      <c r="W3334">
        <v>0</v>
      </c>
      <c r="X3334">
        <v>0</v>
      </c>
      <c r="Y3334">
        <v>0</v>
      </c>
      <c r="Z3334">
        <v>0</v>
      </c>
      <c r="AA3334">
        <v>0</v>
      </c>
      <c r="AB3334">
        <v>0</v>
      </c>
      <c r="AC3334">
        <v>0</v>
      </c>
      <c r="AD3334">
        <v>12</v>
      </c>
      <c r="AE3334">
        <v>0</v>
      </c>
      <c r="AF3334">
        <v>0</v>
      </c>
      <c r="AG3334">
        <v>0</v>
      </c>
      <c r="AH3334">
        <v>0</v>
      </c>
      <c r="AI3334">
        <v>0</v>
      </c>
      <c r="AJ3334">
        <v>0</v>
      </c>
      <c r="AK3334">
        <v>0</v>
      </c>
    </row>
    <row r="3335" spans="1:37" x14ac:dyDescent="0.3">
      <c r="A3335">
        <v>7134</v>
      </c>
      <c r="B3335" t="s">
        <v>28</v>
      </c>
      <c r="C3335">
        <v>699</v>
      </c>
      <c r="D3335" t="s">
        <v>3500</v>
      </c>
      <c r="E3335">
        <v>99999999</v>
      </c>
      <c r="F3335">
        <v>11111111</v>
      </c>
      <c r="G3335">
        <v>1111111111</v>
      </c>
      <c r="H3335" t="s">
        <v>6904</v>
      </c>
      <c r="I3335">
        <v>99999999</v>
      </c>
      <c r="J3335" s="188">
        <v>45236</v>
      </c>
      <c r="K3335" t="s">
        <v>6904</v>
      </c>
      <c r="L3335" t="s">
        <v>6904</v>
      </c>
      <c r="M3335" t="s">
        <v>3297</v>
      </c>
      <c r="N3335" t="s">
        <v>811</v>
      </c>
      <c r="O3335">
        <v>20774</v>
      </c>
      <c r="Q3335" t="s">
        <v>124</v>
      </c>
      <c r="R3335">
        <v>44</v>
      </c>
      <c r="S3335">
        <v>40.701999999999998</v>
      </c>
      <c r="T3335">
        <v>0</v>
      </c>
      <c r="U3335">
        <v>0</v>
      </c>
      <c r="V3335">
        <v>12</v>
      </c>
      <c r="W3335">
        <v>0</v>
      </c>
      <c r="X3335">
        <v>0</v>
      </c>
      <c r="Y3335">
        <v>0</v>
      </c>
      <c r="Z3335">
        <v>0</v>
      </c>
      <c r="AA3335">
        <v>0</v>
      </c>
      <c r="AB3335">
        <v>0</v>
      </c>
      <c r="AC3335">
        <v>0</v>
      </c>
      <c r="AD3335">
        <v>44</v>
      </c>
      <c r="AE3335">
        <v>0</v>
      </c>
      <c r="AF3335">
        <v>0</v>
      </c>
      <c r="AG3335">
        <v>0</v>
      </c>
      <c r="AH3335">
        <v>0</v>
      </c>
      <c r="AI3335">
        <v>0</v>
      </c>
      <c r="AJ3335">
        <v>0</v>
      </c>
      <c r="AK3335">
        <v>0</v>
      </c>
    </row>
    <row r="3336" spans="1:37" x14ac:dyDescent="0.3">
      <c r="A3336">
        <v>7134</v>
      </c>
      <c r="B3336" t="s">
        <v>28</v>
      </c>
      <c r="C3336">
        <v>699</v>
      </c>
      <c r="D3336" t="s">
        <v>3500</v>
      </c>
      <c r="E3336">
        <v>99999999</v>
      </c>
      <c r="F3336">
        <v>11111111</v>
      </c>
      <c r="G3336">
        <v>1111111111</v>
      </c>
      <c r="H3336" t="s">
        <v>6905</v>
      </c>
      <c r="I3336">
        <v>99999999</v>
      </c>
      <c r="J3336" s="188">
        <v>45236</v>
      </c>
      <c r="K3336" t="s">
        <v>6905</v>
      </c>
      <c r="L3336" t="s">
        <v>6905</v>
      </c>
      <c r="M3336" t="s">
        <v>3297</v>
      </c>
      <c r="N3336" t="s">
        <v>811</v>
      </c>
      <c r="O3336">
        <v>20774</v>
      </c>
      <c r="Q3336" t="s">
        <v>124</v>
      </c>
      <c r="R3336">
        <v>13</v>
      </c>
      <c r="S3336">
        <v>11.606</v>
      </c>
      <c r="T3336">
        <v>0</v>
      </c>
      <c r="U3336">
        <v>0</v>
      </c>
      <c r="V3336">
        <v>9</v>
      </c>
      <c r="W3336">
        <v>0</v>
      </c>
      <c r="X3336">
        <v>0</v>
      </c>
      <c r="Y3336">
        <v>0</v>
      </c>
      <c r="Z3336">
        <v>0</v>
      </c>
      <c r="AA3336">
        <v>0</v>
      </c>
      <c r="AB3336">
        <v>0</v>
      </c>
      <c r="AC3336">
        <v>0</v>
      </c>
      <c r="AD3336">
        <v>13</v>
      </c>
      <c r="AE3336">
        <v>0</v>
      </c>
      <c r="AF3336">
        <v>0</v>
      </c>
      <c r="AG3336">
        <v>0</v>
      </c>
      <c r="AH3336">
        <v>0</v>
      </c>
      <c r="AI3336">
        <v>0</v>
      </c>
      <c r="AJ3336">
        <v>0</v>
      </c>
      <c r="AK3336">
        <v>0</v>
      </c>
    </row>
    <row r="3337" spans="1:37" x14ac:dyDescent="0.3">
      <c r="A3337">
        <v>7134</v>
      </c>
      <c r="B3337" t="s">
        <v>28</v>
      </c>
      <c r="C3337">
        <v>699</v>
      </c>
      <c r="D3337" t="s">
        <v>3500</v>
      </c>
      <c r="E3337">
        <v>99999999</v>
      </c>
      <c r="F3337">
        <v>11111111</v>
      </c>
      <c r="G3337">
        <v>1111111111</v>
      </c>
      <c r="H3337" t="s">
        <v>6906</v>
      </c>
      <c r="I3337">
        <v>99999999</v>
      </c>
      <c r="J3337" s="188">
        <v>45236</v>
      </c>
      <c r="K3337" t="s">
        <v>6906</v>
      </c>
      <c r="L3337" t="s">
        <v>6906</v>
      </c>
      <c r="M3337" t="s">
        <v>3297</v>
      </c>
      <c r="N3337" t="s">
        <v>811</v>
      </c>
      <c r="O3337">
        <v>20774</v>
      </c>
      <c r="Q3337" t="s">
        <v>124</v>
      </c>
      <c r="R3337">
        <v>77</v>
      </c>
      <c r="S3337">
        <v>73.412000000000006</v>
      </c>
      <c r="T3337">
        <v>0</v>
      </c>
      <c r="U3337">
        <v>0</v>
      </c>
      <c r="V3337">
        <v>12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77</v>
      </c>
      <c r="AE3337">
        <v>0</v>
      </c>
      <c r="AF3337">
        <v>0</v>
      </c>
      <c r="AG3337">
        <v>0</v>
      </c>
      <c r="AH3337">
        <v>0</v>
      </c>
      <c r="AI3337">
        <v>0</v>
      </c>
      <c r="AJ3337">
        <v>0</v>
      </c>
      <c r="AK3337">
        <v>0</v>
      </c>
    </row>
    <row r="3338" spans="1:37" x14ac:dyDescent="0.3">
      <c r="A3338">
        <v>7134</v>
      </c>
      <c r="B3338" t="s">
        <v>28</v>
      </c>
      <c r="C3338">
        <v>699</v>
      </c>
      <c r="D3338" t="s">
        <v>3500</v>
      </c>
      <c r="E3338">
        <v>99999999</v>
      </c>
      <c r="F3338">
        <v>11111111</v>
      </c>
      <c r="G3338">
        <v>1111111111</v>
      </c>
      <c r="H3338" t="s">
        <v>6907</v>
      </c>
      <c r="I3338">
        <v>99999999</v>
      </c>
      <c r="J3338" s="188">
        <v>45236</v>
      </c>
      <c r="K3338" t="s">
        <v>6907</v>
      </c>
      <c r="L3338" t="s">
        <v>6907</v>
      </c>
      <c r="M3338" t="s">
        <v>3297</v>
      </c>
      <c r="N3338" t="s">
        <v>811</v>
      </c>
      <c r="O3338">
        <v>20774</v>
      </c>
      <c r="Q3338" t="s">
        <v>124</v>
      </c>
      <c r="R3338">
        <v>3</v>
      </c>
      <c r="S3338">
        <v>3.23</v>
      </c>
      <c r="T3338">
        <v>0</v>
      </c>
      <c r="U3338">
        <v>0</v>
      </c>
      <c r="V3338">
        <v>3</v>
      </c>
      <c r="W3338">
        <v>0</v>
      </c>
      <c r="X3338">
        <v>0</v>
      </c>
      <c r="Y3338">
        <v>0</v>
      </c>
      <c r="Z3338">
        <v>0</v>
      </c>
      <c r="AA3338">
        <v>0</v>
      </c>
      <c r="AB3338">
        <v>0</v>
      </c>
      <c r="AC3338">
        <v>0</v>
      </c>
      <c r="AD3338">
        <v>3</v>
      </c>
      <c r="AE3338">
        <v>0</v>
      </c>
      <c r="AF3338">
        <v>0</v>
      </c>
      <c r="AG3338">
        <v>0</v>
      </c>
      <c r="AH3338">
        <v>0</v>
      </c>
      <c r="AI3338">
        <v>0</v>
      </c>
      <c r="AJ3338">
        <v>0</v>
      </c>
      <c r="AK3338">
        <v>0</v>
      </c>
    </row>
    <row r="3339" spans="1:37" x14ac:dyDescent="0.3">
      <c r="A3339">
        <v>7134</v>
      </c>
      <c r="B3339" t="s">
        <v>28</v>
      </c>
      <c r="C3339">
        <v>699</v>
      </c>
      <c r="D3339" t="s">
        <v>3500</v>
      </c>
      <c r="E3339">
        <v>99999999</v>
      </c>
      <c r="F3339">
        <v>11111111</v>
      </c>
      <c r="G3339">
        <v>1111111111</v>
      </c>
      <c r="H3339" t="s">
        <v>6908</v>
      </c>
      <c r="I3339">
        <v>99999999</v>
      </c>
      <c r="J3339" s="188">
        <v>45236</v>
      </c>
      <c r="K3339" t="s">
        <v>6908</v>
      </c>
      <c r="L3339" t="s">
        <v>6908</v>
      </c>
      <c r="M3339" t="s">
        <v>3297</v>
      </c>
      <c r="N3339" t="s">
        <v>811</v>
      </c>
      <c r="O3339">
        <v>20774</v>
      </c>
      <c r="Q3339" t="s">
        <v>124</v>
      </c>
      <c r="R3339">
        <v>6</v>
      </c>
      <c r="S3339">
        <v>4.38</v>
      </c>
      <c r="T3339">
        <v>0</v>
      </c>
      <c r="U3339">
        <v>0</v>
      </c>
      <c r="V3339">
        <v>4</v>
      </c>
      <c r="W3339">
        <v>0</v>
      </c>
      <c r="X3339">
        <v>0</v>
      </c>
      <c r="Y3339">
        <v>0</v>
      </c>
      <c r="Z3339">
        <v>0</v>
      </c>
      <c r="AA3339">
        <v>0</v>
      </c>
      <c r="AB3339">
        <v>0</v>
      </c>
      <c r="AC3339">
        <v>0</v>
      </c>
      <c r="AD3339">
        <v>6</v>
      </c>
      <c r="AE3339">
        <v>0</v>
      </c>
      <c r="AF3339">
        <v>0</v>
      </c>
      <c r="AG3339">
        <v>0</v>
      </c>
      <c r="AH3339">
        <v>0</v>
      </c>
      <c r="AI3339">
        <v>0</v>
      </c>
      <c r="AJ3339">
        <v>0</v>
      </c>
      <c r="AK3339">
        <v>0</v>
      </c>
    </row>
    <row r="3340" spans="1:37" x14ac:dyDescent="0.3">
      <c r="A3340">
        <v>7134</v>
      </c>
      <c r="B3340" t="s">
        <v>28</v>
      </c>
      <c r="C3340">
        <v>699</v>
      </c>
      <c r="D3340" t="s">
        <v>3500</v>
      </c>
      <c r="E3340">
        <v>99999999</v>
      </c>
      <c r="F3340">
        <v>11111111</v>
      </c>
      <c r="G3340">
        <v>1111111111</v>
      </c>
      <c r="H3340" t="s">
        <v>6909</v>
      </c>
      <c r="I3340">
        <v>99999999</v>
      </c>
      <c r="J3340" s="188">
        <v>45236</v>
      </c>
      <c r="K3340" t="s">
        <v>6909</v>
      </c>
      <c r="L3340" t="s">
        <v>6909</v>
      </c>
      <c r="M3340" t="s">
        <v>3297</v>
      </c>
      <c r="N3340" t="s">
        <v>811</v>
      </c>
      <c r="O3340">
        <v>20774</v>
      </c>
      <c r="Q3340" t="s">
        <v>124</v>
      </c>
      <c r="R3340">
        <v>11</v>
      </c>
      <c r="S3340">
        <v>10.47</v>
      </c>
      <c r="T3340">
        <v>0</v>
      </c>
      <c r="U3340">
        <v>0</v>
      </c>
      <c r="V3340">
        <v>7</v>
      </c>
      <c r="W3340">
        <v>0</v>
      </c>
      <c r="X3340">
        <v>0</v>
      </c>
      <c r="Y3340">
        <v>0</v>
      </c>
      <c r="Z3340">
        <v>0</v>
      </c>
      <c r="AA3340">
        <v>0</v>
      </c>
      <c r="AB3340">
        <v>0</v>
      </c>
      <c r="AC3340">
        <v>0</v>
      </c>
      <c r="AD3340">
        <v>11</v>
      </c>
      <c r="AE3340">
        <v>0</v>
      </c>
      <c r="AF3340">
        <v>0</v>
      </c>
      <c r="AG3340">
        <v>0</v>
      </c>
      <c r="AH3340">
        <v>0</v>
      </c>
      <c r="AI3340">
        <v>0</v>
      </c>
      <c r="AJ3340">
        <v>0</v>
      </c>
      <c r="AK3340">
        <v>0</v>
      </c>
    </row>
    <row r="3341" spans="1:37" x14ac:dyDescent="0.3">
      <c r="A3341">
        <v>7134</v>
      </c>
      <c r="B3341" t="s">
        <v>28</v>
      </c>
      <c r="C3341">
        <v>699</v>
      </c>
      <c r="D3341" t="s">
        <v>3500</v>
      </c>
      <c r="E3341">
        <v>99999999</v>
      </c>
      <c r="F3341">
        <v>11111111</v>
      </c>
      <c r="G3341">
        <v>1111111111</v>
      </c>
      <c r="H3341" t="s">
        <v>6910</v>
      </c>
      <c r="I3341">
        <v>99999999</v>
      </c>
      <c r="J3341" s="188">
        <v>45236</v>
      </c>
      <c r="K3341" t="s">
        <v>6910</v>
      </c>
      <c r="L3341" t="s">
        <v>6910</v>
      </c>
      <c r="M3341" t="s">
        <v>3297</v>
      </c>
      <c r="N3341" t="s">
        <v>811</v>
      </c>
      <c r="O3341">
        <v>20774</v>
      </c>
      <c r="Q3341" t="s">
        <v>124</v>
      </c>
      <c r="R3341">
        <v>11</v>
      </c>
      <c r="S3341">
        <v>11.276</v>
      </c>
      <c r="T3341">
        <v>0</v>
      </c>
      <c r="U3341">
        <v>0</v>
      </c>
      <c r="V3341">
        <v>9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11</v>
      </c>
      <c r="AE3341">
        <v>0</v>
      </c>
      <c r="AF3341">
        <v>0</v>
      </c>
      <c r="AG3341">
        <v>0</v>
      </c>
      <c r="AH3341">
        <v>0</v>
      </c>
      <c r="AI3341">
        <v>0</v>
      </c>
      <c r="AJ3341">
        <v>0</v>
      </c>
      <c r="AK3341">
        <v>0</v>
      </c>
    </row>
    <row r="3342" spans="1:37" x14ac:dyDescent="0.3">
      <c r="A3342">
        <v>7134</v>
      </c>
      <c r="B3342" t="s">
        <v>28</v>
      </c>
      <c r="C3342">
        <v>699</v>
      </c>
      <c r="D3342" t="s">
        <v>3500</v>
      </c>
      <c r="E3342">
        <v>99999999</v>
      </c>
      <c r="F3342">
        <v>11111111</v>
      </c>
      <c r="G3342">
        <v>1111111111</v>
      </c>
      <c r="H3342" t="s">
        <v>6911</v>
      </c>
      <c r="I3342">
        <v>99999999</v>
      </c>
      <c r="J3342" s="188">
        <v>45236</v>
      </c>
      <c r="K3342" t="s">
        <v>6911</v>
      </c>
      <c r="L3342" t="s">
        <v>6911</v>
      </c>
      <c r="M3342" t="s">
        <v>3297</v>
      </c>
      <c r="N3342" t="s">
        <v>811</v>
      </c>
      <c r="O3342">
        <v>20774</v>
      </c>
      <c r="Q3342" t="s">
        <v>124</v>
      </c>
      <c r="R3342">
        <v>14</v>
      </c>
      <c r="S3342">
        <v>13.02</v>
      </c>
      <c r="T3342">
        <v>0</v>
      </c>
      <c r="U3342">
        <v>0</v>
      </c>
      <c r="V3342">
        <v>8</v>
      </c>
      <c r="W3342">
        <v>0</v>
      </c>
      <c r="X3342">
        <v>0</v>
      </c>
      <c r="Y3342">
        <v>0</v>
      </c>
      <c r="Z3342">
        <v>0</v>
      </c>
      <c r="AA3342">
        <v>0</v>
      </c>
      <c r="AB3342">
        <v>0</v>
      </c>
      <c r="AC3342">
        <v>0</v>
      </c>
      <c r="AD3342">
        <v>14</v>
      </c>
      <c r="AE3342">
        <v>0</v>
      </c>
      <c r="AF3342">
        <v>0</v>
      </c>
      <c r="AG3342">
        <v>0</v>
      </c>
      <c r="AH3342">
        <v>0</v>
      </c>
      <c r="AI3342">
        <v>0</v>
      </c>
      <c r="AJ3342">
        <v>0</v>
      </c>
      <c r="AK3342">
        <v>0</v>
      </c>
    </row>
    <row r="3343" spans="1:37" x14ac:dyDescent="0.3">
      <c r="A3343">
        <v>7134</v>
      </c>
      <c r="B3343" t="s">
        <v>28</v>
      </c>
      <c r="C3343">
        <v>699</v>
      </c>
      <c r="D3343" t="s">
        <v>3500</v>
      </c>
      <c r="E3343">
        <v>99999999</v>
      </c>
      <c r="F3343">
        <v>11111111</v>
      </c>
      <c r="G3343">
        <v>1111111111</v>
      </c>
      <c r="H3343" t="s">
        <v>6912</v>
      </c>
      <c r="I3343">
        <v>99999999</v>
      </c>
      <c r="J3343" s="188">
        <v>45236</v>
      </c>
      <c r="K3343" t="s">
        <v>6912</v>
      </c>
      <c r="L3343" t="s">
        <v>6912</v>
      </c>
      <c r="M3343" t="s">
        <v>3297</v>
      </c>
      <c r="N3343" t="s">
        <v>811</v>
      </c>
      <c r="O3343">
        <v>20774</v>
      </c>
      <c r="Q3343" t="s">
        <v>124</v>
      </c>
      <c r="R3343">
        <v>5</v>
      </c>
      <c r="S3343">
        <v>4.7</v>
      </c>
      <c r="T3343">
        <v>0</v>
      </c>
      <c r="U3343">
        <v>0</v>
      </c>
      <c r="V3343">
        <v>5</v>
      </c>
      <c r="W3343">
        <v>0</v>
      </c>
      <c r="X3343">
        <v>0</v>
      </c>
      <c r="Y3343">
        <v>0</v>
      </c>
      <c r="Z3343">
        <v>0</v>
      </c>
      <c r="AA3343">
        <v>0</v>
      </c>
      <c r="AB3343">
        <v>0</v>
      </c>
      <c r="AC3343">
        <v>0</v>
      </c>
      <c r="AD3343">
        <v>5</v>
      </c>
      <c r="AE3343">
        <v>0</v>
      </c>
      <c r="AF3343">
        <v>0</v>
      </c>
      <c r="AG3343">
        <v>0</v>
      </c>
      <c r="AH3343">
        <v>0</v>
      </c>
      <c r="AI3343">
        <v>0</v>
      </c>
      <c r="AJ3343">
        <v>0</v>
      </c>
      <c r="AK3343">
        <v>0</v>
      </c>
    </row>
    <row r="3344" spans="1:37" x14ac:dyDescent="0.3">
      <c r="A3344">
        <v>7134</v>
      </c>
      <c r="B3344" t="s">
        <v>28</v>
      </c>
      <c r="C3344">
        <v>699</v>
      </c>
      <c r="D3344" t="s">
        <v>3500</v>
      </c>
      <c r="E3344">
        <v>99999999</v>
      </c>
      <c r="F3344">
        <v>11111111</v>
      </c>
      <c r="G3344">
        <v>1111111111</v>
      </c>
      <c r="H3344" t="s">
        <v>6913</v>
      </c>
      <c r="I3344">
        <v>99999999</v>
      </c>
      <c r="J3344" s="188">
        <v>45236</v>
      </c>
      <c r="K3344" t="s">
        <v>6913</v>
      </c>
      <c r="L3344" t="s">
        <v>6913</v>
      </c>
      <c r="M3344" t="s">
        <v>3297</v>
      </c>
      <c r="N3344" t="s">
        <v>811</v>
      </c>
      <c r="O3344">
        <v>20774</v>
      </c>
      <c r="Q3344" t="s">
        <v>124</v>
      </c>
      <c r="R3344">
        <v>10</v>
      </c>
      <c r="S3344">
        <v>9.0299999999999994</v>
      </c>
      <c r="T3344">
        <v>0</v>
      </c>
      <c r="U3344">
        <v>0</v>
      </c>
      <c r="V3344">
        <v>6</v>
      </c>
      <c r="W3344">
        <v>0</v>
      </c>
      <c r="X3344">
        <v>0</v>
      </c>
      <c r="Y3344">
        <v>0</v>
      </c>
      <c r="Z3344">
        <v>0</v>
      </c>
      <c r="AA3344">
        <v>0</v>
      </c>
      <c r="AB3344">
        <v>0</v>
      </c>
      <c r="AC3344">
        <v>0</v>
      </c>
      <c r="AD3344">
        <v>10</v>
      </c>
      <c r="AE3344">
        <v>0</v>
      </c>
      <c r="AF3344">
        <v>0</v>
      </c>
      <c r="AG3344">
        <v>0</v>
      </c>
      <c r="AH3344">
        <v>0</v>
      </c>
      <c r="AI3344">
        <v>0</v>
      </c>
      <c r="AJ3344">
        <v>0</v>
      </c>
      <c r="AK3344">
        <v>0</v>
      </c>
    </row>
    <row r="3345" spans="1:37" x14ac:dyDescent="0.3">
      <c r="A3345">
        <v>7134</v>
      </c>
      <c r="B3345" t="s">
        <v>28</v>
      </c>
      <c r="C3345">
        <v>699</v>
      </c>
      <c r="D3345" t="s">
        <v>3500</v>
      </c>
      <c r="E3345">
        <v>99999999</v>
      </c>
      <c r="F3345">
        <v>11111111</v>
      </c>
      <c r="G3345">
        <v>1111111111</v>
      </c>
      <c r="H3345" t="s">
        <v>6914</v>
      </c>
      <c r="I3345">
        <v>99999999</v>
      </c>
      <c r="J3345" s="188">
        <v>45236</v>
      </c>
      <c r="K3345" t="s">
        <v>6914</v>
      </c>
      <c r="L3345" t="s">
        <v>6914</v>
      </c>
      <c r="M3345" t="s">
        <v>3297</v>
      </c>
      <c r="N3345" t="s">
        <v>811</v>
      </c>
      <c r="O3345">
        <v>20774</v>
      </c>
      <c r="Q3345" t="s">
        <v>124</v>
      </c>
      <c r="R3345">
        <v>52</v>
      </c>
      <c r="S3345">
        <v>48.235999999999997</v>
      </c>
      <c r="T3345">
        <v>0</v>
      </c>
      <c r="U3345">
        <v>0</v>
      </c>
      <c r="V3345">
        <v>12</v>
      </c>
      <c r="W3345">
        <v>0</v>
      </c>
      <c r="X3345">
        <v>0</v>
      </c>
      <c r="Y3345">
        <v>0</v>
      </c>
      <c r="Z3345">
        <v>0</v>
      </c>
      <c r="AA3345">
        <v>0</v>
      </c>
      <c r="AB3345">
        <v>0</v>
      </c>
      <c r="AC3345">
        <v>0</v>
      </c>
      <c r="AD3345">
        <v>52</v>
      </c>
      <c r="AE3345">
        <v>0</v>
      </c>
      <c r="AF3345">
        <v>0</v>
      </c>
      <c r="AG3345">
        <v>0</v>
      </c>
      <c r="AH3345">
        <v>0</v>
      </c>
      <c r="AI3345">
        <v>0</v>
      </c>
      <c r="AJ3345">
        <v>0</v>
      </c>
      <c r="AK3345">
        <v>0</v>
      </c>
    </row>
    <row r="3346" spans="1:37" x14ac:dyDescent="0.3">
      <c r="A3346">
        <v>7134</v>
      </c>
      <c r="B3346" t="s">
        <v>28</v>
      </c>
      <c r="C3346">
        <v>699</v>
      </c>
      <c r="D3346" t="s">
        <v>3500</v>
      </c>
      <c r="E3346">
        <v>99999999</v>
      </c>
      <c r="F3346">
        <v>11111111</v>
      </c>
      <c r="G3346">
        <v>1111111111</v>
      </c>
      <c r="H3346" t="s">
        <v>6915</v>
      </c>
      <c r="I3346">
        <v>99999999</v>
      </c>
      <c r="J3346" s="188">
        <v>45236</v>
      </c>
      <c r="K3346" t="s">
        <v>6915</v>
      </c>
      <c r="L3346" t="s">
        <v>6915</v>
      </c>
      <c r="M3346" t="s">
        <v>3297</v>
      </c>
      <c r="N3346" t="s">
        <v>811</v>
      </c>
      <c r="O3346">
        <v>20774</v>
      </c>
      <c r="Q3346" t="s">
        <v>124</v>
      </c>
      <c r="R3346">
        <v>14</v>
      </c>
      <c r="S3346">
        <v>12.006</v>
      </c>
      <c r="T3346">
        <v>0</v>
      </c>
      <c r="U3346">
        <v>0</v>
      </c>
      <c r="V3346">
        <v>7</v>
      </c>
      <c r="W3346">
        <v>0</v>
      </c>
      <c r="X3346">
        <v>0</v>
      </c>
      <c r="Y3346">
        <v>0</v>
      </c>
      <c r="Z3346">
        <v>0</v>
      </c>
      <c r="AA3346">
        <v>0</v>
      </c>
      <c r="AB3346">
        <v>0</v>
      </c>
      <c r="AC3346">
        <v>0</v>
      </c>
      <c r="AD3346">
        <v>14</v>
      </c>
      <c r="AE3346">
        <v>0</v>
      </c>
      <c r="AF3346">
        <v>0</v>
      </c>
      <c r="AG3346">
        <v>0</v>
      </c>
      <c r="AH3346">
        <v>0</v>
      </c>
      <c r="AI3346">
        <v>0</v>
      </c>
      <c r="AJ3346">
        <v>0</v>
      </c>
      <c r="AK3346">
        <v>0</v>
      </c>
    </row>
    <row r="3347" spans="1:37" x14ac:dyDescent="0.3">
      <c r="A3347">
        <v>7134</v>
      </c>
      <c r="B3347" t="s">
        <v>28</v>
      </c>
      <c r="C3347">
        <v>699</v>
      </c>
      <c r="D3347" t="s">
        <v>3500</v>
      </c>
      <c r="E3347">
        <v>99999999</v>
      </c>
      <c r="F3347">
        <v>11111111</v>
      </c>
      <c r="G3347">
        <v>1111111111</v>
      </c>
      <c r="H3347" t="s">
        <v>6916</v>
      </c>
      <c r="I3347">
        <v>99999999</v>
      </c>
      <c r="J3347" s="188">
        <v>45236</v>
      </c>
      <c r="K3347" t="s">
        <v>6916</v>
      </c>
      <c r="L3347" t="s">
        <v>6916</v>
      </c>
      <c r="M3347" t="s">
        <v>3297</v>
      </c>
      <c r="N3347" t="s">
        <v>811</v>
      </c>
      <c r="O3347">
        <v>20774</v>
      </c>
      <c r="Q3347" t="s">
        <v>124</v>
      </c>
      <c r="R3347">
        <v>2</v>
      </c>
      <c r="S3347">
        <v>2.3359999999999999</v>
      </c>
      <c r="T3347">
        <v>0</v>
      </c>
      <c r="U3347">
        <v>0</v>
      </c>
      <c r="V3347">
        <v>2</v>
      </c>
      <c r="W3347">
        <v>0</v>
      </c>
      <c r="X3347">
        <v>0</v>
      </c>
      <c r="Y3347">
        <v>0</v>
      </c>
      <c r="Z3347">
        <v>0</v>
      </c>
      <c r="AA3347">
        <v>0</v>
      </c>
      <c r="AB3347">
        <v>0</v>
      </c>
      <c r="AC3347">
        <v>0</v>
      </c>
      <c r="AD3347">
        <v>2</v>
      </c>
      <c r="AE3347">
        <v>0</v>
      </c>
      <c r="AF3347">
        <v>0</v>
      </c>
      <c r="AG3347">
        <v>0</v>
      </c>
      <c r="AH3347">
        <v>0</v>
      </c>
      <c r="AI3347">
        <v>0</v>
      </c>
      <c r="AJ3347">
        <v>0</v>
      </c>
      <c r="AK3347">
        <v>0</v>
      </c>
    </row>
    <row r="3348" spans="1:37" x14ac:dyDescent="0.3">
      <c r="A3348">
        <v>7134</v>
      </c>
      <c r="B3348" t="s">
        <v>28</v>
      </c>
      <c r="C3348">
        <v>699</v>
      </c>
      <c r="D3348" t="s">
        <v>3500</v>
      </c>
      <c r="E3348">
        <v>99999999</v>
      </c>
      <c r="F3348">
        <v>11111111</v>
      </c>
      <c r="G3348">
        <v>1111111111</v>
      </c>
      <c r="H3348" t="s">
        <v>6917</v>
      </c>
      <c r="I3348">
        <v>99999999</v>
      </c>
      <c r="J3348" s="188">
        <v>45236</v>
      </c>
      <c r="K3348" t="s">
        <v>6917</v>
      </c>
      <c r="L3348" t="s">
        <v>6917</v>
      </c>
      <c r="M3348" t="s">
        <v>3297</v>
      </c>
      <c r="N3348" t="s">
        <v>811</v>
      </c>
      <c r="O3348">
        <v>20774</v>
      </c>
      <c r="Q3348" t="s">
        <v>124</v>
      </c>
      <c r="R3348">
        <v>9</v>
      </c>
      <c r="S3348">
        <v>9.16</v>
      </c>
      <c r="T3348">
        <v>0</v>
      </c>
      <c r="U3348">
        <v>0</v>
      </c>
      <c r="V3348">
        <v>8</v>
      </c>
      <c r="W3348">
        <v>0</v>
      </c>
      <c r="X3348">
        <v>0</v>
      </c>
      <c r="Y3348">
        <v>0</v>
      </c>
      <c r="Z3348">
        <v>0</v>
      </c>
      <c r="AA3348">
        <v>0</v>
      </c>
      <c r="AB3348">
        <v>0</v>
      </c>
      <c r="AC3348">
        <v>0</v>
      </c>
      <c r="AD3348">
        <v>9</v>
      </c>
      <c r="AE3348">
        <v>0</v>
      </c>
      <c r="AF3348">
        <v>0</v>
      </c>
      <c r="AG3348">
        <v>0</v>
      </c>
      <c r="AH3348">
        <v>0</v>
      </c>
      <c r="AI3348">
        <v>0</v>
      </c>
      <c r="AJ3348">
        <v>0</v>
      </c>
      <c r="AK3348">
        <v>0</v>
      </c>
    </row>
    <row r="3349" spans="1:37" x14ac:dyDescent="0.3">
      <c r="A3349">
        <v>7134</v>
      </c>
      <c r="B3349" t="s">
        <v>28</v>
      </c>
      <c r="C3349">
        <v>699</v>
      </c>
      <c r="D3349" t="s">
        <v>3500</v>
      </c>
      <c r="E3349">
        <v>99999999</v>
      </c>
      <c r="F3349">
        <v>11111111</v>
      </c>
      <c r="G3349">
        <v>1111111111</v>
      </c>
      <c r="H3349" t="s">
        <v>6918</v>
      </c>
      <c r="I3349">
        <v>99999999</v>
      </c>
      <c r="J3349" s="188">
        <v>45236</v>
      </c>
      <c r="K3349" t="s">
        <v>6918</v>
      </c>
      <c r="L3349" t="s">
        <v>6918</v>
      </c>
      <c r="M3349" t="s">
        <v>3297</v>
      </c>
      <c r="N3349" t="s">
        <v>811</v>
      </c>
      <c r="O3349">
        <v>20774</v>
      </c>
      <c r="Q3349" t="s">
        <v>124</v>
      </c>
      <c r="R3349">
        <v>8</v>
      </c>
      <c r="S3349">
        <v>7.7160000000000002</v>
      </c>
      <c r="T3349">
        <v>0</v>
      </c>
      <c r="U3349">
        <v>0</v>
      </c>
      <c r="V3349">
        <v>7</v>
      </c>
      <c r="W3349">
        <v>0</v>
      </c>
      <c r="X3349">
        <v>0</v>
      </c>
      <c r="Y3349">
        <v>0</v>
      </c>
      <c r="Z3349">
        <v>0</v>
      </c>
      <c r="AA3349">
        <v>0</v>
      </c>
      <c r="AB3349">
        <v>0</v>
      </c>
      <c r="AC3349">
        <v>0</v>
      </c>
      <c r="AD3349">
        <v>8</v>
      </c>
      <c r="AE3349">
        <v>0</v>
      </c>
      <c r="AF3349">
        <v>0</v>
      </c>
      <c r="AG3349">
        <v>0</v>
      </c>
      <c r="AH3349">
        <v>0</v>
      </c>
      <c r="AI3349">
        <v>0</v>
      </c>
      <c r="AJ3349">
        <v>0</v>
      </c>
      <c r="AK3349">
        <v>0</v>
      </c>
    </row>
    <row r="3350" spans="1:37" x14ac:dyDescent="0.3">
      <c r="A3350">
        <v>7134</v>
      </c>
      <c r="B3350" t="s">
        <v>28</v>
      </c>
      <c r="C3350">
        <v>699</v>
      </c>
      <c r="D3350" t="s">
        <v>3500</v>
      </c>
      <c r="E3350">
        <v>99999999</v>
      </c>
      <c r="F3350">
        <v>11111111</v>
      </c>
      <c r="G3350">
        <v>1111111111</v>
      </c>
      <c r="H3350" t="s">
        <v>6919</v>
      </c>
      <c r="I3350">
        <v>99999999</v>
      </c>
      <c r="J3350" s="188">
        <v>45236</v>
      </c>
      <c r="K3350" t="s">
        <v>6919</v>
      </c>
      <c r="L3350" t="s">
        <v>6919</v>
      </c>
      <c r="M3350" t="s">
        <v>3297</v>
      </c>
      <c r="N3350" t="s">
        <v>811</v>
      </c>
      <c r="O3350">
        <v>20774</v>
      </c>
      <c r="Q3350" t="s">
        <v>124</v>
      </c>
      <c r="R3350">
        <v>4</v>
      </c>
      <c r="S3350">
        <v>3.8</v>
      </c>
      <c r="T3350">
        <v>0</v>
      </c>
      <c r="U3350">
        <v>0</v>
      </c>
      <c r="V3350">
        <v>4</v>
      </c>
      <c r="W3350">
        <v>0</v>
      </c>
      <c r="X3350">
        <v>0</v>
      </c>
      <c r="Y3350">
        <v>0</v>
      </c>
      <c r="Z3350">
        <v>0</v>
      </c>
      <c r="AA3350">
        <v>0</v>
      </c>
      <c r="AB3350">
        <v>0</v>
      </c>
      <c r="AC3350">
        <v>0</v>
      </c>
      <c r="AD3350">
        <v>4</v>
      </c>
      <c r="AE3350">
        <v>0</v>
      </c>
      <c r="AF3350">
        <v>0</v>
      </c>
      <c r="AG3350">
        <v>0</v>
      </c>
      <c r="AH3350">
        <v>0</v>
      </c>
      <c r="AI3350">
        <v>0</v>
      </c>
      <c r="AJ3350">
        <v>0</v>
      </c>
      <c r="AK3350">
        <v>0</v>
      </c>
    </row>
    <row r="3351" spans="1:37" x14ac:dyDescent="0.3">
      <c r="A3351">
        <v>7134</v>
      </c>
      <c r="B3351" t="s">
        <v>28</v>
      </c>
      <c r="C3351">
        <v>699</v>
      </c>
      <c r="D3351" t="s">
        <v>3500</v>
      </c>
      <c r="E3351">
        <v>99999999</v>
      </c>
      <c r="F3351">
        <v>11111111</v>
      </c>
      <c r="G3351">
        <v>1111111111</v>
      </c>
      <c r="H3351" t="s">
        <v>6920</v>
      </c>
      <c r="I3351">
        <v>99999999</v>
      </c>
      <c r="J3351" s="188">
        <v>45236</v>
      </c>
      <c r="K3351" t="s">
        <v>6920</v>
      </c>
      <c r="L3351" t="s">
        <v>6920</v>
      </c>
      <c r="M3351" t="s">
        <v>3297</v>
      </c>
      <c r="N3351" t="s">
        <v>811</v>
      </c>
      <c r="O3351">
        <v>20774</v>
      </c>
      <c r="Q3351" t="s">
        <v>124</v>
      </c>
      <c r="R3351">
        <v>7</v>
      </c>
      <c r="S3351">
        <v>7.34</v>
      </c>
      <c r="T3351">
        <v>0</v>
      </c>
      <c r="U3351">
        <v>0</v>
      </c>
      <c r="V3351">
        <v>6</v>
      </c>
      <c r="W3351">
        <v>0</v>
      </c>
      <c r="X3351">
        <v>0</v>
      </c>
      <c r="Y3351">
        <v>0</v>
      </c>
      <c r="Z3351">
        <v>0</v>
      </c>
      <c r="AA3351">
        <v>0</v>
      </c>
      <c r="AB3351">
        <v>0</v>
      </c>
      <c r="AC3351">
        <v>0</v>
      </c>
      <c r="AD3351">
        <v>7</v>
      </c>
      <c r="AE3351">
        <v>0</v>
      </c>
      <c r="AF3351">
        <v>0</v>
      </c>
      <c r="AG3351">
        <v>0</v>
      </c>
      <c r="AH3351">
        <v>0</v>
      </c>
      <c r="AI3351">
        <v>0</v>
      </c>
      <c r="AJ3351">
        <v>0</v>
      </c>
      <c r="AK3351">
        <v>0</v>
      </c>
    </row>
    <row r="3352" spans="1:37" x14ac:dyDescent="0.3">
      <c r="A3352">
        <v>7134</v>
      </c>
      <c r="B3352" t="s">
        <v>28</v>
      </c>
      <c r="C3352">
        <v>699</v>
      </c>
      <c r="D3352" t="s">
        <v>3500</v>
      </c>
      <c r="E3352">
        <v>99999999</v>
      </c>
      <c r="F3352">
        <v>11111111</v>
      </c>
      <c r="G3352">
        <v>1111111111</v>
      </c>
      <c r="H3352" t="s">
        <v>6921</v>
      </c>
      <c r="I3352">
        <v>99999999</v>
      </c>
      <c r="J3352" s="188">
        <v>45236</v>
      </c>
      <c r="K3352" t="s">
        <v>6921</v>
      </c>
      <c r="L3352" t="s">
        <v>6921</v>
      </c>
      <c r="M3352" t="s">
        <v>3297</v>
      </c>
      <c r="N3352" t="s">
        <v>811</v>
      </c>
      <c r="O3352">
        <v>20774</v>
      </c>
      <c r="Q3352" t="s">
        <v>124</v>
      </c>
      <c r="R3352">
        <v>5</v>
      </c>
      <c r="S3352">
        <v>4.5</v>
      </c>
      <c r="T3352">
        <v>0</v>
      </c>
      <c r="U3352">
        <v>0</v>
      </c>
      <c r="V3352">
        <v>4</v>
      </c>
      <c r="W3352">
        <v>0</v>
      </c>
      <c r="X3352">
        <v>0</v>
      </c>
      <c r="Y3352">
        <v>0</v>
      </c>
      <c r="Z3352">
        <v>0</v>
      </c>
      <c r="AA3352">
        <v>0</v>
      </c>
      <c r="AB3352">
        <v>0</v>
      </c>
      <c r="AC3352">
        <v>0</v>
      </c>
      <c r="AD3352">
        <v>5</v>
      </c>
      <c r="AE3352">
        <v>0</v>
      </c>
      <c r="AF3352">
        <v>0</v>
      </c>
      <c r="AG3352">
        <v>0</v>
      </c>
      <c r="AH3352">
        <v>0</v>
      </c>
      <c r="AI3352">
        <v>0</v>
      </c>
      <c r="AJ3352">
        <v>0</v>
      </c>
      <c r="AK3352">
        <v>0</v>
      </c>
    </row>
    <row r="3353" spans="1:37" x14ac:dyDescent="0.3">
      <c r="A3353">
        <v>7134</v>
      </c>
      <c r="B3353" t="s">
        <v>28</v>
      </c>
      <c r="C3353">
        <v>699</v>
      </c>
      <c r="D3353" t="s">
        <v>3500</v>
      </c>
      <c r="E3353">
        <v>99999999</v>
      </c>
      <c r="F3353">
        <v>11111111</v>
      </c>
      <c r="G3353">
        <v>1111111111</v>
      </c>
      <c r="H3353" t="s">
        <v>6922</v>
      </c>
      <c r="I3353">
        <v>99999999</v>
      </c>
      <c r="J3353" s="188">
        <v>45236</v>
      </c>
      <c r="K3353" t="s">
        <v>6922</v>
      </c>
      <c r="L3353" t="s">
        <v>6922</v>
      </c>
      <c r="M3353" t="s">
        <v>3297</v>
      </c>
      <c r="N3353" t="s">
        <v>811</v>
      </c>
      <c r="O3353">
        <v>20774</v>
      </c>
      <c r="Q3353" t="s">
        <v>124</v>
      </c>
      <c r="R3353">
        <v>43</v>
      </c>
      <c r="S3353">
        <v>40.682000000000002</v>
      </c>
      <c r="T3353">
        <v>0</v>
      </c>
      <c r="U3353">
        <v>0</v>
      </c>
      <c r="V3353">
        <v>12</v>
      </c>
      <c r="W3353">
        <v>0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43</v>
      </c>
      <c r="AE3353">
        <v>0</v>
      </c>
      <c r="AF3353">
        <v>0</v>
      </c>
      <c r="AG3353">
        <v>0</v>
      </c>
      <c r="AH3353">
        <v>0</v>
      </c>
      <c r="AI3353">
        <v>0</v>
      </c>
      <c r="AJ3353">
        <v>0</v>
      </c>
      <c r="AK3353">
        <v>0</v>
      </c>
    </row>
    <row r="3354" spans="1:37" x14ac:dyDescent="0.3">
      <c r="A3354">
        <v>7134</v>
      </c>
      <c r="B3354" t="s">
        <v>28</v>
      </c>
      <c r="C3354">
        <v>699</v>
      </c>
      <c r="D3354" t="s">
        <v>3500</v>
      </c>
      <c r="E3354">
        <v>99999999</v>
      </c>
      <c r="F3354">
        <v>11111111</v>
      </c>
      <c r="G3354">
        <v>1111111111</v>
      </c>
      <c r="H3354" t="s">
        <v>6923</v>
      </c>
      <c r="I3354">
        <v>99999999</v>
      </c>
      <c r="J3354" s="188">
        <v>45236</v>
      </c>
      <c r="K3354" t="s">
        <v>6923</v>
      </c>
      <c r="L3354" t="s">
        <v>6923</v>
      </c>
      <c r="M3354" t="s">
        <v>3297</v>
      </c>
      <c r="N3354" t="s">
        <v>811</v>
      </c>
      <c r="O3354">
        <v>20774</v>
      </c>
      <c r="Q3354" t="s">
        <v>124</v>
      </c>
      <c r="R3354">
        <v>41</v>
      </c>
      <c r="S3354">
        <v>37.835999999999999</v>
      </c>
      <c r="T3354">
        <v>0</v>
      </c>
      <c r="U3354">
        <v>0</v>
      </c>
      <c r="V3354">
        <v>12</v>
      </c>
      <c r="W3354">
        <v>0</v>
      </c>
      <c r="X3354">
        <v>0</v>
      </c>
      <c r="Y3354">
        <v>0</v>
      </c>
      <c r="Z3354">
        <v>0</v>
      </c>
      <c r="AA3354">
        <v>0</v>
      </c>
      <c r="AB3354">
        <v>0</v>
      </c>
      <c r="AC3354">
        <v>0</v>
      </c>
      <c r="AD3354">
        <v>41</v>
      </c>
      <c r="AE3354">
        <v>0</v>
      </c>
      <c r="AF3354">
        <v>0</v>
      </c>
      <c r="AG3354">
        <v>0</v>
      </c>
      <c r="AH3354">
        <v>0</v>
      </c>
      <c r="AI3354">
        <v>0</v>
      </c>
      <c r="AJ3354">
        <v>0</v>
      </c>
      <c r="AK3354">
        <v>0</v>
      </c>
    </row>
    <row r="3355" spans="1:37" x14ac:dyDescent="0.3">
      <c r="A3355">
        <v>7134</v>
      </c>
      <c r="B3355" t="s">
        <v>28</v>
      </c>
      <c r="C3355">
        <v>699</v>
      </c>
      <c r="D3355" t="s">
        <v>3500</v>
      </c>
      <c r="E3355">
        <v>99999999</v>
      </c>
      <c r="F3355">
        <v>11111111</v>
      </c>
      <c r="G3355">
        <v>1111111111</v>
      </c>
      <c r="H3355" t="s">
        <v>6924</v>
      </c>
      <c r="I3355">
        <v>99999999</v>
      </c>
      <c r="J3355" s="188">
        <v>45236</v>
      </c>
      <c r="K3355" t="s">
        <v>6924</v>
      </c>
      <c r="L3355" t="s">
        <v>6924</v>
      </c>
      <c r="M3355" t="s">
        <v>3297</v>
      </c>
      <c r="N3355" t="s">
        <v>811</v>
      </c>
      <c r="O3355">
        <v>20774</v>
      </c>
      <c r="Q3355" t="s">
        <v>124</v>
      </c>
      <c r="R3355">
        <v>9</v>
      </c>
      <c r="S3355">
        <v>8.8000000000000007</v>
      </c>
      <c r="T3355">
        <v>0</v>
      </c>
      <c r="U3355">
        <v>0</v>
      </c>
      <c r="V3355">
        <v>7</v>
      </c>
      <c r="W3355">
        <v>0</v>
      </c>
      <c r="X3355">
        <v>0</v>
      </c>
      <c r="Y3355">
        <v>0</v>
      </c>
      <c r="Z3355">
        <v>0</v>
      </c>
      <c r="AA3355">
        <v>0</v>
      </c>
      <c r="AB3355">
        <v>0</v>
      </c>
      <c r="AC3355">
        <v>0</v>
      </c>
      <c r="AD3355">
        <v>9</v>
      </c>
      <c r="AE3355">
        <v>0</v>
      </c>
      <c r="AF3355">
        <v>0</v>
      </c>
      <c r="AG3355">
        <v>0</v>
      </c>
      <c r="AH3355">
        <v>0</v>
      </c>
      <c r="AI3355">
        <v>0</v>
      </c>
      <c r="AJ3355">
        <v>0</v>
      </c>
      <c r="AK3355">
        <v>0</v>
      </c>
    </row>
    <row r="3356" spans="1:37" x14ac:dyDescent="0.3">
      <c r="A3356">
        <v>7134</v>
      </c>
      <c r="B3356" t="s">
        <v>28</v>
      </c>
      <c r="C3356">
        <v>699</v>
      </c>
      <c r="D3356" t="s">
        <v>3500</v>
      </c>
      <c r="E3356">
        <v>99999999</v>
      </c>
      <c r="F3356">
        <v>11111111</v>
      </c>
      <c r="G3356">
        <v>1111111111</v>
      </c>
      <c r="H3356" t="s">
        <v>6925</v>
      </c>
      <c r="I3356">
        <v>99999999</v>
      </c>
      <c r="J3356" s="188">
        <v>45236</v>
      </c>
      <c r="K3356" t="s">
        <v>6925</v>
      </c>
      <c r="L3356" t="s">
        <v>6925</v>
      </c>
      <c r="M3356" t="s">
        <v>3297</v>
      </c>
      <c r="N3356" t="s">
        <v>811</v>
      </c>
      <c r="O3356">
        <v>20774</v>
      </c>
      <c r="Q3356" t="s">
        <v>124</v>
      </c>
      <c r="R3356">
        <v>5</v>
      </c>
      <c r="S3356">
        <v>5.2759999999999998</v>
      </c>
      <c r="T3356">
        <v>0</v>
      </c>
      <c r="U3356">
        <v>0</v>
      </c>
      <c r="V3356">
        <v>5</v>
      </c>
      <c r="W3356">
        <v>0</v>
      </c>
      <c r="X3356">
        <v>0</v>
      </c>
      <c r="Y3356">
        <v>0</v>
      </c>
      <c r="Z3356">
        <v>0</v>
      </c>
      <c r="AA3356">
        <v>0</v>
      </c>
      <c r="AB3356">
        <v>0</v>
      </c>
      <c r="AC3356">
        <v>0</v>
      </c>
      <c r="AD3356">
        <v>5</v>
      </c>
      <c r="AE3356">
        <v>0</v>
      </c>
      <c r="AF3356">
        <v>0</v>
      </c>
      <c r="AG3356">
        <v>0</v>
      </c>
      <c r="AH3356">
        <v>0</v>
      </c>
      <c r="AI3356">
        <v>0</v>
      </c>
      <c r="AJ3356">
        <v>0</v>
      </c>
      <c r="AK3356">
        <v>0</v>
      </c>
    </row>
    <row r="3357" spans="1:37" x14ac:dyDescent="0.3">
      <c r="A3357">
        <v>7134</v>
      </c>
      <c r="B3357" t="s">
        <v>28</v>
      </c>
      <c r="C3357">
        <v>699</v>
      </c>
      <c r="D3357" t="s">
        <v>3500</v>
      </c>
      <c r="E3357">
        <v>99999999</v>
      </c>
      <c r="F3357">
        <v>11111111</v>
      </c>
      <c r="G3357">
        <v>1111111111</v>
      </c>
      <c r="H3357" t="s">
        <v>6926</v>
      </c>
      <c r="I3357">
        <v>99999999</v>
      </c>
      <c r="J3357" s="188">
        <v>45236</v>
      </c>
      <c r="K3357" t="s">
        <v>6926</v>
      </c>
      <c r="L3357" t="s">
        <v>6926</v>
      </c>
      <c r="M3357" t="s">
        <v>3297</v>
      </c>
      <c r="N3357" t="s">
        <v>811</v>
      </c>
      <c r="O3357">
        <v>20774</v>
      </c>
      <c r="Q3357" t="s">
        <v>124</v>
      </c>
      <c r="R3357">
        <v>10</v>
      </c>
      <c r="S3357">
        <v>8.6</v>
      </c>
      <c r="T3357">
        <v>0</v>
      </c>
      <c r="U3357">
        <v>0</v>
      </c>
      <c r="V3357">
        <v>9</v>
      </c>
      <c r="W3357">
        <v>0</v>
      </c>
      <c r="X3357">
        <v>0</v>
      </c>
      <c r="Y3357">
        <v>0</v>
      </c>
      <c r="Z3357">
        <v>0</v>
      </c>
      <c r="AA3357">
        <v>0</v>
      </c>
      <c r="AB3357">
        <v>0</v>
      </c>
      <c r="AC3357">
        <v>0</v>
      </c>
      <c r="AD3357">
        <v>10</v>
      </c>
      <c r="AE3357">
        <v>0</v>
      </c>
      <c r="AF3357">
        <v>0</v>
      </c>
      <c r="AG3357">
        <v>0</v>
      </c>
      <c r="AH3357">
        <v>0</v>
      </c>
      <c r="AI3357">
        <v>0</v>
      </c>
      <c r="AJ3357">
        <v>0</v>
      </c>
      <c r="AK3357">
        <v>0</v>
      </c>
    </row>
    <row r="3358" spans="1:37" x14ac:dyDescent="0.3">
      <c r="A3358">
        <v>7134</v>
      </c>
      <c r="B3358" t="s">
        <v>28</v>
      </c>
      <c r="C3358">
        <v>699</v>
      </c>
      <c r="D3358" t="s">
        <v>3500</v>
      </c>
      <c r="E3358">
        <v>99999999</v>
      </c>
      <c r="F3358">
        <v>11111111</v>
      </c>
      <c r="G3358">
        <v>1111111111</v>
      </c>
      <c r="H3358" t="s">
        <v>6927</v>
      </c>
      <c r="I3358">
        <v>99999999</v>
      </c>
      <c r="J3358" s="188">
        <v>45236</v>
      </c>
      <c r="K3358" t="s">
        <v>6927</v>
      </c>
      <c r="L3358" t="s">
        <v>6927</v>
      </c>
      <c r="M3358" t="s">
        <v>3297</v>
      </c>
      <c r="N3358" t="s">
        <v>811</v>
      </c>
      <c r="O3358">
        <v>20774</v>
      </c>
      <c r="Q3358" t="s">
        <v>124</v>
      </c>
      <c r="R3358">
        <v>13</v>
      </c>
      <c r="S3358">
        <v>13.385999999999999</v>
      </c>
      <c r="T3358">
        <v>0</v>
      </c>
      <c r="U3358">
        <v>0</v>
      </c>
      <c r="V3358">
        <v>8</v>
      </c>
      <c r="W3358">
        <v>0</v>
      </c>
      <c r="X3358">
        <v>0</v>
      </c>
      <c r="Y3358">
        <v>0</v>
      </c>
      <c r="Z3358">
        <v>0</v>
      </c>
      <c r="AA3358">
        <v>0</v>
      </c>
      <c r="AB3358">
        <v>0</v>
      </c>
      <c r="AC3358">
        <v>0</v>
      </c>
      <c r="AD3358">
        <v>13</v>
      </c>
      <c r="AE3358">
        <v>0</v>
      </c>
      <c r="AF3358">
        <v>0</v>
      </c>
      <c r="AG3358">
        <v>0</v>
      </c>
      <c r="AH3358">
        <v>0</v>
      </c>
      <c r="AI3358">
        <v>0</v>
      </c>
      <c r="AJ3358">
        <v>0</v>
      </c>
      <c r="AK3358">
        <v>0</v>
      </c>
    </row>
    <row r="3359" spans="1:37" x14ac:dyDescent="0.3">
      <c r="A3359">
        <v>7134</v>
      </c>
      <c r="B3359" t="s">
        <v>28</v>
      </c>
      <c r="C3359">
        <v>699</v>
      </c>
      <c r="D3359" t="s">
        <v>3500</v>
      </c>
      <c r="E3359">
        <v>99999999</v>
      </c>
      <c r="F3359">
        <v>11111111</v>
      </c>
      <c r="G3359">
        <v>1111111111</v>
      </c>
      <c r="H3359" t="s">
        <v>6928</v>
      </c>
      <c r="I3359">
        <v>99999999</v>
      </c>
      <c r="J3359" s="188">
        <v>45236</v>
      </c>
      <c r="K3359" t="s">
        <v>6928</v>
      </c>
      <c r="L3359" t="s">
        <v>6928</v>
      </c>
      <c r="M3359" t="s">
        <v>3297</v>
      </c>
      <c r="N3359" t="s">
        <v>811</v>
      </c>
      <c r="O3359">
        <v>20774</v>
      </c>
      <c r="Q3359" t="s">
        <v>124</v>
      </c>
      <c r="R3359">
        <v>2</v>
      </c>
      <c r="S3359">
        <v>2.29</v>
      </c>
      <c r="T3359">
        <v>0</v>
      </c>
      <c r="U3359">
        <v>0</v>
      </c>
      <c r="V3359">
        <v>2</v>
      </c>
      <c r="W3359">
        <v>0</v>
      </c>
      <c r="X3359">
        <v>0</v>
      </c>
      <c r="Y3359">
        <v>0</v>
      </c>
      <c r="Z3359">
        <v>0</v>
      </c>
      <c r="AA3359">
        <v>0</v>
      </c>
      <c r="AB3359">
        <v>0</v>
      </c>
      <c r="AC3359">
        <v>0</v>
      </c>
      <c r="AD3359">
        <v>2</v>
      </c>
      <c r="AE3359">
        <v>0</v>
      </c>
      <c r="AF3359">
        <v>0</v>
      </c>
      <c r="AG3359">
        <v>0</v>
      </c>
      <c r="AH3359">
        <v>0</v>
      </c>
      <c r="AI3359">
        <v>0</v>
      </c>
      <c r="AJ3359">
        <v>0</v>
      </c>
      <c r="AK3359">
        <v>0</v>
      </c>
    </row>
    <row r="3360" spans="1:37" x14ac:dyDescent="0.3">
      <c r="A3360">
        <v>7134</v>
      </c>
      <c r="B3360" t="s">
        <v>28</v>
      </c>
      <c r="C3360">
        <v>699</v>
      </c>
      <c r="D3360" t="s">
        <v>3500</v>
      </c>
      <c r="E3360">
        <v>99999999</v>
      </c>
      <c r="F3360">
        <v>11111111</v>
      </c>
      <c r="G3360">
        <v>1111111111</v>
      </c>
      <c r="H3360" t="s">
        <v>6929</v>
      </c>
      <c r="I3360">
        <v>99999999</v>
      </c>
      <c r="J3360" s="188">
        <v>45236</v>
      </c>
      <c r="K3360" t="s">
        <v>6929</v>
      </c>
      <c r="L3360" t="s">
        <v>6929</v>
      </c>
      <c r="M3360" t="s">
        <v>3297</v>
      </c>
      <c r="N3360" t="s">
        <v>811</v>
      </c>
      <c r="O3360">
        <v>20774</v>
      </c>
      <c r="Q3360" t="s">
        <v>124</v>
      </c>
      <c r="R3360">
        <v>44</v>
      </c>
      <c r="S3360">
        <v>42.82</v>
      </c>
      <c r="T3360">
        <v>0</v>
      </c>
      <c r="U3360">
        <v>0</v>
      </c>
      <c r="V3360">
        <v>10</v>
      </c>
      <c r="W3360">
        <v>0</v>
      </c>
      <c r="X3360">
        <v>0</v>
      </c>
      <c r="Y3360">
        <v>0</v>
      </c>
      <c r="Z3360">
        <v>0</v>
      </c>
      <c r="AA3360">
        <v>0</v>
      </c>
      <c r="AB3360">
        <v>0</v>
      </c>
      <c r="AC3360">
        <v>0</v>
      </c>
      <c r="AD3360">
        <v>44</v>
      </c>
      <c r="AE3360">
        <v>0</v>
      </c>
      <c r="AF3360">
        <v>0</v>
      </c>
      <c r="AG3360">
        <v>0</v>
      </c>
      <c r="AH3360">
        <v>0</v>
      </c>
      <c r="AI3360">
        <v>0</v>
      </c>
      <c r="AJ3360">
        <v>0</v>
      </c>
      <c r="AK3360">
        <v>0</v>
      </c>
    </row>
    <row r="3361" spans="1:37" x14ac:dyDescent="0.3">
      <c r="A3361">
        <v>7134</v>
      </c>
      <c r="B3361" t="s">
        <v>28</v>
      </c>
      <c r="C3361">
        <v>699</v>
      </c>
      <c r="D3361" t="s">
        <v>3500</v>
      </c>
      <c r="E3361">
        <v>99999999</v>
      </c>
      <c r="F3361">
        <v>11111111</v>
      </c>
      <c r="G3361">
        <v>1111111111</v>
      </c>
      <c r="H3361" t="s">
        <v>6930</v>
      </c>
      <c r="I3361">
        <v>99999999</v>
      </c>
      <c r="J3361" s="188">
        <v>45236</v>
      </c>
      <c r="K3361" t="s">
        <v>6930</v>
      </c>
      <c r="L3361" t="s">
        <v>6930</v>
      </c>
      <c r="M3361" t="s">
        <v>3297</v>
      </c>
      <c r="N3361" t="s">
        <v>811</v>
      </c>
      <c r="O3361">
        <v>20774</v>
      </c>
      <c r="Q3361" t="s">
        <v>124</v>
      </c>
      <c r="R3361">
        <v>3</v>
      </c>
      <c r="S3361">
        <v>3.23</v>
      </c>
      <c r="T3361">
        <v>0</v>
      </c>
      <c r="U3361">
        <v>0</v>
      </c>
      <c r="V3361">
        <v>3</v>
      </c>
      <c r="W3361">
        <v>0</v>
      </c>
      <c r="X3361">
        <v>0</v>
      </c>
      <c r="Y3361">
        <v>0</v>
      </c>
      <c r="Z3361">
        <v>0</v>
      </c>
      <c r="AA3361">
        <v>0</v>
      </c>
      <c r="AB3361">
        <v>0</v>
      </c>
      <c r="AC3361">
        <v>0</v>
      </c>
      <c r="AD3361">
        <v>3</v>
      </c>
      <c r="AE3361">
        <v>0</v>
      </c>
      <c r="AF3361">
        <v>0</v>
      </c>
      <c r="AG3361">
        <v>0</v>
      </c>
      <c r="AH3361">
        <v>0</v>
      </c>
      <c r="AI3361">
        <v>0</v>
      </c>
      <c r="AJ3361">
        <v>0</v>
      </c>
      <c r="AK3361">
        <v>0</v>
      </c>
    </row>
    <row r="3362" spans="1:37" x14ac:dyDescent="0.3">
      <c r="A3362">
        <v>7134</v>
      </c>
      <c r="B3362" t="s">
        <v>28</v>
      </c>
      <c r="C3362">
        <v>699</v>
      </c>
      <c r="D3362" t="s">
        <v>3500</v>
      </c>
      <c r="E3362">
        <v>99999999</v>
      </c>
      <c r="F3362">
        <v>11111111</v>
      </c>
      <c r="G3362">
        <v>1111111111</v>
      </c>
      <c r="H3362" t="s">
        <v>6931</v>
      </c>
      <c r="I3362">
        <v>99999999</v>
      </c>
      <c r="J3362" s="188">
        <v>45236</v>
      </c>
      <c r="K3362" t="s">
        <v>6931</v>
      </c>
      <c r="L3362" t="s">
        <v>6931</v>
      </c>
      <c r="M3362" t="s">
        <v>3297</v>
      </c>
      <c r="N3362" t="s">
        <v>811</v>
      </c>
      <c r="O3362">
        <v>20774</v>
      </c>
      <c r="Q3362" t="s">
        <v>124</v>
      </c>
      <c r="R3362">
        <v>10</v>
      </c>
      <c r="S3362">
        <v>10.356</v>
      </c>
      <c r="T3362">
        <v>0</v>
      </c>
      <c r="U3362">
        <v>0</v>
      </c>
      <c r="V3362">
        <v>8</v>
      </c>
      <c r="W3362">
        <v>0</v>
      </c>
      <c r="X3362">
        <v>0</v>
      </c>
      <c r="Y3362">
        <v>0</v>
      </c>
      <c r="Z3362">
        <v>0</v>
      </c>
      <c r="AA3362">
        <v>0</v>
      </c>
      <c r="AB3362">
        <v>0</v>
      </c>
      <c r="AC3362">
        <v>0</v>
      </c>
      <c r="AD3362">
        <v>10</v>
      </c>
      <c r="AE3362">
        <v>0</v>
      </c>
      <c r="AF3362">
        <v>0</v>
      </c>
      <c r="AG3362">
        <v>0</v>
      </c>
      <c r="AH3362">
        <v>0</v>
      </c>
      <c r="AI3362">
        <v>0</v>
      </c>
      <c r="AJ3362">
        <v>0</v>
      </c>
      <c r="AK3362">
        <v>0</v>
      </c>
    </row>
    <row r="3363" spans="1:37" x14ac:dyDescent="0.3">
      <c r="A3363">
        <v>7134</v>
      </c>
      <c r="B3363" t="s">
        <v>28</v>
      </c>
      <c r="C3363">
        <v>699</v>
      </c>
      <c r="D3363" t="s">
        <v>3500</v>
      </c>
      <c r="E3363">
        <v>99999999</v>
      </c>
      <c r="F3363">
        <v>11111111</v>
      </c>
      <c r="G3363">
        <v>1111111111</v>
      </c>
      <c r="H3363" t="s">
        <v>6932</v>
      </c>
      <c r="I3363">
        <v>99999999</v>
      </c>
      <c r="J3363" s="188">
        <v>45236</v>
      </c>
      <c r="K3363" t="s">
        <v>6932</v>
      </c>
      <c r="L3363" t="s">
        <v>6932</v>
      </c>
      <c r="M3363" t="s">
        <v>3297</v>
      </c>
      <c r="N3363" t="s">
        <v>811</v>
      </c>
      <c r="O3363">
        <v>20774</v>
      </c>
      <c r="Q3363" t="s">
        <v>124</v>
      </c>
      <c r="R3363">
        <v>16</v>
      </c>
      <c r="S3363">
        <v>15.02</v>
      </c>
      <c r="T3363">
        <v>0</v>
      </c>
      <c r="U3363">
        <v>0</v>
      </c>
      <c r="V3363">
        <v>9</v>
      </c>
      <c r="W3363">
        <v>0</v>
      </c>
      <c r="X3363">
        <v>0</v>
      </c>
      <c r="Y3363">
        <v>0</v>
      </c>
      <c r="Z3363">
        <v>0</v>
      </c>
      <c r="AA3363">
        <v>0</v>
      </c>
      <c r="AB3363">
        <v>0</v>
      </c>
      <c r="AC3363">
        <v>0</v>
      </c>
      <c r="AD3363">
        <v>16</v>
      </c>
      <c r="AE3363">
        <v>0</v>
      </c>
      <c r="AF3363">
        <v>0</v>
      </c>
      <c r="AG3363">
        <v>0</v>
      </c>
      <c r="AH3363">
        <v>0</v>
      </c>
      <c r="AI3363">
        <v>0</v>
      </c>
      <c r="AJ3363">
        <v>0</v>
      </c>
      <c r="AK3363">
        <v>0</v>
      </c>
    </row>
    <row r="3364" spans="1:37" x14ac:dyDescent="0.3">
      <c r="A3364">
        <v>7134</v>
      </c>
      <c r="B3364" t="s">
        <v>28</v>
      </c>
      <c r="C3364">
        <v>699</v>
      </c>
      <c r="D3364" t="s">
        <v>3500</v>
      </c>
      <c r="E3364">
        <v>99999999</v>
      </c>
      <c r="F3364">
        <v>11111111</v>
      </c>
      <c r="G3364">
        <v>1111111111</v>
      </c>
      <c r="H3364" t="s">
        <v>6933</v>
      </c>
      <c r="I3364">
        <v>99999999</v>
      </c>
      <c r="J3364" s="188">
        <v>45236</v>
      </c>
      <c r="K3364" t="s">
        <v>6933</v>
      </c>
      <c r="L3364" t="s">
        <v>6933</v>
      </c>
      <c r="M3364" t="s">
        <v>3297</v>
      </c>
      <c r="N3364" t="s">
        <v>811</v>
      </c>
      <c r="O3364">
        <v>20774</v>
      </c>
      <c r="Q3364" t="s">
        <v>124</v>
      </c>
      <c r="R3364">
        <v>9</v>
      </c>
      <c r="S3364">
        <v>7.06</v>
      </c>
      <c r="T3364">
        <v>0</v>
      </c>
      <c r="U3364">
        <v>0</v>
      </c>
      <c r="V3364">
        <v>8</v>
      </c>
      <c r="W3364">
        <v>0</v>
      </c>
      <c r="X3364">
        <v>0</v>
      </c>
      <c r="Y3364">
        <v>0</v>
      </c>
      <c r="Z3364">
        <v>0</v>
      </c>
      <c r="AA3364">
        <v>0</v>
      </c>
      <c r="AB3364">
        <v>0</v>
      </c>
      <c r="AC3364">
        <v>0</v>
      </c>
      <c r="AD3364">
        <v>9</v>
      </c>
      <c r="AE3364">
        <v>0</v>
      </c>
      <c r="AF3364">
        <v>0</v>
      </c>
      <c r="AG3364">
        <v>0</v>
      </c>
      <c r="AH3364">
        <v>0</v>
      </c>
      <c r="AI3364">
        <v>0</v>
      </c>
      <c r="AJ3364">
        <v>0</v>
      </c>
      <c r="AK3364">
        <v>0</v>
      </c>
    </row>
    <row r="3365" spans="1:37" x14ac:dyDescent="0.3">
      <c r="A3365">
        <v>7134</v>
      </c>
      <c r="B3365" t="s">
        <v>28</v>
      </c>
      <c r="C3365">
        <v>699</v>
      </c>
      <c r="D3365" t="s">
        <v>3500</v>
      </c>
      <c r="E3365">
        <v>99999999</v>
      </c>
      <c r="F3365">
        <v>11111111</v>
      </c>
      <c r="G3365">
        <v>1111111111</v>
      </c>
      <c r="H3365" t="s">
        <v>6934</v>
      </c>
      <c r="I3365">
        <v>99999999</v>
      </c>
      <c r="J3365" s="188">
        <v>45236</v>
      </c>
      <c r="K3365" t="s">
        <v>6934</v>
      </c>
      <c r="L3365" t="s">
        <v>6934</v>
      </c>
      <c r="M3365" t="s">
        <v>3297</v>
      </c>
      <c r="N3365" t="s">
        <v>811</v>
      </c>
      <c r="O3365">
        <v>20774</v>
      </c>
      <c r="Q3365" t="s">
        <v>124</v>
      </c>
      <c r="R3365">
        <v>64</v>
      </c>
      <c r="S3365">
        <v>60.868000000000002</v>
      </c>
      <c r="T3365">
        <v>0</v>
      </c>
      <c r="U3365">
        <v>0</v>
      </c>
      <c r="V3365">
        <v>10</v>
      </c>
      <c r="W3365">
        <v>0</v>
      </c>
      <c r="X3365">
        <v>0</v>
      </c>
      <c r="Y3365">
        <v>0</v>
      </c>
      <c r="Z3365">
        <v>0</v>
      </c>
      <c r="AA3365">
        <v>0</v>
      </c>
      <c r="AB3365">
        <v>0</v>
      </c>
      <c r="AC3365">
        <v>0</v>
      </c>
      <c r="AD3365">
        <v>64</v>
      </c>
      <c r="AE3365">
        <v>0</v>
      </c>
      <c r="AF3365">
        <v>0</v>
      </c>
      <c r="AG3365">
        <v>0</v>
      </c>
      <c r="AH3365">
        <v>0</v>
      </c>
      <c r="AI3365">
        <v>0</v>
      </c>
      <c r="AJ3365">
        <v>0</v>
      </c>
      <c r="AK3365">
        <v>0</v>
      </c>
    </row>
    <row r="3366" spans="1:37" x14ac:dyDescent="0.3">
      <c r="A3366">
        <v>7134</v>
      </c>
      <c r="B3366" t="s">
        <v>28</v>
      </c>
      <c r="C3366">
        <v>699</v>
      </c>
      <c r="D3366" t="s">
        <v>3500</v>
      </c>
      <c r="E3366">
        <v>99999999</v>
      </c>
      <c r="F3366">
        <v>11111111</v>
      </c>
      <c r="G3366">
        <v>1111111111</v>
      </c>
      <c r="H3366" t="s">
        <v>6935</v>
      </c>
      <c r="I3366">
        <v>99999999</v>
      </c>
      <c r="J3366" s="188">
        <v>45236</v>
      </c>
      <c r="K3366" t="s">
        <v>6935</v>
      </c>
      <c r="L3366" t="s">
        <v>6935</v>
      </c>
      <c r="M3366" t="s">
        <v>3297</v>
      </c>
      <c r="N3366" t="s">
        <v>811</v>
      </c>
      <c r="O3366">
        <v>20774</v>
      </c>
      <c r="Q3366" t="s">
        <v>124</v>
      </c>
      <c r="R3366">
        <v>2</v>
      </c>
      <c r="S3366">
        <v>2.3959999999999999</v>
      </c>
      <c r="T3366">
        <v>0</v>
      </c>
      <c r="U3366">
        <v>0</v>
      </c>
      <c r="V3366">
        <v>2</v>
      </c>
      <c r="W3366">
        <v>0</v>
      </c>
      <c r="X3366">
        <v>0</v>
      </c>
      <c r="Y3366">
        <v>0</v>
      </c>
      <c r="Z3366">
        <v>0</v>
      </c>
      <c r="AA3366">
        <v>0</v>
      </c>
      <c r="AB3366">
        <v>0</v>
      </c>
      <c r="AC3366">
        <v>0</v>
      </c>
      <c r="AD3366">
        <v>2</v>
      </c>
      <c r="AE3366">
        <v>0</v>
      </c>
      <c r="AF3366">
        <v>0</v>
      </c>
      <c r="AG3366">
        <v>0</v>
      </c>
      <c r="AH3366">
        <v>0</v>
      </c>
      <c r="AI3366">
        <v>0</v>
      </c>
      <c r="AJ3366">
        <v>0</v>
      </c>
      <c r="AK3366">
        <v>0</v>
      </c>
    </row>
    <row r="3367" spans="1:37" x14ac:dyDescent="0.3">
      <c r="A3367">
        <v>7134</v>
      </c>
      <c r="B3367" t="s">
        <v>28</v>
      </c>
      <c r="C3367">
        <v>699</v>
      </c>
      <c r="D3367" t="s">
        <v>3500</v>
      </c>
      <c r="E3367">
        <v>99999999</v>
      </c>
      <c r="F3367">
        <v>11111111</v>
      </c>
      <c r="G3367">
        <v>1111111111</v>
      </c>
      <c r="H3367" t="s">
        <v>6936</v>
      </c>
      <c r="I3367">
        <v>99999999</v>
      </c>
      <c r="J3367" s="188">
        <v>45236</v>
      </c>
      <c r="K3367" t="s">
        <v>6936</v>
      </c>
      <c r="L3367" t="s">
        <v>6936</v>
      </c>
      <c r="M3367" t="s">
        <v>3297</v>
      </c>
      <c r="N3367" t="s">
        <v>811</v>
      </c>
      <c r="O3367">
        <v>20774</v>
      </c>
      <c r="Q3367" t="s">
        <v>124</v>
      </c>
      <c r="R3367">
        <v>3</v>
      </c>
      <c r="S3367">
        <v>3.52</v>
      </c>
      <c r="T3367">
        <v>0</v>
      </c>
      <c r="U3367">
        <v>0</v>
      </c>
      <c r="V3367">
        <v>2</v>
      </c>
      <c r="W3367">
        <v>0</v>
      </c>
      <c r="X3367">
        <v>0</v>
      </c>
      <c r="Y3367">
        <v>0</v>
      </c>
      <c r="Z3367">
        <v>0</v>
      </c>
      <c r="AA3367">
        <v>0</v>
      </c>
      <c r="AB3367">
        <v>0</v>
      </c>
      <c r="AC3367">
        <v>0</v>
      </c>
      <c r="AD3367">
        <v>3</v>
      </c>
      <c r="AE3367">
        <v>0</v>
      </c>
      <c r="AF3367">
        <v>0</v>
      </c>
      <c r="AG3367">
        <v>0</v>
      </c>
      <c r="AH3367">
        <v>0</v>
      </c>
      <c r="AI3367">
        <v>0</v>
      </c>
      <c r="AJ3367">
        <v>0</v>
      </c>
      <c r="AK3367">
        <v>0</v>
      </c>
    </row>
    <row r="3368" spans="1:37" x14ac:dyDescent="0.3">
      <c r="A3368">
        <v>7134</v>
      </c>
      <c r="B3368" t="s">
        <v>28</v>
      </c>
      <c r="C3368">
        <v>699</v>
      </c>
      <c r="D3368" t="s">
        <v>3500</v>
      </c>
      <c r="E3368">
        <v>99999999</v>
      </c>
      <c r="F3368">
        <v>11111111</v>
      </c>
      <c r="G3368">
        <v>1111111111</v>
      </c>
      <c r="H3368" t="s">
        <v>6937</v>
      </c>
      <c r="I3368">
        <v>99999999</v>
      </c>
      <c r="J3368" s="188">
        <v>45236</v>
      </c>
      <c r="K3368" t="s">
        <v>6937</v>
      </c>
      <c r="L3368" t="s">
        <v>6937</v>
      </c>
      <c r="M3368" t="s">
        <v>3297</v>
      </c>
      <c r="N3368" t="s">
        <v>811</v>
      </c>
      <c r="O3368">
        <v>20774</v>
      </c>
      <c r="Q3368" t="s">
        <v>124</v>
      </c>
      <c r="R3368">
        <v>70</v>
      </c>
      <c r="S3368">
        <v>59.302</v>
      </c>
      <c r="T3368">
        <v>0</v>
      </c>
      <c r="U3368">
        <v>0</v>
      </c>
      <c r="V3368">
        <v>12</v>
      </c>
      <c r="W3368">
        <v>0</v>
      </c>
      <c r="X3368">
        <v>0</v>
      </c>
      <c r="Y3368">
        <v>0</v>
      </c>
      <c r="Z3368">
        <v>0</v>
      </c>
      <c r="AA3368">
        <v>0</v>
      </c>
      <c r="AB3368">
        <v>0</v>
      </c>
      <c r="AC3368">
        <v>0</v>
      </c>
      <c r="AD3368">
        <v>70</v>
      </c>
      <c r="AE3368">
        <v>0</v>
      </c>
      <c r="AF3368">
        <v>0</v>
      </c>
      <c r="AG3368">
        <v>0</v>
      </c>
      <c r="AH3368">
        <v>0</v>
      </c>
      <c r="AI3368">
        <v>0</v>
      </c>
      <c r="AJ3368">
        <v>0</v>
      </c>
      <c r="AK3368">
        <v>0</v>
      </c>
    </row>
    <row r="3369" spans="1:37" x14ac:dyDescent="0.3">
      <c r="A3369">
        <v>7134</v>
      </c>
      <c r="B3369" t="s">
        <v>28</v>
      </c>
      <c r="C3369">
        <v>699</v>
      </c>
      <c r="D3369" t="s">
        <v>3500</v>
      </c>
      <c r="E3369">
        <v>99999999</v>
      </c>
      <c r="F3369">
        <v>11111111</v>
      </c>
      <c r="G3369">
        <v>1111111111</v>
      </c>
      <c r="H3369" t="s">
        <v>6938</v>
      </c>
      <c r="I3369">
        <v>99999999</v>
      </c>
      <c r="J3369" s="188">
        <v>45236</v>
      </c>
      <c r="K3369" t="s">
        <v>6938</v>
      </c>
      <c r="L3369" t="s">
        <v>6938</v>
      </c>
      <c r="M3369" t="s">
        <v>3297</v>
      </c>
      <c r="N3369" t="s">
        <v>811</v>
      </c>
      <c r="O3369">
        <v>20774</v>
      </c>
      <c r="Q3369" t="s">
        <v>124</v>
      </c>
      <c r="R3369">
        <v>2</v>
      </c>
      <c r="S3369">
        <v>1.89</v>
      </c>
      <c r="T3369">
        <v>0</v>
      </c>
      <c r="U3369">
        <v>0</v>
      </c>
      <c r="V3369">
        <v>2</v>
      </c>
      <c r="W3369">
        <v>0</v>
      </c>
      <c r="X3369">
        <v>0</v>
      </c>
      <c r="Y3369">
        <v>0</v>
      </c>
      <c r="Z3369">
        <v>0</v>
      </c>
      <c r="AA3369">
        <v>0</v>
      </c>
      <c r="AB3369">
        <v>0</v>
      </c>
      <c r="AC3369">
        <v>0</v>
      </c>
      <c r="AD3369">
        <v>2</v>
      </c>
      <c r="AE3369">
        <v>0</v>
      </c>
      <c r="AF3369">
        <v>0</v>
      </c>
      <c r="AG3369">
        <v>0</v>
      </c>
      <c r="AH3369">
        <v>0</v>
      </c>
      <c r="AI3369">
        <v>0</v>
      </c>
      <c r="AJ3369">
        <v>0</v>
      </c>
      <c r="AK3369">
        <v>0</v>
      </c>
    </row>
    <row r="3370" spans="1:37" x14ac:dyDescent="0.3">
      <c r="A3370">
        <v>7134</v>
      </c>
      <c r="B3370" t="s">
        <v>28</v>
      </c>
      <c r="C3370">
        <v>699</v>
      </c>
      <c r="D3370" t="s">
        <v>3500</v>
      </c>
      <c r="E3370">
        <v>99999999</v>
      </c>
      <c r="F3370">
        <v>11111111</v>
      </c>
      <c r="G3370">
        <v>1111111111</v>
      </c>
      <c r="H3370" t="s">
        <v>6939</v>
      </c>
      <c r="I3370">
        <v>99999999</v>
      </c>
      <c r="J3370" s="188">
        <v>45236</v>
      </c>
      <c r="K3370" t="s">
        <v>6939</v>
      </c>
      <c r="L3370" t="s">
        <v>6939</v>
      </c>
      <c r="M3370" t="s">
        <v>3297</v>
      </c>
      <c r="N3370" t="s">
        <v>811</v>
      </c>
      <c r="O3370">
        <v>20774</v>
      </c>
      <c r="Q3370" t="s">
        <v>124</v>
      </c>
      <c r="R3370">
        <v>16</v>
      </c>
      <c r="S3370">
        <v>14.326000000000001</v>
      </c>
      <c r="T3370">
        <v>0</v>
      </c>
      <c r="U3370">
        <v>0</v>
      </c>
      <c r="V3370">
        <v>11</v>
      </c>
      <c r="W3370">
        <v>0</v>
      </c>
      <c r="X3370">
        <v>0</v>
      </c>
      <c r="Y3370">
        <v>0</v>
      </c>
      <c r="Z3370">
        <v>0</v>
      </c>
      <c r="AA3370">
        <v>0</v>
      </c>
      <c r="AB3370">
        <v>0</v>
      </c>
      <c r="AC3370">
        <v>0</v>
      </c>
      <c r="AD3370">
        <v>16</v>
      </c>
      <c r="AE3370">
        <v>0</v>
      </c>
      <c r="AF3370">
        <v>0</v>
      </c>
      <c r="AG3370">
        <v>0</v>
      </c>
      <c r="AH3370">
        <v>0</v>
      </c>
      <c r="AI3370">
        <v>0</v>
      </c>
      <c r="AJ3370">
        <v>0</v>
      </c>
      <c r="AK3370">
        <v>0</v>
      </c>
    </row>
    <row r="3371" spans="1:37" x14ac:dyDescent="0.3">
      <c r="A3371">
        <v>7134</v>
      </c>
      <c r="B3371" t="s">
        <v>28</v>
      </c>
      <c r="C3371">
        <v>699</v>
      </c>
      <c r="D3371" t="s">
        <v>3500</v>
      </c>
      <c r="E3371">
        <v>99999999</v>
      </c>
      <c r="F3371">
        <v>11111111</v>
      </c>
      <c r="G3371">
        <v>1111111111</v>
      </c>
      <c r="H3371" t="s">
        <v>6940</v>
      </c>
      <c r="I3371">
        <v>99999999</v>
      </c>
      <c r="J3371" s="188">
        <v>45236</v>
      </c>
      <c r="K3371" t="s">
        <v>6940</v>
      </c>
      <c r="L3371" t="s">
        <v>6940</v>
      </c>
      <c r="M3371" t="s">
        <v>3297</v>
      </c>
      <c r="N3371" t="s">
        <v>811</v>
      </c>
      <c r="O3371">
        <v>20774</v>
      </c>
      <c r="Q3371" t="s">
        <v>124</v>
      </c>
      <c r="R3371">
        <v>71</v>
      </c>
      <c r="S3371">
        <v>67.126000000000005</v>
      </c>
      <c r="T3371">
        <v>0</v>
      </c>
      <c r="U3371">
        <v>0</v>
      </c>
      <c r="V3371">
        <v>12</v>
      </c>
      <c r="W3371">
        <v>0</v>
      </c>
      <c r="X3371">
        <v>0</v>
      </c>
      <c r="Y3371">
        <v>0</v>
      </c>
      <c r="Z3371">
        <v>0</v>
      </c>
      <c r="AA3371">
        <v>1</v>
      </c>
      <c r="AB3371">
        <v>0</v>
      </c>
      <c r="AC3371">
        <v>0</v>
      </c>
      <c r="AD3371">
        <v>47</v>
      </c>
      <c r="AE3371">
        <v>0</v>
      </c>
      <c r="AF3371">
        <v>0</v>
      </c>
      <c r="AG3371">
        <v>0</v>
      </c>
      <c r="AH3371">
        <v>0</v>
      </c>
      <c r="AI3371">
        <v>0</v>
      </c>
      <c r="AJ3371">
        <v>0</v>
      </c>
      <c r="AK3371">
        <v>0</v>
      </c>
    </row>
    <row r="3372" spans="1:37" x14ac:dyDescent="0.3">
      <c r="A3372">
        <v>7134</v>
      </c>
      <c r="B3372" t="s">
        <v>28</v>
      </c>
      <c r="C3372">
        <v>699</v>
      </c>
      <c r="D3372" t="s">
        <v>3500</v>
      </c>
      <c r="E3372">
        <v>99999999</v>
      </c>
      <c r="F3372">
        <v>11111111</v>
      </c>
      <c r="G3372">
        <v>1111111111</v>
      </c>
      <c r="H3372" t="s">
        <v>6941</v>
      </c>
      <c r="I3372">
        <v>99999999</v>
      </c>
      <c r="J3372" s="188">
        <v>45236</v>
      </c>
      <c r="K3372" t="s">
        <v>6941</v>
      </c>
      <c r="L3372" t="s">
        <v>6941</v>
      </c>
      <c r="M3372" t="s">
        <v>3297</v>
      </c>
      <c r="N3372" t="s">
        <v>811</v>
      </c>
      <c r="O3372">
        <v>20774</v>
      </c>
      <c r="Q3372" t="s">
        <v>124</v>
      </c>
      <c r="R3372">
        <v>13</v>
      </c>
      <c r="S3372">
        <v>11.996</v>
      </c>
      <c r="T3372">
        <v>0</v>
      </c>
      <c r="U3372">
        <v>0</v>
      </c>
      <c r="V3372">
        <v>7</v>
      </c>
      <c r="W3372">
        <v>0</v>
      </c>
      <c r="X3372">
        <v>0</v>
      </c>
      <c r="Y3372">
        <v>0</v>
      </c>
      <c r="Z3372">
        <v>0</v>
      </c>
      <c r="AA3372">
        <v>0</v>
      </c>
      <c r="AB3372">
        <v>0</v>
      </c>
      <c r="AC3372">
        <v>0</v>
      </c>
      <c r="AD3372">
        <v>13</v>
      </c>
      <c r="AE3372">
        <v>0</v>
      </c>
      <c r="AF3372">
        <v>0</v>
      </c>
      <c r="AG3372">
        <v>0</v>
      </c>
      <c r="AH3372">
        <v>0</v>
      </c>
      <c r="AI3372">
        <v>0</v>
      </c>
      <c r="AJ3372">
        <v>0</v>
      </c>
      <c r="AK3372">
        <v>0</v>
      </c>
    </row>
    <row r="3373" spans="1:37" x14ac:dyDescent="0.3">
      <c r="A3373">
        <v>7134</v>
      </c>
      <c r="B3373" t="s">
        <v>28</v>
      </c>
      <c r="C3373">
        <v>699</v>
      </c>
      <c r="D3373" t="s">
        <v>3500</v>
      </c>
      <c r="E3373">
        <v>99999999</v>
      </c>
      <c r="F3373">
        <v>11111111</v>
      </c>
      <c r="G3373">
        <v>1111111111</v>
      </c>
      <c r="H3373" t="s">
        <v>6942</v>
      </c>
      <c r="I3373">
        <v>99999999</v>
      </c>
      <c r="J3373" s="188">
        <v>45236</v>
      </c>
      <c r="K3373" t="s">
        <v>6942</v>
      </c>
      <c r="L3373" t="s">
        <v>6942</v>
      </c>
      <c r="M3373" t="s">
        <v>3297</v>
      </c>
      <c r="N3373" t="s">
        <v>811</v>
      </c>
      <c r="O3373">
        <v>20774</v>
      </c>
      <c r="Q3373" t="s">
        <v>124</v>
      </c>
      <c r="R3373">
        <v>13</v>
      </c>
      <c r="S3373">
        <v>12.35</v>
      </c>
      <c r="T3373">
        <v>0</v>
      </c>
      <c r="U3373">
        <v>0</v>
      </c>
      <c r="V3373">
        <v>9</v>
      </c>
      <c r="W3373">
        <v>0</v>
      </c>
      <c r="X3373">
        <v>0</v>
      </c>
      <c r="Y3373">
        <v>0</v>
      </c>
      <c r="Z3373">
        <v>0</v>
      </c>
      <c r="AA3373">
        <v>0</v>
      </c>
      <c r="AB3373">
        <v>0</v>
      </c>
      <c r="AC3373">
        <v>0</v>
      </c>
      <c r="AD3373">
        <v>13</v>
      </c>
      <c r="AE3373">
        <v>0</v>
      </c>
      <c r="AF3373">
        <v>0</v>
      </c>
      <c r="AG3373">
        <v>0</v>
      </c>
      <c r="AH3373">
        <v>0</v>
      </c>
      <c r="AI3373">
        <v>0</v>
      </c>
      <c r="AJ3373">
        <v>0</v>
      </c>
      <c r="AK3373">
        <v>0</v>
      </c>
    </row>
    <row r="3374" spans="1:37" x14ac:dyDescent="0.3">
      <c r="A3374">
        <v>7134</v>
      </c>
      <c r="B3374" t="s">
        <v>28</v>
      </c>
      <c r="C3374">
        <v>699</v>
      </c>
      <c r="D3374" t="s">
        <v>3500</v>
      </c>
      <c r="E3374">
        <v>99999999</v>
      </c>
      <c r="F3374">
        <v>11111111</v>
      </c>
      <c r="G3374">
        <v>1111111111</v>
      </c>
      <c r="H3374" t="s">
        <v>6943</v>
      </c>
      <c r="I3374">
        <v>99999999</v>
      </c>
      <c r="J3374" s="188">
        <v>45236</v>
      </c>
      <c r="K3374" t="s">
        <v>6943</v>
      </c>
      <c r="L3374" t="s">
        <v>6943</v>
      </c>
      <c r="M3374" t="s">
        <v>3297</v>
      </c>
      <c r="N3374" t="s">
        <v>811</v>
      </c>
      <c r="O3374">
        <v>20774</v>
      </c>
      <c r="Q3374" t="s">
        <v>124</v>
      </c>
      <c r="R3374">
        <v>20</v>
      </c>
      <c r="S3374">
        <v>17.635999999999999</v>
      </c>
      <c r="T3374">
        <v>0</v>
      </c>
      <c r="U3374">
        <v>0</v>
      </c>
      <c r="V3374">
        <v>11</v>
      </c>
      <c r="W3374">
        <v>0</v>
      </c>
      <c r="X3374">
        <v>0</v>
      </c>
      <c r="Y3374">
        <v>0</v>
      </c>
      <c r="Z3374">
        <v>0</v>
      </c>
      <c r="AA3374">
        <v>0</v>
      </c>
      <c r="AB3374">
        <v>0</v>
      </c>
      <c r="AC3374">
        <v>0</v>
      </c>
      <c r="AD3374">
        <v>20</v>
      </c>
      <c r="AE3374">
        <v>0</v>
      </c>
      <c r="AF3374">
        <v>0</v>
      </c>
      <c r="AG3374">
        <v>0</v>
      </c>
      <c r="AH3374">
        <v>0</v>
      </c>
      <c r="AI3374">
        <v>0</v>
      </c>
      <c r="AJ3374">
        <v>0</v>
      </c>
      <c r="AK3374">
        <v>0</v>
      </c>
    </row>
    <row r="3375" spans="1:37" x14ac:dyDescent="0.3">
      <c r="A3375">
        <v>7134</v>
      </c>
      <c r="B3375" t="s">
        <v>28</v>
      </c>
      <c r="C3375">
        <v>699</v>
      </c>
      <c r="D3375" t="s">
        <v>3500</v>
      </c>
      <c r="E3375">
        <v>99999999</v>
      </c>
      <c r="F3375">
        <v>11111111</v>
      </c>
      <c r="G3375">
        <v>1111111111</v>
      </c>
      <c r="H3375" t="s">
        <v>6944</v>
      </c>
      <c r="I3375">
        <v>99999999</v>
      </c>
      <c r="J3375" s="188">
        <v>45236</v>
      </c>
      <c r="K3375" t="s">
        <v>6944</v>
      </c>
      <c r="L3375" t="s">
        <v>6944</v>
      </c>
      <c r="M3375" t="s">
        <v>3297</v>
      </c>
      <c r="N3375" t="s">
        <v>811</v>
      </c>
      <c r="O3375">
        <v>20774</v>
      </c>
      <c r="Q3375" t="s">
        <v>124</v>
      </c>
      <c r="R3375">
        <v>11</v>
      </c>
      <c r="S3375">
        <v>9.7799999999999994</v>
      </c>
      <c r="T3375">
        <v>0</v>
      </c>
      <c r="U3375">
        <v>0</v>
      </c>
      <c r="V3375">
        <v>8</v>
      </c>
      <c r="W3375">
        <v>0</v>
      </c>
      <c r="X3375">
        <v>0</v>
      </c>
      <c r="Y3375">
        <v>0</v>
      </c>
      <c r="Z3375">
        <v>0</v>
      </c>
      <c r="AA3375">
        <v>0</v>
      </c>
      <c r="AB3375">
        <v>0</v>
      </c>
      <c r="AC3375">
        <v>0</v>
      </c>
      <c r="AD3375">
        <v>11</v>
      </c>
      <c r="AE3375">
        <v>0</v>
      </c>
      <c r="AF3375">
        <v>0</v>
      </c>
      <c r="AG3375">
        <v>0</v>
      </c>
      <c r="AH3375">
        <v>0</v>
      </c>
      <c r="AI3375">
        <v>0</v>
      </c>
      <c r="AJ3375">
        <v>0</v>
      </c>
      <c r="AK3375">
        <v>0</v>
      </c>
    </row>
    <row r="3376" spans="1:37" x14ac:dyDescent="0.3">
      <c r="A3376">
        <v>7134</v>
      </c>
      <c r="B3376" t="s">
        <v>28</v>
      </c>
      <c r="C3376">
        <v>699</v>
      </c>
      <c r="D3376" t="s">
        <v>3500</v>
      </c>
      <c r="E3376">
        <v>99999999</v>
      </c>
      <c r="F3376">
        <v>11111111</v>
      </c>
      <c r="G3376">
        <v>1111111111</v>
      </c>
      <c r="H3376" t="s">
        <v>6945</v>
      </c>
      <c r="I3376">
        <v>99999999</v>
      </c>
      <c r="J3376" s="188">
        <v>45236</v>
      </c>
      <c r="K3376" t="s">
        <v>6945</v>
      </c>
      <c r="L3376" t="s">
        <v>6945</v>
      </c>
      <c r="M3376" t="s">
        <v>3297</v>
      </c>
      <c r="N3376" t="s">
        <v>811</v>
      </c>
      <c r="O3376">
        <v>20774</v>
      </c>
      <c r="Q3376" t="s">
        <v>124</v>
      </c>
      <c r="R3376">
        <v>5</v>
      </c>
      <c r="S3376">
        <v>4.9160000000000004</v>
      </c>
      <c r="T3376">
        <v>0</v>
      </c>
      <c r="U3376">
        <v>0</v>
      </c>
      <c r="V3376">
        <v>5</v>
      </c>
      <c r="W3376">
        <v>0</v>
      </c>
      <c r="X3376">
        <v>0</v>
      </c>
      <c r="Y3376">
        <v>0</v>
      </c>
      <c r="Z3376">
        <v>0</v>
      </c>
      <c r="AA3376">
        <v>0</v>
      </c>
      <c r="AB3376">
        <v>0</v>
      </c>
      <c r="AC3376">
        <v>0</v>
      </c>
      <c r="AD3376">
        <v>5</v>
      </c>
      <c r="AE3376">
        <v>0</v>
      </c>
      <c r="AF3376">
        <v>0</v>
      </c>
      <c r="AG3376">
        <v>0</v>
      </c>
      <c r="AH3376">
        <v>0</v>
      </c>
      <c r="AI3376">
        <v>0</v>
      </c>
      <c r="AJ3376">
        <v>0</v>
      </c>
      <c r="AK3376">
        <v>0</v>
      </c>
    </row>
    <row r="3377" spans="1:37" x14ac:dyDescent="0.3">
      <c r="A3377">
        <v>7134</v>
      </c>
      <c r="B3377" t="s">
        <v>28</v>
      </c>
      <c r="C3377">
        <v>699</v>
      </c>
      <c r="D3377" t="s">
        <v>3500</v>
      </c>
      <c r="E3377">
        <v>99999999</v>
      </c>
      <c r="F3377">
        <v>11111111</v>
      </c>
      <c r="G3377">
        <v>1111111111</v>
      </c>
      <c r="H3377" t="s">
        <v>6946</v>
      </c>
      <c r="I3377">
        <v>99999999</v>
      </c>
      <c r="J3377" s="188">
        <v>45236</v>
      </c>
      <c r="K3377" t="s">
        <v>6946</v>
      </c>
      <c r="L3377" t="s">
        <v>6946</v>
      </c>
      <c r="M3377" t="s">
        <v>3297</v>
      </c>
      <c r="N3377" t="s">
        <v>811</v>
      </c>
      <c r="O3377">
        <v>20774</v>
      </c>
      <c r="Q3377" t="s">
        <v>124</v>
      </c>
      <c r="R3377">
        <v>22</v>
      </c>
      <c r="S3377">
        <v>20.356000000000002</v>
      </c>
      <c r="T3377">
        <v>0</v>
      </c>
      <c r="U3377">
        <v>0</v>
      </c>
      <c r="V3377">
        <v>12</v>
      </c>
      <c r="W3377">
        <v>0</v>
      </c>
      <c r="X3377">
        <v>0</v>
      </c>
      <c r="Y3377">
        <v>0</v>
      </c>
      <c r="Z3377">
        <v>0</v>
      </c>
      <c r="AA3377">
        <v>0</v>
      </c>
      <c r="AB3377">
        <v>0</v>
      </c>
      <c r="AC3377">
        <v>0</v>
      </c>
      <c r="AD3377">
        <v>22</v>
      </c>
      <c r="AE3377">
        <v>0</v>
      </c>
      <c r="AF3377">
        <v>0</v>
      </c>
      <c r="AG3377">
        <v>0</v>
      </c>
      <c r="AH3377">
        <v>0</v>
      </c>
      <c r="AI3377">
        <v>0</v>
      </c>
      <c r="AJ3377">
        <v>0</v>
      </c>
      <c r="AK3377">
        <v>0</v>
      </c>
    </row>
    <row r="3378" spans="1:37" x14ac:dyDescent="0.3">
      <c r="A3378">
        <v>7134</v>
      </c>
      <c r="B3378" t="s">
        <v>28</v>
      </c>
      <c r="C3378">
        <v>699</v>
      </c>
      <c r="D3378" t="s">
        <v>3500</v>
      </c>
      <c r="E3378">
        <v>99999999</v>
      </c>
      <c r="F3378">
        <v>11111111</v>
      </c>
      <c r="G3378">
        <v>1111111111</v>
      </c>
      <c r="H3378" t="s">
        <v>6947</v>
      </c>
      <c r="I3378">
        <v>99999999</v>
      </c>
      <c r="J3378" s="188">
        <v>45236</v>
      </c>
      <c r="K3378" t="s">
        <v>6947</v>
      </c>
      <c r="L3378" t="s">
        <v>6947</v>
      </c>
      <c r="M3378" t="s">
        <v>3297</v>
      </c>
      <c r="N3378" t="s">
        <v>811</v>
      </c>
      <c r="O3378">
        <v>20774</v>
      </c>
      <c r="Q3378" t="s">
        <v>124</v>
      </c>
      <c r="R3378">
        <v>11</v>
      </c>
      <c r="S3378">
        <v>10.366</v>
      </c>
      <c r="T3378">
        <v>0</v>
      </c>
      <c r="U3378">
        <v>0</v>
      </c>
      <c r="V3378">
        <v>11</v>
      </c>
      <c r="W3378">
        <v>0</v>
      </c>
      <c r="X3378">
        <v>0</v>
      </c>
      <c r="Y3378">
        <v>0</v>
      </c>
      <c r="Z3378">
        <v>0</v>
      </c>
      <c r="AA3378">
        <v>0</v>
      </c>
      <c r="AB3378">
        <v>0</v>
      </c>
      <c r="AC3378">
        <v>0</v>
      </c>
      <c r="AD3378">
        <v>11</v>
      </c>
      <c r="AE3378">
        <v>0</v>
      </c>
      <c r="AF3378">
        <v>0</v>
      </c>
      <c r="AG3378">
        <v>0</v>
      </c>
      <c r="AH3378">
        <v>0</v>
      </c>
      <c r="AI3378">
        <v>0</v>
      </c>
      <c r="AJ3378">
        <v>0</v>
      </c>
      <c r="AK3378">
        <v>0</v>
      </c>
    </row>
    <row r="3379" spans="1:37" x14ac:dyDescent="0.3">
      <c r="A3379">
        <v>7134</v>
      </c>
      <c r="B3379" t="s">
        <v>28</v>
      </c>
      <c r="C3379">
        <v>699</v>
      </c>
      <c r="D3379" t="s">
        <v>3500</v>
      </c>
      <c r="E3379">
        <v>99999999</v>
      </c>
      <c r="F3379">
        <v>11111111</v>
      </c>
      <c r="G3379">
        <v>1111111111</v>
      </c>
      <c r="H3379" t="s">
        <v>6948</v>
      </c>
      <c r="I3379">
        <v>99999999</v>
      </c>
      <c r="J3379" s="188">
        <v>45236</v>
      </c>
      <c r="K3379" t="s">
        <v>6948</v>
      </c>
      <c r="L3379" t="s">
        <v>6948</v>
      </c>
      <c r="M3379" t="s">
        <v>3297</v>
      </c>
      <c r="N3379" t="s">
        <v>811</v>
      </c>
      <c r="O3379">
        <v>20774</v>
      </c>
      <c r="Q3379" t="s">
        <v>124</v>
      </c>
      <c r="R3379">
        <v>13</v>
      </c>
      <c r="S3379">
        <v>12.68</v>
      </c>
      <c r="T3379">
        <v>0</v>
      </c>
      <c r="U3379">
        <v>0</v>
      </c>
      <c r="V3379">
        <v>10</v>
      </c>
      <c r="W3379">
        <v>0</v>
      </c>
      <c r="X3379">
        <v>0</v>
      </c>
      <c r="Y3379">
        <v>0</v>
      </c>
      <c r="Z3379">
        <v>0</v>
      </c>
      <c r="AA3379">
        <v>0</v>
      </c>
      <c r="AB3379">
        <v>0</v>
      </c>
      <c r="AC3379">
        <v>0</v>
      </c>
      <c r="AD3379">
        <v>13</v>
      </c>
      <c r="AE3379">
        <v>0</v>
      </c>
      <c r="AF3379">
        <v>0</v>
      </c>
      <c r="AG3379">
        <v>0</v>
      </c>
      <c r="AH3379">
        <v>0</v>
      </c>
      <c r="AI3379">
        <v>0</v>
      </c>
      <c r="AJ3379">
        <v>0</v>
      </c>
      <c r="AK3379">
        <v>0</v>
      </c>
    </row>
    <row r="3380" spans="1:37" x14ac:dyDescent="0.3">
      <c r="A3380">
        <v>7134</v>
      </c>
      <c r="B3380" t="s">
        <v>28</v>
      </c>
      <c r="C3380">
        <v>699</v>
      </c>
      <c r="D3380" t="s">
        <v>3500</v>
      </c>
      <c r="E3380">
        <v>99999999</v>
      </c>
      <c r="F3380">
        <v>11111111</v>
      </c>
      <c r="G3380">
        <v>1111111111</v>
      </c>
      <c r="H3380" t="s">
        <v>6949</v>
      </c>
      <c r="I3380">
        <v>99999999</v>
      </c>
      <c r="J3380" s="188">
        <v>45236</v>
      </c>
      <c r="K3380" t="s">
        <v>6949</v>
      </c>
      <c r="L3380" t="s">
        <v>6949</v>
      </c>
      <c r="M3380" t="s">
        <v>3297</v>
      </c>
      <c r="N3380" t="s">
        <v>811</v>
      </c>
      <c r="O3380">
        <v>20774</v>
      </c>
      <c r="Q3380" t="s">
        <v>124</v>
      </c>
      <c r="R3380">
        <v>9</v>
      </c>
      <c r="S3380">
        <v>7.7859999999999996</v>
      </c>
      <c r="T3380">
        <v>0</v>
      </c>
      <c r="U3380">
        <v>0</v>
      </c>
      <c r="V3380">
        <v>8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9</v>
      </c>
      <c r="AE3380">
        <v>0</v>
      </c>
      <c r="AF3380">
        <v>0</v>
      </c>
      <c r="AG3380">
        <v>0</v>
      </c>
      <c r="AH3380">
        <v>0</v>
      </c>
      <c r="AI3380">
        <v>0</v>
      </c>
      <c r="AJ3380">
        <v>0</v>
      </c>
      <c r="AK3380">
        <v>0</v>
      </c>
    </row>
    <row r="3381" spans="1:37" x14ac:dyDescent="0.3">
      <c r="A3381">
        <v>7134</v>
      </c>
      <c r="B3381" t="s">
        <v>28</v>
      </c>
      <c r="C3381">
        <v>699</v>
      </c>
      <c r="D3381" t="s">
        <v>3500</v>
      </c>
      <c r="E3381">
        <v>99999999</v>
      </c>
      <c r="F3381">
        <v>11111111</v>
      </c>
      <c r="G3381">
        <v>1111111111</v>
      </c>
      <c r="H3381" t="s">
        <v>6950</v>
      </c>
      <c r="I3381">
        <v>99999999</v>
      </c>
      <c r="J3381" s="188">
        <v>45236</v>
      </c>
      <c r="K3381" t="s">
        <v>6950</v>
      </c>
      <c r="L3381" t="s">
        <v>6950</v>
      </c>
      <c r="M3381" t="s">
        <v>3297</v>
      </c>
      <c r="N3381" t="s">
        <v>811</v>
      </c>
      <c r="O3381">
        <v>20774</v>
      </c>
      <c r="Q3381" t="s">
        <v>124</v>
      </c>
      <c r="R3381">
        <v>10</v>
      </c>
      <c r="S3381">
        <v>9.3699999999999992</v>
      </c>
      <c r="T3381">
        <v>0</v>
      </c>
      <c r="U3381">
        <v>0</v>
      </c>
      <c r="V3381">
        <v>8</v>
      </c>
      <c r="W3381">
        <v>0</v>
      </c>
      <c r="X3381">
        <v>0</v>
      </c>
      <c r="Y3381">
        <v>0</v>
      </c>
      <c r="Z3381">
        <v>0</v>
      </c>
      <c r="AA3381">
        <v>0</v>
      </c>
      <c r="AB3381">
        <v>0</v>
      </c>
      <c r="AC3381">
        <v>0</v>
      </c>
      <c r="AD3381">
        <v>10</v>
      </c>
      <c r="AE3381">
        <v>0</v>
      </c>
      <c r="AF3381">
        <v>0</v>
      </c>
      <c r="AG3381">
        <v>0</v>
      </c>
      <c r="AH3381">
        <v>0</v>
      </c>
      <c r="AI3381">
        <v>0</v>
      </c>
      <c r="AJ3381">
        <v>0</v>
      </c>
      <c r="AK3381">
        <v>0</v>
      </c>
    </row>
    <row r="3382" spans="1:37" x14ac:dyDescent="0.3">
      <c r="A3382">
        <v>7134</v>
      </c>
      <c r="B3382" t="s">
        <v>28</v>
      </c>
      <c r="C3382">
        <v>699</v>
      </c>
      <c r="D3382" t="s">
        <v>3500</v>
      </c>
      <c r="E3382">
        <v>99999999</v>
      </c>
      <c r="F3382">
        <v>11111111</v>
      </c>
      <c r="G3382">
        <v>1111111111</v>
      </c>
      <c r="H3382" t="s">
        <v>6951</v>
      </c>
      <c r="I3382">
        <v>99999999</v>
      </c>
      <c r="J3382" s="188">
        <v>45236</v>
      </c>
      <c r="K3382" t="s">
        <v>6951</v>
      </c>
      <c r="L3382" t="s">
        <v>6951</v>
      </c>
      <c r="M3382" t="s">
        <v>3297</v>
      </c>
      <c r="N3382" t="s">
        <v>811</v>
      </c>
      <c r="O3382">
        <v>20774</v>
      </c>
      <c r="Q3382" t="s">
        <v>124</v>
      </c>
      <c r="R3382">
        <v>90</v>
      </c>
      <c r="S3382">
        <v>84.256</v>
      </c>
      <c r="T3382">
        <v>0</v>
      </c>
      <c r="U3382">
        <v>0</v>
      </c>
      <c r="V3382">
        <v>12</v>
      </c>
      <c r="W3382">
        <v>0</v>
      </c>
      <c r="X3382">
        <v>0</v>
      </c>
      <c r="Y3382">
        <v>0</v>
      </c>
      <c r="Z3382">
        <v>0</v>
      </c>
      <c r="AA3382">
        <v>1</v>
      </c>
      <c r="AB3382">
        <v>0</v>
      </c>
      <c r="AC3382">
        <v>0</v>
      </c>
      <c r="AD3382">
        <v>66</v>
      </c>
      <c r="AE3382">
        <v>0</v>
      </c>
      <c r="AF3382">
        <v>0</v>
      </c>
      <c r="AG3382">
        <v>0</v>
      </c>
      <c r="AH3382">
        <v>0</v>
      </c>
      <c r="AI3382">
        <v>0</v>
      </c>
      <c r="AJ3382">
        <v>0</v>
      </c>
      <c r="AK3382">
        <v>0</v>
      </c>
    </row>
    <row r="3383" spans="1:37" x14ac:dyDescent="0.3">
      <c r="A3383">
        <v>7134</v>
      </c>
      <c r="B3383" t="s">
        <v>28</v>
      </c>
      <c r="C3383">
        <v>699</v>
      </c>
      <c r="D3383" t="s">
        <v>3500</v>
      </c>
      <c r="E3383">
        <v>99999999</v>
      </c>
      <c r="F3383">
        <v>11111111</v>
      </c>
      <c r="G3383">
        <v>1111111111</v>
      </c>
      <c r="H3383" t="s">
        <v>6952</v>
      </c>
      <c r="I3383">
        <v>99999999</v>
      </c>
      <c r="J3383" s="188">
        <v>45236</v>
      </c>
      <c r="K3383" t="s">
        <v>6952</v>
      </c>
      <c r="L3383" t="s">
        <v>6952</v>
      </c>
      <c r="M3383" t="s">
        <v>3297</v>
      </c>
      <c r="N3383" t="s">
        <v>811</v>
      </c>
      <c r="O3383">
        <v>20774</v>
      </c>
      <c r="Q3383" t="s">
        <v>124</v>
      </c>
      <c r="R3383">
        <v>13</v>
      </c>
      <c r="S3383">
        <v>12.25</v>
      </c>
      <c r="T3383">
        <v>0</v>
      </c>
      <c r="U3383">
        <v>0</v>
      </c>
      <c r="V3383">
        <v>9</v>
      </c>
      <c r="W3383">
        <v>0</v>
      </c>
      <c r="X3383">
        <v>0</v>
      </c>
      <c r="Y3383">
        <v>0</v>
      </c>
      <c r="Z3383">
        <v>0</v>
      </c>
      <c r="AA3383">
        <v>0</v>
      </c>
      <c r="AB3383">
        <v>0</v>
      </c>
      <c r="AC3383">
        <v>0</v>
      </c>
      <c r="AD3383">
        <v>13</v>
      </c>
      <c r="AE3383">
        <v>0</v>
      </c>
      <c r="AF3383">
        <v>0</v>
      </c>
      <c r="AG3383">
        <v>0</v>
      </c>
      <c r="AH3383">
        <v>0</v>
      </c>
      <c r="AI3383">
        <v>0</v>
      </c>
      <c r="AJ3383">
        <v>0</v>
      </c>
      <c r="AK3383">
        <v>0</v>
      </c>
    </row>
    <row r="3384" spans="1:37" x14ac:dyDescent="0.3">
      <c r="A3384">
        <v>7134</v>
      </c>
      <c r="B3384" t="s">
        <v>28</v>
      </c>
      <c r="C3384">
        <v>699</v>
      </c>
      <c r="D3384" t="s">
        <v>3500</v>
      </c>
      <c r="E3384">
        <v>99999999</v>
      </c>
      <c r="F3384">
        <v>11111111</v>
      </c>
      <c r="G3384">
        <v>1111111111</v>
      </c>
      <c r="H3384" t="s">
        <v>6953</v>
      </c>
      <c r="I3384">
        <v>99999999</v>
      </c>
      <c r="J3384" s="188">
        <v>45236</v>
      </c>
      <c r="K3384" t="s">
        <v>6953</v>
      </c>
      <c r="L3384" t="s">
        <v>6953</v>
      </c>
      <c r="M3384" t="s">
        <v>3297</v>
      </c>
      <c r="N3384" t="s">
        <v>811</v>
      </c>
      <c r="O3384">
        <v>20774</v>
      </c>
      <c r="Q3384" t="s">
        <v>124</v>
      </c>
      <c r="R3384">
        <v>17</v>
      </c>
      <c r="S3384">
        <v>15.305999999999999</v>
      </c>
      <c r="T3384">
        <v>0</v>
      </c>
      <c r="U3384">
        <v>0</v>
      </c>
      <c r="V3384">
        <v>11</v>
      </c>
      <c r="W3384">
        <v>0</v>
      </c>
      <c r="X3384">
        <v>0</v>
      </c>
      <c r="Y3384">
        <v>0</v>
      </c>
      <c r="Z3384">
        <v>0</v>
      </c>
      <c r="AA3384">
        <v>0</v>
      </c>
      <c r="AB3384">
        <v>0</v>
      </c>
      <c r="AC3384">
        <v>0</v>
      </c>
      <c r="AD3384">
        <v>17</v>
      </c>
      <c r="AE3384">
        <v>0</v>
      </c>
      <c r="AF3384">
        <v>0</v>
      </c>
      <c r="AG3384">
        <v>0</v>
      </c>
      <c r="AH3384">
        <v>0</v>
      </c>
      <c r="AI3384">
        <v>0</v>
      </c>
      <c r="AJ3384">
        <v>0</v>
      </c>
      <c r="AK3384">
        <v>0</v>
      </c>
    </row>
    <row r="3385" spans="1:37" x14ac:dyDescent="0.3">
      <c r="A3385">
        <v>7134</v>
      </c>
      <c r="B3385" t="s">
        <v>28</v>
      </c>
      <c r="C3385">
        <v>799</v>
      </c>
      <c r="D3385" t="s">
        <v>3500</v>
      </c>
      <c r="E3385">
        <v>99999999</v>
      </c>
      <c r="F3385">
        <v>11111111</v>
      </c>
      <c r="G3385">
        <v>1111111111</v>
      </c>
      <c r="H3385" t="s">
        <v>6954</v>
      </c>
      <c r="I3385">
        <v>99999999</v>
      </c>
      <c r="J3385" s="188">
        <v>45236</v>
      </c>
      <c r="K3385" t="s">
        <v>6954</v>
      </c>
      <c r="L3385" t="s">
        <v>6954</v>
      </c>
      <c r="Q3385" t="s">
        <v>124</v>
      </c>
      <c r="R3385">
        <v>0</v>
      </c>
      <c r="T3385">
        <v>1</v>
      </c>
      <c r="U3385">
        <v>43</v>
      </c>
      <c r="V3385">
        <v>0</v>
      </c>
      <c r="W3385">
        <v>0</v>
      </c>
      <c r="X3385">
        <v>0</v>
      </c>
      <c r="Y3385">
        <v>0</v>
      </c>
      <c r="Z3385">
        <v>0</v>
      </c>
      <c r="AA3385">
        <v>0</v>
      </c>
      <c r="AB3385">
        <v>0</v>
      </c>
      <c r="AC3385">
        <v>0</v>
      </c>
      <c r="AD3385">
        <v>0</v>
      </c>
      <c r="AE3385">
        <v>0</v>
      </c>
      <c r="AF3385">
        <v>0</v>
      </c>
      <c r="AG3385">
        <v>0</v>
      </c>
      <c r="AH3385">
        <v>0</v>
      </c>
      <c r="AI3385">
        <v>0</v>
      </c>
      <c r="AJ3385">
        <v>0</v>
      </c>
      <c r="AK3385">
        <v>0</v>
      </c>
    </row>
    <row r="3386" spans="1:37" x14ac:dyDescent="0.3">
      <c r="A3386">
        <v>7134</v>
      </c>
      <c r="B3386" t="s">
        <v>28</v>
      </c>
      <c r="C3386">
        <v>799</v>
      </c>
      <c r="D3386" t="s">
        <v>3500</v>
      </c>
      <c r="E3386">
        <v>99999999</v>
      </c>
      <c r="F3386">
        <v>11111111</v>
      </c>
      <c r="G3386">
        <v>1111111111</v>
      </c>
      <c r="H3386" t="s">
        <v>6955</v>
      </c>
      <c r="I3386">
        <v>99999999</v>
      </c>
      <c r="J3386" s="188">
        <v>45236</v>
      </c>
      <c r="K3386" t="s">
        <v>6955</v>
      </c>
      <c r="L3386" t="s">
        <v>6955</v>
      </c>
      <c r="M3386" t="s">
        <v>3300</v>
      </c>
      <c r="N3386" t="s">
        <v>141</v>
      </c>
      <c r="O3386">
        <v>32609</v>
      </c>
      <c r="Q3386" t="s">
        <v>124</v>
      </c>
      <c r="R3386">
        <v>30</v>
      </c>
      <c r="S3386">
        <v>26.596</v>
      </c>
      <c r="T3386">
        <v>0</v>
      </c>
      <c r="U3386">
        <v>0</v>
      </c>
      <c r="V3386">
        <v>11</v>
      </c>
      <c r="W3386">
        <v>0</v>
      </c>
      <c r="X3386">
        <v>0</v>
      </c>
      <c r="Y3386">
        <v>0</v>
      </c>
      <c r="Z3386">
        <v>0</v>
      </c>
      <c r="AA3386">
        <v>0</v>
      </c>
      <c r="AB3386">
        <v>0</v>
      </c>
      <c r="AC3386">
        <v>0</v>
      </c>
      <c r="AD3386">
        <v>30</v>
      </c>
      <c r="AE3386">
        <v>0</v>
      </c>
      <c r="AF3386">
        <v>0</v>
      </c>
      <c r="AG3386">
        <v>0</v>
      </c>
      <c r="AH3386">
        <v>0</v>
      </c>
      <c r="AI3386">
        <v>0</v>
      </c>
      <c r="AJ3386">
        <v>0</v>
      </c>
      <c r="AK3386">
        <v>0</v>
      </c>
    </row>
    <row r="3387" spans="1:37" x14ac:dyDescent="0.3">
      <c r="A3387">
        <v>7134</v>
      </c>
      <c r="B3387" t="s">
        <v>28</v>
      </c>
      <c r="C3387">
        <v>799</v>
      </c>
      <c r="D3387" t="s">
        <v>3500</v>
      </c>
      <c r="E3387">
        <v>99999999</v>
      </c>
      <c r="F3387">
        <v>11111111</v>
      </c>
      <c r="G3387">
        <v>1111111111</v>
      </c>
      <c r="H3387" t="s">
        <v>6956</v>
      </c>
      <c r="I3387">
        <v>99999999</v>
      </c>
      <c r="J3387" s="188">
        <v>45236</v>
      </c>
      <c r="K3387" t="s">
        <v>6956</v>
      </c>
      <c r="L3387" t="s">
        <v>6956</v>
      </c>
      <c r="M3387" t="s">
        <v>3300</v>
      </c>
      <c r="N3387" t="s">
        <v>141</v>
      </c>
      <c r="O3387">
        <v>32609</v>
      </c>
      <c r="Q3387" t="s">
        <v>124</v>
      </c>
      <c r="R3387">
        <v>20</v>
      </c>
      <c r="S3387">
        <v>16.396000000000001</v>
      </c>
      <c r="T3387">
        <v>0</v>
      </c>
      <c r="U3387">
        <v>0</v>
      </c>
      <c r="V3387">
        <v>9</v>
      </c>
      <c r="W3387">
        <v>0</v>
      </c>
      <c r="X3387">
        <v>0</v>
      </c>
      <c r="Y3387">
        <v>0</v>
      </c>
      <c r="Z3387">
        <v>0</v>
      </c>
      <c r="AA3387">
        <v>0</v>
      </c>
      <c r="AB3387">
        <v>0</v>
      </c>
      <c r="AC3387">
        <v>0</v>
      </c>
      <c r="AD3387">
        <v>20</v>
      </c>
      <c r="AE3387">
        <v>0</v>
      </c>
      <c r="AF3387">
        <v>0</v>
      </c>
      <c r="AG3387">
        <v>0</v>
      </c>
      <c r="AH3387">
        <v>0</v>
      </c>
      <c r="AI3387">
        <v>0</v>
      </c>
      <c r="AJ3387">
        <v>0</v>
      </c>
      <c r="AK3387">
        <v>0</v>
      </c>
    </row>
    <row r="3388" spans="1:37" x14ac:dyDescent="0.3">
      <c r="A3388">
        <v>7134</v>
      </c>
      <c r="B3388" t="s">
        <v>28</v>
      </c>
      <c r="C3388">
        <v>799</v>
      </c>
      <c r="D3388" t="s">
        <v>3500</v>
      </c>
      <c r="E3388">
        <v>99999999</v>
      </c>
      <c r="F3388">
        <v>11111111</v>
      </c>
      <c r="G3388">
        <v>1111111111</v>
      </c>
      <c r="H3388" t="s">
        <v>6957</v>
      </c>
      <c r="I3388">
        <v>99999999</v>
      </c>
      <c r="J3388" s="188">
        <v>45236</v>
      </c>
      <c r="K3388" t="s">
        <v>6957</v>
      </c>
      <c r="L3388" t="s">
        <v>6957</v>
      </c>
      <c r="M3388" t="s">
        <v>3300</v>
      </c>
      <c r="N3388" t="s">
        <v>141</v>
      </c>
      <c r="O3388">
        <v>32609</v>
      </c>
      <c r="Q3388" t="s">
        <v>124</v>
      </c>
      <c r="R3388">
        <v>39</v>
      </c>
      <c r="S3388">
        <v>37.107999999999997</v>
      </c>
      <c r="T3388">
        <v>0</v>
      </c>
      <c r="U3388">
        <v>0</v>
      </c>
      <c r="V3388">
        <v>12</v>
      </c>
      <c r="W3388">
        <v>0</v>
      </c>
      <c r="X3388">
        <v>0</v>
      </c>
      <c r="Y3388">
        <v>0</v>
      </c>
      <c r="Z3388">
        <v>0</v>
      </c>
      <c r="AA3388">
        <v>0</v>
      </c>
      <c r="AB3388">
        <v>0</v>
      </c>
      <c r="AC3388">
        <v>0</v>
      </c>
      <c r="AD3388">
        <v>39</v>
      </c>
      <c r="AE3388">
        <v>0</v>
      </c>
      <c r="AF3388">
        <v>0</v>
      </c>
      <c r="AG3388">
        <v>0</v>
      </c>
      <c r="AH3388">
        <v>0</v>
      </c>
      <c r="AI3388">
        <v>0</v>
      </c>
      <c r="AJ3388">
        <v>0</v>
      </c>
      <c r="AK3388">
        <v>0</v>
      </c>
    </row>
    <row r="3389" spans="1:37" x14ac:dyDescent="0.3">
      <c r="A3389">
        <v>7134</v>
      </c>
      <c r="B3389" t="s">
        <v>28</v>
      </c>
      <c r="C3389">
        <v>799</v>
      </c>
      <c r="D3389" t="s">
        <v>3500</v>
      </c>
      <c r="E3389">
        <v>99999999</v>
      </c>
      <c r="F3389">
        <v>11111111</v>
      </c>
      <c r="G3389">
        <v>1111111111</v>
      </c>
      <c r="H3389" t="s">
        <v>6958</v>
      </c>
      <c r="I3389">
        <v>99999999</v>
      </c>
      <c r="J3389" s="188">
        <v>45236</v>
      </c>
      <c r="K3389" t="s">
        <v>6958</v>
      </c>
      <c r="L3389" t="s">
        <v>6958</v>
      </c>
      <c r="M3389" t="s">
        <v>3300</v>
      </c>
      <c r="N3389" t="s">
        <v>141</v>
      </c>
      <c r="O3389">
        <v>32609</v>
      </c>
      <c r="Q3389" t="s">
        <v>124</v>
      </c>
      <c r="R3389">
        <v>11</v>
      </c>
      <c r="S3389">
        <v>9.61</v>
      </c>
      <c r="T3389">
        <v>0</v>
      </c>
      <c r="U3389">
        <v>0</v>
      </c>
      <c r="V3389">
        <v>5</v>
      </c>
      <c r="W3389">
        <v>0</v>
      </c>
      <c r="X3389">
        <v>0</v>
      </c>
      <c r="Y3389">
        <v>0</v>
      </c>
      <c r="Z3389">
        <v>0</v>
      </c>
      <c r="AA3389">
        <v>0</v>
      </c>
      <c r="AB3389">
        <v>0</v>
      </c>
      <c r="AC3389">
        <v>0</v>
      </c>
      <c r="AD3389">
        <v>11</v>
      </c>
      <c r="AE3389">
        <v>0</v>
      </c>
      <c r="AF3389">
        <v>0</v>
      </c>
      <c r="AG3389">
        <v>0</v>
      </c>
      <c r="AH3389">
        <v>0</v>
      </c>
      <c r="AI3389">
        <v>0</v>
      </c>
      <c r="AJ3389">
        <v>0</v>
      </c>
      <c r="AK3389">
        <v>0</v>
      </c>
    </row>
    <row r="3390" spans="1:37" x14ac:dyDescent="0.3">
      <c r="A3390">
        <v>7134</v>
      </c>
      <c r="B3390" t="s">
        <v>28</v>
      </c>
      <c r="C3390">
        <v>799</v>
      </c>
      <c r="D3390" t="s">
        <v>3500</v>
      </c>
      <c r="E3390">
        <v>99999999</v>
      </c>
      <c r="F3390">
        <v>11111111</v>
      </c>
      <c r="G3390">
        <v>1111111111</v>
      </c>
      <c r="H3390" t="s">
        <v>6959</v>
      </c>
      <c r="I3390">
        <v>99999999</v>
      </c>
      <c r="J3390" s="188">
        <v>45236</v>
      </c>
      <c r="K3390" t="s">
        <v>6959</v>
      </c>
      <c r="L3390" t="s">
        <v>6959</v>
      </c>
      <c r="M3390" t="s">
        <v>3300</v>
      </c>
      <c r="N3390" t="s">
        <v>141</v>
      </c>
      <c r="O3390">
        <v>32609</v>
      </c>
      <c r="Q3390" t="s">
        <v>124</v>
      </c>
      <c r="R3390">
        <v>5</v>
      </c>
      <c r="S3390">
        <v>5.53</v>
      </c>
      <c r="T3390">
        <v>0</v>
      </c>
      <c r="U3390">
        <v>0</v>
      </c>
      <c r="V3390">
        <v>3</v>
      </c>
      <c r="W3390">
        <v>0</v>
      </c>
      <c r="X3390">
        <v>0</v>
      </c>
      <c r="Y3390">
        <v>0</v>
      </c>
      <c r="Z3390">
        <v>0</v>
      </c>
      <c r="AA3390">
        <v>0</v>
      </c>
      <c r="AB3390">
        <v>0</v>
      </c>
      <c r="AC3390">
        <v>0</v>
      </c>
      <c r="AD3390">
        <v>5</v>
      </c>
      <c r="AE3390">
        <v>0</v>
      </c>
      <c r="AF3390">
        <v>0</v>
      </c>
      <c r="AG3390">
        <v>0</v>
      </c>
      <c r="AH3390">
        <v>0</v>
      </c>
      <c r="AI3390">
        <v>0</v>
      </c>
      <c r="AJ3390">
        <v>0</v>
      </c>
      <c r="AK3390">
        <v>0</v>
      </c>
    </row>
    <row r="3391" spans="1:37" x14ac:dyDescent="0.3">
      <c r="A3391">
        <v>7134</v>
      </c>
      <c r="B3391" t="s">
        <v>28</v>
      </c>
      <c r="C3391">
        <v>799</v>
      </c>
      <c r="D3391" t="s">
        <v>3500</v>
      </c>
      <c r="E3391">
        <v>99999999</v>
      </c>
      <c r="F3391">
        <v>11111111</v>
      </c>
      <c r="G3391">
        <v>1111111111</v>
      </c>
      <c r="H3391" t="s">
        <v>6960</v>
      </c>
      <c r="I3391">
        <v>99999999</v>
      </c>
      <c r="J3391" s="188">
        <v>45236</v>
      </c>
      <c r="K3391" t="s">
        <v>6960</v>
      </c>
      <c r="L3391" t="s">
        <v>6960</v>
      </c>
      <c r="M3391" t="s">
        <v>3300</v>
      </c>
      <c r="N3391" t="s">
        <v>141</v>
      </c>
      <c r="O3391">
        <v>32609</v>
      </c>
      <c r="Q3391" t="s">
        <v>124</v>
      </c>
      <c r="R3391">
        <v>18</v>
      </c>
      <c r="S3391">
        <v>14.76</v>
      </c>
      <c r="T3391">
        <v>0</v>
      </c>
      <c r="U3391">
        <v>0</v>
      </c>
      <c r="V3391">
        <v>10</v>
      </c>
      <c r="W3391">
        <v>0</v>
      </c>
      <c r="X3391">
        <v>0</v>
      </c>
      <c r="Y3391">
        <v>0</v>
      </c>
      <c r="Z3391">
        <v>0</v>
      </c>
      <c r="AA3391">
        <v>0</v>
      </c>
      <c r="AB3391">
        <v>0</v>
      </c>
      <c r="AC3391">
        <v>0</v>
      </c>
      <c r="AD3391">
        <v>18</v>
      </c>
      <c r="AE3391">
        <v>0</v>
      </c>
      <c r="AF3391">
        <v>0</v>
      </c>
      <c r="AG3391">
        <v>0</v>
      </c>
      <c r="AH3391">
        <v>0</v>
      </c>
      <c r="AI3391">
        <v>0</v>
      </c>
      <c r="AJ3391">
        <v>0</v>
      </c>
      <c r="AK3391">
        <v>0</v>
      </c>
    </row>
    <row r="3392" spans="1:37" x14ac:dyDescent="0.3">
      <c r="A3392">
        <v>7134</v>
      </c>
      <c r="B3392" t="s">
        <v>28</v>
      </c>
      <c r="C3392">
        <v>799</v>
      </c>
      <c r="D3392" t="s">
        <v>3500</v>
      </c>
      <c r="E3392">
        <v>99999999</v>
      </c>
      <c r="F3392">
        <v>11111111</v>
      </c>
      <c r="G3392">
        <v>1111111111</v>
      </c>
      <c r="H3392" t="s">
        <v>6961</v>
      </c>
      <c r="I3392">
        <v>99999999</v>
      </c>
      <c r="J3392" s="188">
        <v>45236</v>
      </c>
      <c r="K3392" t="s">
        <v>6961</v>
      </c>
      <c r="L3392" t="s">
        <v>6961</v>
      </c>
      <c r="M3392" t="s">
        <v>3300</v>
      </c>
      <c r="N3392" t="s">
        <v>141</v>
      </c>
      <c r="O3392">
        <v>32609</v>
      </c>
      <c r="Q3392" t="s">
        <v>124</v>
      </c>
      <c r="R3392">
        <v>58</v>
      </c>
      <c r="S3392">
        <v>53.89</v>
      </c>
      <c r="T3392">
        <v>0</v>
      </c>
      <c r="U3392">
        <v>0</v>
      </c>
      <c r="V3392">
        <v>11</v>
      </c>
      <c r="W3392">
        <v>0</v>
      </c>
      <c r="X3392">
        <v>0</v>
      </c>
      <c r="Y3392">
        <v>0</v>
      </c>
      <c r="Z3392">
        <v>0</v>
      </c>
      <c r="AA3392">
        <v>0</v>
      </c>
      <c r="AB3392">
        <v>0</v>
      </c>
      <c r="AC3392">
        <v>0</v>
      </c>
      <c r="AD3392">
        <v>58</v>
      </c>
      <c r="AE3392">
        <v>0</v>
      </c>
      <c r="AF3392">
        <v>0</v>
      </c>
      <c r="AG3392">
        <v>0</v>
      </c>
      <c r="AH3392">
        <v>0</v>
      </c>
      <c r="AI3392">
        <v>0</v>
      </c>
      <c r="AJ3392">
        <v>0</v>
      </c>
      <c r="AK3392">
        <v>0</v>
      </c>
    </row>
    <row r="3393" spans="1:37" x14ac:dyDescent="0.3">
      <c r="A3393">
        <v>7134</v>
      </c>
      <c r="B3393" t="s">
        <v>28</v>
      </c>
      <c r="C3393">
        <v>799</v>
      </c>
      <c r="D3393" t="s">
        <v>3500</v>
      </c>
      <c r="E3393">
        <v>99999999</v>
      </c>
      <c r="F3393">
        <v>11111111</v>
      </c>
      <c r="G3393">
        <v>1111111111</v>
      </c>
      <c r="H3393" t="s">
        <v>6962</v>
      </c>
      <c r="I3393">
        <v>99999999</v>
      </c>
      <c r="J3393" s="188">
        <v>45236</v>
      </c>
      <c r="K3393" t="s">
        <v>6962</v>
      </c>
      <c r="L3393" t="s">
        <v>6962</v>
      </c>
      <c r="M3393" t="s">
        <v>3300</v>
      </c>
      <c r="N3393" t="s">
        <v>141</v>
      </c>
      <c r="O3393">
        <v>32609</v>
      </c>
      <c r="Q3393" t="s">
        <v>124</v>
      </c>
      <c r="R3393">
        <v>19</v>
      </c>
      <c r="S3393">
        <v>15.206</v>
      </c>
      <c r="T3393">
        <v>0</v>
      </c>
      <c r="U3393">
        <v>0</v>
      </c>
      <c r="V3393">
        <v>9</v>
      </c>
      <c r="W3393">
        <v>0</v>
      </c>
      <c r="X3393">
        <v>0</v>
      </c>
      <c r="Y3393">
        <v>0</v>
      </c>
      <c r="Z3393">
        <v>0</v>
      </c>
      <c r="AA3393">
        <v>0</v>
      </c>
      <c r="AB3393">
        <v>0</v>
      </c>
      <c r="AC3393">
        <v>0</v>
      </c>
      <c r="AD3393">
        <v>19</v>
      </c>
      <c r="AE3393">
        <v>0</v>
      </c>
      <c r="AF3393">
        <v>0</v>
      </c>
      <c r="AG3393">
        <v>0</v>
      </c>
      <c r="AH3393">
        <v>0</v>
      </c>
      <c r="AI3393">
        <v>0</v>
      </c>
      <c r="AJ3393">
        <v>0</v>
      </c>
      <c r="AK3393">
        <v>0</v>
      </c>
    </row>
    <row r="3394" spans="1:37" x14ac:dyDescent="0.3">
      <c r="A3394">
        <v>7134</v>
      </c>
      <c r="B3394" t="s">
        <v>28</v>
      </c>
      <c r="C3394">
        <v>799</v>
      </c>
      <c r="D3394" t="s">
        <v>3500</v>
      </c>
      <c r="E3394">
        <v>99999999</v>
      </c>
      <c r="F3394">
        <v>11111111</v>
      </c>
      <c r="G3394">
        <v>1111111111</v>
      </c>
      <c r="H3394" t="s">
        <v>6963</v>
      </c>
      <c r="I3394">
        <v>99999999</v>
      </c>
      <c r="J3394" s="188">
        <v>45236</v>
      </c>
      <c r="K3394" t="s">
        <v>6963</v>
      </c>
      <c r="L3394" t="s">
        <v>6963</v>
      </c>
      <c r="M3394" t="s">
        <v>3300</v>
      </c>
      <c r="N3394" t="s">
        <v>141</v>
      </c>
      <c r="O3394">
        <v>32609</v>
      </c>
      <c r="Q3394" t="s">
        <v>124</v>
      </c>
      <c r="R3394">
        <v>12</v>
      </c>
      <c r="S3394">
        <v>11.01</v>
      </c>
      <c r="T3394">
        <v>0</v>
      </c>
      <c r="U3394">
        <v>0</v>
      </c>
      <c r="V3394">
        <v>8</v>
      </c>
      <c r="W3394">
        <v>0</v>
      </c>
      <c r="X3394">
        <v>0</v>
      </c>
      <c r="Y3394">
        <v>0</v>
      </c>
      <c r="Z3394">
        <v>0</v>
      </c>
      <c r="AA3394">
        <v>0</v>
      </c>
      <c r="AB3394">
        <v>0</v>
      </c>
      <c r="AC3394">
        <v>0</v>
      </c>
      <c r="AD3394">
        <v>12</v>
      </c>
      <c r="AE3394">
        <v>0</v>
      </c>
      <c r="AF3394">
        <v>0</v>
      </c>
      <c r="AG3394">
        <v>0</v>
      </c>
      <c r="AH3394">
        <v>0</v>
      </c>
      <c r="AI3394">
        <v>0</v>
      </c>
      <c r="AJ3394">
        <v>0</v>
      </c>
      <c r="AK3394">
        <v>0</v>
      </c>
    </row>
    <row r="3395" spans="1:37" x14ac:dyDescent="0.3">
      <c r="A3395">
        <v>7134</v>
      </c>
      <c r="B3395" t="s">
        <v>28</v>
      </c>
      <c r="C3395">
        <v>799</v>
      </c>
      <c r="D3395" t="s">
        <v>3500</v>
      </c>
      <c r="E3395">
        <v>99999999</v>
      </c>
      <c r="F3395">
        <v>11111111</v>
      </c>
      <c r="G3395">
        <v>1111111111</v>
      </c>
      <c r="H3395" t="s">
        <v>6964</v>
      </c>
      <c r="I3395">
        <v>99999999</v>
      </c>
      <c r="J3395" s="188">
        <v>45236</v>
      </c>
      <c r="K3395" t="s">
        <v>6964</v>
      </c>
      <c r="L3395" t="s">
        <v>6964</v>
      </c>
      <c r="M3395" t="s">
        <v>3300</v>
      </c>
      <c r="N3395" t="s">
        <v>141</v>
      </c>
      <c r="O3395">
        <v>32609</v>
      </c>
      <c r="Q3395" t="s">
        <v>124</v>
      </c>
      <c r="R3395">
        <v>27</v>
      </c>
      <c r="S3395">
        <v>24.372</v>
      </c>
      <c r="T3395">
        <v>0</v>
      </c>
      <c r="U3395">
        <v>0</v>
      </c>
      <c r="V3395">
        <v>11</v>
      </c>
      <c r="W3395">
        <v>0</v>
      </c>
      <c r="X3395">
        <v>0</v>
      </c>
      <c r="Y3395">
        <v>0</v>
      </c>
      <c r="Z3395">
        <v>0</v>
      </c>
      <c r="AA3395">
        <v>0</v>
      </c>
      <c r="AB3395">
        <v>0</v>
      </c>
      <c r="AC3395">
        <v>0</v>
      </c>
      <c r="AD3395">
        <v>27</v>
      </c>
      <c r="AE3395">
        <v>0</v>
      </c>
      <c r="AF3395">
        <v>0</v>
      </c>
      <c r="AG3395">
        <v>0</v>
      </c>
      <c r="AH3395">
        <v>0</v>
      </c>
      <c r="AI3395">
        <v>0</v>
      </c>
      <c r="AJ3395">
        <v>0</v>
      </c>
      <c r="AK3395">
        <v>0</v>
      </c>
    </row>
    <row r="3396" spans="1:37" x14ac:dyDescent="0.3">
      <c r="A3396">
        <v>7134</v>
      </c>
      <c r="B3396" t="s">
        <v>28</v>
      </c>
      <c r="C3396">
        <v>799</v>
      </c>
      <c r="D3396" t="s">
        <v>3500</v>
      </c>
      <c r="E3396">
        <v>99999999</v>
      </c>
      <c r="F3396">
        <v>11111111</v>
      </c>
      <c r="G3396">
        <v>1111111111</v>
      </c>
      <c r="H3396" t="s">
        <v>6965</v>
      </c>
      <c r="I3396">
        <v>99999999</v>
      </c>
      <c r="J3396" s="188">
        <v>45236</v>
      </c>
      <c r="K3396" t="s">
        <v>6965</v>
      </c>
      <c r="L3396" t="s">
        <v>6965</v>
      </c>
      <c r="M3396" t="s">
        <v>3300</v>
      </c>
      <c r="N3396" t="s">
        <v>141</v>
      </c>
      <c r="O3396">
        <v>32609</v>
      </c>
      <c r="Q3396" t="s">
        <v>124</v>
      </c>
      <c r="R3396">
        <v>17</v>
      </c>
      <c r="S3396">
        <v>14.986000000000001</v>
      </c>
      <c r="T3396">
        <v>0</v>
      </c>
      <c r="U3396">
        <v>0</v>
      </c>
      <c r="V3396">
        <v>10</v>
      </c>
      <c r="W3396">
        <v>0</v>
      </c>
      <c r="X3396">
        <v>0</v>
      </c>
      <c r="Y3396">
        <v>0</v>
      </c>
      <c r="Z3396">
        <v>0</v>
      </c>
      <c r="AA3396">
        <v>0</v>
      </c>
      <c r="AB3396">
        <v>0</v>
      </c>
      <c r="AC3396">
        <v>0</v>
      </c>
      <c r="AD3396">
        <v>17</v>
      </c>
      <c r="AE3396">
        <v>0</v>
      </c>
      <c r="AF3396">
        <v>0</v>
      </c>
      <c r="AG3396">
        <v>0</v>
      </c>
      <c r="AH3396">
        <v>0</v>
      </c>
      <c r="AI3396">
        <v>0</v>
      </c>
      <c r="AJ3396">
        <v>0</v>
      </c>
      <c r="AK3396">
        <v>0</v>
      </c>
    </row>
    <row r="3397" spans="1:37" x14ac:dyDescent="0.3">
      <c r="A3397">
        <v>7134</v>
      </c>
      <c r="B3397" t="s">
        <v>28</v>
      </c>
      <c r="C3397">
        <v>799</v>
      </c>
      <c r="D3397" t="s">
        <v>3500</v>
      </c>
      <c r="E3397">
        <v>99999999</v>
      </c>
      <c r="F3397">
        <v>11111111</v>
      </c>
      <c r="G3397">
        <v>1111111111</v>
      </c>
      <c r="H3397" t="s">
        <v>6966</v>
      </c>
      <c r="I3397">
        <v>99999999</v>
      </c>
      <c r="J3397" s="188">
        <v>45236</v>
      </c>
      <c r="K3397" t="s">
        <v>6966</v>
      </c>
      <c r="L3397" t="s">
        <v>6966</v>
      </c>
      <c r="M3397" t="s">
        <v>3300</v>
      </c>
      <c r="N3397" t="s">
        <v>141</v>
      </c>
      <c r="O3397">
        <v>32609</v>
      </c>
      <c r="Q3397" t="s">
        <v>124</v>
      </c>
      <c r="R3397">
        <v>36</v>
      </c>
      <c r="S3397">
        <v>32.316000000000003</v>
      </c>
      <c r="T3397">
        <v>0</v>
      </c>
      <c r="U3397">
        <v>0</v>
      </c>
      <c r="V3397">
        <v>12</v>
      </c>
      <c r="W3397">
        <v>0</v>
      </c>
      <c r="X3397">
        <v>0</v>
      </c>
      <c r="Y3397">
        <v>0</v>
      </c>
      <c r="Z3397">
        <v>0</v>
      </c>
      <c r="AA3397">
        <v>0</v>
      </c>
      <c r="AB3397">
        <v>0</v>
      </c>
      <c r="AC3397">
        <v>0</v>
      </c>
      <c r="AD3397">
        <v>36</v>
      </c>
      <c r="AE3397">
        <v>0</v>
      </c>
      <c r="AF3397">
        <v>0</v>
      </c>
      <c r="AG3397">
        <v>0</v>
      </c>
      <c r="AH3397">
        <v>0</v>
      </c>
      <c r="AI3397">
        <v>0</v>
      </c>
      <c r="AJ3397">
        <v>0</v>
      </c>
      <c r="AK3397">
        <v>0</v>
      </c>
    </row>
    <row r="3398" spans="1:37" x14ac:dyDescent="0.3">
      <c r="A3398">
        <v>7134</v>
      </c>
      <c r="B3398" t="s">
        <v>28</v>
      </c>
      <c r="C3398">
        <v>799</v>
      </c>
      <c r="D3398" t="s">
        <v>3500</v>
      </c>
      <c r="E3398">
        <v>99999999</v>
      </c>
      <c r="F3398">
        <v>11111111</v>
      </c>
      <c r="G3398">
        <v>1111111111</v>
      </c>
      <c r="H3398" t="s">
        <v>6967</v>
      </c>
      <c r="I3398">
        <v>99999999</v>
      </c>
      <c r="J3398" s="188">
        <v>45236</v>
      </c>
      <c r="K3398" t="s">
        <v>6967</v>
      </c>
      <c r="L3398" t="s">
        <v>6967</v>
      </c>
      <c r="M3398" t="s">
        <v>3300</v>
      </c>
      <c r="N3398" t="s">
        <v>141</v>
      </c>
      <c r="O3398">
        <v>32609</v>
      </c>
      <c r="Q3398" t="s">
        <v>124</v>
      </c>
      <c r="R3398">
        <v>5</v>
      </c>
      <c r="S3398">
        <v>3.96</v>
      </c>
      <c r="T3398">
        <v>0</v>
      </c>
      <c r="U3398">
        <v>0</v>
      </c>
      <c r="V3398">
        <v>5</v>
      </c>
      <c r="W3398">
        <v>0</v>
      </c>
      <c r="X3398">
        <v>0</v>
      </c>
      <c r="Y3398">
        <v>0</v>
      </c>
      <c r="Z3398">
        <v>0</v>
      </c>
      <c r="AA3398">
        <v>0</v>
      </c>
      <c r="AB3398">
        <v>0</v>
      </c>
      <c r="AC3398">
        <v>0</v>
      </c>
      <c r="AD3398">
        <v>5</v>
      </c>
      <c r="AE3398">
        <v>0</v>
      </c>
      <c r="AF3398">
        <v>0</v>
      </c>
      <c r="AG3398">
        <v>0</v>
      </c>
      <c r="AH3398">
        <v>0</v>
      </c>
      <c r="AI3398">
        <v>0</v>
      </c>
      <c r="AJ3398">
        <v>0</v>
      </c>
      <c r="AK3398">
        <v>0</v>
      </c>
    </row>
    <row r="3399" spans="1:37" x14ac:dyDescent="0.3">
      <c r="A3399">
        <v>7134</v>
      </c>
      <c r="B3399" t="s">
        <v>28</v>
      </c>
      <c r="C3399">
        <v>799</v>
      </c>
      <c r="D3399" t="s">
        <v>3500</v>
      </c>
      <c r="E3399">
        <v>99999999</v>
      </c>
      <c r="F3399">
        <v>11111111</v>
      </c>
      <c r="G3399">
        <v>1111111111</v>
      </c>
      <c r="H3399" t="s">
        <v>6968</v>
      </c>
      <c r="I3399">
        <v>99999999</v>
      </c>
      <c r="J3399" s="188">
        <v>45236</v>
      </c>
      <c r="K3399" t="s">
        <v>6968</v>
      </c>
      <c r="L3399" t="s">
        <v>6968</v>
      </c>
      <c r="M3399" t="s">
        <v>3300</v>
      </c>
      <c r="N3399" t="s">
        <v>141</v>
      </c>
      <c r="O3399">
        <v>32609</v>
      </c>
      <c r="Q3399" t="s">
        <v>124</v>
      </c>
      <c r="R3399">
        <v>9</v>
      </c>
      <c r="S3399">
        <v>6.69</v>
      </c>
      <c r="T3399">
        <v>0</v>
      </c>
      <c r="U3399">
        <v>0</v>
      </c>
      <c r="V3399">
        <v>7</v>
      </c>
      <c r="W3399">
        <v>0</v>
      </c>
      <c r="X3399">
        <v>0</v>
      </c>
      <c r="Y3399">
        <v>0</v>
      </c>
      <c r="Z3399">
        <v>0</v>
      </c>
      <c r="AA3399">
        <v>0</v>
      </c>
      <c r="AB3399">
        <v>0</v>
      </c>
      <c r="AC3399">
        <v>0</v>
      </c>
      <c r="AD3399">
        <v>9</v>
      </c>
      <c r="AE3399">
        <v>0</v>
      </c>
      <c r="AF3399">
        <v>0</v>
      </c>
      <c r="AG3399">
        <v>0</v>
      </c>
      <c r="AH3399">
        <v>0</v>
      </c>
      <c r="AI3399">
        <v>0</v>
      </c>
      <c r="AJ3399">
        <v>0</v>
      </c>
      <c r="AK3399">
        <v>0</v>
      </c>
    </row>
    <row r="3400" spans="1:37" x14ac:dyDescent="0.3">
      <c r="A3400">
        <v>7134</v>
      </c>
      <c r="B3400" t="s">
        <v>28</v>
      </c>
      <c r="C3400">
        <v>799</v>
      </c>
      <c r="D3400" t="s">
        <v>3500</v>
      </c>
      <c r="E3400">
        <v>99999999</v>
      </c>
      <c r="F3400">
        <v>11111111</v>
      </c>
      <c r="G3400">
        <v>1111111111</v>
      </c>
      <c r="H3400" t="s">
        <v>6969</v>
      </c>
      <c r="I3400">
        <v>99999999</v>
      </c>
      <c r="J3400" s="188">
        <v>45236</v>
      </c>
      <c r="K3400" t="s">
        <v>6969</v>
      </c>
      <c r="L3400" t="s">
        <v>6969</v>
      </c>
      <c r="M3400" t="s">
        <v>3300</v>
      </c>
      <c r="N3400" t="s">
        <v>141</v>
      </c>
      <c r="O3400">
        <v>32609</v>
      </c>
      <c r="Q3400" t="s">
        <v>124</v>
      </c>
      <c r="R3400">
        <v>9</v>
      </c>
      <c r="S3400">
        <v>8.8360000000000003</v>
      </c>
      <c r="T3400">
        <v>0</v>
      </c>
      <c r="U3400">
        <v>0</v>
      </c>
      <c r="V3400">
        <v>7</v>
      </c>
      <c r="W3400">
        <v>0</v>
      </c>
      <c r="X3400">
        <v>0</v>
      </c>
      <c r="Y3400">
        <v>0</v>
      </c>
      <c r="Z3400">
        <v>0</v>
      </c>
      <c r="AA3400">
        <v>0</v>
      </c>
      <c r="AB3400">
        <v>0</v>
      </c>
      <c r="AC3400">
        <v>0</v>
      </c>
      <c r="AD3400">
        <v>9</v>
      </c>
      <c r="AE3400">
        <v>0</v>
      </c>
      <c r="AF3400">
        <v>0</v>
      </c>
      <c r="AG3400">
        <v>0</v>
      </c>
      <c r="AH3400">
        <v>0</v>
      </c>
      <c r="AI3400">
        <v>0</v>
      </c>
      <c r="AJ3400">
        <v>0</v>
      </c>
      <c r="AK3400">
        <v>0</v>
      </c>
    </row>
    <row r="3401" spans="1:37" x14ac:dyDescent="0.3">
      <c r="A3401">
        <v>7134</v>
      </c>
      <c r="B3401" t="s">
        <v>28</v>
      </c>
      <c r="C3401">
        <v>799</v>
      </c>
      <c r="D3401" t="s">
        <v>3500</v>
      </c>
      <c r="E3401">
        <v>99999999</v>
      </c>
      <c r="F3401">
        <v>11111111</v>
      </c>
      <c r="G3401">
        <v>1111111111</v>
      </c>
      <c r="H3401" t="s">
        <v>6970</v>
      </c>
      <c r="I3401">
        <v>99999999</v>
      </c>
      <c r="J3401" s="188">
        <v>45236</v>
      </c>
      <c r="K3401" t="s">
        <v>6970</v>
      </c>
      <c r="L3401" t="s">
        <v>6970</v>
      </c>
      <c r="M3401" t="s">
        <v>3300</v>
      </c>
      <c r="N3401" t="s">
        <v>141</v>
      </c>
      <c r="O3401">
        <v>32609</v>
      </c>
      <c r="Q3401" t="s">
        <v>124</v>
      </c>
      <c r="R3401">
        <v>14</v>
      </c>
      <c r="S3401">
        <v>12.286</v>
      </c>
      <c r="T3401">
        <v>0</v>
      </c>
      <c r="U3401">
        <v>0</v>
      </c>
      <c r="V3401">
        <v>11</v>
      </c>
      <c r="W3401">
        <v>0</v>
      </c>
      <c r="X3401">
        <v>0</v>
      </c>
      <c r="Y3401">
        <v>0</v>
      </c>
      <c r="Z3401">
        <v>0</v>
      </c>
      <c r="AA3401">
        <v>0</v>
      </c>
      <c r="AB3401">
        <v>0</v>
      </c>
      <c r="AC3401">
        <v>0</v>
      </c>
      <c r="AD3401">
        <v>14</v>
      </c>
      <c r="AE3401">
        <v>0</v>
      </c>
      <c r="AF3401">
        <v>0</v>
      </c>
      <c r="AG3401">
        <v>0</v>
      </c>
      <c r="AH3401">
        <v>0</v>
      </c>
      <c r="AI3401">
        <v>0</v>
      </c>
      <c r="AJ3401">
        <v>0</v>
      </c>
      <c r="AK3401">
        <v>0</v>
      </c>
    </row>
    <row r="3402" spans="1:37" x14ac:dyDescent="0.3">
      <c r="A3402">
        <v>7134</v>
      </c>
      <c r="B3402" t="s">
        <v>28</v>
      </c>
      <c r="C3402">
        <v>799</v>
      </c>
      <c r="D3402" t="s">
        <v>3500</v>
      </c>
      <c r="E3402">
        <v>99999999</v>
      </c>
      <c r="F3402">
        <v>11111111</v>
      </c>
      <c r="G3402">
        <v>1111111111</v>
      </c>
      <c r="H3402" t="s">
        <v>6971</v>
      </c>
      <c r="I3402">
        <v>99999999</v>
      </c>
      <c r="J3402" s="188">
        <v>45236</v>
      </c>
      <c r="K3402" t="s">
        <v>6971</v>
      </c>
      <c r="L3402" t="s">
        <v>6971</v>
      </c>
      <c r="M3402" t="s">
        <v>3300</v>
      </c>
      <c r="N3402" t="s">
        <v>141</v>
      </c>
      <c r="O3402">
        <v>32609</v>
      </c>
      <c r="Q3402" t="s">
        <v>124</v>
      </c>
      <c r="R3402">
        <v>4</v>
      </c>
      <c r="S3402">
        <v>3.11</v>
      </c>
      <c r="T3402">
        <v>0</v>
      </c>
      <c r="U3402">
        <v>0</v>
      </c>
      <c r="V3402">
        <v>3</v>
      </c>
      <c r="W3402">
        <v>0</v>
      </c>
      <c r="X3402">
        <v>0</v>
      </c>
      <c r="Y3402">
        <v>0</v>
      </c>
      <c r="Z3402">
        <v>0</v>
      </c>
      <c r="AA3402">
        <v>0</v>
      </c>
      <c r="AB3402">
        <v>0</v>
      </c>
      <c r="AC3402">
        <v>0</v>
      </c>
      <c r="AD3402">
        <v>4</v>
      </c>
      <c r="AE3402">
        <v>0</v>
      </c>
      <c r="AF3402">
        <v>0</v>
      </c>
      <c r="AG3402">
        <v>0</v>
      </c>
      <c r="AH3402">
        <v>0</v>
      </c>
      <c r="AI3402">
        <v>0</v>
      </c>
      <c r="AJ3402">
        <v>0</v>
      </c>
      <c r="AK3402">
        <v>0</v>
      </c>
    </row>
    <row r="3403" spans="1:37" x14ac:dyDescent="0.3">
      <c r="A3403">
        <v>7134</v>
      </c>
      <c r="B3403" t="s">
        <v>28</v>
      </c>
      <c r="C3403">
        <v>799</v>
      </c>
      <c r="D3403" t="s">
        <v>3500</v>
      </c>
      <c r="E3403">
        <v>99999999</v>
      </c>
      <c r="F3403">
        <v>11111111</v>
      </c>
      <c r="G3403">
        <v>1111111111</v>
      </c>
      <c r="H3403" t="s">
        <v>6972</v>
      </c>
      <c r="I3403">
        <v>99999999</v>
      </c>
      <c r="J3403" s="188">
        <v>45236</v>
      </c>
      <c r="K3403" t="s">
        <v>6972</v>
      </c>
      <c r="L3403" t="s">
        <v>6972</v>
      </c>
      <c r="M3403" t="s">
        <v>3300</v>
      </c>
      <c r="N3403" t="s">
        <v>141</v>
      </c>
      <c r="O3403">
        <v>32609</v>
      </c>
      <c r="Q3403" t="s">
        <v>124</v>
      </c>
      <c r="R3403">
        <v>13</v>
      </c>
      <c r="S3403">
        <v>12.206</v>
      </c>
      <c r="T3403">
        <v>0</v>
      </c>
      <c r="U3403">
        <v>0</v>
      </c>
      <c r="V3403">
        <v>9</v>
      </c>
      <c r="W3403">
        <v>0</v>
      </c>
      <c r="X3403">
        <v>0</v>
      </c>
      <c r="Y3403">
        <v>0</v>
      </c>
      <c r="Z3403">
        <v>0</v>
      </c>
      <c r="AA3403">
        <v>0</v>
      </c>
      <c r="AB3403">
        <v>0</v>
      </c>
      <c r="AC3403">
        <v>0</v>
      </c>
      <c r="AD3403">
        <v>13</v>
      </c>
      <c r="AE3403">
        <v>0</v>
      </c>
      <c r="AF3403">
        <v>0</v>
      </c>
      <c r="AG3403">
        <v>0</v>
      </c>
      <c r="AH3403">
        <v>0</v>
      </c>
      <c r="AI3403">
        <v>0</v>
      </c>
      <c r="AJ3403">
        <v>0</v>
      </c>
      <c r="AK3403">
        <v>0</v>
      </c>
    </row>
    <row r="3404" spans="1:37" x14ac:dyDescent="0.3">
      <c r="A3404">
        <v>7134</v>
      </c>
      <c r="B3404" t="s">
        <v>28</v>
      </c>
      <c r="C3404">
        <v>799</v>
      </c>
      <c r="D3404" t="s">
        <v>3500</v>
      </c>
      <c r="E3404">
        <v>99999999</v>
      </c>
      <c r="F3404">
        <v>11111111</v>
      </c>
      <c r="G3404">
        <v>1111111111</v>
      </c>
      <c r="H3404" t="s">
        <v>6973</v>
      </c>
      <c r="I3404">
        <v>99999999</v>
      </c>
      <c r="J3404" s="188">
        <v>45236</v>
      </c>
      <c r="K3404" t="s">
        <v>6973</v>
      </c>
      <c r="L3404" t="s">
        <v>6973</v>
      </c>
      <c r="M3404" t="s">
        <v>3300</v>
      </c>
      <c r="N3404" t="s">
        <v>141</v>
      </c>
      <c r="O3404">
        <v>32609</v>
      </c>
      <c r="Q3404" t="s">
        <v>124</v>
      </c>
      <c r="R3404">
        <v>19</v>
      </c>
      <c r="S3404">
        <v>17.556000000000001</v>
      </c>
      <c r="T3404">
        <v>0</v>
      </c>
      <c r="U3404">
        <v>0</v>
      </c>
      <c r="V3404">
        <v>10</v>
      </c>
      <c r="W3404">
        <v>0</v>
      </c>
      <c r="X3404">
        <v>0</v>
      </c>
      <c r="Y3404">
        <v>0</v>
      </c>
      <c r="Z3404">
        <v>0</v>
      </c>
      <c r="AA3404">
        <v>0</v>
      </c>
      <c r="AB3404">
        <v>0</v>
      </c>
      <c r="AC3404">
        <v>0</v>
      </c>
      <c r="AD3404">
        <v>19</v>
      </c>
      <c r="AE3404">
        <v>0</v>
      </c>
      <c r="AF3404">
        <v>0</v>
      </c>
      <c r="AG3404">
        <v>0</v>
      </c>
      <c r="AH3404">
        <v>0</v>
      </c>
      <c r="AI3404">
        <v>0</v>
      </c>
      <c r="AJ3404">
        <v>0</v>
      </c>
      <c r="AK3404">
        <v>0</v>
      </c>
    </row>
    <row r="3405" spans="1:37" x14ac:dyDescent="0.3">
      <c r="A3405">
        <v>7134</v>
      </c>
      <c r="B3405" t="s">
        <v>28</v>
      </c>
      <c r="C3405">
        <v>799</v>
      </c>
      <c r="D3405" t="s">
        <v>3500</v>
      </c>
      <c r="E3405">
        <v>99999999</v>
      </c>
      <c r="F3405">
        <v>11111111</v>
      </c>
      <c r="G3405">
        <v>1111111111</v>
      </c>
      <c r="H3405" t="s">
        <v>6974</v>
      </c>
      <c r="I3405">
        <v>99999999</v>
      </c>
      <c r="J3405" s="188">
        <v>45236</v>
      </c>
      <c r="K3405" t="s">
        <v>6974</v>
      </c>
      <c r="L3405" t="s">
        <v>6974</v>
      </c>
      <c r="M3405" t="s">
        <v>3300</v>
      </c>
      <c r="N3405" t="s">
        <v>141</v>
      </c>
      <c r="O3405">
        <v>32609</v>
      </c>
      <c r="Q3405" t="s">
        <v>124</v>
      </c>
      <c r="R3405">
        <v>11</v>
      </c>
      <c r="S3405">
        <v>9.7560000000000002</v>
      </c>
      <c r="T3405">
        <v>0</v>
      </c>
      <c r="U3405">
        <v>0</v>
      </c>
      <c r="V3405">
        <v>7</v>
      </c>
      <c r="W3405">
        <v>0</v>
      </c>
      <c r="X3405">
        <v>0</v>
      </c>
      <c r="Y3405">
        <v>0</v>
      </c>
      <c r="Z3405">
        <v>0</v>
      </c>
      <c r="AA3405">
        <v>0</v>
      </c>
      <c r="AB3405">
        <v>0</v>
      </c>
      <c r="AC3405">
        <v>0</v>
      </c>
      <c r="AD3405">
        <v>11</v>
      </c>
      <c r="AE3405">
        <v>0</v>
      </c>
      <c r="AF3405">
        <v>0</v>
      </c>
      <c r="AG3405">
        <v>0</v>
      </c>
      <c r="AH3405">
        <v>0</v>
      </c>
      <c r="AI3405">
        <v>0</v>
      </c>
      <c r="AJ3405">
        <v>0</v>
      </c>
      <c r="AK3405">
        <v>0</v>
      </c>
    </row>
    <row r="3406" spans="1:37" x14ac:dyDescent="0.3">
      <c r="A3406">
        <v>7134</v>
      </c>
      <c r="B3406" t="s">
        <v>28</v>
      </c>
      <c r="C3406">
        <v>799</v>
      </c>
      <c r="D3406" t="s">
        <v>3500</v>
      </c>
      <c r="E3406">
        <v>99999999</v>
      </c>
      <c r="F3406">
        <v>11111111</v>
      </c>
      <c r="G3406">
        <v>1111111111</v>
      </c>
      <c r="H3406" t="s">
        <v>6975</v>
      </c>
      <c r="I3406">
        <v>99999999</v>
      </c>
      <c r="J3406" s="188">
        <v>45236</v>
      </c>
      <c r="K3406" t="s">
        <v>6975</v>
      </c>
      <c r="L3406" t="s">
        <v>6975</v>
      </c>
      <c r="M3406" t="s">
        <v>3300</v>
      </c>
      <c r="N3406" t="s">
        <v>141</v>
      </c>
      <c r="O3406">
        <v>32609</v>
      </c>
      <c r="Q3406" t="s">
        <v>124</v>
      </c>
      <c r="R3406">
        <v>1</v>
      </c>
      <c r="S3406">
        <v>1.056</v>
      </c>
      <c r="T3406">
        <v>0</v>
      </c>
      <c r="U3406">
        <v>0</v>
      </c>
      <c r="V3406">
        <v>1</v>
      </c>
      <c r="W3406">
        <v>0</v>
      </c>
      <c r="X3406">
        <v>0</v>
      </c>
      <c r="Y3406">
        <v>0</v>
      </c>
      <c r="Z3406">
        <v>0</v>
      </c>
      <c r="AA3406">
        <v>0</v>
      </c>
      <c r="AB3406">
        <v>0</v>
      </c>
      <c r="AC3406">
        <v>0</v>
      </c>
      <c r="AD3406">
        <v>1</v>
      </c>
      <c r="AE3406">
        <v>0</v>
      </c>
      <c r="AF3406">
        <v>0</v>
      </c>
      <c r="AG3406">
        <v>0</v>
      </c>
      <c r="AH3406">
        <v>0</v>
      </c>
      <c r="AI3406">
        <v>0</v>
      </c>
      <c r="AJ3406">
        <v>0</v>
      </c>
      <c r="AK3406">
        <v>0</v>
      </c>
    </row>
    <row r="3407" spans="1:37" x14ac:dyDescent="0.3">
      <c r="A3407">
        <v>7134</v>
      </c>
      <c r="B3407" t="s">
        <v>28</v>
      </c>
      <c r="C3407">
        <v>799</v>
      </c>
      <c r="D3407" t="s">
        <v>3500</v>
      </c>
      <c r="E3407">
        <v>99999999</v>
      </c>
      <c r="F3407">
        <v>11111111</v>
      </c>
      <c r="G3407">
        <v>1111111111</v>
      </c>
      <c r="H3407" t="s">
        <v>6976</v>
      </c>
      <c r="I3407">
        <v>99999999</v>
      </c>
      <c r="J3407" s="188">
        <v>45236</v>
      </c>
      <c r="K3407" t="s">
        <v>6976</v>
      </c>
      <c r="L3407" t="s">
        <v>6976</v>
      </c>
      <c r="M3407" t="s">
        <v>3300</v>
      </c>
      <c r="N3407" t="s">
        <v>141</v>
      </c>
      <c r="O3407">
        <v>32609</v>
      </c>
      <c r="Q3407" t="s">
        <v>124</v>
      </c>
      <c r="R3407">
        <v>3</v>
      </c>
      <c r="S3407">
        <v>2.48</v>
      </c>
      <c r="T3407">
        <v>0</v>
      </c>
      <c r="U3407">
        <v>0</v>
      </c>
      <c r="V3407">
        <v>3</v>
      </c>
      <c r="W3407">
        <v>0</v>
      </c>
      <c r="X3407">
        <v>0</v>
      </c>
      <c r="Y3407">
        <v>0</v>
      </c>
      <c r="Z3407">
        <v>0</v>
      </c>
      <c r="AA3407">
        <v>0</v>
      </c>
      <c r="AB3407">
        <v>0</v>
      </c>
      <c r="AC3407">
        <v>0</v>
      </c>
      <c r="AD3407">
        <v>3</v>
      </c>
      <c r="AE3407">
        <v>0</v>
      </c>
      <c r="AF3407">
        <v>0</v>
      </c>
      <c r="AG3407">
        <v>0</v>
      </c>
      <c r="AH3407">
        <v>0</v>
      </c>
      <c r="AI3407">
        <v>0</v>
      </c>
      <c r="AJ3407">
        <v>0</v>
      </c>
      <c r="AK3407">
        <v>0</v>
      </c>
    </row>
    <row r="3408" spans="1:37" x14ac:dyDescent="0.3">
      <c r="A3408">
        <v>7134</v>
      </c>
      <c r="B3408" t="s">
        <v>28</v>
      </c>
      <c r="C3408">
        <v>799</v>
      </c>
      <c r="D3408" t="s">
        <v>3500</v>
      </c>
      <c r="E3408">
        <v>99999999</v>
      </c>
      <c r="F3408">
        <v>11111111</v>
      </c>
      <c r="G3408">
        <v>1111111111</v>
      </c>
      <c r="H3408" t="s">
        <v>6977</v>
      </c>
      <c r="I3408">
        <v>99999999</v>
      </c>
      <c r="J3408" s="188">
        <v>45236</v>
      </c>
      <c r="K3408" t="s">
        <v>6977</v>
      </c>
      <c r="L3408" t="s">
        <v>6977</v>
      </c>
      <c r="M3408" t="s">
        <v>3300</v>
      </c>
      <c r="N3408" t="s">
        <v>141</v>
      </c>
      <c r="O3408">
        <v>32609</v>
      </c>
      <c r="Q3408" t="s">
        <v>124</v>
      </c>
      <c r="R3408">
        <v>22</v>
      </c>
      <c r="S3408">
        <v>18.706</v>
      </c>
      <c r="T3408">
        <v>0</v>
      </c>
      <c r="U3408">
        <v>0</v>
      </c>
      <c r="V3408">
        <v>11</v>
      </c>
      <c r="W3408">
        <v>0</v>
      </c>
      <c r="X3408">
        <v>0</v>
      </c>
      <c r="Y3408">
        <v>0</v>
      </c>
      <c r="Z3408">
        <v>0</v>
      </c>
      <c r="AA3408">
        <v>0</v>
      </c>
      <c r="AB3408">
        <v>0</v>
      </c>
      <c r="AC3408">
        <v>0</v>
      </c>
      <c r="AD3408">
        <v>22</v>
      </c>
      <c r="AE3408">
        <v>0</v>
      </c>
      <c r="AF3408">
        <v>0</v>
      </c>
      <c r="AG3408">
        <v>0</v>
      </c>
      <c r="AH3408">
        <v>0</v>
      </c>
      <c r="AI3408">
        <v>0</v>
      </c>
      <c r="AJ3408">
        <v>0</v>
      </c>
      <c r="AK3408">
        <v>0</v>
      </c>
    </row>
    <row r="3409" spans="1:37" x14ac:dyDescent="0.3">
      <c r="A3409">
        <v>7134</v>
      </c>
      <c r="B3409" t="s">
        <v>28</v>
      </c>
      <c r="C3409">
        <v>799</v>
      </c>
      <c r="D3409" t="s">
        <v>3500</v>
      </c>
      <c r="E3409">
        <v>99999999</v>
      </c>
      <c r="F3409">
        <v>11111111</v>
      </c>
      <c r="G3409">
        <v>1111111111</v>
      </c>
      <c r="H3409" t="s">
        <v>6978</v>
      </c>
      <c r="I3409">
        <v>99999999</v>
      </c>
      <c r="J3409" s="188">
        <v>45236</v>
      </c>
      <c r="K3409" t="s">
        <v>6978</v>
      </c>
      <c r="L3409" t="s">
        <v>6978</v>
      </c>
      <c r="M3409" t="s">
        <v>3300</v>
      </c>
      <c r="N3409" t="s">
        <v>141</v>
      </c>
      <c r="O3409">
        <v>32609</v>
      </c>
      <c r="Q3409" t="s">
        <v>124</v>
      </c>
      <c r="R3409">
        <v>12</v>
      </c>
      <c r="S3409">
        <v>10.19</v>
      </c>
      <c r="T3409">
        <v>0</v>
      </c>
      <c r="U3409">
        <v>0</v>
      </c>
      <c r="V3409">
        <v>9</v>
      </c>
      <c r="W3409">
        <v>0</v>
      </c>
      <c r="X3409">
        <v>0</v>
      </c>
      <c r="Y3409">
        <v>0</v>
      </c>
      <c r="Z3409">
        <v>0</v>
      </c>
      <c r="AA3409">
        <v>0</v>
      </c>
      <c r="AB3409">
        <v>0</v>
      </c>
      <c r="AC3409">
        <v>0</v>
      </c>
      <c r="AD3409">
        <v>12</v>
      </c>
      <c r="AE3409">
        <v>0</v>
      </c>
      <c r="AF3409">
        <v>0</v>
      </c>
      <c r="AG3409">
        <v>0</v>
      </c>
      <c r="AH3409">
        <v>0</v>
      </c>
      <c r="AI3409">
        <v>0</v>
      </c>
      <c r="AJ3409">
        <v>0</v>
      </c>
      <c r="AK3409">
        <v>0</v>
      </c>
    </row>
    <row r="3410" spans="1:37" x14ac:dyDescent="0.3">
      <c r="A3410">
        <v>7134</v>
      </c>
      <c r="B3410" t="s">
        <v>28</v>
      </c>
      <c r="C3410">
        <v>799</v>
      </c>
      <c r="D3410" t="s">
        <v>3500</v>
      </c>
      <c r="E3410">
        <v>99999999</v>
      </c>
      <c r="F3410">
        <v>11111111</v>
      </c>
      <c r="G3410">
        <v>1111111111</v>
      </c>
      <c r="H3410" t="s">
        <v>6979</v>
      </c>
      <c r="I3410">
        <v>99999999</v>
      </c>
      <c r="J3410" s="188">
        <v>45236</v>
      </c>
      <c r="K3410" t="s">
        <v>6979</v>
      </c>
      <c r="L3410" t="s">
        <v>6979</v>
      </c>
      <c r="M3410" t="s">
        <v>3300</v>
      </c>
      <c r="N3410" t="s">
        <v>141</v>
      </c>
      <c r="O3410">
        <v>32609</v>
      </c>
      <c r="Q3410" t="s">
        <v>124</v>
      </c>
      <c r="R3410">
        <v>34</v>
      </c>
      <c r="S3410">
        <v>30.998000000000001</v>
      </c>
      <c r="T3410">
        <v>0</v>
      </c>
      <c r="U3410">
        <v>0</v>
      </c>
      <c r="V3410">
        <v>11</v>
      </c>
      <c r="W3410">
        <v>0</v>
      </c>
      <c r="X3410">
        <v>0</v>
      </c>
      <c r="Y3410">
        <v>0</v>
      </c>
      <c r="Z3410">
        <v>0</v>
      </c>
      <c r="AA3410">
        <v>0</v>
      </c>
      <c r="AB3410">
        <v>0</v>
      </c>
      <c r="AC3410">
        <v>0</v>
      </c>
      <c r="AD3410">
        <v>34</v>
      </c>
      <c r="AE3410">
        <v>0</v>
      </c>
      <c r="AF3410">
        <v>0</v>
      </c>
      <c r="AG3410">
        <v>0</v>
      </c>
      <c r="AH3410">
        <v>0</v>
      </c>
      <c r="AI3410">
        <v>0</v>
      </c>
      <c r="AJ3410">
        <v>0</v>
      </c>
      <c r="AK3410">
        <v>0</v>
      </c>
    </row>
    <row r="3411" spans="1:37" x14ac:dyDescent="0.3">
      <c r="A3411">
        <v>7134</v>
      </c>
      <c r="B3411" t="s">
        <v>28</v>
      </c>
      <c r="C3411">
        <v>799</v>
      </c>
      <c r="D3411" t="s">
        <v>3500</v>
      </c>
      <c r="E3411">
        <v>99999999</v>
      </c>
      <c r="F3411">
        <v>11111111</v>
      </c>
      <c r="G3411">
        <v>1111111111</v>
      </c>
      <c r="H3411" t="s">
        <v>6980</v>
      </c>
      <c r="I3411">
        <v>99999999</v>
      </c>
      <c r="J3411" s="188">
        <v>45236</v>
      </c>
      <c r="K3411" t="s">
        <v>6980</v>
      </c>
      <c r="L3411" t="s">
        <v>6980</v>
      </c>
      <c r="M3411" t="s">
        <v>3300</v>
      </c>
      <c r="N3411" t="s">
        <v>141</v>
      </c>
      <c r="O3411">
        <v>32609</v>
      </c>
      <c r="Q3411" t="s">
        <v>124</v>
      </c>
      <c r="R3411">
        <v>4</v>
      </c>
      <c r="S3411">
        <v>4.24</v>
      </c>
      <c r="T3411">
        <v>0</v>
      </c>
      <c r="U3411">
        <v>0</v>
      </c>
      <c r="V3411">
        <v>4</v>
      </c>
      <c r="W3411">
        <v>0</v>
      </c>
      <c r="X3411">
        <v>0</v>
      </c>
      <c r="Y3411">
        <v>0</v>
      </c>
      <c r="Z3411">
        <v>0</v>
      </c>
      <c r="AA3411">
        <v>0</v>
      </c>
      <c r="AB3411">
        <v>0</v>
      </c>
      <c r="AC3411">
        <v>0</v>
      </c>
      <c r="AD3411">
        <v>4</v>
      </c>
      <c r="AE3411">
        <v>0</v>
      </c>
      <c r="AF3411">
        <v>0</v>
      </c>
      <c r="AG3411">
        <v>0</v>
      </c>
      <c r="AH3411">
        <v>0</v>
      </c>
      <c r="AI3411">
        <v>0</v>
      </c>
      <c r="AJ3411">
        <v>0</v>
      </c>
      <c r="AK3411">
        <v>0</v>
      </c>
    </row>
    <row r="3412" spans="1:37" x14ac:dyDescent="0.3">
      <c r="A3412">
        <v>7134</v>
      </c>
      <c r="B3412" t="s">
        <v>28</v>
      </c>
      <c r="C3412">
        <v>799</v>
      </c>
      <c r="D3412" t="s">
        <v>3500</v>
      </c>
      <c r="E3412">
        <v>99999999</v>
      </c>
      <c r="F3412">
        <v>11111111</v>
      </c>
      <c r="G3412">
        <v>1111111111</v>
      </c>
      <c r="H3412" t="s">
        <v>6981</v>
      </c>
      <c r="I3412">
        <v>99999999</v>
      </c>
      <c r="J3412" s="188">
        <v>45236</v>
      </c>
      <c r="K3412" t="s">
        <v>6981</v>
      </c>
      <c r="L3412" t="s">
        <v>6981</v>
      </c>
      <c r="M3412" t="s">
        <v>3300</v>
      </c>
      <c r="N3412" t="s">
        <v>141</v>
      </c>
      <c r="O3412">
        <v>32609</v>
      </c>
      <c r="Q3412" t="s">
        <v>124</v>
      </c>
      <c r="R3412">
        <v>14</v>
      </c>
      <c r="S3412">
        <v>13.016</v>
      </c>
      <c r="T3412">
        <v>0</v>
      </c>
      <c r="U3412">
        <v>0</v>
      </c>
      <c r="V3412">
        <v>9</v>
      </c>
      <c r="W3412">
        <v>0</v>
      </c>
      <c r="X3412">
        <v>0</v>
      </c>
      <c r="Y3412">
        <v>0</v>
      </c>
      <c r="Z3412">
        <v>0</v>
      </c>
      <c r="AA3412">
        <v>0</v>
      </c>
      <c r="AB3412">
        <v>0</v>
      </c>
      <c r="AC3412">
        <v>0</v>
      </c>
      <c r="AD3412">
        <v>14</v>
      </c>
      <c r="AE3412">
        <v>0</v>
      </c>
      <c r="AF3412">
        <v>0</v>
      </c>
      <c r="AG3412">
        <v>0</v>
      </c>
      <c r="AH3412">
        <v>0</v>
      </c>
      <c r="AI3412">
        <v>0</v>
      </c>
      <c r="AJ3412">
        <v>0</v>
      </c>
      <c r="AK3412">
        <v>0</v>
      </c>
    </row>
    <row r="3413" spans="1:37" x14ac:dyDescent="0.3">
      <c r="A3413">
        <v>7134</v>
      </c>
      <c r="B3413" t="s">
        <v>28</v>
      </c>
      <c r="C3413">
        <v>799</v>
      </c>
      <c r="D3413" t="s">
        <v>3500</v>
      </c>
      <c r="E3413">
        <v>99999999</v>
      </c>
      <c r="F3413">
        <v>11111111</v>
      </c>
      <c r="G3413">
        <v>1111111111</v>
      </c>
      <c r="H3413" t="s">
        <v>6982</v>
      </c>
      <c r="I3413">
        <v>99999999</v>
      </c>
      <c r="J3413" s="188">
        <v>45236</v>
      </c>
      <c r="K3413" t="s">
        <v>6982</v>
      </c>
      <c r="L3413" t="s">
        <v>6982</v>
      </c>
      <c r="M3413" t="s">
        <v>3300</v>
      </c>
      <c r="N3413" t="s">
        <v>141</v>
      </c>
      <c r="O3413">
        <v>32609</v>
      </c>
      <c r="Q3413" t="s">
        <v>124</v>
      </c>
      <c r="R3413">
        <v>64</v>
      </c>
      <c r="S3413">
        <v>60.872</v>
      </c>
      <c r="T3413">
        <v>0</v>
      </c>
      <c r="U3413">
        <v>0</v>
      </c>
      <c r="V3413">
        <v>12</v>
      </c>
      <c r="W3413">
        <v>0</v>
      </c>
      <c r="X3413">
        <v>0</v>
      </c>
      <c r="Y3413">
        <v>0</v>
      </c>
      <c r="Z3413">
        <v>0</v>
      </c>
      <c r="AA3413">
        <v>0</v>
      </c>
      <c r="AB3413">
        <v>0</v>
      </c>
      <c r="AC3413">
        <v>0</v>
      </c>
      <c r="AD3413">
        <v>64</v>
      </c>
      <c r="AE3413">
        <v>0</v>
      </c>
      <c r="AF3413">
        <v>0</v>
      </c>
      <c r="AG3413">
        <v>0</v>
      </c>
      <c r="AH3413">
        <v>0</v>
      </c>
      <c r="AI3413">
        <v>0</v>
      </c>
      <c r="AJ3413">
        <v>0</v>
      </c>
      <c r="AK3413">
        <v>0</v>
      </c>
    </row>
    <row r="3414" spans="1:37" x14ac:dyDescent="0.3">
      <c r="A3414">
        <v>7134</v>
      </c>
      <c r="B3414" t="s">
        <v>28</v>
      </c>
      <c r="C3414">
        <v>799</v>
      </c>
      <c r="D3414" t="s">
        <v>3500</v>
      </c>
      <c r="E3414">
        <v>99999999</v>
      </c>
      <c r="F3414">
        <v>11111111</v>
      </c>
      <c r="G3414">
        <v>1111111111</v>
      </c>
      <c r="H3414" t="s">
        <v>6983</v>
      </c>
      <c r="I3414">
        <v>99999999</v>
      </c>
      <c r="J3414" s="188">
        <v>45236</v>
      </c>
      <c r="K3414" t="s">
        <v>6983</v>
      </c>
      <c r="L3414" t="s">
        <v>6983</v>
      </c>
      <c r="M3414" t="s">
        <v>3300</v>
      </c>
      <c r="N3414" t="s">
        <v>141</v>
      </c>
      <c r="O3414">
        <v>32609</v>
      </c>
      <c r="Q3414" t="s">
        <v>124</v>
      </c>
      <c r="R3414">
        <v>8</v>
      </c>
      <c r="S3414">
        <v>6.57</v>
      </c>
      <c r="T3414">
        <v>0</v>
      </c>
      <c r="U3414">
        <v>0</v>
      </c>
      <c r="V3414">
        <v>5</v>
      </c>
      <c r="W3414">
        <v>0</v>
      </c>
      <c r="X3414">
        <v>0</v>
      </c>
      <c r="Y3414">
        <v>0</v>
      </c>
      <c r="Z3414">
        <v>0</v>
      </c>
      <c r="AA3414">
        <v>0</v>
      </c>
      <c r="AB3414">
        <v>0</v>
      </c>
      <c r="AC3414">
        <v>0</v>
      </c>
      <c r="AD3414">
        <v>8</v>
      </c>
      <c r="AE3414">
        <v>0</v>
      </c>
      <c r="AF3414">
        <v>0</v>
      </c>
      <c r="AG3414">
        <v>0</v>
      </c>
      <c r="AH3414">
        <v>0</v>
      </c>
      <c r="AI3414">
        <v>0</v>
      </c>
      <c r="AJ3414">
        <v>0</v>
      </c>
      <c r="AK3414">
        <v>0</v>
      </c>
    </row>
    <row r="3415" spans="1:37" x14ac:dyDescent="0.3">
      <c r="A3415">
        <v>7134</v>
      </c>
      <c r="B3415" t="s">
        <v>28</v>
      </c>
      <c r="C3415">
        <v>799</v>
      </c>
      <c r="D3415" t="s">
        <v>3500</v>
      </c>
      <c r="E3415">
        <v>99999999</v>
      </c>
      <c r="F3415">
        <v>11111111</v>
      </c>
      <c r="G3415">
        <v>1111111111</v>
      </c>
      <c r="H3415" t="s">
        <v>6984</v>
      </c>
      <c r="I3415">
        <v>99999999</v>
      </c>
      <c r="J3415" s="188">
        <v>45236</v>
      </c>
      <c r="K3415" t="s">
        <v>6984</v>
      </c>
      <c r="L3415" t="s">
        <v>6984</v>
      </c>
      <c r="M3415" t="s">
        <v>3300</v>
      </c>
      <c r="N3415" t="s">
        <v>141</v>
      </c>
      <c r="O3415">
        <v>32609</v>
      </c>
      <c r="Q3415" t="s">
        <v>124</v>
      </c>
      <c r="R3415">
        <v>19</v>
      </c>
      <c r="S3415">
        <v>16.925999999999998</v>
      </c>
      <c r="T3415">
        <v>0</v>
      </c>
      <c r="U3415">
        <v>0</v>
      </c>
      <c r="V3415">
        <v>9</v>
      </c>
      <c r="W3415">
        <v>0</v>
      </c>
      <c r="X3415">
        <v>0</v>
      </c>
      <c r="Y3415">
        <v>0</v>
      </c>
      <c r="Z3415">
        <v>0</v>
      </c>
      <c r="AA3415">
        <v>0</v>
      </c>
      <c r="AB3415">
        <v>0</v>
      </c>
      <c r="AC3415">
        <v>0</v>
      </c>
      <c r="AD3415">
        <v>19</v>
      </c>
      <c r="AE3415">
        <v>0</v>
      </c>
      <c r="AF3415">
        <v>0</v>
      </c>
      <c r="AG3415">
        <v>0</v>
      </c>
      <c r="AH3415">
        <v>0</v>
      </c>
      <c r="AI3415">
        <v>0</v>
      </c>
      <c r="AJ3415">
        <v>0</v>
      </c>
      <c r="AK3415">
        <v>0</v>
      </c>
    </row>
    <row r="3416" spans="1:37" x14ac:dyDescent="0.3">
      <c r="A3416">
        <v>7134</v>
      </c>
      <c r="B3416" t="s">
        <v>28</v>
      </c>
      <c r="C3416">
        <v>799</v>
      </c>
      <c r="D3416" t="s">
        <v>3500</v>
      </c>
      <c r="E3416">
        <v>99999999</v>
      </c>
      <c r="F3416">
        <v>11111111</v>
      </c>
      <c r="G3416">
        <v>1111111111</v>
      </c>
      <c r="H3416" t="s">
        <v>6985</v>
      </c>
      <c r="I3416">
        <v>99999999</v>
      </c>
      <c r="J3416" s="188">
        <v>45236</v>
      </c>
      <c r="K3416" t="s">
        <v>6985</v>
      </c>
      <c r="L3416" t="s">
        <v>6985</v>
      </c>
      <c r="M3416" t="s">
        <v>3300</v>
      </c>
      <c r="N3416" t="s">
        <v>141</v>
      </c>
      <c r="O3416">
        <v>32609</v>
      </c>
      <c r="Q3416" t="s">
        <v>124</v>
      </c>
      <c r="R3416">
        <v>11</v>
      </c>
      <c r="S3416">
        <v>10.606</v>
      </c>
      <c r="T3416">
        <v>0</v>
      </c>
      <c r="U3416">
        <v>0</v>
      </c>
      <c r="V3416">
        <v>8</v>
      </c>
      <c r="W3416">
        <v>0</v>
      </c>
      <c r="X3416">
        <v>0</v>
      </c>
      <c r="Y3416">
        <v>0</v>
      </c>
      <c r="Z3416">
        <v>0</v>
      </c>
      <c r="AA3416">
        <v>0</v>
      </c>
      <c r="AB3416">
        <v>0</v>
      </c>
      <c r="AC3416">
        <v>0</v>
      </c>
      <c r="AD3416">
        <v>11</v>
      </c>
      <c r="AE3416">
        <v>0</v>
      </c>
      <c r="AF3416">
        <v>0</v>
      </c>
      <c r="AG3416">
        <v>0</v>
      </c>
      <c r="AH3416">
        <v>0</v>
      </c>
      <c r="AI3416">
        <v>0</v>
      </c>
      <c r="AJ3416">
        <v>0</v>
      </c>
      <c r="AK3416">
        <v>0</v>
      </c>
    </row>
    <row r="3417" spans="1:37" x14ac:dyDescent="0.3">
      <c r="A3417">
        <v>7134</v>
      </c>
      <c r="B3417" t="s">
        <v>28</v>
      </c>
      <c r="C3417">
        <v>799</v>
      </c>
      <c r="D3417" t="s">
        <v>3500</v>
      </c>
      <c r="E3417">
        <v>99999999</v>
      </c>
      <c r="F3417">
        <v>11111111</v>
      </c>
      <c r="G3417">
        <v>1111111111</v>
      </c>
      <c r="H3417" t="s">
        <v>6986</v>
      </c>
      <c r="I3417">
        <v>99999999</v>
      </c>
      <c r="J3417" s="188">
        <v>45236</v>
      </c>
      <c r="K3417" t="s">
        <v>6986</v>
      </c>
      <c r="L3417" t="s">
        <v>6986</v>
      </c>
      <c r="M3417" t="s">
        <v>3300</v>
      </c>
      <c r="N3417" t="s">
        <v>141</v>
      </c>
      <c r="O3417">
        <v>32609</v>
      </c>
      <c r="Q3417" t="s">
        <v>124</v>
      </c>
      <c r="R3417">
        <v>10</v>
      </c>
      <c r="S3417">
        <v>8.36</v>
      </c>
      <c r="T3417">
        <v>0</v>
      </c>
      <c r="U3417">
        <v>0</v>
      </c>
      <c r="V3417">
        <v>5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10</v>
      </c>
      <c r="AE3417">
        <v>0</v>
      </c>
      <c r="AF3417">
        <v>0</v>
      </c>
      <c r="AG3417">
        <v>0</v>
      </c>
      <c r="AH3417">
        <v>0</v>
      </c>
      <c r="AI3417">
        <v>0</v>
      </c>
      <c r="AJ3417">
        <v>0</v>
      </c>
      <c r="AK3417">
        <v>0</v>
      </c>
    </row>
    <row r="3418" spans="1:37" x14ac:dyDescent="0.3">
      <c r="A3418">
        <v>7134</v>
      </c>
      <c r="B3418" t="s">
        <v>28</v>
      </c>
      <c r="C3418">
        <v>799</v>
      </c>
      <c r="D3418" t="s">
        <v>3500</v>
      </c>
      <c r="E3418">
        <v>99999999</v>
      </c>
      <c r="F3418">
        <v>11111111</v>
      </c>
      <c r="G3418">
        <v>1111111111</v>
      </c>
      <c r="H3418" t="s">
        <v>6987</v>
      </c>
      <c r="I3418">
        <v>99999999</v>
      </c>
      <c r="J3418" s="188">
        <v>45236</v>
      </c>
      <c r="K3418" t="s">
        <v>6987</v>
      </c>
      <c r="L3418" t="s">
        <v>6987</v>
      </c>
      <c r="M3418" t="s">
        <v>3300</v>
      </c>
      <c r="N3418" t="s">
        <v>141</v>
      </c>
      <c r="O3418">
        <v>32609</v>
      </c>
      <c r="Q3418" t="s">
        <v>124</v>
      </c>
      <c r="R3418">
        <v>9</v>
      </c>
      <c r="S3418">
        <v>8.1</v>
      </c>
      <c r="T3418">
        <v>0</v>
      </c>
      <c r="U3418">
        <v>0</v>
      </c>
      <c r="V3418">
        <v>8</v>
      </c>
      <c r="W3418">
        <v>0</v>
      </c>
      <c r="X3418">
        <v>0</v>
      </c>
      <c r="Y3418">
        <v>0</v>
      </c>
      <c r="Z3418">
        <v>0</v>
      </c>
      <c r="AA3418">
        <v>0</v>
      </c>
      <c r="AB3418">
        <v>0</v>
      </c>
      <c r="AC3418">
        <v>0</v>
      </c>
      <c r="AD3418">
        <v>9</v>
      </c>
      <c r="AE3418">
        <v>0</v>
      </c>
      <c r="AF3418">
        <v>0</v>
      </c>
      <c r="AG3418">
        <v>0</v>
      </c>
      <c r="AH3418">
        <v>0</v>
      </c>
      <c r="AI3418">
        <v>0</v>
      </c>
      <c r="AJ3418">
        <v>0</v>
      </c>
      <c r="AK3418">
        <v>0</v>
      </c>
    </row>
    <row r="3419" spans="1:37" x14ac:dyDescent="0.3">
      <c r="A3419">
        <v>7134</v>
      </c>
      <c r="B3419" t="s">
        <v>28</v>
      </c>
      <c r="C3419">
        <v>799</v>
      </c>
      <c r="D3419" t="s">
        <v>3500</v>
      </c>
      <c r="E3419">
        <v>99999999</v>
      </c>
      <c r="F3419">
        <v>11111111</v>
      </c>
      <c r="G3419">
        <v>1111111111</v>
      </c>
      <c r="H3419" t="s">
        <v>6988</v>
      </c>
      <c r="I3419">
        <v>99999999</v>
      </c>
      <c r="J3419" s="188">
        <v>45236</v>
      </c>
      <c r="K3419" t="s">
        <v>6988</v>
      </c>
      <c r="L3419" t="s">
        <v>6988</v>
      </c>
      <c r="M3419" t="s">
        <v>3300</v>
      </c>
      <c r="N3419" t="s">
        <v>141</v>
      </c>
      <c r="O3419">
        <v>32609</v>
      </c>
      <c r="Q3419" t="s">
        <v>124</v>
      </c>
      <c r="R3419">
        <v>7</v>
      </c>
      <c r="S3419">
        <v>5.5659999999999998</v>
      </c>
      <c r="T3419">
        <v>0</v>
      </c>
      <c r="U3419">
        <v>0</v>
      </c>
      <c r="V3419">
        <v>7</v>
      </c>
      <c r="W3419">
        <v>0</v>
      </c>
      <c r="X3419">
        <v>0</v>
      </c>
      <c r="Y3419">
        <v>0</v>
      </c>
      <c r="Z3419">
        <v>0</v>
      </c>
      <c r="AA3419">
        <v>0</v>
      </c>
      <c r="AB3419">
        <v>0</v>
      </c>
      <c r="AC3419">
        <v>0</v>
      </c>
      <c r="AD3419">
        <v>7</v>
      </c>
      <c r="AE3419">
        <v>0</v>
      </c>
      <c r="AF3419">
        <v>0</v>
      </c>
      <c r="AG3419">
        <v>0</v>
      </c>
      <c r="AH3419">
        <v>0</v>
      </c>
      <c r="AI3419">
        <v>0</v>
      </c>
      <c r="AJ3419">
        <v>0</v>
      </c>
      <c r="AK3419">
        <v>0</v>
      </c>
    </row>
    <row r="3420" spans="1:37" x14ac:dyDescent="0.3">
      <c r="A3420">
        <v>7134</v>
      </c>
      <c r="B3420" t="s">
        <v>28</v>
      </c>
      <c r="C3420">
        <v>799</v>
      </c>
      <c r="D3420" t="s">
        <v>3500</v>
      </c>
      <c r="E3420">
        <v>99999999</v>
      </c>
      <c r="F3420">
        <v>11111111</v>
      </c>
      <c r="G3420">
        <v>1111111111</v>
      </c>
      <c r="H3420" t="s">
        <v>6989</v>
      </c>
      <c r="I3420">
        <v>99999999</v>
      </c>
      <c r="J3420" s="188">
        <v>45236</v>
      </c>
      <c r="K3420" t="s">
        <v>6989</v>
      </c>
      <c r="L3420" t="s">
        <v>6989</v>
      </c>
      <c r="M3420" t="s">
        <v>3300</v>
      </c>
      <c r="N3420" t="s">
        <v>141</v>
      </c>
      <c r="O3420">
        <v>32609</v>
      </c>
      <c r="Q3420" t="s">
        <v>124</v>
      </c>
      <c r="R3420">
        <v>14</v>
      </c>
      <c r="S3420">
        <v>12.866</v>
      </c>
      <c r="T3420">
        <v>0</v>
      </c>
      <c r="U3420">
        <v>0</v>
      </c>
      <c r="V3420">
        <v>9</v>
      </c>
      <c r="W3420">
        <v>0</v>
      </c>
      <c r="X3420">
        <v>0</v>
      </c>
      <c r="Y3420">
        <v>0</v>
      </c>
      <c r="Z3420">
        <v>0</v>
      </c>
      <c r="AA3420">
        <v>0</v>
      </c>
      <c r="AB3420">
        <v>0</v>
      </c>
      <c r="AC3420">
        <v>0</v>
      </c>
      <c r="AD3420">
        <v>14</v>
      </c>
      <c r="AE3420">
        <v>0</v>
      </c>
      <c r="AF3420">
        <v>0</v>
      </c>
      <c r="AG3420">
        <v>0</v>
      </c>
      <c r="AH3420">
        <v>0</v>
      </c>
      <c r="AI3420">
        <v>0</v>
      </c>
      <c r="AJ3420">
        <v>0</v>
      </c>
      <c r="AK3420">
        <v>0</v>
      </c>
    </row>
    <row r="3421" spans="1:37" x14ac:dyDescent="0.3">
      <c r="A3421">
        <v>7134</v>
      </c>
      <c r="B3421" t="s">
        <v>28</v>
      </c>
      <c r="C3421">
        <v>799</v>
      </c>
      <c r="D3421" t="s">
        <v>3500</v>
      </c>
      <c r="E3421">
        <v>99999999</v>
      </c>
      <c r="F3421">
        <v>11111111</v>
      </c>
      <c r="G3421">
        <v>1111111111</v>
      </c>
      <c r="H3421" t="s">
        <v>6990</v>
      </c>
      <c r="I3421">
        <v>99999999</v>
      </c>
      <c r="J3421" s="188">
        <v>45236</v>
      </c>
      <c r="K3421" t="s">
        <v>6990</v>
      </c>
      <c r="L3421" t="s">
        <v>6990</v>
      </c>
      <c r="M3421" t="s">
        <v>3300</v>
      </c>
      <c r="N3421" t="s">
        <v>141</v>
      </c>
      <c r="O3421">
        <v>32609</v>
      </c>
      <c r="Q3421" t="s">
        <v>124</v>
      </c>
      <c r="R3421">
        <v>43</v>
      </c>
      <c r="S3421">
        <v>40.244</v>
      </c>
      <c r="T3421">
        <v>0</v>
      </c>
      <c r="U3421">
        <v>0</v>
      </c>
      <c r="V3421">
        <v>12</v>
      </c>
      <c r="W3421">
        <v>0</v>
      </c>
      <c r="X3421">
        <v>0</v>
      </c>
      <c r="Y3421">
        <v>0</v>
      </c>
      <c r="Z3421">
        <v>0</v>
      </c>
      <c r="AA3421">
        <v>0</v>
      </c>
      <c r="AB3421">
        <v>0</v>
      </c>
      <c r="AC3421">
        <v>0</v>
      </c>
      <c r="AD3421">
        <v>43</v>
      </c>
      <c r="AE3421">
        <v>0</v>
      </c>
      <c r="AF3421">
        <v>0</v>
      </c>
      <c r="AG3421">
        <v>0</v>
      </c>
      <c r="AH3421">
        <v>0</v>
      </c>
      <c r="AI3421">
        <v>0</v>
      </c>
      <c r="AJ3421">
        <v>0</v>
      </c>
      <c r="AK3421">
        <v>0</v>
      </c>
    </row>
    <row r="3422" spans="1:37" x14ac:dyDescent="0.3">
      <c r="A3422">
        <v>7134</v>
      </c>
      <c r="B3422" t="s">
        <v>28</v>
      </c>
      <c r="C3422">
        <v>799</v>
      </c>
      <c r="D3422" t="s">
        <v>3500</v>
      </c>
      <c r="E3422">
        <v>99999999</v>
      </c>
      <c r="F3422">
        <v>11111111</v>
      </c>
      <c r="G3422">
        <v>1111111111</v>
      </c>
      <c r="H3422" t="s">
        <v>6991</v>
      </c>
      <c r="I3422">
        <v>99999999</v>
      </c>
      <c r="J3422" s="188">
        <v>45236</v>
      </c>
      <c r="K3422" t="s">
        <v>6991</v>
      </c>
      <c r="L3422" t="s">
        <v>6991</v>
      </c>
      <c r="M3422" t="s">
        <v>3300</v>
      </c>
      <c r="N3422" t="s">
        <v>141</v>
      </c>
      <c r="O3422">
        <v>32609</v>
      </c>
      <c r="Q3422" t="s">
        <v>124</v>
      </c>
      <c r="R3422">
        <v>15</v>
      </c>
      <c r="S3422">
        <v>14.23</v>
      </c>
      <c r="T3422">
        <v>0</v>
      </c>
      <c r="U3422">
        <v>0</v>
      </c>
      <c r="V3422">
        <v>9</v>
      </c>
      <c r="W3422">
        <v>0</v>
      </c>
      <c r="X3422">
        <v>0</v>
      </c>
      <c r="Y3422">
        <v>0</v>
      </c>
      <c r="Z3422">
        <v>0</v>
      </c>
      <c r="AA3422">
        <v>0</v>
      </c>
      <c r="AB3422">
        <v>0</v>
      </c>
      <c r="AC3422">
        <v>0</v>
      </c>
      <c r="AD3422">
        <v>15</v>
      </c>
      <c r="AE3422">
        <v>0</v>
      </c>
      <c r="AF3422">
        <v>0</v>
      </c>
      <c r="AG3422">
        <v>0</v>
      </c>
      <c r="AH3422">
        <v>0</v>
      </c>
      <c r="AI3422">
        <v>0</v>
      </c>
      <c r="AJ3422">
        <v>0</v>
      </c>
      <c r="AK3422">
        <v>0</v>
      </c>
    </row>
    <row r="3423" spans="1:37" x14ac:dyDescent="0.3">
      <c r="A3423">
        <v>7134</v>
      </c>
      <c r="B3423" t="s">
        <v>28</v>
      </c>
      <c r="C3423">
        <v>799</v>
      </c>
      <c r="D3423" t="s">
        <v>3500</v>
      </c>
      <c r="E3423">
        <v>99999999</v>
      </c>
      <c r="F3423">
        <v>11111111</v>
      </c>
      <c r="G3423">
        <v>1111111111</v>
      </c>
      <c r="H3423" t="s">
        <v>6992</v>
      </c>
      <c r="I3423">
        <v>99999999</v>
      </c>
      <c r="J3423" s="188">
        <v>45236</v>
      </c>
      <c r="K3423" t="s">
        <v>6992</v>
      </c>
      <c r="L3423" t="s">
        <v>6992</v>
      </c>
      <c r="M3423" t="s">
        <v>3300</v>
      </c>
      <c r="N3423" t="s">
        <v>141</v>
      </c>
      <c r="O3423">
        <v>32609</v>
      </c>
      <c r="Q3423" t="s">
        <v>124</v>
      </c>
      <c r="R3423">
        <v>17</v>
      </c>
      <c r="S3423">
        <v>14.746</v>
      </c>
      <c r="T3423">
        <v>0</v>
      </c>
      <c r="U3423">
        <v>0</v>
      </c>
      <c r="V3423">
        <v>12</v>
      </c>
      <c r="W3423">
        <v>0</v>
      </c>
      <c r="X3423">
        <v>0</v>
      </c>
      <c r="Y3423">
        <v>0</v>
      </c>
      <c r="Z3423">
        <v>0</v>
      </c>
      <c r="AA3423">
        <v>0</v>
      </c>
      <c r="AB3423">
        <v>0</v>
      </c>
      <c r="AC3423">
        <v>0</v>
      </c>
      <c r="AD3423">
        <v>17</v>
      </c>
      <c r="AE3423">
        <v>0</v>
      </c>
      <c r="AF3423">
        <v>0</v>
      </c>
      <c r="AG3423">
        <v>0</v>
      </c>
      <c r="AH3423">
        <v>0</v>
      </c>
      <c r="AI3423">
        <v>0</v>
      </c>
      <c r="AJ3423">
        <v>0</v>
      </c>
      <c r="AK3423">
        <v>0</v>
      </c>
    </row>
    <row r="3424" spans="1:37" x14ac:dyDescent="0.3">
      <c r="A3424">
        <v>7134</v>
      </c>
      <c r="B3424" t="s">
        <v>28</v>
      </c>
      <c r="C3424">
        <v>799</v>
      </c>
      <c r="D3424" t="s">
        <v>3500</v>
      </c>
      <c r="E3424">
        <v>99999999</v>
      </c>
      <c r="F3424">
        <v>11111111</v>
      </c>
      <c r="G3424">
        <v>1111111111</v>
      </c>
      <c r="H3424" t="s">
        <v>6993</v>
      </c>
      <c r="I3424">
        <v>99999999</v>
      </c>
      <c r="J3424" s="188">
        <v>45236</v>
      </c>
      <c r="K3424" t="s">
        <v>6993</v>
      </c>
      <c r="L3424" t="s">
        <v>6993</v>
      </c>
      <c r="M3424" t="s">
        <v>3300</v>
      </c>
      <c r="N3424" t="s">
        <v>141</v>
      </c>
      <c r="O3424">
        <v>32609</v>
      </c>
      <c r="Q3424" t="s">
        <v>124</v>
      </c>
      <c r="R3424">
        <v>8</v>
      </c>
      <c r="S3424">
        <v>6.41</v>
      </c>
      <c r="T3424">
        <v>0</v>
      </c>
      <c r="U3424">
        <v>0</v>
      </c>
      <c r="V3424">
        <v>7</v>
      </c>
      <c r="W3424">
        <v>0</v>
      </c>
      <c r="X3424">
        <v>0</v>
      </c>
      <c r="Y3424">
        <v>0</v>
      </c>
      <c r="Z3424">
        <v>0</v>
      </c>
      <c r="AA3424">
        <v>0</v>
      </c>
      <c r="AB3424">
        <v>0</v>
      </c>
      <c r="AC3424">
        <v>0</v>
      </c>
      <c r="AD3424">
        <v>8</v>
      </c>
      <c r="AE3424">
        <v>0</v>
      </c>
      <c r="AF3424">
        <v>0</v>
      </c>
      <c r="AG3424">
        <v>0</v>
      </c>
      <c r="AH3424">
        <v>0</v>
      </c>
      <c r="AI3424">
        <v>0</v>
      </c>
      <c r="AJ3424">
        <v>0</v>
      </c>
      <c r="AK3424">
        <v>0</v>
      </c>
    </row>
    <row r="3425" spans="1:37" x14ac:dyDescent="0.3">
      <c r="A3425">
        <v>7134</v>
      </c>
      <c r="B3425" t="s">
        <v>28</v>
      </c>
      <c r="C3425">
        <v>799</v>
      </c>
      <c r="D3425" t="s">
        <v>3500</v>
      </c>
      <c r="E3425">
        <v>99999999</v>
      </c>
      <c r="F3425">
        <v>11111111</v>
      </c>
      <c r="G3425">
        <v>1111111111</v>
      </c>
      <c r="H3425" t="s">
        <v>6994</v>
      </c>
      <c r="I3425">
        <v>99999999</v>
      </c>
      <c r="J3425" s="188">
        <v>45236</v>
      </c>
      <c r="K3425" t="s">
        <v>6994</v>
      </c>
      <c r="L3425" t="s">
        <v>6994</v>
      </c>
      <c r="M3425" t="s">
        <v>3300</v>
      </c>
      <c r="N3425" t="s">
        <v>141</v>
      </c>
      <c r="O3425">
        <v>32609</v>
      </c>
      <c r="Q3425" t="s">
        <v>124</v>
      </c>
      <c r="R3425">
        <v>17</v>
      </c>
      <c r="S3425">
        <v>15.456</v>
      </c>
      <c r="T3425">
        <v>0</v>
      </c>
      <c r="U3425">
        <v>0</v>
      </c>
      <c r="V3425">
        <v>11</v>
      </c>
      <c r="W3425">
        <v>0</v>
      </c>
      <c r="X3425">
        <v>0</v>
      </c>
      <c r="Y3425">
        <v>0</v>
      </c>
      <c r="Z3425">
        <v>0</v>
      </c>
      <c r="AA3425">
        <v>0</v>
      </c>
      <c r="AB3425">
        <v>0</v>
      </c>
      <c r="AC3425">
        <v>0</v>
      </c>
      <c r="AD3425">
        <v>17</v>
      </c>
      <c r="AE3425">
        <v>0</v>
      </c>
      <c r="AF3425">
        <v>0</v>
      </c>
      <c r="AG3425">
        <v>0</v>
      </c>
      <c r="AH3425">
        <v>0</v>
      </c>
      <c r="AI3425">
        <v>0</v>
      </c>
      <c r="AJ3425">
        <v>0</v>
      </c>
      <c r="AK3425">
        <v>0</v>
      </c>
    </row>
    <row r="3426" spans="1:37" x14ac:dyDescent="0.3">
      <c r="A3426">
        <v>7134</v>
      </c>
      <c r="B3426" t="s">
        <v>28</v>
      </c>
      <c r="C3426">
        <v>799</v>
      </c>
      <c r="D3426" t="s">
        <v>3500</v>
      </c>
      <c r="E3426">
        <v>99999999</v>
      </c>
      <c r="F3426">
        <v>11111111</v>
      </c>
      <c r="G3426">
        <v>1111111111</v>
      </c>
      <c r="H3426" t="s">
        <v>6995</v>
      </c>
      <c r="I3426">
        <v>99999999</v>
      </c>
      <c r="J3426" s="188">
        <v>45236</v>
      </c>
      <c r="K3426" t="s">
        <v>6995</v>
      </c>
      <c r="L3426" t="s">
        <v>6995</v>
      </c>
      <c r="M3426" t="s">
        <v>3300</v>
      </c>
      <c r="N3426" t="s">
        <v>141</v>
      </c>
      <c r="O3426">
        <v>32609</v>
      </c>
      <c r="Q3426" t="s">
        <v>124</v>
      </c>
      <c r="R3426">
        <v>10</v>
      </c>
      <c r="S3426">
        <v>9.4559999999999995</v>
      </c>
      <c r="T3426">
        <v>0</v>
      </c>
      <c r="U3426">
        <v>0</v>
      </c>
      <c r="V3426">
        <v>9</v>
      </c>
      <c r="W3426">
        <v>0</v>
      </c>
      <c r="X3426">
        <v>0</v>
      </c>
      <c r="Y3426">
        <v>0</v>
      </c>
      <c r="Z3426">
        <v>0</v>
      </c>
      <c r="AA3426">
        <v>0</v>
      </c>
      <c r="AB3426">
        <v>0</v>
      </c>
      <c r="AC3426">
        <v>0</v>
      </c>
      <c r="AD3426">
        <v>10</v>
      </c>
      <c r="AE3426">
        <v>0</v>
      </c>
      <c r="AF3426">
        <v>0</v>
      </c>
      <c r="AG3426">
        <v>0</v>
      </c>
      <c r="AH3426">
        <v>0</v>
      </c>
      <c r="AI3426">
        <v>0</v>
      </c>
      <c r="AJ3426">
        <v>0</v>
      </c>
      <c r="AK3426">
        <v>0</v>
      </c>
    </row>
    <row r="3427" spans="1:37" x14ac:dyDescent="0.3">
      <c r="A3427">
        <v>7134</v>
      </c>
      <c r="B3427" t="s">
        <v>28</v>
      </c>
      <c r="C3427">
        <v>799</v>
      </c>
      <c r="D3427" t="s">
        <v>3500</v>
      </c>
      <c r="E3427">
        <v>99999999</v>
      </c>
      <c r="F3427">
        <v>11111111</v>
      </c>
      <c r="G3427">
        <v>1111111111</v>
      </c>
      <c r="H3427" t="s">
        <v>6996</v>
      </c>
      <c r="I3427">
        <v>99999999</v>
      </c>
      <c r="J3427" s="188">
        <v>45236</v>
      </c>
      <c r="K3427" t="s">
        <v>6996</v>
      </c>
      <c r="L3427" t="s">
        <v>6996</v>
      </c>
      <c r="M3427" t="s">
        <v>3300</v>
      </c>
      <c r="N3427" t="s">
        <v>141</v>
      </c>
      <c r="O3427">
        <v>32609</v>
      </c>
      <c r="Q3427" t="s">
        <v>124</v>
      </c>
      <c r="R3427">
        <v>11</v>
      </c>
      <c r="S3427">
        <v>11.29</v>
      </c>
      <c r="T3427">
        <v>0</v>
      </c>
      <c r="U3427">
        <v>0</v>
      </c>
      <c r="V3427">
        <v>7</v>
      </c>
      <c r="W3427">
        <v>0</v>
      </c>
      <c r="X3427">
        <v>0</v>
      </c>
      <c r="Y3427">
        <v>0</v>
      </c>
      <c r="Z3427">
        <v>0</v>
      </c>
      <c r="AA3427">
        <v>0</v>
      </c>
      <c r="AB3427">
        <v>0</v>
      </c>
      <c r="AC3427">
        <v>0</v>
      </c>
      <c r="AD3427">
        <v>11</v>
      </c>
      <c r="AE3427">
        <v>0</v>
      </c>
      <c r="AF3427">
        <v>0</v>
      </c>
      <c r="AG3427">
        <v>0</v>
      </c>
      <c r="AH3427">
        <v>0</v>
      </c>
      <c r="AI3427">
        <v>0</v>
      </c>
      <c r="AJ3427">
        <v>0</v>
      </c>
      <c r="AK3427">
        <v>0</v>
      </c>
    </row>
    <row r="3428" spans="1:37" x14ac:dyDescent="0.3">
      <c r="A3428">
        <v>7134</v>
      </c>
      <c r="B3428" t="s">
        <v>28</v>
      </c>
      <c r="C3428">
        <v>799</v>
      </c>
      <c r="D3428" t="s">
        <v>3500</v>
      </c>
      <c r="E3428">
        <v>99999999</v>
      </c>
      <c r="F3428">
        <v>11111111</v>
      </c>
      <c r="G3428">
        <v>1111111111</v>
      </c>
      <c r="H3428" t="s">
        <v>6997</v>
      </c>
      <c r="I3428">
        <v>99999999</v>
      </c>
      <c r="J3428" s="188">
        <v>45236</v>
      </c>
      <c r="K3428" t="s">
        <v>6997</v>
      </c>
      <c r="L3428" t="s">
        <v>6997</v>
      </c>
      <c r="M3428" t="s">
        <v>3300</v>
      </c>
      <c r="N3428" t="s">
        <v>141</v>
      </c>
      <c r="O3428">
        <v>32609</v>
      </c>
      <c r="Q3428" t="s">
        <v>124</v>
      </c>
      <c r="R3428">
        <v>36</v>
      </c>
      <c r="S3428">
        <v>31.716000000000001</v>
      </c>
      <c r="T3428">
        <v>0</v>
      </c>
      <c r="U3428">
        <v>0</v>
      </c>
      <c r="V3428">
        <v>12</v>
      </c>
      <c r="W3428">
        <v>0</v>
      </c>
      <c r="X3428">
        <v>0</v>
      </c>
      <c r="Y3428">
        <v>0</v>
      </c>
      <c r="Z3428">
        <v>0</v>
      </c>
      <c r="AA3428">
        <v>0</v>
      </c>
      <c r="AB3428">
        <v>0</v>
      </c>
      <c r="AC3428">
        <v>0</v>
      </c>
      <c r="AD3428">
        <v>36</v>
      </c>
      <c r="AE3428">
        <v>0</v>
      </c>
      <c r="AF3428">
        <v>0</v>
      </c>
      <c r="AG3428">
        <v>0</v>
      </c>
      <c r="AH3428">
        <v>0</v>
      </c>
      <c r="AI3428">
        <v>0</v>
      </c>
      <c r="AJ3428">
        <v>0</v>
      </c>
      <c r="AK3428">
        <v>0</v>
      </c>
    </row>
    <row r="3429" spans="1:37" x14ac:dyDescent="0.3">
      <c r="A3429">
        <v>7134</v>
      </c>
      <c r="B3429" t="s">
        <v>28</v>
      </c>
      <c r="C3429">
        <v>299</v>
      </c>
      <c r="D3429" t="s">
        <v>3500</v>
      </c>
      <c r="E3429">
        <v>99999999</v>
      </c>
      <c r="F3429">
        <v>11111111</v>
      </c>
      <c r="G3429">
        <v>1111111111</v>
      </c>
      <c r="H3429" t="s">
        <v>6998</v>
      </c>
      <c r="I3429">
        <v>99999999</v>
      </c>
      <c r="J3429" s="188">
        <v>45236</v>
      </c>
      <c r="K3429" t="s">
        <v>6998</v>
      </c>
      <c r="L3429" t="s">
        <v>6998</v>
      </c>
      <c r="Q3429" t="s">
        <v>124</v>
      </c>
      <c r="R3429">
        <v>0</v>
      </c>
      <c r="T3429">
        <v>1</v>
      </c>
      <c r="U3429">
        <v>54</v>
      </c>
      <c r="V3429">
        <v>0</v>
      </c>
      <c r="W3429">
        <v>0</v>
      </c>
      <c r="X3429">
        <v>0</v>
      </c>
      <c r="Y3429">
        <v>0</v>
      </c>
      <c r="Z3429">
        <v>0</v>
      </c>
      <c r="AA3429">
        <v>0</v>
      </c>
      <c r="AB3429">
        <v>0</v>
      </c>
      <c r="AC3429">
        <v>0</v>
      </c>
      <c r="AD3429">
        <v>0</v>
      </c>
      <c r="AE3429">
        <v>0</v>
      </c>
      <c r="AF3429">
        <v>0</v>
      </c>
      <c r="AG3429">
        <v>0</v>
      </c>
      <c r="AH3429">
        <v>0</v>
      </c>
      <c r="AI3429">
        <v>0</v>
      </c>
      <c r="AJ3429">
        <v>0</v>
      </c>
      <c r="AK3429">
        <v>0</v>
      </c>
    </row>
    <row r="3430" spans="1:37" x14ac:dyDescent="0.3">
      <c r="A3430">
        <v>7134</v>
      </c>
      <c r="B3430" t="s">
        <v>28</v>
      </c>
      <c r="C3430">
        <v>299</v>
      </c>
      <c r="D3430" t="s">
        <v>3500</v>
      </c>
      <c r="E3430">
        <v>99999999</v>
      </c>
      <c r="F3430">
        <v>11111111</v>
      </c>
      <c r="G3430">
        <v>1111111111</v>
      </c>
      <c r="H3430" t="s">
        <v>6999</v>
      </c>
      <c r="I3430">
        <v>99999999</v>
      </c>
      <c r="J3430" s="188">
        <v>45236</v>
      </c>
      <c r="K3430" t="s">
        <v>6999</v>
      </c>
      <c r="L3430" t="s">
        <v>6999</v>
      </c>
      <c r="M3430" t="s">
        <v>3299</v>
      </c>
      <c r="N3430" t="s">
        <v>950</v>
      </c>
      <c r="O3430">
        <v>52002</v>
      </c>
      <c r="Q3430" t="s">
        <v>124</v>
      </c>
      <c r="R3430">
        <v>19</v>
      </c>
      <c r="S3430">
        <v>16.966000000000001</v>
      </c>
      <c r="T3430">
        <v>0</v>
      </c>
      <c r="U3430">
        <v>0</v>
      </c>
      <c r="V3430">
        <v>11</v>
      </c>
      <c r="W3430">
        <v>0</v>
      </c>
      <c r="X3430">
        <v>0</v>
      </c>
      <c r="Y3430">
        <v>0</v>
      </c>
      <c r="Z3430">
        <v>0</v>
      </c>
      <c r="AA3430">
        <v>0</v>
      </c>
      <c r="AB3430">
        <v>0</v>
      </c>
      <c r="AC3430">
        <v>0</v>
      </c>
      <c r="AD3430">
        <v>19</v>
      </c>
      <c r="AE3430">
        <v>0</v>
      </c>
      <c r="AF3430">
        <v>0</v>
      </c>
      <c r="AG3430">
        <v>0</v>
      </c>
      <c r="AH3430">
        <v>0</v>
      </c>
      <c r="AI3430">
        <v>0</v>
      </c>
      <c r="AJ3430">
        <v>0</v>
      </c>
      <c r="AK3430">
        <v>0</v>
      </c>
    </row>
    <row r="3431" spans="1:37" x14ac:dyDescent="0.3">
      <c r="A3431">
        <v>7134</v>
      </c>
      <c r="B3431" t="s">
        <v>28</v>
      </c>
      <c r="C3431">
        <v>299</v>
      </c>
      <c r="D3431" t="s">
        <v>3500</v>
      </c>
      <c r="E3431">
        <v>99999999</v>
      </c>
      <c r="F3431">
        <v>11111111</v>
      </c>
      <c r="G3431">
        <v>1111111111</v>
      </c>
      <c r="H3431" t="s">
        <v>7000</v>
      </c>
      <c r="I3431">
        <v>99999999</v>
      </c>
      <c r="J3431" s="188">
        <v>45236</v>
      </c>
      <c r="K3431" t="s">
        <v>7000</v>
      </c>
      <c r="L3431" t="s">
        <v>7000</v>
      </c>
      <c r="M3431" t="s">
        <v>3299</v>
      </c>
      <c r="N3431" t="s">
        <v>950</v>
      </c>
      <c r="O3431">
        <v>52002</v>
      </c>
      <c r="Q3431" t="s">
        <v>124</v>
      </c>
      <c r="R3431">
        <v>5</v>
      </c>
      <c r="S3431">
        <v>4.0860000000000003</v>
      </c>
      <c r="T3431">
        <v>0</v>
      </c>
      <c r="U3431">
        <v>0</v>
      </c>
      <c r="V3431">
        <v>5</v>
      </c>
      <c r="W3431">
        <v>0</v>
      </c>
      <c r="X3431">
        <v>0</v>
      </c>
      <c r="Y3431">
        <v>0</v>
      </c>
      <c r="Z3431">
        <v>0</v>
      </c>
      <c r="AA3431">
        <v>0</v>
      </c>
      <c r="AB3431">
        <v>0</v>
      </c>
      <c r="AC3431">
        <v>0</v>
      </c>
      <c r="AD3431">
        <v>5</v>
      </c>
      <c r="AE3431">
        <v>0</v>
      </c>
      <c r="AF3431">
        <v>0</v>
      </c>
      <c r="AG3431">
        <v>0</v>
      </c>
      <c r="AH3431">
        <v>0</v>
      </c>
      <c r="AI3431">
        <v>0</v>
      </c>
      <c r="AJ3431">
        <v>0</v>
      </c>
      <c r="AK3431">
        <v>0</v>
      </c>
    </row>
    <row r="3432" spans="1:37" x14ac:dyDescent="0.3">
      <c r="A3432">
        <v>7134</v>
      </c>
      <c r="B3432" t="s">
        <v>28</v>
      </c>
      <c r="C3432">
        <v>299</v>
      </c>
      <c r="D3432" t="s">
        <v>3500</v>
      </c>
      <c r="E3432">
        <v>99999999</v>
      </c>
      <c r="F3432">
        <v>11111111</v>
      </c>
      <c r="G3432">
        <v>1111111111</v>
      </c>
      <c r="H3432" t="s">
        <v>7001</v>
      </c>
      <c r="I3432">
        <v>99999999</v>
      </c>
      <c r="J3432" s="188">
        <v>45236</v>
      </c>
      <c r="K3432" t="s">
        <v>7001</v>
      </c>
      <c r="L3432" t="s">
        <v>7001</v>
      </c>
      <c r="M3432" t="s">
        <v>3299</v>
      </c>
      <c r="N3432" t="s">
        <v>950</v>
      </c>
      <c r="O3432">
        <v>52002</v>
      </c>
      <c r="Q3432" t="s">
        <v>124</v>
      </c>
      <c r="R3432">
        <v>3</v>
      </c>
      <c r="S3432">
        <v>2.48</v>
      </c>
      <c r="T3432">
        <v>0</v>
      </c>
      <c r="U3432">
        <v>0</v>
      </c>
      <c r="V3432">
        <v>3</v>
      </c>
      <c r="W3432">
        <v>0</v>
      </c>
      <c r="X3432">
        <v>0</v>
      </c>
      <c r="Y3432">
        <v>0</v>
      </c>
      <c r="Z3432">
        <v>0</v>
      </c>
      <c r="AA3432">
        <v>0</v>
      </c>
      <c r="AB3432">
        <v>0</v>
      </c>
      <c r="AC3432">
        <v>0</v>
      </c>
      <c r="AD3432">
        <v>3</v>
      </c>
      <c r="AE3432">
        <v>0</v>
      </c>
      <c r="AF3432">
        <v>0</v>
      </c>
      <c r="AG3432">
        <v>0</v>
      </c>
      <c r="AH3432">
        <v>0</v>
      </c>
      <c r="AI3432">
        <v>0</v>
      </c>
      <c r="AJ3432">
        <v>0</v>
      </c>
      <c r="AK3432">
        <v>0</v>
      </c>
    </row>
    <row r="3433" spans="1:37" x14ac:dyDescent="0.3">
      <c r="A3433">
        <v>7134</v>
      </c>
      <c r="B3433" t="s">
        <v>28</v>
      </c>
      <c r="C3433">
        <v>299</v>
      </c>
      <c r="D3433" t="s">
        <v>3500</v>
      </c>
      <c r="E3433">
        <v>99999999</v>
      </c>
      <c r="F3433">
        <v>11111111</v>
      </c>
      <c r="G3433">
        <v>1111111111</v>
      </c>
      <c r="H3433" t="s">
        <v>7002</v>
      </c>
      <c r="I3433">
        <v>99999999</v>
      </c>
      <c r="J3433" s="188">
        <v>45236</v>
      </c>
      <c r="K3433" t="s">
        <v>7002</v>
      </c>
      <c r="L3433" t="s">
        <v>7002</v>
      </c>
      <c r="M3433" t="s">
        <v>3299</v>
      </c>
      <c r="N3433" t="s">
        <v>950</v>
      </c>
      <c r="O3433">
        <v>52002</v>
      </c>
      <c r="Q3433" t="s">
        <v>124</v>
      </c>
      <c r="R3433">
        <v>6</v>
      </c>
      <c r="S3433">
        <v>4.9800000000000004</v>
      </c>
      <c r="T3433">
        <v>0</v>
      </c>
      <c r="U3433">
        <v>0</v>
      </c>
      <c r="V3433">
        <v>5</v>
      </c>
      <c r="W3433">
        <v>0</v>
      </c>
      <c r="X3433">
        <v>0</v>
      </c>
      <c r="Y3433">
        <v>0</v>
      </c>
      <c r="Z3433">
        <v>0</v>
      </c>
      <c r="AA3433">
        <v>0</v>
      </c>
      <c r="AB3433">
        <v>0</v>
      </c>
      <c r="AC3433">
        <v>0</v>
      </c>
      <c r="AD3433">
        <v>6</v>
      </c>
      <c r="AE3433">
        <v>0</v>
      </c>
      <c r="AF3433">
        <v>0</v>
      </c>
      <c r="AG3433">
        <v>0</v>
      </c>
      <c r="AH3433">
        <v>0</v>
      </c>
      <c r="AI3433">
        <v>0</v>
      </c>
      <c r="AJ3433">
        <v>0</v>
      </c>
      <c r="AK3433">
        <v>0</v>
      </c>
    </row>
    <row r="3434" spans="1:37" x14ac:dyDescent="0.3">
      <c r="A3434">
        <v>7134</v>
      </c>
      <c r="B3434" t="s">
        <v>28</v>
      </c>
      <c r="C3434">
        <v>299</v>
      </c>
      <c r="D3434" t="s">
        <v>3500</v>
      </c>
      <c r="E3434">
        <v>99999999</v>
      </c>
      <c r="F3434">
        <v>11111111</v>
      </c>
      <c r="G3434">
        <v>1111111111</v>
      </c>
      <c r="H3434" t="s">
        <v>7003</v>
      </c>
      <c r="I3434">
        <v>99999999</v>
      </c>
      <c r="J3434" s="188">
        <v>45236</v>
      </c>
      <c r="K3434" t="s">
        <v>7003</v>
      </c>
      <c r="L3434" t="s">
        <v>7003</v>
      </c>
      <c r="M3434" t="s">
        <v>3299</v>
      </c>
      <c r="N3434" t="s">
        <v>950</v>
      </c>
      <c r="O3434">
        <v>52002</v>
      </c>
      <c r="Q3434" t="s">
        <v>124</v>
      </c>
      <c r="R3434">
        <v>15</v>
      </c>
      <c r="S3434">
        <v>14.266</v>
      </c>
      <c r="T3434">
        <v>0</v>
      </c>
      <c r="U3434">
        <v>0</v>
      </c>
      <c r="V3434">
        <v>10</v>
      </c>
      <c r="W3434">
        <v>0</v>
      </c>
      <c r="X3434">
        <v>0</v>
      </c>
      <c r="Y3434">
        <v>0</v>
      </c>
      <c r="Z3434">
        <v>0</v>
      </c>
      <c r="AA3434">
        <v>0</v>
      </c>
      <c r="AB3434">
        <v>0</v>
      </c>
      <c r="AC3434">
        <v>0</v>
      </c>
      <c r="AD3434">
        <v>15</v>
      </c>
      <c r="AE3434">
        <v>0</v>
      </c>
      <c r="AF3434">
        <v>0</v>
      </c>
      <c r="AG3434">
        <v>0</v>
      </c>
      <c r="AH3434">
        <v>0</v>
      </c>
      <c r="AI3434">
        <v>0</v>
      </c>
      <c r="AJ3434">
        <v>0</v>
      </c>
      <c r="AK3434">
        <v>0</v>
      </c>
    </row>
    <row r="3435" spans="1:37" x14ac:dyDescent="0.3">
      <c r="A3435">
        <v>7134</v>
      </c>
      <c r="B3435" t="s">
        <v>28</v>
      </c>
      <c r="C3435">
        <v>299</v>
      </c>
      <c r="D3435" t="s">
        <v>3500</v>
      </c>
      <c r="E3435">
        <v>99999999</v>
      </c>
      <c r="F3435">
        <v>11111111</v>
      </c>
      <c r="G3435">
        <v>1111111111</v>
      </c>
      <c r="H3435" t="s">
        <v>7004</v>
      </c>
      <c r="I3435">
        <v>99999999</v>
      </c>
      <c r="J3435" s="188">
        <v>45236</v>
      </c>
      <c r="K3435" t="s">
        <v>7004</v>
      </c>
      <c r="L3435" t="s">
        <v>7004</v>
      </c>
      <c r="M3435" t="s">
        <v>3299</v>
      </c>
      <c r="N3435" t="s">
        <v>950</v>
      </c>
      <c r="O3435">
        <v>52002</v>
      </c>
      <c r="Q3435" t="s">
        <v>124</v>
      </c>
      <c r="R3435">
        <v>88</v>
      </c>
      <c r="S3435">
        <v>79.396000000000001</v>
      </c>
      <c r="T3435">
        <v>0</v>
      </c>
      <c r="U3435">
        <v>0</v>
      </c>
      <c r="V3435">
        <v>12</v>
      </c>
      <c r="W3435">
        <v>0</v>
      </c>
      <c r="X3435">
        <v>0</v>
      </c>
      <c r="Y3435">
        <v>0</v>
      </c>
      <c r="Z3435">
        <v>0</v>
      </c>
      <c r="AA3435">
        <v>1</v>
      </c>
      <c r="AB3435">
        <v>0</v>
      </c>
      <c r="AC3435">
        <v>0</v>
      </c>
      <c r="AD3435">
        <v>64</v>
      </c>
      <c r="AE3435">
        <v>0</v>
      </c>
      <c r="AF3435">
        <v>0</v>
      </c>
      <c r="AG3435">
        <v>0</v>
      </c>
      <c r="AH3435">
        <v>0</v>
      </c>
      <c r="AI3435">
        <v>0</v>
      </c>
      <c r="AJ3435">
        <v>0</v>
      </c>
      <c r="AK3435">
        <v>0</v>
      </c>
    </row>
    <row r="3436" spans="1:37" x14ac:dyDescent="0.3">
      <c r="A3436">
        <v>7134</v>
      </c>
      <c r="B3436" t="s">
        <v>28</v>
      </c>
      <c r="C3436">
        <v>299</v>
      </c>
      <c r="D3436" t="s">
        <v>3500</v>
      </c>
      <c r="E3436">
        <v>99999999</v>
      </c>
      <c r="F3436">
        <v>11111111</v>
      </c>
      <c r="G3436">
        <v>1111111111</v>
      </c>
      <c r="H3436" t="s">
        <v>7005</v>
      </c>
      <c r="I3436">
        <v>99999999</v>
      </c>
      <c r="J3436" s="188">
        <v>45236</v>
      </c>
      <c r="K3436" t="s">
        <v>7005</v>
      </c>
      <c r="L3436" t="s">
        <v>7005</v>
      </c>
      <c r="M3436" t="s">
        <v>3299</v>
      </c>
      <c r="N3436" t="s">
        <v>950</v>
      </c>
      <c r="O3436">
        <v>52002</v>
      </c>
      <c r="Q3436" t="s">
        <v>124</v>
      </c>
      <c r="R3436">
        <v>5</v>
      </c>
      <c r="S3436">
        <v>3.37</v>
      </c>
      <c r="T3436">
        <v>0</v>
      </c>
      <c r="U3436">
        <v>0</v>
      </c>
      <c r="V3436">
        <v>4</v>
      </c>
      <c r="W3436">
        <v>0</v>
      </c>
      <c r="X3436">
        <v>0</v>
      </c>
      <c r="Y3436">
        <v>0</v>
      </c>
      <c r="Z3436">
        <v>0</v>
      </c>
      <c r="AA3436">
        <v>0</v>
      </c>
      <c r="AB3436">
        <v>0</v>
      </c>
      <c r="AC3436">
        <v>0</v>
      </c>
      <c r="AD3436">
        <v>5</v>
      </c>
      <c r="AE3436">
        <v>0</v>
      </c>
      <c r="AF3436">
        <v>0</v>
      </c>
      <c r="AG3436">
        <v>0</v>
      </c>
      <c r="AH3436">
        <v>0</v>
      </c>
      <c r="AI3436">
        <v>0</v>
      </c>
      <c r="AJ3436">
        <v>0</v>
      </c>
      <c r="AK3436">
        <v>0</v>
      </c>
    </row>
    <row r="3437" spans="1:37" x14ac:dyDescent="0.3">
      <c r="A3437">
        <v>7134</v>
      </c>
      <c r="B3437" t="s">
        <v>28</v>
      </c>
      <c r="C3437">
        <v>299</v>
      </c>
      <c r="D3437" t="s">
        <v>3500</v>
      </c>
      <c r="E3437">
        <v>99999999</v>
      </c>
      <c r="F3437">
        <v>11111111</v>
      </c>
      <c r="G3437">
        <v>1111111111</v>
      </c>
      <c r="H3437" t="s">
        <v>7006</v>
      </c>
      <c r="I3437">
        <v>99999999</v>
      </c>
      <c r="J3437" s="188">
        <v>45236</v>
      </c>
      <c r="K3437" t="s">
        <v>7006</v>
      </c>
      <c r="L3437" t="s">
        <v>7006</v>
      </c>
      <c r="M3437" t="s">
        <v>3299</v>
      </c>
      <c r="N3437" t="s">
        <v>950</v>
      </c>
      <c r="O3437">
        <v>52002</v>
      </c>
      <c r="Q3437" t="s">
        <v>124</v>
      </c>
      <c r="R3437">
        <v>11</v>
      </c>
      <c r="S3437">
        <v>9.27</v>
      </c>
      <c r="T3437">
        <v>0</v>
      </c>
      <c r="U3437">
        <v>0</v>
      </c>
      <c r="V3437">
        <v>7</v>
      </c>
      <c r="W3437">
        <v>0</v>
      </c>
      <c r="X3437">
        <v>0</v>
      </c>
      <c r="Y3437">
        <v>0</v>
      </c>
      <c r="Z3437">
        <v>0</v>
      </c>
      <c r="AA3437">
        <v>0</v>
      </c>
      <c r="AB3437">
        <v>0</v>
      </c>
      <c r="AC3437">
        <v>0</v>
      </c>
      <c r="AD3437">
        <v>11</v>
      </c>
      <c r="AE3437">
        <v>0</v>
      </c>
      <c r="AF3437">
        <v>0</v>
      </c>
      <c r="AG3437">
        <v>0</v>
      </c>
      <c r="AH3437">
        <v>0</v>
      </c>
      <c r="AI3437">
        <v>0</v>
      </c>
      <c r="AJ3437">
        <v>0</v>
      </c>
      <c r="AK3437">
        <v>0</v>
      </c>
    </row>
    <row r="3438" spans="1:37" x14ac:dyDescent="0.3">
      <c r="A3438">
        <v>7134</v>
      </c>
      <c r="B3438" t="s">
        <v>28</v>
      </c>
      <c r="C3438">
        <v>299</v>
      </c>
      <c r="D3438" t="s">
        <v>3500</v>
      </c>
      <c r="E3438">
        <v>99999999</v>
      </c>
      <c r="F3438">
        <v>11111111</v>
      </c>
      <c r="G3438">
        <v>1111111111</v>
      </c>
      <c r="H3438" t="s">
        <v>7007</v>
      </c>
      <c r="I3438">
        <v>99999999</v>
      </c>
      <c r="J3438" s="188">
        <v>45236</v>
      </c>
      <c r="K3438" t="s">
        <v>7007</v>
      </c>
      <c r="L3438" t="s">
        <v>7007</v>
      </c>
      <c r="M3438" t="s">
        <v>3299</v>
      </c>
      <c r="N3438" t="s">
        <v>950</v>
      </c>
      <c r="O3438">
        <v>52002</v>
      </c>
      <c r="Q3438" t="s">
        <v>124</v>
      </c>
      <c r="R3438">
        <v>7</v>
      </c>
      <c r="S3438">
        <v>7.07</v>
      </c>
      <c r="T3438">
        <v>0</v>
      </c>
      <c r="U3438">
        <v>0</v>
      </c>
      <c r="V3438">
        <v>6</v>
      </c>
      <c r="W3438">
        <v>0</v>
      </c>
      <c r="X3438">
        <v>0</v>
      </c>
      <c r="Y3438">
        <v>0</v>
      </c>
      <c r="Z3438">
        <v>0</v>
      </c>
      <c r="AA3438">
        <v>0</v>
      </c>
      <c r="AB3438">
        <v>0</v>
      </c>
      <c r="AC3438">
        <v>0</v>
      </c>
      <c r="AD3438">
        <v>7</v>
      </c>
      <c r="AE3438">
        <v>0</v>
      </c>
      <c r="AF3438">
        <v>0</v>
      </c>
      <c r="AG3438">
        <v>0</v>
      </c>
      <c r="AH3438">
        <v>0</v>
      </c>
      <c r="AI3438">
        <v>0</v>
      </c>
      <c r="AJ3438">
        <v>0</v>
      </c>
      <c r="AK3438">
        <v>0</v>
      </c>
    </row>
    <row r="3439" spans="1:37" x14ac:dyDescent="0.3">
      <c r="A3439">
        <v>7134</v>
      </c>
      <c r="B3439" t="s">
        <v>28</v>
      </c>
      <c r="C3439">
        <v>299</v>
      </c>
      <c r="D3439" t="s">
        <v>3500</v>
      </c>
      <c r="E3439">
        <v>99999999</v>
      </c>
      <c r="F3439">
        <v>11111111</v>
      </c>
      <c r="G3439">
        <v>1111111111</v>
      </c>
      <c r="H3439" t="s">
        <v>7008</v>
      </c>
      <c r="I3439">
        <v>99999999</v>
      </c>
      <c r="J3439" s="188">
        <v>45236</v>
      </c>
      <c r="K3439" t="s">
        <v>7008</v>
      </c>
      <c r="L3439" t="s">
        <v>7008</v>
      </c>
      <c r="M3439" t="s">
        <v>3299</v>
      </c>
      <c r="N3439" t="s">
        <v>950</v>
      </c>
      <c r="O3439">
        <v>52002</v>
      </c>
      <c r="Q3439" t="s">
        <v>124</v>
      </c>
      <c r="R3439">
        <v>17</v>
      </c>
      <c r="S3439">
        <v>14.86</v>
      </c>
      <c r="T3439">
        <v>0</v>
      </c>
      <c r="U3439">
        <v>0</v>
      </c>
      <c r="V3439">
        <v>10</v>
      </c>
      <c r="W3439">
        <v>0</v>
      </c>
      <c r="X3439">
        <v>0</v>
      </c>
      <c r="Y3439">
        <v>0</v>
      </c>
      <c r="Z3439">
        <v>0</v>
      </c>
      <c r="AA3439">
        <v>0</v>
      </c>
      <c r="AB3439">
        <v>0</v>
      </c>
      <c r="AC3439">
        <v>0</v>
      </c>
      <c r="AD3439">
        <v>17</v>
      </c>
      <c r="AE3439">
        <v>0</v>
      </c>
      <c r="AF3439">
        <v>0</v>
      </c>
      <c r="AG3439">
        <v>0</v>
      </c>
      <c r="AH3439">
        <v>0</v>
      </c>
      <c r="AI3439">
        <v>0</v>
      </c>
      <c r="AJ3439">
        <v>0</v>
      </c>
      <c r="AK3439">
        <v>0</v>
      </c>
    </row>
    <row r="3440" spans="1:37" x14ac:dyDescent="0.3">
      <c r="A3440">
        <v>7134</v>
      </c>
      <c r="B3440" t="s">
        <v>28</v>
      </c>
      <c r="C3440">
        <v>299</v>
      </c>
      <c r="D3440" t="s">
        <v>3500</v>
      </c>
      <c r="E3440">
        <v>99999999</v>
      </c>
      <c r="F3440">
        <v>11111111</v>
      </c>
      <c r="G3440">
        <v>1111111111</v>
      </c>
      <c r="H3440" t="s">
        <v>7009</v>
      </c>
      <c r="I3440">
        <v>99999999</v>
      </c>
      <c r="J3440" s="188">
        <v>45236</v>
      </c>
      <c r="K3440" t="s">
        <v>7009</v>
      </c>
      <c r="L3440" t="s">
        <v>7009</v>
      </c>
      <c r="M3440" t="s">
        <v>3299</v>
      </c>
      <c r="N3440" t="s">
        <v>950</v>
      </c>
      <c r="O3440">
        <v>52002</v>
      </c>
      <c r="Q3440" t="s">
        <v>124</v>
      </c>
      <c r="R3440">
        <v>32</v>
      </c>
      <c r="S3440">
        <v>28.05</v>
      </c>
      <c r="T3440">
        <v>0</v>
      </c>
      <c r="U3440">
        <v>0</v>
      </c>
      <c r="V3440">
        <v>11</v>
      </c>
      <c r="W3440">
        <v>0</v>
      </c>
      <c r="X3440">
        <v>0</v>
      </c>
      <c r="Y3440">
        <v>0</v>
      </c>
      <c r="Z3440">
        <v>0</v>
      </c>
      <c r="AA3440">
        <v>0</v>
      </c>
      <c r="AB3440">
        <v>0</v>
      </c>
      <c r="AC3440">
        <v>0</v>
      </c>
      <c r="AD3440">
        <v>32</v>
      </c>
      <c r="AE3440">
        <v>0</v>
      </c>
      <c r="AF3440">
        <v>0</v>
      </c>
      <c r="AG3440">
        <v>0</v>
      </c>
      <c r="AH3440">
        <v>0</v>
      </c>
      <c r="AI3440">
        <v>0</v>
      </c>
      <c r="AJ3440">
        <v>0</v>
      </c>
      <c r="AK3440">
        <v>0</v>
      </c>
    </row>
    <row r="3441" spans="1:37" x14ac:dyDescent="0.3">
      <c r="A3441">
        <v>7134</v>
      </c>
      <c r="B3441" t="s">
        <v>28</v>
      </c>
      <c r="C3441">
        <v>299</v>
      </c>
      <c r="D3441" t="s">
        <v>3500</v>
      </c>
      <c r="E3441">
        <v>99999999</v>
      </c>
      <c r="F3441">
        <v>11111111</v>
      </c>
      <c r="G3441">
        <v>1111111111</v>
      </c>
      <c r="H3441" t="s">
        <v>7010</v>
      </c>
      <c r="I3441">
        <v>99999999</v>
      </c>
      <c r="J3441" s="188">
        <v>45236</v>
      </c>
      <c r="K3441" t="s">
        <v>7010</v>
      </c>
      <c r="L3441" t="s">
        <v>7010</v>
      </c>
      <c r="M3441" t="s">
        <v>3299</v>
      </c>
      <c r="N3441" t="s">
        <v>950</v>
      </c>
      <c r="O3441">
        <v>52002</v>
      </c>
      <c r="Q3441" t="s">
        <v>124</v>
      </c>
      <c r="R3441">
        <v>2</v>
      </c>
      <c r="S3441">
        <v>1.43</v>
      </c>
      <c r="T3441">
        <v>0</v>
      </c>
      <c r="U3441">
        <v>0</v>
      </c>
      <c r="V3441">
        <v>2</v>
      </c>
      <c r="W3441">
        <v>0</v>
      </c>
      <c r="X3441">
        <v>0</v>
      </c>
      <c r="Y3441">
        <v>0</v>
      </c>
      <c r="Z3441">
        <v>0</v>
      </c>
      <c r="AA3441">
        <v>0</v>
      </c>
      <c r="AB3441">
        <v>0</v>
      </c>
      <c r="AC3441">
        <v>0</v>
      </c>
      <c r="AD3441">
        <v>2</v>
      </c>
      <c r="AE3441">
        <v>0</v>
      </c>
      <c r="AF3441">
        <v>0</v>
      </c>
      <c r="AG3441">
        <v>0</v>
      </c>
      <c r="AH3441">
        <v>0</v>
      </c>
      <c r="AI3441">
        <v>0</v>
      </c>
      <c r="AJ3441">
        <v>0</v>
      </c>
      <c r="AK3441">
        <v>0</v>
      </c>
    </row>
    <row r="3442" spans="1:37" x14ac:dyDescent="0.3">
      <c r="A3442">
        <v>7134</v>
      </c>
      <c r="B3442" t="s">
        <v>28</v>
      </c>
      <c r="C3442">
        <v>299</v>
      </c>
      <c r="D3442" t="s">
        <v>3500</v>
      </c>
      <c r="E3442">
        <v>99999999</v>
      </c>
      <c r="F3442">
        <v>11111111</v>
      </c>
      <c r="G3442">
        <v>1111111111</v>
      </c>
      <c r="H3442" t="s">
        <v>7011</v>
      </c>
      <c r="I3442">
        <v>99999999</v>
      </c>
      <c r="J3442" s="188">
        <v>45236</v>
      </c>
      <c r="K3442" t="s">
        <v>7011</v>
      </c>
      <c r="L3442" t="s">
        <v>7011</v>
      </c>
      <c r="M3442" t="s">
        <v>3299</v>
      </c>
      <c r="N3442" t="s">
        <v>950</v>
      </c>
      <c r="O3442">
        <v>52002</v>
      </c>
      <c r="Q3442" t="s">
        <v>124</v>
      </c>
      <c r="R3442">
        <v>10</v>
      </c>
      <c r="S3442">
        <v>9.2360000000000007</v>
      </c>
      <c r="T3442">
        <v>0</v>
      </c>
      <c r="U3442">
        <v>0</v>
      </c>
      <c r="V3442">
        <v>9</v>
      </c>
      <c r="W3442">
        <v>0</v>
      </c>
      <c r="X3442">
        <v>0</v>
      </c>
      <c r="Y3442">
        <v>0</v>
      </c>
      <c r="Z3442">
        <v>0</v>
      </c>
      <c r="AA3442">
        <v>0</v>
      </c>
      <c r="AB3442">
        <v>0</v>
      </c>
      <c r="AC3442">
        <v>0</v>
      </c>
      <c r="AD3442">
        <v>10</v>
      </c>
      <c r="AE3442">
        <v>0</v>
      </c>
      <c r="AF3442">
        <v>0</v>
      </c>
      <c r="AG3442">
        <v>0</v>
      </c>
      <c r="AH3442">
        <v>0</v>
      </c>
      <c r="AI3442">
        <v>0</v>
      </c>
      <c r="AJ3442">
        <v>0</v>
      </c>
      <c r="AK3442">
        <v>0</v>
      </c>
    </row>
    <row r="3443" spans="1:37" x14ac:dyDescent="0.3">
      <c r="A3443">
        <v>7134</v>
      </c>
      <c r="B3443" t="s">
        <v>28</v>
      </c>
      <c r="C3443">
        <v>299</v>
      </c>
      <c r="D3443" t="s">
        <v>3500</v>
      </c>
      <c r="E3443">
        <v>99999999</v>
      </c>
      <c r="F3443">
        <v>11111111</v>
      </c>
      <c r="G3443">
        <v>1111111111</v>
      </c>
      <c r="H3443" t="s">
        <v>7012</v>
      </c>
      <c r="I3443">
        <v>99999999</v>
      </c>
      <c r="J3443" s="188">
        <v>45236</v>
      </c>
      <c r="K3443" t="s">
        <v>7012</v>
      </c>
      <c r="L3443" t="s">
        <v>7012</v>
      </c>
      <c r="M3443" t="s">
        <v>3299</v>
      </c>
      <c r="N3443" t="s">
        <v>950</v>
      </c>
      <c r="O3443">
        <v>52002</v>
      </c>
      <c r="Q3443" t="s">
        <v>124</v>
      </c>
      <c r="R3443">
        <v>9</v>
      </c>
      <c r="S3443">
        <v>7.9260000000000002</v>
      </c>
      <c r="T3443">
        <v>0</v>
      </c>
      <c r="U3443">
        <v>0</v>
      </c>
      <c r="V3443">
        <v>7</v>
      </c>
      <c r="W3443">
        <v>0</v>
      </c>
      <c r="X3443">
        <v>0</v>
      </c>
      <c r="Y3443">
        <v>0</v>
      </c>
      <c r="Z3443">
        <v>0</v>
      </c>
      <c r="AA3443">
        <v>0</v>
      </c>
      <c r="AB3443">
        <v>0</v>
      </c>
      <c r="AC3443">
        <v>0</v>
      </c>
      <c r="AD3443">
        <v>9</v>
      </c>
      <c r="AE3443">
        <v>0</v>
      </c>
      <c r="AF3443">
        <v>0</v>
      </c>
      <c r="AG3443">
        <v>0</v>
      </c>
      <c r="AH3443">
        <v>0</v>
      </c>
      <c r="AI3443">
        <v>0</v>
      </c>
      <c r="AJ3443">
        <v>0</v>
      </c>
      <c r="AK3443">
        <v>0</v>
      </c>
    </row>
    <row r="3444" spans="1:37" x14ac:dyDescent="0.3">
      <c r="A3444">
        <v>7134</v>
      </c>
      <c r="B3444" t="s">
        <v>28</v>
      </c>
      <c r="C3444">
        <v>299</v>
      </c>
      <c r="D3444" t="s">
        <v>3500</v>
      </c>
      <c r="E3444">
        <v>99999999</v>
      </c>
      <c r="F3444">
        <v>11111111</v>
      </c>
      <c r="G3444">
        <v>1111111111</v>
      </c>
      <c r="H3444" t="s">
        <v>7013</v>
      </c>
      <c r="I3444">
        <v>99999999</v>
      </c>
      <c r="J3444" s="188">
        <v>45236</v>
      </c>
      <c r="K3444" t="s">
        <v>7013</v>
      </c>
      <c r="L3444" t="s">
        <v>7013</v>
      </c>
      <c r="M3444" t="s">
        <v>3299</v>
      </c>
      <c r="N3444" t="s">
        <v>950</v>
      </c>
      <c r="O3444">
        <v>52002</v>
      </c>
      <c r="Q3444" t="s">
        <v>124</v>
      </c>
      <c r="R3444">
        <v>9</v>
      </c>
      <c r="S3444">
        <v>7.97</v>
      </c>
      <c r="T3444">
        <v>0</v>
      </c>
      <c r="U3444">
        <v>0</v>
      </c>
      <c r="V3444">
        <v>8</v>
      </c>
      <c r="W3444">
        <v>0</v>
      </c>
      <c r="X3444">
        <v>0</v>
      </c>
      <c r="Y3444">
        <v>0</v>
      </c>
      <c r="Z3444">
        <v>0</v>
      </c>
      <c r="AA3444">
        <v>0</v>
      </c>
      <c r="AB3444">
        <v>0</v>
      </c>
      <c r="AC3444">
        <v>0</v>
      </c>
      <c r="AD3444">
        <v>9</v>
      </c>
      <c r="AE3444">
        <v>0</v>
      </c>
      <c r="AF3444">
        <v>0</v>
      </c>
      <c r="AG3444">
        <v>0</v>
      </c>
      <c r="AH3444">
        <v>0</v>
      </c>
      <c r="AI3444">
        <v>0</v>
      </c>
      <c r="AJ3444">
        <v>0</v>
      </c>
      <c r="AK3444">
        <v>0</v>
      </c>
    </row>
    <row r="3445" spans="1:37" x14ac:dyDescent="0.3">
      <c r="A3445">
        <v>7134</v>
      </c>
      <c r="B3445" t="s">
        <v>28</v>
      </c>
      <c r="C3445">
        <v>299</v>
      </c>
      <c r="D3445" t="s">
        <v>3500</v>
      </c>
      <c r="E3445">
        <v>99999999</v>
      </c>
      <c r="F3445">
        <v>11111111</v>
      </c>
      <c r="G3445">
        <v>1111111111</v>
      </c>
      <c r="H3445" t="s">
        <v>7014</v>
      </c>
      <c r="I3445">
        <v>99999999</v>
      </c>
      <c r="J3445" s="188">
        <v>45236</v>
      </c>
      <c r="K3445" t="s">
        <v>7014</v>
      </c>
      <c r="L3445" t="s">
        <v>7014</v>
      </c>
      <c r="M3445" t="s">
        <v>3299</v>
      </c>
      <c r="N3445" t="s">
        <v>950</v>
      </c>
      <c r="O3445">
        <v>52002</v>
      </c>
      <c r="Q3445" t="s">
        <v>124</v>
      </c>
      <c r="R3445">
        <v>8</v>
      </c>
      <c r="S3445">
        <v>6.8760000000000003</v>
      </c>
      <c r="T3445">
        <v>0</v>
      </c>
      <c r="U3445">
        <v>0</v>
      </c>
      <c r="V3445">
        <v>8</v>
      </c>
      <c r="W3445">
        <v>0</v>
      </c>
      <c r="X3445">
        <v>0</v>
      </c>
      <c r="Y3445">
        <v>0</v>
      </c>
      <c r="Z3445">
        <v>0</v>
      </c>
      <c r="AA3445">
        <v>0</v>
      </c>
      <c r="AB3445">
        <v>0</v>
      </c>
      <c r="AC3445">
        <v>0</v>
      </c>
      <c r="AD3445">
        <v>8</v>
      </c>
      <c r="AE3445">
        <v>0</v>
      </c>
      <c r="AF3445">
        <v>0</v>
      </c>
      <c r="AG3445">
        <v>0</v>
      </c>
      <c r="AH3445">
        <v>0</v>
      </c>
      <c r="AI3445">
        <v>0</v>
      </c>
      <c r="AJ3445">
        <v>0</v>
      </c>
      <c r="AK3445">
        <v>0</v>
      </c>
    </row>
    <row r="3446" spans="1:37" x14ac:dyDescent="0.3">
      <c r="A3446">
        <v>7134</v>
      </c>
      <c r="B3446" t="s">
        <v>28</v>
      </c>
      <c r="C3446">
        <v>299</v>
      </c>
      <c r="D3446" t="s">
        <v>3500</v>
      </c>
      <c r="E3446">
        <v>99999999</v>
      </c>
      <c r="F3446">
        <v>11111111</v>
      </c>
      <c r="G3446">
        <v>1111111111</v>
      </c>
      <c r="H3446" t="s">
        <v>7015</v>
      </c>
      <c r="I3446">
        <v>99999999</v>
      </c>
      <c r="J3446" s="188">
        <v>45236</v>
      </c>
      <c r="K3446" t="s">
        <v>7015</v>
      </c>
      <c r="L3446" t="s">
        <v>7015</v>
      </c>
      <c r="M3446" t="s">
        <v>3299</v>
      </c>
      <c r="N3446" t="s">
        <v>950</v>
      </c>
      <c r="O3446">
        <v>52002</v>
      </c>
      <c r="Q3446" t="s">
        <v>124</v>
      </c>
      <c r="R3446">
        <v>27</v>
      </c>
      <c r="S3446">
        <v>24.86</v>
      </c>
      <c r="T3446">
        <v>0</v>
      </c>
      <c r="U3446">
        <v>0</v>
      </c>
      <c r="V3446">
        <v>10</v>
      </c>
      <c r="W3446">
        <v>0</v>
      </c>
      <c r="X3446">
        <v>0</v>
      </c>
      <c r="Y3446">
        <v>0</v>
      </c>
      <c r="Z3446">
        <v>0</v>
      </c>
      <c r="AA3446">
        <v>0</v>
      </c>
      <c r="AB3446">
        <v>0</v>
      </c>
      <c r="AC3446">
        <v>0</v>
      </c>
      <c r="AD3446">
        <v>27</v>
      </c>
      <c r="AE3446">
        <v>0</v>
      </c>
      <c r="AF3446">
        <v>0</v>
      </c>
      <c r="AG3446">
        <v>0</v>
      </c>
      <c r="AH3446">
        <v>0</v>
      </c>
      <c r="AI3446">
        <v>0</v>
      </c>
      <c r="AJ3446">
        <v>0</v>
      </c>
      <c r="AK3446">
        <v>0</v>
      </c>
    </row>
    <row r="3447" spans="1:37" x14ac:dyDescent="0.3">
      <c r="A3447">
        <v>7134</v>
      </c>
      <c r="B3447" t="s">
        <v>28</v>
      </c>
      <c r="C3447">
        <v>299</v>
      </c>
      <c r="D3447" t="s">
        <v>3500</v>
      </c>
      <c r="E3447">
        <v>99999999</v>
      </c>
      <c r="F3447">
        <v>11111111</v>
      </c>
      <c r="G3447">
        <v>1111111111</v>
      </c>
      <c r="H3447" t="s">
        <v>7016</v>
      </c>
      <c r="I3447">
        <v>99999999</v>
      </c>
      <c r="J3447" s="188">
        <v>45236</v>
      </c>
      <c r="K3447" t="s">
        <v>7016</v>
      </c>
      <c r="L3447" t="s">
        <v>7016</v>
      </c>
      <c r="M3447" t="s">
        <v>3299</v>
      </c>
      <c r="N3447" t="s">
        <v>950</v>
      </c>
      <c r="O3447">
        <v>52002</v>
      </c>
      <c r="Q3447" t="s">
        <v>124</v>
      </c>
      <c r="R3447">
        <v>18</v>
      </c>
      <c r="S3447">
        <v>17.416</v>
      </c>
      <c r="T3447">
        <v>0</v>
      </c>
      <c r="U3447">
        <v>0</v>
      </c>
      <c r="V3447">
        <v>10</v>
      </c>
      <c r="W3447">
        <v>0</v>
      </c>
      <c r="X3447">
        <v>0</v>
      </c>
      <c r="Y3447">
        <v>0</v>
      </c>
      <c r="Z3447">
        <v>0</v>
      </c>
      <c r="AA3447">
        <v>0</v>
      </c>
      <c r="AB3447">
        <v>0</v>
      </c>
      <c r="AC3447">
        <v>0</v>
      </c>
      <c r="AD3447">
        <v>18</v>
      </c>
      <c r="AE3447">
        <v>0</v>
      </c>
      <c r="AF3447">
        <v>0</v>
      </c>
      <c r="AG3447">
        <v>0</v>
      </c>
      <c r="AH3447">
        <v>0</v>
      </c>
      <c r="AI3447">
        <v>0</v>
      </c>
      <c r="AJ3447">
        <v>0</v>
      </c>
      <c r="AK3447">
        <v>0</v>
      </c>
    </row>
    <row r="3448" spans="1:37" x14ac:dyDescent="0.3">
      <c r="A3448">
        <v>7134</v>
      </c>
      <c r="B3448" t="s">
        <v>28</v>
      </c>
      <c r="C3448">
        <v>299</v>
      </c>
      <c r="D3448" t="s">
        <v>3500</v>
      </c>
      <c r="E3448">
        <v>99999999</v>
      </c>
      <c r="F3448">
        <v>11111111</v>
      </c>
      <c r="G3448">
        <v>1111111111</v>
      </c>
      <c r="H3448" t="s">
        <v>7017</v>
      </c>
      <c r="I3448">
        <v>99999999</v>
      </c>
      <c r="J3448" s="188">
        <v>45236</v>
      </c>
      <c r="K3448" t="s">
        <v>7017</v>
      </c>
      <c r="L3448" t="s">
        <v>7017</v>
      </c>
      <c r="M3448" t="s">
        <v>3299</v>
      </c>
      <c r="N3448" t="s">
        <v>950</v>
      </c>
      <c r="O3448">
        <v>52002</v>
      </c>
      <c r="Q3448" t="s">
        <v>124</v>
      </c>
      <c r="R3448">
        <v>69</v>
      </c>
      <c r="S3448">
        <v>66.135999999999996</v>
      </c>
      <c r="T3448">
        <v>0</v>
      </c>
      <c r="U3448">
        <v>0</v>
      </c>
      <c r="V3448">
        <v>12</v>
      </c>
      <c r="W3448">
        <v>0</v>
      </c>
      <c r="X3448">
        <v>0</v>
      </c>
      <c r="Y3448">
        <v>0</v>
      </c>
      <c r="Z3448">
        <v>0</v>
      </c>
      <c r="AA3448">
        <v>0</v>
      </c>
      <c r="AB3448">
        <v>0</v>
      </c>
      <c r="AC3448">
        <v>0</v>
      </c>
      <c r="AD3448">
        <v>69</v>
      </c>
      <c r="AE3448">
        <v>0</v>
      </c>
      <c r="AF3448">
        <v>0</v>
      </c>
      <c r="AG3448">
        <v>0</v>
      </c>
      <c r="AH3448">
        <v>0</v>
      </c>
      <c r="AI3448">
        <v>0</v>
      </c>
      <c r="AJ3448">
        <v>0</v>
      </c>
      <c r="AK3448">
        <v>0</v>
      </c>
    </row>
    <row r="3449" spans="1:37" x14ac:dyDescent="0.3">
      <c r="A3449">
        <v>7134</v>
      </c>
      <c r="B3449" t="s">
        <v>28</v>
      </c>
      <c r="C3449">
        <v>299</v>
      </c>
      <c r="D3449" t="s">
        <v>3500</v>
      </c>
      <c r="E3449">
        <v>99999999</v>
      </c>
      <c r="F3449">
        <v>11111111</v>
      </c>
      <c r="G3449">
        <v>1111111111</v>
      </c>
      <c r="H3449" t="s">
        <v>7018</v>
      </c>
      <c r="I3449">
        <v>99999999</v>
      </c>
      <c r="J3449" s="188">
        <v>45236</v>
      </c>
      <c r="K3449" t="s">
        <v>7018</v>
      </c>
      <c r="L3449" t="s">
        <v>7018</v>
      </c>
      <c r="M3449" t="s">
        <v>3299</v>
      </c>
      <c r="N3449" t="s">
        <v>950</v>
      </c>
      <c r="O3449">
        <v>52002</v>
      </c>
      <c r="Q3449" t="s">
        <v>124</v>
      </c>
      <c r="R3449">
        <v>11</v>
      </c>
      <c r="S3449">
        <v>9.9260000000000002</v>
      </c>
      <c r="T3449">
        <v>0</v>
      </c>
      <c r="U3449">
        <v>0</v>
      </c>
      <c r="V3449">
        <v>9</v>
      </c>
      <c r="W3449">
        <v>0</v>
      </c>
      <c r="X3449">
        <v>0</v>
      </c>
      <c r="Y3449">
        <v>0</v>
      </c>
      <c r="Z3449">
        <v>0</v>
      </c>
      <c r="AA3449">
        <v>0</v>
      </c>
      <c r="AB3449">
        <v>0</v>
      </c>
      <c r="AC3449">
        <v>0</v>
      </c>
      <c r="AD3449">
        <v>11</v>
      </c>
      <c r="AE3449">
        <v>0</v>
      </c>
      <c r="AF3449">
        <v>0</v>
      </c>
      <c r="AG3449">
        <v>0</v>
      </c>
      <c r="AH3449">
        <v>0</v>
      </c>
      <c r="AI3449">
        <v>0</v>
      </c>
      <c r="AJ3449">
        <v>0</v>
      </c>
      <c r="AK3449">
        <v>0</v>
      </c>
    </row>
    <row r="3450" spans="1:37" x14ac:dyDescent="0.3">
      <c r="A3450">
        <v>7134</v>
      </c>
      <c r="B3450" t="s">
        <v>28</v>
      </c>
      <c r="C3450">
        <v>299</v>
      </c>
      <c r="D3450" t="s">
        <v>3500</v>
      </c>
      <c r="E3450">
        <v>99999999</v>
      </c>
      <c r="F3450">
        <v>11111111</v>
      </c>
      <c r="G3450">
        <v>1111111111</v>
      </c>
      <c r="H3450" t="s">
        <v>7019</v>
      </c>
      <c r="I3450">
        <v>99999999</v>
      </c>
      <c r="J3450" s="188">
        <v>45236</v>
      </c>
      <c r="K3450" t="s">
        <v>7019</v>
      </c>
      <c r="L3450" t="s">
        <v>7019</v>
      </c>
      <c r="M3450" t="s">
        <v>3299</v>
      </c>
      <c r="N3450" t="s">
        <v>950</v>
      </c>
      <c r="O3450">
        <v>52002</v>
      </c>
      <c r="Q3450" t="s">
        <v>124</v>
      </c>
      <c r="R3450">
        <v>19</v>
      </c>
      <c r="S3450">
        <v>17.04</v>
      </c>
      <c r="T3450">
        <v>0</v>
      </c>
      <c r="U3450">
        <v>0</v>
      </c>
      <c r="V3450">
        <v>8</v>
      </c>
      <c r="W3450">
        <v>0</v>
      </c>
      <c r="X3450">
        <v>0</v>
      </c>
      <c r="Y3450">
        <v>0</v>
      </c>
      <c r="Z3450">
        <v>0</v>
      </c>
      <c r="AA3450">
        <v>0</v>
      </c>
      <c r="AB3450">
        <v>0</v>
      </c>
      <c r="AC3450">
        <v>0</v>
      </c>
      <c r="AD3450">
        <v>19</v>
      </c>
      <c r="AE3450">
        <v>0</v>
      </c>
      <c r="AF3450">
        <v>0</v>
      </c>
      <c r="AG3450">
        <v>0</v>
      </c>
      <c r="AH3450">
        <v>0</v>
      </c>
      <c r="AI3450">
        <v>0</v>
      </c>
      <c r="AJ3450">
        <v>0</v>
      </c>
      <c r="AK3450">
        <v>0</v>
      </c>
    </row>
    <row r="3451" spans="1:37" x14ac:dyDescent="0.3">
      <c r="A3451">
        <v>7134</v>
      </c>
      <c r="B3451" t="s">
        <v>28</v>
      </c>
      <c r="C3451">
        <v>299</v>
      </c>
      <c r="D3451" t="s">
        <v>3500</v>
      </c>
      <c r="E3451">
        <v>99999999</v>
      </c>
      <c r="F3451">
        <v>11111111</v>
      </c>
      <c r="G3451">
        <v>1111111111</v>
      </c>
      <c r="H3451" t="s">
        <v>7020</v>
      </c>
      <c r="I3451">
        <v>99999999</v>
      </c>
      <c r="J3451" s="188">
        <v>45236</v>
      </c>
      <c r="K3451" t="s">
        <v>7020</v>
      </c>
      <c r="L3451" t="s">
        <v>7020</v>
      </c>
      <c r="M3451" t="s">
        <v>3299</v>
      </c>
      <c r="N3451" t="s">
        <v>950</v>
      </c>
      <c r="O3451">
        <v>52002</v>
      </c>
      <c r="Q3451" t="s">
        <v>124</v>
      </c>
      <c r="R3451">
        <v>13</v>
      </c>
      <c r="S3451">
        <v>10.74</v>
      </c>
      <c r="T3451">
        <v>0</v>
      </c>
      <c r="U3451">
        <v>0</v>
      </c>
      <c r="V3451">
        <v>7</v>
      </c>
      <c r="W3451">
        <v>0</v>
      </c>
      <c r="X3451">
        <v>0</v>
      </c>
      <c r="Y3451">
        <v>0</v>
      </c>
      <c r="Z3451">
        <v>0</v>
      </c>
      <c r="AA3451">
        <v>0</v>
      </c>
      <c r="AB3451">
        <v>0</v>
      </c>
      <c r="AC3451">
        <v>0</v>
      </c>
      <c r="AD3451">
        <v>13</v>
      </c>
      <c r="AE3451">
        <v>0</v>
      </c>
      <c r="AF3451">
        <v>0</v>
      </c>
      <c r="AG3451">
        <v>0</v>
      </c>
      <c r="AH3451">
        <v>0</v>
      </c>
      <c r="AI3451">
        <v>0</v>
      </c>
      <c r="AJ3451">
        <v>0</v>
      </c>
      <c r="AK3451">
        <v>0</v>
      </c>
    </row>
    <row r="3452" spans="1:37" x14ac:dyDescent="0.3">
      <c r="A3452">
        <v>7134</v>
      </c>
      <c r="B3452" t="s">
        <v>28</v>
      </c>
      <c r="C3452">
        <v>299</v>
      </c>
      <c r="D3452" t="s">
        <v>3500</v>
      </c>
      <c r="E3452">
        <v>99999999</v>
      </c>
      <c r="F3452">
        <v>11111111</v>
      </c>
      <c r="G3452">
        <v>1111111111</v>
      </c>
      <c r="H3452" t="s">
        <v>7021</v>
      </c>
      <c r="I3452">
        <v>99999999</v>
      </c>
      <c r="J3452" s="188">
        <v>45236</v>
      </c>
      <c r="K3452" t="s">
        <v>7021</v>
      </c>
      <c r="L3452" t="s">
        <v>7021</v>
      </c>
      <c r="M3452" t="s">
        <v>3299</v>
      </c>
      <c r="N3452" t="s">
        <v>950</v>
      </c>
      <c r="O3452">
        <v>52002</v>
      </c>
      <c r="Q3452" t="s">
        <v>124</v>
      </c>
      <c r="R3452">
        <v>18</v>
      </c>
      <c r="S3452">
        <v>16.045999999999999</v>
      </c>
      <c r="T3452">
        <v>0</v>
      </c>
      <c r="U3452">
        <v>0</v>
      </c>
      <c r="V3452">
        <v>12</v>
      </c>
      <c r="W3452">
        <v>0</v>
      </c>
      <c r="X3452">
        <v>0</v>
      </c>
      <c r="Y3452">
        <v>0</v>
      </c>
      <c r="Z3452">
        <v>0</v>
      </c>
      <c r="AA3452">
        <v>0</v>
      </c>
      <c r="AB3452">
        <v>0</v>
      </c>
      <c r="AC3452">
        <v>0</v>
      </c>
      <c r="AD3452">
        <v>18</v>
      </c>
      <c r="AE3452">
        <v>0</v>
      </c>
      <c r="AF3452">
        <v>0</v>
      </c>
      <c r="AG3452">
        <v>0</v>
      </c>
      <c r="AH3452">
        <v>0</v>
      </c>
      <c r="AI3452">
        <v>0</v>
      </c>
      <c r="AJ3452">
        <v>0</v>
      </c>
      <c r="AK3452">
        <v>0</v>
      </c>
    </row>
    <row r="3453" spans="1:37" x14ac:dyDescent="0.3">
      <c r="A3453">
        <v>7134</v>
      </c>
      <c r="B3453" t="s">
        <v>28</v>
      </c>
      <c r="C3453">
        <v>299</v>
      </c>
      <c r="D3453" t="s">
        <v>3500</v>
      </c>
      <c r="E3453">
        <v>99999999</v>
      </c>
      <c r="F3453">
        <v>11111111</v>
      </c>
      <c r="G3453">
        <v>1111111111</v>
      </c>
      <c r="H3453" t="s">
        <v>7022</v>
      </c>
      <c r="I3453">
        <v>99999999</v>
      </c>
      <c r="J3453" s="188">
        <v>45236</v>
      </c>
      <c r="K3453" t="s">
        <v>7022</v>
      </c>
      <c r="L3453" t="s">
        <v>7022</v>
      </c>
      <c r="M3453" t="s">
        <v>3299</v>
      </c>
      <c r="N3453" t="s">
        <v>950</v>
      </c>
      <c r="O3453">
        <v>52002</v>
      </c>
      <c r="Q3453" t="s">
        <v>124</v>
      </c>
      <c r="R3453">
        <v>2</v>
      </c>
      <c r="S3453">
        <v>2.64</v>
      </c>
      <c r="T3453">
        <v>0</v>
      </c>
      <c r="U3453">
        <v>0</v>
      </c>
      <c r="V3453">
        <v>2</v>
      </c>
      <c r="W3453">
        <v>0</v>
      </c>
      <c r="X3453">
        <v>0</v>
      </c>
      <c r="Y3453">
        <v>0</v>
      </c>
      <c r="Z3453">
        <v>0</v>
      </c>
      <c r="AA3453">
        <v>0</v>
      </c>
      <c r="AB3453">
        <v>0</v>
      </c>
      <c r="AC3453">
        <v>0</v>
      </c>
      <c r="AD3453">
        <v>2</v>
      </c>
      <c r="AE3453">
        <v>0</v>
      </c>
      <c r="AF3453">
        <v>0</v>
      </c>
      <c r="AG3453">
        <v>0</v>
      </c>
      <c r="AH3453">
        <v>0</v>
      </c>
      <c r="AI3453">
        <v>0</v>
      </c>
      <c r="AJ3453">
        <v>0</v>
      </c>
      <c r="AK3453">
        <v>0</v>
      </c>
    </row>
    <row r="3454" spans="1:37" x14ac:dyDescent="0.3">
      <c r="A3454">
        <v>7134</v>
      </c>
      <c r="B3454" t="s">
        <v>28</v>
      </c>
      <c r="C3454">
        <v>299</v>
      </c>
      <c r="D3454" t="s">
        <v>3500</v>
      </c>
      <c r="E3454">
        <v>99999999</v>
      </c>
      <c r="F3454">
        <v>11111111</v>
      </c>
      <c r="G3454">
        <v>1111111111</v>
      </c>
      <c r="H3454" t="s">
        <v>7023</v>
      </c>
      <c r="I3454">
        <v>99999999</v>
      </c>
      <c r="J3454" s="188">
        <v>45236</v>
      </c>
      <c r="K3454" t="s">
        <v>7023</v>
      </c>
      <c r="L3454" t="s">
        <v>7023</v>
      </c>
      <c r="M3454" t="s">
        <v>3299</v>
      </c>
      <c r="N3454" t="s">
        <v>950</v>
      </c>
      <c r="O3454">
        <v>52002</v>
      </c>
      <c r="Q3454" t="s">
        <v>124</v>
      </c>
      <c r="R3454">
        <v>7</v>
      </c>
      <c r="S3454">
        <v>7.0060000000000002</v>
      </c>
      <c r="T3454">
        <v>0</v>
      </c>
      <c r="U3454">
        <v>0</v>
      </c>
      <c r="V3454">
        <v>7</v>
      </c>
      <c r="W3454">
        <v>0</v>
      </c>
      <c r="X3454">
        <v>0</v>
      </c>
      <c r="Y3454">
        <v>0</v>
      </c>
      <c r="Z3454">
        <v>0</v>
      </c>
      <c r="AA3454">
        <v>0</v>
      </c>
      <c r="AB3454">
        <v>0</v>
      </c>
      <c r="AC3454">
        <v>0</v>
      </c>
      <c r="AD3454">
        <v>7</v>
      </c>
      <c r="AE3454">
        <v>0</v>
      </c>
      <c r="AF3454">
        <v>0</v>
      </c>
      <c r="AG3454">
        <v>0</v>
      </c>
      <c r="AH3454">
        <v>0</v>
      </c>
      <c r="AI3454">
        <v>0</v>
      </c>
      <c r="AJ3454">
        <v>0</v>
      </c>
      <c r="AK3454">
        <v>0</v>
      </c>
    </row>
    <row r="3455" spans="1:37" x14ac:dyDescent="0.3">
      <c r="A3455">
        <v>7134</v>
      </c>
      <c r="B3455" t="s">
        <v>28</v>
      </c>
      <c r="C3455">
        <v>299</v>
      </c>
      <c r="D3455" t="s">
        <v>3500</v>
      </c>
      <c r="E3455">
        <v>99999999</v>
      </c>
      <c r="F3455">
        <v>11111111</v>
      </c>
      <c r="G3455">
        <v>1111111111</v>
      </c>
      <c r="H3455" t="s">
        <v>7024</v>
      </c>
      <c r="I3455">
        <v>99999999</v>
      </c>
      <c r="J3455" s="188">
        <v>45236</v>
      </c>
      <c r="K3455" t="s">
        <v>7024</v>
      </c>
      <c r="L3455" t="s">
        <v>7024</v>
      </c>
      <c r="M3455" t="s">
        <v>3299</v>
      </c>
      <c r="N3455" t="s">
        <v>950</v>
      </c>
      <c r="O3455">
        <v>52002</v>
      </c>
      <c r="Q3455" t="s">
        <v>124</v>
      </c>
      <c r="R3455">
        <v>1</v>
      </c>
      <c r="S3455">
        <v>1.3</v>
      </c>
      <c r="T3455">
        <v>0</v>
      </c>
      <c r="U3455">
        <v>0</v>
      </c>
      <c r="V3455">
        <v>1</v>
      </c>
      <c r="W3455">
        <v>0</v>
      </c>
      <c r="X3455">
        <v>0</v>
      </c>
      <c r="Y3455">
        <v>0</v>
      </c>
      <c r="Z3455">
        <v>0</v>
      </c>
      <c r="AA3455">
        <v>0</v>
      </c>
      <c r="AB3455">
        <v>0</v>
      </c>
      <c r="AC3455">
        <v>0</v>
      </c>
      <c r="AD3455">
        <v>1</v>
      </c>
      <c r="AE3455">
        <v>0</v>
      </c>
      <c r="AF3455">
        <v>0</v>
      </c>
      <c r="AG3455">
        <v>0</v>
      </c>
      <c r="AH3455">
        <v>0</v>
      </c>
      <c r="AI3455">
        <v>0</v>
      </c>
      <c r="AJ3455">
        <v>0</v>
      </c>
      <c r="AK3455">
        <v>0</v>
      </c>
    </row>
    <row r="3456" spans="1:37" x14ac:dyDescent="0.3">
      <c r="A3456">
        <v>7134</v>
      </c>
      <c r="B3456" t="s">
        <v>28</v>
      </c>
      <c r="C3456">
        <v>299</v>
      </c>
      <c r="D3456" t="s">
        <v>3500</v>
      </c>
      <c r="E3456">
        <v>99999999</v>
      </c>
      <c r="F3456">
        <v>11111111</v>
      </c>
      <c r="G3456">
        <v>1111111111</v>
      </c>
      <c r="H3456" t="s">
        <v>7025</v>
      </c>
      <c r="I3456">
        <v>99999999</v>
      </c>
      <c r="J3456" s="188">
        <v>45236</v>
      </c>
      <c r="K3456" t="s">
        <v>7025</v>
      </c>
      <c r="L3456" t="s">
        <v>7025</v>
      </c>
      <c r="M3456" t="s">
        <v>3299</v>
      </c>
      <c r="N3456" t="s">
        <v>950</v>
      </c>
      <c r="O3456">
        <v>52002</v>
      </c>
      <c r="Q3456" t="s">
        <v>124</v>
      </c>
      <c r="R3456">
        <v>7</v>
      </c>
      <c r="S3456">
        <v>6.2759999999999998</v>
      </c>
      <c r="T3456">
        <v>0</v>
      </c>
      <c r="U3456">
        <v>0</v>
      </c>
      <c r="V3456">
        <v>7</v>
      </c>
      <c r="W3456">
        <v>0</v>
      </c>
      <c r="X3456">
        <v>0</v>
      </c>
      <c r="Y3456">
        <v>0</v>
      </c>
      <c r="Z3456">
        <v>0</v>
      </c>
      <c r="AA3456">
        <v>0</v>
      </c>
      <c r="AB3456">
        <v>0</v>
      </c>
      <c r="AC3456">
        <v>0</v>
      </c>
      <c r="AD3456">
        <v>7</v>
      </c>
      <c r="AE3456">
        <v>0</v>
      </c>
      <c r="AF3456">
        <v>0</v>
      </c>
      <c r="AG3456">
        <v>0</v>
      </c>
      <c r="AH3456">
        <v>0</v>
      </c>
      <c r="AI3456">
        <v>0</v>
      </c>
      <c r="AJ3456">
        <v>0</v>
      </c>
      <c r="AK3456">
        <v>0</v>
      </c>
    </row>
    <row r="3457" spans="1:37" x14ac:dyDescent="0.3">
      <c r="A3457">
        <v>7134</v>
      </c>
      <c r="B3457" t="s">
        <v>28</v>
      </c>
      <c r="C3457">
        <v>299</v>
      </c>
      <c r="D3457" t="s">
        <v>3500</v>
      </c>
      <c r="E3457">
        <v>99999999</v>
      </c>
      <c r="F3457">
        <v>11111111</v>
      </c>
      <c r="G3457">
        <v>1111111111</v>
      </c>
      <c r="H3457" t="s">
        <v>7026</v>
      </c>
      <c r="I3457">
        <v>99999999</v>
      </c>
      <c r="J3457" s="188">
        <v>45236</v>
      </c>
      <c r="K3457" t="s">
        <v>7026</v>
      </c>
      <c r="L3457" t="s">
        <v>7026</v>
      </c>
      <c r="M3457" t="s">
        <v>3299</v>
      </c>
      <c r="N3457" t="s">
        <v>950</v>
      </c>
      <c r="O3457">
        <v>52002</v>
      </c>
      <c r="Q3457" t="s">
        <v>124</v>
      </c>
      <c r="R3457">
        <v>20</v>
      </c>
      <c r="S3457">
        <v>17.23</v>
      </c>
      <c r="T3457">
        <v>0</v>
      </c>
      <c r="U3457">
        <v>0</v>
      </c>
      <c r="V3457">
        <v>10</v>
      </c>
      <c r="W3457">
        <v>0</v>
      </c>
      <c r="X3457">
        <v>0</v>
      </c>
      <c r="Y3457">
        <v>0</v>
      </c>
      <c r="Z3457">
        <v>0</v>
      </c>
      <c r="AA3457">
        <v>0</v>
      </c>
      <c r="AB3457">
        <v>0</v>
      </c>
      <c r="AC3457">
        <v>0</v>
      </c>
      <c r="AD3457">
        <v>20</v>
      </c>
      <c r="AE3457">
        <v>0</v>
      </c>
      <c r="AF3457">
        <v>0</v>
      </c>
      <c r="AG3457">
        <v>0</v>
      </c>
      <c r="AH3457">
        <v>0</v>
      </c>
      <c r="AI3457">
        <v>0</v>
      </c>
      <c r="AJ3457">
        <v>0</v>
      </c>
      <c r="AK3457">
        <v>0</v>
      </c>
    </row>
    <row r="3458" spans="1:37" x14ac:dyDescent="0.3">
      <c r="A3458">
        <v>7134</v>
      </c>
      <c r="B3458" t="s">
        <v>28</v>
      </c>
      <c r="C3458">
        <v>299</v>
      </c>
      <c r="D3458" t="s">
        <v>3500</v>
      </c>
      <c r="E3458">
        <v>99999999</v>
      </c>
      <c r="F3458">
        <v>11111111</v>
      </c>
      <c r="G3458">
        <v>1111111111</v>
      </c>
      <c r="H3458" t="s">
        <v>7027</v>
      </c>
      <c r="I3458">
        <v>99999999</v>
      </c>
      <c r="J3458" s="188">
        <v>45236</v>
      </c>
      <c r="K3458" t="s">
        <v>7027</v>
      </c>
      <c r="L3458" t="s">
        <v>7027</v>
      </c>
      <c r="M3458" t="s">
        <v>3299</v>
      </c>
      <c r="N3458" t="s">
        <v>950</v>
      </c>
      <c r="O3458">
        <v>52002</v>
      </c>
      <c r="Q3458" t="s">
        <v>124</v>
      </c>
      <c r="R3458">
        <v>3</v>
      </c>
      <c r="S3458">
        <v>2.44</v>
      </c>
      <c r="T3458">
        <v>0</v>
      </c>
      <c r="U3458">
        <v>0</v>
      </c>
      <c r="V3458">
        <v>3</v>
      </c>
      <c r="W3458">
        <v>0</v>
      </c>
      <c r="X3458">
        <v>0</v>
      </c>
      <c r="Y3458">
        <v>0</v>
      </c>
      <c r="Z3458">
        <v>0</v>
      </c>
      <c r="AA3458">
        <v>0</v>
      </c>
      <c r="AB3458">
        <v>0</v>
      </c>
      <c r="AC3458">
        <v>0</v>
      </c>
      <c r="AD3458">
        <v>3</v>
      </c>
      <c r="AE3458">
        <v>0</v>
      </c>
      <c r="AF3458">
        <v>0</v>
      </c>
      <c r="AG3458">
        <v>0</v>
      </c>
      <c r="AH3458">
        <v>0</v>
      </c>
      <c r="AI3458">
        <v>0</v>
      </c>
      <c r="AJ3458">
        <v>0</v>
      </c>
      <c r="AK3458">
        <v>0</v>
      </c>
    </row>
    <row r="3459" spans="1:37" x14ac:dyDescent="0.3">
      <c r="A3459">
        <v>7134</v>
      </c>
      <c r="B3459" t="s">
        <v>28</v>
      </c>
      <c r="C3459">
        <v>299</v>
      </c>
      <c r="D3459" t="s">
        <v>3500</v>
      </c>
      <c r="E3459">
        <v>99999999</v>
      </c>
      <c r="F3459">
        <v>11111111</v>
      </c>
      <c r="G3459">
        <v>1111111111</v>
      </c>
      <c r="H3459" t="s">
        <v>7028</v>
      </c>
      <c r="I3459">
        <v>99999999</v>
      </c>
      <c r="J3459" s="188">
        <v>45236</v>
      </c>
      <c r="K3459" t="s">
        <v>7028</v>
      </c>
      <c r="L3459" t="s">
        <v>7028</v>
      </c>
      <c r="M3459" t="s">
        <v>3299</v>
      </c>
      <c r="N3459" t="s">
        <v>950</v>
      </c>
      <c r="O3459">
        <v>52002</v>
      </c>
      <c r="Q3459" t="s">
        <v>124</v>
      </c>
      <c r="R3459">
        <v>4</v>
      </c>
      <c r="S3459">
        <v>3.5760000000000001</v>
      </c>
      <c r="T3459">
        <v>0</v>
      </c>
      <c r="U3459">
        <v>0</v>
      </c>
      <c r="V3459">
        <v>3</v>
      </c>
      <c r="W3459">
        <v>0</v>
      </c>
      <c r="X3459">
        <v>0</v>
      </c>
      <c r="Y3459">
        <v>0</v>
      </c>
      <c r="Z3459">
        <v>0</v>
      </c>
      <c r="AA3459">
        <v>0</v>
      </c>
      <c r="AB3459">
        <v>0</v>
      </c>
      <c r="AC3459">
        <v>0</v>
      </c>
      <c r="AD3459">
        <v>4</v>
      </c>
      <c r="AE3459">
        <v>0</v>
      </c>
      <c r="AF3459">
        <v>0</v>
      </c>
      <c r="AG3459">
        <v>0</v>
      </c>
      <c r="AH3459">
        <v>0</v>
      </c>
      <c r="AI3459">
        <v>0</v>
      </c>
      <c r="AJ3459">
        <v>0</v>
      </c>
      <c r="AK3459">
        <v>0</v>
      </c>
    </row>
    <row r="3460" spans="1:37" x14ac:dyDescent="0.3">
      <c r="A3460">
        <v>7134</v>
      </c>
      <c r="B3460" t="s">
        <v>28</v>
      </c>
      <c r="C3460">
        <v>299</v>
      </c>
      <c r="D3460" t="s">
        <v>3500</v>
      </c>
      <c r="E3460">
        <v>99999999</v>
      </c>
      <c r="F3460">
        <v>11111111</v>
      </c>
      <c r="G3460">
        <v>1111111111</v>
      </c>
      <c r="H3460" t="s">
        <v>7029</v>
      </c>
      <c r="I3460">
        <v>99999999</v>
      </c>
      <c r="J3460" s="188">
        <v>45236</v>
      </c>
      <c r="K3460" t="s">
        <v>7029</v>
      </c>
      <c r="L3460" t="s">
        <v>7029</v>
      </c>
      <c r="M3460" t="s">
        <v>3299</v>
      </c>
      <c r="N3460" t="s">
        <v>950</v>
      </c>
      <c r="O3460">
        <v>52002</v>
      </c>
      <c r="Q3460" t="s">
        <v>124</v>
      </c>
      <c r="R3460">
        <v>16</v>
      </c>
      <c r="S3460">
        <v>14.375999999999999</v>
      </c>
      <c r="T3460">
        <v>0</v>
      </c>
      <c r="U3460">
        <v>0</v>
      </c>
      <c r="V3460">
        <v>9</v>
      </c>
      <c r="W3460">
        <v>0</v>
      </c>
      <c r="X3460">
        <v>0</v>
      </c>
      <c r="Y3460">
        <v>0</v>
      </c>
      <c r="Z3460">
        <v>0</v>
      </c>
      <c r="AA3460">
        <v>0</v>
      </c>
      <c r="AB3460">
        <v>0</v>
      </c>
      <c r="AC3460">
        <v>0</v>
      </c>
      <c r="AD3460">
        <v>16</v>
      </c>
      <c r="AE3460">
        <v>0</v>
      </c>
      <c r="AF3460">
        <v>0</v>
      </c>
      <c r="AG3460">
        <v>0</v>
      </c>
      <c r="AH3460">
        <v>0</v>
      </c>
      <c r="AI3460">
        <v>0</v>
      </c>
      <c r="AJ3460">
        <v>0</v>
      </c>
      <c r="AK3460">
        <v>0</v>
      </c>
    </row>
    <row r="3461" spans="1:37" x14ac:dyDescent="0.3">
      <c r="A3461">
        <v>7134</v>
      </c>
      <c r="B3461" t="s">
        <v>28</v>
      </c>
      <c r="C3461">
        <v>299</v>
      </c>
      <c r="D3461" t="s">
        <v>3500</v>
      </c>
      <c r="E3461">
        <v>99999999</v>
      </c>
      <c r="F3461">
        <v>11111111</v>
      </c>
      <c r="G3461">
        <v>1111111111</v>
      </c>
      <c r="H3461" t="s">
        <v>7030</v>
      </c>
      <c r="I3461">
        <v>99999999</v>
      </c>
      <c r="J3461" s="188">
        <v>45236</v>
      </c>
      <c r="K3461" t="s">
        <v>7030</v>
      </c>
      <c r="L3461" t="s">
        <v>7030</v>
      </c>
      <c r="M3461" t="s">
        <v>3299</v>
      </c>
      <c r="N3461" t="s">
        <v>950</v>
      </c>
      <c r="O3461">
        <v>52002</v>
      </c>
      <c r="Q3461" t="s">
        <v>124</v>
      </c>
      <c r="R3461">
        <v>10</v>
      </c>
      <c r="S3461">
        <v>9.4</v>
      </c>
      <c r="T3461">
        <v>0</v>
      </c>
      <c r="U3461">
        <v>0</v>
      </c>
      <c r="V3461">
        <v>8</v>
      </c>
      <c r="W3461">
        <v>0</v>
      </c>
      <c r="X3461">
        <v>0</v>
      </c>
      <c r="Y3461">
        <v>0</v>
      </c>
      <c r="Z3461">
        <v>0</v>
      </c>
      <c r="AA3461">
        <v>0</v>
      </c>
      <c r="AB3461">
        <v>0</v>
      </c>
      <c r="AC3461">
        <v>0</v>
      </c>
      <c r="AD3461">
        <v>10</v>
      </c>
      <c r="AE3461">
        <v>0</v>
      </c>
      <c r="AF3461">
        <v>0</v>
      </c>
      <c r="AG3461">
        <v>0</v>
      </c>
      <c r="AH3461">
        <v>0</v>
      </c>
      <c r="AI3461">
        <v>0</v>
      </c>
      <c r="AJ3461">
        <v>0</v>
      </c>
      <c r="AK3461">
        <v>0</v>
      </c>
    </row>
    <row r="3462" spans="1:37" x14ac:dyDescent="0.3">
      <c r="A3462">
        <v>7134</v>
      </c>
      <c r="B3462" t="s">
        <v>28</v>
      </c>
      <c r="C3462">
        <v>299</v>
      </c>
      <c r="D3462" t="s">
        <v>3500</v>
      </c>
      <c r="E3462">
        <v>99999999</v>
      </c>
      <c r="F3462">
        <v>11111111</v>
      </c>
      <c r="G3462">
        <v>1111111111</v>
      </c>
      <c r="H3462" t="s">
        <v>7031</v>
      </c>
      <c r="I3462">
        <v>99999999</v>
      </c>
      <c r="J3462" s="188">
        <v>45236</v>
      </c>
      <c r="K3462" t="s">
        <v>7031</v>
      </c>
      <c r="L3462" t="s">
        <v>7031</v>
      </c>
      <c r="M3462" t="s">
        <v>3299</v>
      </c>
      <c r="N3462" t="s">
        <v>950</v>
      </c>
      <c r="O3462">
        <v>52002</v>
      </c>
      <c r="Q3462" t="s">
        <v>124</v>
      </c>
      <c r="R3462">
        <v>9</v>
      </c>
      <c r="S3462">
        <v>8.34</v>
      </c>
      <c r="T3462">
        <v>0</v>
      </c>
      <c r="U3462">
        <v>0</v>
      </c>
      <c r="V3462">
        <v>6</v>
      </c>
      <c r="W3462">
        <v>0</v>
      </c>
      <c r="X3462">
        <v>0</v>
      </c>
      <c r="Y3462">
        <v>0</v>
      </c>
      <c r="Z3462">
        <v>0</v>
      </c>
      <c r="AA3462">
        <v>0</v>
      </c>
      <c r="AB3462">
        <v>0</v>
      </c>
      <c r="AC3462">
        <v>0</v>
      </c>
      <c r="AD3462">
        <v>9</v>
      </c>
      <c r="AE3462">
        <v>0</v>
      </c>
      <c r="AF3462">
        <v>0</v>
      </c>
      <c r="AG3462">
        <v>0</v>
      </c>
      <c r="AH3462">
        <v>0</v>
      </c>
      <c r="AI3462">
        <v>0</v>
      </c>
      <c r="AJ3462">
        <v>0</v>
      </c>
      <c r="AK3462">
        <v>0</v>
      </c>
    </row>
    <row r="3463" spans="1:37" x14ac:dyDescent="0.3">
      <c r="A3463">
        <v>7134</v>
      </c>
      <c r="B3463" t="s">
        <v>28</v>
      </c>
      <c r="C3463">
        <v>299</v>
      </c>
      <c r="D3463" t="s">
        <v>3500</v>
      </c>
      <c r="E3463">
        <v>99999999</v>
      </c>
      <c r="F3463">
        <v>11111111</v>
      </c>
      <c r="G3463">
        <v>1111111111</v>
      </c>
      <c r="H3463" t="s">
        <v>7032</v>
      </c>
      <c r="I3463">
        <v>99999999</v>
      </c>
      <c r="J3463" s="188">
        <v>45236</v>
      </c>
      <c r="K3463" t="s">
        <v>7032</v>
      </c>
      <c r="L3463" t="s">
        <v>7032</v>
      </c>
      <c r="M3463" t="s">
        <v>3299</v>
      </c>
      <c r="N3463" t="s">
        <v>950</v>
      </c>
      <c r="O3463">
        <v>52002</v>
      </c>
      <c r="Q3463" t="s">
        <v>124</v>
      </c>
      <c r="R3463">
        <v>4</v>
      </c>
      <c r="S3463">
        <v>3.2</v>
      </c>
      <c r="T3463">
        <v>0</v>
      </c>
      <c r="U3463">
        <v>0</v>
      </c>
      <c r="V3463">
        <v>3</v>
      </c>
      <c r="W3463">
        <v>0</v>
      </c>
      <c r="X3463">
        <v>0</v>
      </c>
      <c r="Y3463">
        <v>0</v>
      </c>
      <c r="Z3463">
        <v>0</v>
      </c>
      <c r="AA3463">
        <v>0</v>
      </c>
      <c r="AB3463">
        <v>0</v>
      </c>
      <c r="AC3463">
        <v>0</v>
      </c>
      <c r="AD3463">
        <v>4</v>
      </c>
      <c r="AE3463">
        <v>0</v>
      </c>
      <c r="AF3463">
        <v>0</v>
      </c>
      <c r="AG3463">
        <v>0</v>
      </c>
      <c r="AH3463">
        <v>0</v>
      </c>
      <c r="AI3463">
        <v>0</v>
      </c>
      <c r="AJ3463">
        <v>0</v>
      </c>
      <c r="AK3463">
        <v>0</v>
      </c>
    </row>
    <row r="3464" spans="1:37" x14ac:dyDescent="0.3">
      <c r="A3464">
        <v>7134</v>
      </c>
      <c r="B3464" t="s">
        <v>28</v>
      </c>
      <c r="C3464">
        <v>299</v>
      </c>
      <c r="D3464" t="s">
        <v>3500</v>
      </c>
      <c r="E3464">
        <v>99999999</v>
      </c>
      <c r="F3464">
        <v>11111111</v>
      </c>
      <c r="G3464">
        <v>1111111111</v>
      </c>
      <c r="H3464" t="s">
        <v>7033</v>
      </c>
      <c r="I3464">
        <v>99999999</v>
      </c>
      <c r="J3464" s="188">
        <v>45236</v>
      </c>
      <c r="K3464" t="s">
        <v>7033</v>
      </c>
      <c r="L3464" t="s">
        <v>7033</v>
      </c>
      <c r="M3464" t="s">
        <v>3299</v>
      </c>
      <c r="N3464" t="s">
        <v>950</v>
      </c>
      <c r="O3464">
        <v>52002</v>
      </c>
      <c r="Q3464" t="s">
        <v>124</v>
      </c>
      <c r="R3464">
        <v>13</v>
      </c>
      <c r="S3464">
        <v>12.385999999999999</v>
      </c>
      <c r="T3464">
        <v>0</v>
      </c>
      <c r="U3464">
        <v>0</v>
      </c>
      <c r="V3464">
        <v>11</v>
      </c>
      <c r="W3464">
        <v>0</v>
      </c>
      <c r="X3464">
        <v>0</v>
      </c>
      <c r="Y3464">
        <v>0</v>
      </c>
      <c r="Z3464">
        <v>0</v>
      </c>
      <c r="AA3464">
        <v>0</v>
      </c>
      <c r="AB3464">
        <v>0</v>
      </c>
      <c r="AC3464">
        <v>0</v>
      </c>
      <c r="AD3464">
        <v>13</v>
      </c>
      <c r="AE3464">
        <v>0</v>
      </c>
      <c r="AF3464">
        <v>0</v>
      </c>
      <c r="AG3464">
        <v>0</v>
      </c>
      <c r="AH3464">
        <v>0</v>
      </c>
      <c r="AI3464">
        <v>0</v>
      </c>
      <c r="AJ3464">
        <v>0</v>
      </c>
      <c r="AK3464">
        <v>0</v>
      </c>
    </row>
    <row r="3465" spans="1:37" x14ac:dyDescent="0.3">
      <c r="A3465">
        <v>7134</v>
      </c>
      <c r="B3465" t="s">
        <v>28</v>
      </c>
      <c r="C3465">
        <v>299</v>
      </c>
      <c r="D3465" t="s">
        <v>3500</v>
      </c>
      <c r="E3465">
        <v>99999999</v>
      </c>
      <c r="F3465">
        <v>11111111</v>
      </c>
      <c r="G3465">
        <v>1111111111</v>
      </c>
      <c r="H3465" t="s">
        <v>7034</v>
      </c>
      <c r="I3465">
        <v>99999999</v>
      </c>
      <c r="J3465" s="188">
        <v>45236</v>
      </c>
      <c r="K3465" t="s">
        <v>7034</v>
      </c>
      <c r="L3465" t="s">
        <v>7034</v>
      </c>
      <c r="M3465" t="s">
        <v>3299</v>
      </c>
      <c r="N3465" t="s">
        <v>950</v>
      </c>
      <c r="O3465">
        <v>52002</v>
      </c>
      <c r="Q3465" t="s">
        <v>124</v>
      </c>
      <c r="R3465">
        <v>2</v>
      </c>
      <c r="S3465">
        <v>1.18</v>
      </c>
      <c r="T3465">
        <v>0</v>
      </c>
      <c r="U3465">
        <v>0</v>
      </c>
      <c r="V3465">
        <v>2</v>
      </c>
      <c r="W3465">
        <v>0</v>
      </c>
      <c r="X3465">
        <v>0</v>
      </c>
      <c r="Y3465">
        <v>0</v>
      </c>
      <c r="Z3465">
        <v>0</v>
      </c>
      <c r="AA3465">
        <v>0</v>
      </c>
      <c r="AB3465">
        <v>0</v>
      </c>
      <c r="AC3465">
        <v>0</v>
      </c>
      <c r="AD3465">
        <v>2</v>
      </c>
      <c r="AE3465">
        <v>0</v>
      </c>
      <c r="AF3465">
        <v>0</v>
      </c>
      <c r="AG3465">
        <v>0</v>
      </c>
      <c r="AH3465">
        <v>0</v>
      </c>
      <c r="AI3465">
        <v>0</v>
      </c>
      <c r="AJ3465">
        <v>0</v>
      </c>
      <c r="AK3465">
        <v>0</v>
      </c>
    </row>
    <row r="3466" spans="1:37" x14ac:dyDescent="0.3">
      <c r="A3466">
        <v>7134</v>
      </c>
      <c r="B3466" t="s">
        <v>28</v>
      </c>
      <c r="C3466">
        <v>299</v>
      </c>
      <c r="D3466" t="s">
        <v>3500</v>
      </c>
      <c r="E3466">
        <v>99999999</v>
      </c>
      <c r="F3466">
        <v>11111111</v>
      </c>
      <c r="G3466">
        <v>1111111111</v>
      </c>
      <c r="H3466" t="s">
        <v>7035</v>
      </c>
      <c r="I3466">
        <v>99999999</v>
      </c>
      <c r="J3466" s="188">
        <v>45236</v>
      </c>
      <c r="K3466" t="s">
        <v>7035</v>
      </c>
      <c r="L3466" t="s">
        <v>7035</v>
      </c>
      <c r="M3466" t="s">
        <v>3299</v>
      </c>
      <c r="N3466" t="s">
        <v>950</v>
      </c>
      <c r="O3466">
        <v>52002</v>
      </c>
      <c r="Q3466" t="s">
        <v>124</v>
      </c>
      <c r="R3466">
        <v>5</v>
      </c>
      <c r="S3466">
        <v>3.6659999999999999</v>
      </c>
      <c r="T3466">
        <v>0</v>
      </c>
      <c r="U3466">
        <v>0</v>
      </c>
      <c r="V3466">
        <v>5</v>
      </c>
      <c r="W3466">
        <v>0</v>
      </c>
      <c r="X3466">
        <v>0</v>
      </c>
      <c r="Y3466">
        <v>0</v>
      </c>
      <c r="Z3466">
        <v>0</v>
      </c>
      <c r="AA3466">
        <v>0</v>
      </c>
      <c r="AB3466">
        <v>0</v>
      </c>
      <c r="AC3466">
        <v>0</v>
      </c>
      <c r="AD3466">
        <v>5</v>
      </c>
      <c r="AE3466">
        <v>0</v>
      </c>
      <c r="AF3466">
        <v>0</v>
      </c>
      <c r="AG3466">
        <v>0</v>
      </c>
      <c r="AH3466">
        <v>0</v>
      </c>
      <c r="AI3466">
        <v>0</v>
      </c>
      <c r="AJ3466">
        <v>0</v>
      </c>
      <c r="AK3466">
        <v>0</v>
      </c>
    </row>
    <row r="3467" spans="1:37" x14ac:dyDescent="0.3">
      <c r="A3467">
        <v>7134</v>
      </c>
      <c r="B3467" t="s">
        <v>28</v>
      </c>
      <c r="C3467">
        <v>299</v>
      </c>
      <c r="D3467" t="s">
        <v>3500</v>
      </c>
      <c r="E3467">
        <v>99999999</v>
      </c>
      <c r="F3467">
        <v>11111111</v>
      </c>
      <c r="G3467">
        <v>1111111111</v>
      </c>
      <c r="H3467" t="s">
        <v>7036</v>
      </c>
      <c r="I3467">
        <v>99999999</v>
      </c>
      <c r="J3467" s="188">
        <v>45236</v>
      </c>
      <c r="K3467" t="s">
        <v>7036</v>
      </c>
      <c r="L3467" t="s">
        <v>7036</v>
      </c>
      <c r="M3467" t="s">
        <v>3299</v>
      </c>
      <c r="N3467" t="s">
        <v>950</v>
      </c>
      <c r="O3467">
        <v>52002</v>
      </c>
      <c r="Q3467" t="s">
        <v>124</v>
      </c>
      <c r="R3467">
        <v>2</v>
      </c>
      <c r="S3467">
        <v>1.51</v>
      </c>
      <c r="T3467">
        <v>0</v>
      </c>
      <c r="U3467">
        <v>0</v>
      </c>
      <c r="V3467">
        <v>2</v>
      </c>
      <c r="W3467">
        <v>0</v>
      </c>
      <c r="X3467">
        <v>0</v>
      </c>
      <c r="Y3467">
        <v>0</v>
      </c>
      <c r="Z3467">
        <v>0</v>
      </c>
      <c r="AA3467">
        <v>0</v>
      </c>
      <c r="AB3467">
        <v>0</v>
      </c>
      <c r="AC3467">
        <v>0</v>
      </c>
      <c r="AD3467">
        <v>2</v>
      </c>
      <c r="AE3467">
        <v>0</v>
      </c>
      <c r="AF3467">
        <v>0</v>
      </c>
      <c r="AG3467">
        <v>0</v>
      </c>
      <c r="AH3467">
        <v>0</v>
      </c>
      <c r="AI3467">
        <v>0</v>
      </c>
      <c r="AJ3467">
        <v>0</v>
      </c>
      <c r="AK3467">
        <v>0</v>
      </c>
    </row>
    <row r="3468" spans="1:37" x14ac:dyDescent="0.3">
      <c r="A3468">
        <v>7134</v>
      </c>
      <c r="B3468" t="s">
        <v>28</v>
      </c>
      <c r="C3468">
        <v>299</v>
      </c>
      <c r="D3468" t="s">
        <v>3500</v>
      </c>
      <c r="E3468">
        <v>99999999</v>
      </c>
      <c r="F3468">
        <v>11111111</v>
      </c>
      <c r="G3468">
        <v>1111111111</v>
      </c>
      <c r="H3468" t="s">
        <v>7037</v>
      </c>
      <c r="I3468">
        <v>99999999</v>
      </c>
      <c r="J3468" s="188">
        <v>45236</v>
      </c>
      <c r="K3468" t="s">
        <v>7037</v>
      </c>
      <c r="L3468" t="s">
        <v>7037</v>
      </c>
      <c r="M3468" t="s">
        <v>3299</v>
      </c>
      <c r="N3468" t="s">
        <v>950</v>
      </c>
      <c r="O3468">
        <v>52002</v>
      </c>
      <c r="Q3468" t="s">
        <v>124</v>
      </c>
      <c r="R3468">
        <v>10</v>
      </c>
      <c r="S3468">
        <v>9.56</v>
      </c>
      <c r="T3468">
        <v>0</v>
      </c>
      <c r="U3468">
        <v>0</v>
      </c>
      <c r="V3468">
        <v>7</v>
      </c>
      <c r="W3468">
        <v>0</v>
      </c>
      <c r="X3468">
        <v>0</v>
      </c>
      <c r="Y3468">
        <v>0</v>
      </c>
      <c r="Z3468">
        <v>0</v>
      </c>
      <c r="AA3468">
        <v>0</v>
      </c>
      <c r="AB3468">
        <v>0</v>
      </c>
      <c r="AC3468">
        <v>0</v>
      </c>
      <c r="AD3468">
        <v>10</v>
      </c>
      <c r="AE3468">
        <v>0</v>
      </c>
      <c r="AF3468">
        <v>0</v>
      </c>
      <c r="AG3468">
        <v>0</v>
      </c>
      <c r="AH3468">
        <v>0</v>
      </c>
      <c r="AI3468">
        <v>0</v>
      </c>
      <c r="AJ3468">
        <v>0</v>
      </c>
      <c r="AK3468">
        <v>0</v>
      </c>
    </row>
    <row r="3469" spans="1:37" x14ac:dyDescent="0.3">
      <c r="A3469">
        <v>7134</v>
      </c>
      <c r="B3469" t="s">
        <v>28</v>
      </c>
      <c r="C3469">
        <v>299</v>
      </c>
      <c r="D3469" t="s">
        <v>3500</v>
      </c>
      <c r="E3469">
        <v>99999999</v>
      </c>
      <c r="F3469">
        <v>11111111</v>
      </c>
      <c r="G3469">
        <v>1111111111</v>
      </c>
      <c r="H3469" t="s">
        <v>7038</v>
      </c>
      <c r="I3469">
        <v>99999999</v>
      </c>
      <c r="J3469" s="188">
        <v>45236</v>
      </c>
      <c r="K3469" t="s">
        <v>7038</v>
      </c>
      <c r="L3469" t="s">
        <v>7038</v>
      </c>
      <c r="M3469" t="s">
        <v>3299</v>
      </c>
      <c r="N3469" t="s">
        <v>950</v>
      </c>
      <c r="O3469">
        <v>52002</v>
      </c>
      <c r="Q3469" t="s">
        <v>124</v>
      </c>
      <c r="R3469">
        <v>4</v>
      </c>
      <c r="S3469">
        <v>3.37</v>
      </c>
      <c r="T3469">
        <v>0</v>
      </c>
      <c r="U3469">
        <v>0</v>
      </c>
      <c r="V3469">
        <v>4</v>
      </c>
      <c r="W3469">
        <v>0</v>
      </c>
      <c r="X3469">
        <v>0</v>
      </c>
      <c r="Y3469">
        <v>0</v>
      </c>
      <c r="Z3469">
        <v>0</v>
      </c>
      <c r="AA3469">
        <v>0</v>
      </c>
      <c r="AB3469">
        <v>0</v>
      </c>
      <c r="AC3469">
        <v>0</v>
      </c>
      <c r="AD3469">
        <v>4</v>
      </c>
      <c r="AE3469">
        <v>0</v>
      </c>
      <c r="AF3469">
        <v>0</v>
      </c>
      <c r="AG3469">
        <v>0</v>
      </c>
      <c r="AH3469">
        <v>0</v>
      </c>
      <c r="AI3469">
        <v>0</v>
      </c>
      <c r="AJ3469">
        <v>0</v>
      </c>
      <c r="AK3469">
        <v>0</v>
      </c>
    </row>
    <row r="3470" spans="1:37" x14ac:dyDescent="0.3">
      <c r="A3470">
        <v>7134</v>
      </c>
      <c r="B3470" t="s">
        <v>28</v>
      </c>
      <c r="C3470">
        <v>299</v>
      </c>
      <c r="D3470" t="s">
        <v>3500</v>
      </c>
      <c r="E3470">
        <v>99999999</v>
      </c>
      <c r="F3470">
        <v>11111111</v>
      </c>
      <c r="G3470">
        <v>1111111111</v>
      </c>
      <c r="H3470" t="s">
        <v>7039</v>
      </c>
      <c r="I3470">
        <v>99999999</v>
      </c>
      <c r="J3470" s="188">
        <v>45236</v>
      </c>
      <c r="K3470" t="s">
        <v>7039</v>
      </c>
      <c r="L3470" t="s">
        <v>7039</v>
      </c>
      <c r="M3470" t="s">
        <v>3299</v>
      </c>
      <c r="N3470" t="s">
        <v>950</v>
      </c>
      <c r="O3470">
        <v>52002</v>
      </c>
      <c r="Q3470" t="s">
        <v>124</v>
      </c>
      <c r="R3470">
        <v>22</v>
      </c>
      <c r="S3470">
        <v>18.756</v>
      </c>
      <c r="T3470">
        <v>0</v>
      </c>
      <c r="U3470">
        <v>0</v>
      </c>
      <c r="V3470">
        <v>11</v>
      </c>
      <c r="W3470">
        <v>0</v>
      </c>
      <c r="X3470">
        <v>0</v>
      </c>
      <c r="Y3470">
        <v>0</v>
      </c>
      <c r="Z3470">
        <v>0</v>
      </c>
      <c r="AA3470">
        <v>0</v>
      </c>
      <c r="AB3470">
        <v>0</v>
      </c>
      <c r="AC3470">
        <v>0</v>
      </c>
      <c r="AD3470">
        <v>22</v>
      </c>
      <c r="AE3470">
        <v>0</v>
      </c>
      <c r="AF3470">
        <v>0</v>
      </c>
      <c r="AG3470">
        <v>0</v>
      </c>
      <c r="AH3470">
        <v>0</v>
      </c>
      <c r="AI3470">
        <v>0</v>
      </c>
      <c r="AJ3470">
        <v>0</v>
      </c>
      <c r="AK3470">
        <v>0</v>
      </c>
    </row>
    <row r="3471" spans="1:37" x14ac:dyDescent="0.3">
      <c r="A3471">
        <v>7134</v>
      </c>
      <c r="B3471" t="s">
        <v>28</v>
      </c>
      <c r="C3471">
        <v>299</v>
      </c>
      <c r="D3471" t="s">
        <v>3500</v>
      </c>
      <c r="E3471">
        <v>99999999</v>
      </c>
      <c r="F3471">
        <v>11111111</v>
      </c>
      <c r="G3471">
        <v>1111111111</v>
      </c>
      <c r="H3471" t="s">
        <v>7040</v>
      </c>
      <c r="I3471">
        <v>99999999</v>
      </c>
      <c r="J3471" s="188">
        <v>45236</v>
      </c>
      <c r="K3471" t="s">
        <v>7040</v>
      </c>
      <c r="L3471" t="s">
        <v>7040</v>
      </c>
      <c r="M3471" t="s">
        <v>3299</v>
      </c>
      <c r="N3471" t="s">
        <v>950</v>
      </c>
      <c r="O3471">
        <v>52002</v>
      </c>
      <c r="Q3471" t="s">
        <v>124</v>
      </c>
      <c r="R3471">
        <v>5</v>
      </c>
      <c r="S3471">
        <v>3.79</v>
      </c>
      <c r="T3471">
        <v>0</v>
      </c>
      <c r="U3471">
        <v>0</v>
      </c>
      <c r="V3471">
        <v>5</v>
      </c>
      <c r="W3471">
        <v>0</v>
      </c>
      <c r="X3471">
        <v>0</v>
      </c>
      <c r="Y3471">
        <v>0</v>
      </c>
      <c r="Z3471">
        <v>0</v>
      </c>
      <c r="AA3471">
        <v>0</v>
      </c>
      <c r="AB3471">
        <v>0</v>
      </c>
      <c r="AC3471">
        <v>0</v>
      </c>
      <c r="AD3471">
        <v>5</v>
      </c>
      <c r="AE3471">
        <v>0</v>
      </c>
      <c r="AF3471">
        <v>0</v>
      </c>
      <c r="AG3471">
        <v>0</v>
      </c>
      <c r="AH3471">
        <v>0</v>
      </c>
      <c r="AI3471">
        <v>0</v>
      </c>
      <c r="AJ3471">
        <v>0</v>
      </c>
      <c r="AK3471">
        <v>0</v>
      </c>
    </row>
    <row r="3472" spans="1:37" x14ac:dyDescent="0.3">
      <c r="A3472">
        <v>7134</v>
      </c>
      <c r="B3472" t="s">
        <v>28</v>
      </c>
      <c r="C3472">
        <v>299</v>
      </c>
      <c r="D3472" t="s">
        <v>3500</v>
      </c>
      <c r="E3472">
        <v>99999999</v>
      </c>
      <c r="F3472">
        <v>11111111</v>
      </c>
      <c r="G3472">
        <v>1111111111</v>
      </c>
      <c r="H3472" t="s">
        <v>7041</v>
      </c>
      <c r="I3472">
        <v>99999999</v>
      </c>
      <c r="J3472" s="188">
        <v>45236</v>
      </c>
      <c r="K3472" t="s">
        <v>7041</v>
      </c>
      <c r="L3472" t="s">
        <v>7041</v>
      </c>
      <c r="M3472" t="s">
        <v>3299</v>
      </c>
      <c r="N3472" t="s">
        <v>950</v>
      </c>
      <c r="O3472">
        <v>52002</v>
      </c>
      <c r="Q3472" t="s">
        <v>124</v>
      </c>
      <c r="R3472">
        <v>7</v>
      </c>
      <c r="S3472">
        <v>6.28</v>
      </c>
      <c r="T3472">
        <v>0</v>
      </c>
      <c r="U3472">
        <v>0</v>
      </c>
      <c r="V3472">
        <v>7</v>
      </c>
      <c r="W3472">
        <v>0</v>
      </c>
      <c r="X3472">
        <v>0</v>
      </c>
      <c r="Y3472">
        <v>0</v>
      </c>
      <c r="Z3472">
        <v>0</v>
      </c>
      <c r="AA3472">
        <v>0</v>
      </c>
      <c r="AB3472">
        <v>0</v>
      </c>
      <c r="AC3472">
        <v>0</v>
      </c>
      <c r="AD3472">
        <v>7</v>
      </c>
      <c r="AE3472">
        <v>0</v>
      </c>
      <c r="AF3472">
        <v>0</v>
      </c>
      <c r="AG3472">
        <v>0</v>
      </c>
      <c r="AH3472">
        <v>0</v>
      </c>
      <c r="AI3472">
        <v>0</v>
      </c>
      <c r="AJ3472">
        <v>0</v>
      </c>
      <c r="AK3472">
        <v>0</v>
      </c>
    </row>
    <row r="3473" spans="1:37" x14ac:dyDescent="0.3">
      <c r="A3473">
        <v>7134</v>
      </c>
      <c r="B3473" t="s">
        <v>28</v>
      </c>
      <c r="C3473">
        <v>299</v>
      </c>
      <c r="D3473" t="s">
        <v>3500</v>
      </c>
      <c r="E3473">
        <v>99999999</v>
      </c>
      <c r="F3473">
        <v>11111111</v>
      </c>
      <c r="G3473">
        <v>1111111111</v>
      </c>
      <c r="H3473" t="s">
        <v>7042</v>
      </c>
      <c r="I3473">
        <v>99999999</v>
      </c>
      <c r="J3473" s="188">
        <v>45236</v>
      </c>
      <c r="K3473" t="s">
        <v>7042</v>
      </c>
      <c r="L3473" t="s">
        <v>7042</v>
      </c>
      <c r="M3473" t="s">
        <v>3299</v>
      </c>
      <c r="N3473" t="s">
        <v>950</v>
      </c>
      <c r="O3473">
        <v>52002</v>
      </c>
      <c r="Q3473" t="s">
        <v>124</v>
      </c>
      <c r="R3473">
        <v>4</v>
      </c>
      <c r="S3473">
        <v>3.82</v>
      </c>
      <c r="T3473">
        <v>0</v>
      </c>
      <c r="U3473">
        <v>0</v>
      </c>
      <c r="V3473">
        <v>4</v>
      </c>
      <c r="W3473">
        <v>0</v>
      </c>
      <c r="X3473">
        <v>0</v>
      </c>
      <c r="Y3473">
        <v>0</v>
      </c>
      <c r="Z3473">
        <v>0</v>
      </c>
      <c r="AA3473">
        <v>0</v>
      </c>
      <c r="AB3473">
        <v>0</v>
      </c>
      <c r="AC3473">
        <v>0</v>
      </c>
      <c r="AD3473">
        <v>4</v>
      </c>
      <c r="AE3473">
        <v>0</v>
      </c>
      <c r="AF3473">
        <v>0</v>
      </c>
      <c r="AG3473">
        <v>0</v>
      </c>
      <c r="AH3473">
        <v>0</v>
      </c>
      <c r="AI3473">
        <v>0</v>
      </c>
      <c r="AJ3473">
        <v>0</v>
      </c>
      <c r="AK3473">
        <v>0</v>
      </c>
    </row>
    <row r="3474" spans="1:37" x14ac:dyDescent="0.3">
      <c r="A3474">
        <v>7134</v>
      </c>
      <c r="B3474" t="s">
        <v>28</v>
      </c>
      <c r="C3474">
        <v>299</v>
      </c>
      <c r="D3474" t="s">
        <v>3500</v>
      </c>
      <c r="E3474">
        <v>99999999</v>
      </c>
      <c r="F3474">
        <v>11111111</v>
      </c>
      <c r="G3474">
        <v>1111111111</v>
      </c>
      <c r="H3474" t="s">
        <v>7043</v>
      </c>
      <c r="I3474">
        <v>99999999</v>
      </c>
      <c r="J3474" s="188">
        <v>45236</v>
      </c>
      <c r="K3474" t="s">
        <v>7043</v>
      </c>
      <c r="L3474" t="s">
        <v>7043</v>
      </c>
      <c r="M3474" t="s">
        <v>3299</v>
      </c>
      <c r="N3474" t="s">
        <v>950</v>
      </c>
      <c r="O3474">
        <v>52002</v>
      </c>
      <c r="Q3474" t="s">
        <v>124</v>
      </c>
      <c r="R3474">
        <v>17</v>
      </c>
      <c r="S3474">
        <v>15.51</v>
      </c>
      <c r="T3474">
        <v>0</v>
      </c>
      <c r="U3474">
        <v>0</v>
      </c>
      <c r="V3474">
        <v>10</v>
      </c>
      <c r="W3474">
        <v>0</v>
      </c>
      <c r="X3474">
        <v>0</v>
      </c>
      <c r="Y3474">
        <v>0</v>
      </c>
      <c r="Z3474">
        <v>0</v>
      </c>
      <c r="AA3474">
        <v>0</v>
      </c>
      <c r="AB3474">
        <v>0</v>
      </c>
      <c r="AC3474">
        <v>0</v>
      </c>
      <c r="AD3474">
        <v>17</v>
      </c>
      <c r="AE3474">
        <v>0</v>
      </c>
      <c r="AF3474">
        <v>0</v>
      </c>
      <c r="AG3474">
        <v>0</v>
      </c>
      <c r="AH3474">
        <v>0</v>
      </c>
      <c r="AI3474">
        <v>0</v>
      </c>
      <c r="AJ3474">
        <v>0</v>
      </c>
      <c r="AK3474">
        <v>0</v>
      </c>
    </row>
    <row r="3475" spans="1:37" x14ac:dyDescent="0.3">
      <c r="A3475">
        <v>7134</v>
      </c>
      <c r="B3475" t="s">
        <v>28</v>
      </c>
      <c r="C3475">
        <v>299</v>
      </c>
      <c r="D3475" t="s">
        <v>3500</v>
      </c>
      <c r="E3475">
        <v>99999999</v>
      </c>
      <c r="F3475">
        <v>11111111</v>
      </c>
      <c r="G3475">
        <v>1111111111</v>
      </c>
      <c r="H3475" t="s">
        <v>7044</v>
      </c>
      <c r="I3475">
        <v>99999999</v>
      </c>
      <c r="J3475" s="188">
        <v>45236</v>
      </c>
      <c r="K3475" t="s">
        <v>7044</v>
      </c>
      <c r="L3475" t="s">
        <v>7044</v>
      </c>
      <c r="M3475" t="s">
        <v>3299</v>
      </c>
      <c r="N3475" t="s">
        <v>950</v>
      </c>
      <c r="O3475">
        <v>52002</v>
      </c>
      <c r="Q3475" t="s">
        <v>124</v>
      </c>
      <c r="R3475">
        <v>13</v>
      </c>
      <c r="S3475">
        <v>10.01</v>
      </c>
      <c r="T3475">
        <v>0</v>
      </c>
      <c r="U3475">
        <v>0</v>
      </c>
      <c r="V3475">
        <v>8</v>
      </c>
      <c r="W3475">
        <v>0</v>
      </c>
      <c r="X3475">
        <v>0</v>
      </c>
      <c r="Y3475">
        <v>0</v>
      </c>
      <c r="Z3475">
        <v>0</v>
      </c>
      <c r="AA3475">
        <v>0</v>
      </c>
      <c r="AB3475">
        <v>0</v>
      </c>
      <c r="AC3475">
        <v>0</v>
      </c>
      <c r="AD3475">
        <v>13</v>
      </c>
      <c r="AE3475">
        <v>0</v>
      </c>
      <c r="AF3475">
        <v>0</v>
      </c>
      <c r="AG3475">
        <v>0</v>
      </c>
      <c r="AH3475">
        <v>0</v>
      </c>
      <c r="AI3475">
        <v>0</v>
      </c>
      <c r="AJ3475">
        <v>0</v>
      </c>
      <c r="AK3475">
        <v>0</v>
      </c>
    </row>
    <row r="3476" spans="1:37" x14ac:dyDescent="0.3">
      <c r="A3476">
        <v>7134</v>
      </c>
      <c r="B3476" t="s">
        <v>28</v>
      </c>
      <c r="C3476">
        <v>299</v>
      </c>
      <c r="D3476" t="s">
        <v>3500</v>
      </c>
      <c r="E3476">
        <v>99999999</v>
      </c>
      <c r="F3476">
        <v>11111111</v>
      </c>
      <c r="G3476">
        <v>1111111111</v>
      </c>
      <c r="H3476" t="s">
        <v>7045</v>
      </c>
      <c r="I3476">
        <v>99999999</v>
      </c>
      <c r="J3476" s="188">
        <v>45236</v>
      </c>
      <c r="K3476" t="s">
        <v>7045</v>
      </c>
      <c r="L3476" t="s">
        <v>7045</v>
      </c>
      <c r="M3476" t="s">
        <v>3299</v>
      </c>
      <c r="N3476" t="s">
        <v>950</v>
      </c>
      <c r="O3476">
        <v>52002</v>
      </c>
      <c r="Q3476" t="s">
        <v>124</v>
      </c>
      <c r="R3476">
        <v>28</v>
      </c>
      <c r="S3476">
        <v>25.946000000000002</v>
      </c>
      <c r="T3476">
        <v>0</v>
      </c>
      <c r="U3476">
        <v>0</v>
      </c>
      <c r="V3476">
        <v>12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28</v>
      </c>
      <c r="AE3476">
        <v>0</v>
      </c>
      <c r="AF3476">
        <v>0</v>
      </c>
      <c r="AG3476">
        <v>0</v>
      </c>
      <c r="AH3476">
        <v>0</v>
      </c>
      <c r="AI3476">
        <v>0</v>
      </c>
      <c r="AJ3476">
        <v>0</v>
      </c>
      <c r="AK3476">
        <v>0</v>
      </c>
    </row>
    <row r="3477" spans="1:37" x14ac:dyDescent="0.3">
      <c r="A3477">
        <v>7134</v>
      </c>
      <c r="B3477" t="s">
        <v>28</v>
      </c>
      <c r="C3477">
        <v>299</v>
      </c>
      <c r="D3477" t="s">
        <v>3500</v>
      </c>
      <c r="E3477">
        <v>99999999</v>
      </c>
      <c r="F3477">
        <v>11111111</v>
      </c>
      <c r="G3477">
        <v>1111111111</v>
      </c>
      <c r="H3477" t="s">
        <v>7046</v>
      </c>
      <c r="I3477">
        <v>99999999</v>
      </c>
      <c r="J3477" s="188">
        <v>45236</v>
      </c>
      <c r="K3477" t="s">
        <v>7046</v>
      </c>
      <c r="L3477" t="s">
        <v>7046</v>
      </c>
      <c r="M3477" t="s">
        <v>3299</v>
      </c>
      <c r="N3477" t="s">
        <v>950</v>
      </c>
      <c r="O3477">
        <v>52002</v>
      </c>
      <c r="Q3477" t="s">
        <v>124</v>
      </c>
      <c r="R3477">
        <v>6</v>
      </c>
      <c r="S3477">
        <v>5</v>
      </c>
      <c r="T3477">
        <v>0</v>
      </c>
      <c r="U3477">
        <v>0</v>
      </c>
      <c r="V3477">
        <v>5</v>
      </c>
      <c r="W3477">
        <v>0</v>
      </c>
      <c r="X3477">
        <v>0</v>
      </c>
      <c r="Y3477">
        <v>0</v>
      </c>
      <c r="Z3477">
        <v>0</v>
      </c>
      <c r="AA3477">
        <v>0</v>
      </c>
      <c r="AB3477">
        <v>0</v>
      </c>
      <c r="AC3477">
        <v>0</v>
      </c>
      <c r="AD3477">
        <v>6</v>
      </c>
      <c r="AE3477">
        <v>0</v>
      </c>
      <c r="AF3477">
        <v>0</v>
      </c>
      <c r="AG3477">
        <v>0</v>
      </c>
      <c r="AH3477">
        <v>0</v>
      </c>
      <c r="AI3477">
        <v>0</v>
      </c>
      <c r="AJ3477">
        <v>0</v>
      </c>
      <c r="AK3477">
        <v>0</v>
      </c>
    </row>
    <row r="3478" spans="1:37" x14ac:dyDescent="0.3">
      <c r="A3478">
        <v>7134</v>
      </c>
      <c r="B3478" t="s">
        <v>28</v>
      </c>
      <c r="C3478">
        <v>299</v>
      </c>
      <c r="D3478" t="s">
        <v>3500</v>
      </c>
      <c r="E3478">
        <v>99999999</v>
      </c>
      <c r="F3478">
        <v>11111111</v>
      </c>
      <c r="G3478">
        <v>1111111111</v>
      </c>
      <c r="H3478" t="s">
        <v>7047</v>
      </c>
      <c r="I3478">
        <v>99999999</v>
      </c>
      <c r="J3478" s="188">
        <v>45236</v>
      </c>
      <c r="K3478" t="s">
        <v>7047</v>
      </c>
      <c r="L3478" t="s">
        <v>7047</v>
      </c>
      <c r="M3478" t="s">
        <v>3299</v>
      </c>
      <c r="N3478" t="s">
        <v>950</v>
      </c>
      <c r="O3478">
        <v>52002</v>
      </c>
      <c r="Q3478" t="s">
        <v>124</v>
      </c>
      <c r="R3478">
        <v>12</v>
      </c>
      <c r="S3478">
        <v>10.41</v>
      </c>
      <c r="T3478">
        <v>0</v>
      </c>
      <c r="U3478">
        <v>0</v>
      </c>
      <c r="V3478">
        <v>9</v>
      </c>
      <c r="W3478">
        <v>0</v>
      </c>
      <c r="X3478">
        <v>0</v>
      </c>
      <c r="Y3478">
        <v>0</v>
      </c>
      <c r="Z3478">
        <v>0</v>
      </c>
      <c r="AA3478">
        <v>0</v>
      </c>
      <c r="AB3478">
        <v>0</v>
      </c>
      <c r="AC3478">
        <v>0</v>
      </c>
      <c r="AD3478">
        <v>12</v>
      </c>
      <c r="AE3478">
        <v>0</v>
      </c>
      <c r="AF3478">
        <v>0</v>
      </c>
      <c r="AG3478">
        <v>0</v>
      </c>
      <c r="AH3478">
        <v>0</v>
      </c>
      <c r="AI3478">
        <v>0</v>
      </c>
      <c r="AJ3478">
        <v>0</v>
      </c>
      <c r="AK3478">
        <v>0</v>
      </c>
    </row>
    <row r="3479" spans="1:37" x14ac:dyDescent="0.3">
      <c r="A3479">
        <v>7134</v>
      </c>
      <c r="B3479" t="s">
        <v>28</v>
      </c>
      <c r="C3479">
        <v>299</v>
      </c>
      <c r="D3479" t="s">
        <v>3500</v>
      </c>
      <c r="E3479">
        <v>99999999</v>
      </c>
      <c r="F3479">
        <v>11111111</v>
      </c>
      <c r="G3479">
        <v>1111111111</v>
      </c>
      <c r="H3479" t="s">
        <v>7048</v>
      </c>
      <c r="I3479">
        <v>99999999</v>
      </c>
      <c r="J3479" s="188">
        <v>45236</v>
      </c>
      <c r="K3479" t="s">
        <v>7048</v>
      </c>
      <c r="L3479" t="s">
        <v>7048</v>
      </c>
      <c r="M3479" t="s">
        <v>3299</v>
      </c>
      <c r="N3479" t="s">
        <v>950</v>
      </c>
      <c r="O3479">
        <v>52002</v>
      </c>
      <c r="Q3479" t="s">
        <v>124</v>
      </c>
      <c r="R3479">
        <v>7</v>
      </c>
      <c r="S3479">
        <v>5.72</v>
      </c>
      <c r="T3479">
        <v>0</v>
      </c>
      <c r="U3479">
        <v>0</v>
      </c>
      <c r="V3479">
        <v>7</v>
      </c>
      <c r="W3479">
        <v>0</v>
      </c>
      <c r="X3479">
        <v>0</v>
      </c>
      <c r="Y3479">
        <v>0</v>
      </c>
      <c r="Z3479">
        <v>0</v>
      </c>
      <c r="AA3479">
        <v>0</v>
      </c>
      <c r="AB3479">
        <v>0</v>
      </c>
      <c r="AC3479">
        <v>0</v>
      </c>
      <c r="AD3479">
        <v>7</v>
      </c>
      <c r="AE3479">
        <v>0</v>
      </c>
      <c r="AF3479">
        <v>0</v>
      </c>
      <c r="AG3479">
        <v>0</v>
      </c>
      <c r="AH3479">
        <v>0</v>
      </c>
      <c r="AI3479">
        <v>0</v>
      </c>
      <c r="AJ3479">
        <v>0</v>
      </c>
      <c r="AK3479">
        <v>0</v>
      </c>
    </row>
    <row r="3480" spans="1:37" x14ac:dyDescent="0.3">
      <c r="A3480">
        <v>7134</v>
      </c>
      <c r="B3480" t="s">
        <v>28</v>
      </c>
      <c r="C3480">
        <v>299</v>
      </c>
      <c r="D3480" t="s">
        <v>3500</v>
      </c>
      <c r="E3480">
        <v>99999999</v>
      </c>
      <c r="F3480">
        <v>11111111</v>
      </c>
      <c r="G3480">
        <v>1111111111</v>
      </c>
      <c r="H3480" t="s">
        <v>7049</v>
      </c>
      <c r="I3480">
        <v>99999999</v>
      </c>
      <c r="J3480" s="188">
        <v>45236</v>
      </c>
      <c r="K3480" t="s">
        <v>7049</v>
      </c>
      <c r="L3480" t="s">
        <v>7049</v>
      </c>
      <c r="M3480" t="s">
        <v>3299</v>
      </c>
      <c r="N3480" t="s">
        <v>950</v>
      </c>
      <c r="O3480">
        <v>52002</v>
      </c>
      <c r="Q3480" t="s">
        <v>124</v>
      </c>
      <c r="R3480">
        <v>13</v>
      </c>
      <c r="S3480">
        <v>10.336</v>
      </c>
      <c r="T3480">
        <v>0</v>
      </c>
      <c r="U3480">
        <v>0</v>
      </c>
      <c r="V3480">
        <v>8</v>
      </c>
      <c r="W3480">
        <v>0</v>
      </c>
      <c r="X3480">
        <v>0</v>
      </c>
      <c r="Y3480">
        <v>0</v>
      </c>
      <c r="Z3480">
        <v>0</v>
      </c>
      <c r="AA3480">
        <v>0</v>
      </c>
      <c r="AB3480">
        <v>0</v>
      </c>
      <c r="AC3480">
        <v>0</v>
      </c>
      <c r="AD3480">
        <v>13</v>
      </c>
      <c r="AE3480">
        <v>0</v>
      </c>
      <c r="AF3480">
        <v>0</v>
      </c>
      <c r="AG3480">
        <v>0</v>
      </c>
      <c r="AH3480">
        <v>0</v>
      </c>
      <c r="AI3480">
        <v>0</v>
      </c>
      <c r="AJ3480">
        <v>0</v>
      </c>
      <c r="AK3480">
        <v>0</v>
      </c>
    </row>
    <row r="3481" spans="1:37" x14ac:dyDescent="0.3">
      <c r="A3481">
        <v>7134</v>
      </c>
      <c r="B3481" t="s">
        <v>28</v>
      </c>
      <c r="C3481">
        <v>299</v>
      </c>
      <c r="D3481" t="s">
        <v>3500</v>
      </c>
      <c r="E3481">
        <v>99999999</v>
      </c>
      <c r="F3481">
        <v>11111111</v>
      </c>
      <c r="G3481">
        <v>1111111111</v>
      </c>
      <c r="H3481" t="s">
        <v>7050</v>
      </c>
      <c r="I3481">
        <v>99999999</v>
      </c>
      <c r="J3481" s="188">
        <v>45236</v>
      </c>
      <c r="K3481" t="s">
        <v>7050</v>
      </c>
      <c r="L3481" t="s">
        <v>7050</v>
      </c>
      <c r="M3481" t="s">
        <v>3299</v>
      </c>
      <c r="N3481" t="s">
        <v>950</v>
      </c>
      <c r="O3481">
        <v>52002</v>
      </c>
      <c r="Q3481" t="s">
        <v>124</v>
      </c>
      <c r="R3481">
        <v>12</v>
      </c>
      <c r="S3481">
        <v>10.156000000000001</v>
      </c>
      <c r="T3481">
        <v>0</v>
      </c>
      <c r="U3481">
        <v>0</v>
      </c>
      <c r="V3481">
        <v>8</v>
      </c>
      <c r="W3481">
        <v>0</v>
      </c>
      <c r="X3481">
        <v>0</v>
      </c>
      <c r="Y3481">
        <v>0</v>
      </c>
      <c r="Z3481">
        <v>0</v>
      </c>
      <c r="AA3481">
        <v>0</v>
      </c>
      <c r="AB3481">
        <v>0</v>
      </c>
      <c r="AC3481">
        <v>0</v>
      </c>
      <c r="AD3481">
        <v>12</v>
      </c>
      <c r="AE3481">
        <v>0</v>
      </c>
      <c r="AF3481">
        <v>0</v>
      </c>
      <c r="AG3481">
        <v>0</v>
      </c>
      <c r="AH3481">
        <v>0</v>
      </c>
      <c r="AI3481">
        <v>0</v>
      </c>
      <c r="AJ3481">
        <v>0</v>
      </c>
      <c r="AK3481">
        <v>0</v>
      </c>
    </row>
    <row r="3482" spans="1:37" x14ac:dyDescent="0.3">
      <c r="A3482">
        <v>7134</v>
      </c>
      <c r="B3482" t="s">
        <v>28</v>
      </c>
      <c r="C3482">
        <v>299</v>
      </c>
      <c r="D3482" t="s">
        <v>3500</v>
      </c>
      <c r="E3482">
        <v>99999999</v>
      </c>
      <c r="F3482">
        <v>11111111</v>
      </c>
      <c r="G3482">
        <v>1111111111</v>
      </c>
      <c r="H3482" t="s">
        <v>7051</v>
      </c>
      <c r="I3482">
        <v>99999999</v>
      </c>
      <c r="J3482" s="188">
        <v>45236</v>
      </c>
      <c r="K3482" t="s">
        <v>7051</v>
      </c>
      <c r="L3482" t="s">
        <v>7051</v>
      </c>
      <c r="M3482" t="s">
        <v>3299</v>
      </c>
      <c r="N3482" t="s">
        <v>950</v>
      </c>
      <c r="O3482">
        <v>52002</v>
      </c>
      <c r="Q3482" t="s">
        <v>124</v>
      </c>
      <c r="R3482">
        <v>4</v>
      </c>
      <c r="S3482">
        <v>3.74</v>
      </c>
      <c r="T3482">
        <v>0</v>
      </c>
      <c r="U3482">
        <v>0</v>
      </c>
      <c r="V3482">
        <v>4</v>
      </c>
      <c r="W3482">
        <v>0</v>
      </c>
      <c r="X3482">
        <v>0</v>
      </c>
      <c r="Y3482">
        <v>0</v>
      </c>
      <c r="Z3482">
        <v>0</v>
      </c>
      <c r="AA3482">
        <v>0</v>
      </c>
      <c r="AB3482">
        <v>0</v>
      </c>
      <c r="AC3482">
        <v>0</v>
      </c>
      <c r="AD3482">
        <v>4</v>
      </c>
      <c r="AE3482">
        <v>0</v>
      </c>
      <c r="AF3482">
        <v>0</v>
      </c>
      <c r="AG3482">
        <v>0</v>
      </c>
      <c r="AH3482">
        <v>0</v>
      </c>
      <c r="AI3482">
        <v>0</v>
      </c>
      <c r="AJ3482">
        <v>0</v>
      </c>
      <c r="AK3482">
        <v>0</v>
      </c>
    </row>
    <row r="3483" spans="1:37" x14ac:dyDescent="0.3">
      <c r="A3483">
        <v>7134</v>
      </c>
      <c r="B3483" t="s">
        <v>28</v>
      </c>
      <c r="C3483">
        <v>399</v>
      </c>
      <c r="D3483" t="s">
        <v>3561</v>
      </c>
      <c r="E3483">
        <v>99999999</v>
      </c>
      <c r="F3483">
        <v>11111111</v>
      </c>
      <c r="G3483">
        <v>1111111111</v>
      </c>
      <c r="H3483" t="s">
        <v>7052</v>
      </c>
      <c r="I3483">
        <v>99999999</v>
      </c>
      <c r="J3483" s="188">
        <v>45236</v>
      </c>
      <c r="K3483" t="s">
        <v>7052</v>
      </c>
      <c r="L3483" t="s">
        <v>7052</v>
      </c>
      <c r="Q3483" t="s">
        <v>124</v>
      </c>
      <c r="R3483">
        <v>0</v>
      </c>
      <c r="T3483">
        <v>2</v>
      </c>
      <c r="U3483">
        <v>57</v>
      </c>
      <c r="V3483">
        <v>0</v>
      </c>
      <c r="W3483">
        <v>0</v>
      </c>
      <c r="X3483">
        <v>0</v>
      </c>
      <c r="Y3483">
        <v>0</v>
      </c>
      <c r="Z3483">
        <v>0</v>
      </c>
      <c r="AA3483">
        <v>0</v>
      </c>
      <c r="AB3483">
        <v>0</v>
      </c>
      <c r="AC3483">
        <v>0</v>
      </c>
      <c r="AD3483">
        <v>0</v>
      </c>
      <c r="AE3483">
        <v>0</v>
      </c>
      <c r="AF3483">
        <v>0</v>
      </c>
      <c r="AG3483">
        <v>0</v>
      </c>
      <c r="AH3483">
        <v>0</v>
      </c>
      <c r="AI3483">
        <v>0</v>
      </c>
      <c r="AJ3483">
        <v>0</v>
      </c>
      <c r="AK3483">
        <v>0</v>
      </c>
    </row>
    <row r="3484" spans="1:37" x14ac:dyDescent="0.3">
      <c r="A3484">
        <v>7134</v>
      </c>
      <c r="B3484" t="s">
        <v>28</v>
      </c>
      <c r="C3484">
        <v>399</v>
      </c>
      <c r="D3484" t="s">
        <v>3561</v>
      </c>
      <c r="E3484">
        <v>99999999</v>
      </c>
      <c r="F3484">
        <v>11111111</v>
      </c>
      <c r="G3484">
        <v>1111111111</v>
      </c>
      <c r="H3484" t="s">
        <v>7053</v>
      </c>
      <c r="I3484">
        <v>99999999</v>
      </c>
      <c r="J3484" s="188">
        <v>45236</v>
      </c>
      <c r="K3484" t="s">
        <v>7053</v>
      </c>
      <c r="L3484" t="s">
        <v>7053</v>
      </c>
      <c r="M3484" t="s">
        <v>3298</v>
      </c>
      <c r="N3484" t="s">
        <v>99</v>
      </c>
      <c r="O3484">
        <v>91761</v>
      </c>
      <c r="Q3484" t="s">
        <v>124</v>
      </c>
      <c r="R3484">
        <v>8</v>
      </c>
      <c r="S3484">
        <v>6.73</v>
      </c>
      <c r="T3484">
        <v>0</v>
      </c>
      <c r="U3484">
        <v>0</v>
      </c>
      <c r="V3484">
        <v>5</v>
      </c>
      <c r="W3484">
        <v>0</v>
      </c>
      <c r="X3484">
        <v>0</v>
      </c>
      <c r="Y3484">
        <v>0</v>
      </c>
      <c r="Z3484">
        <v>0</v>
      </c>
      <c r="AA3484">
        <v>0</v>
      </c>
      <c r="AB3484">
        <v>0</v>
      </c>
      <c r="AC3484">
        <v>0</v>
      </c>
      <c r="AD3484">
        <v>8</v>
      </c>
      <c r="AE3484">
        <v>0</v>
      </c>
      <c r="AF3484">
        <v>0</v>
      </c>
      <c r="AG3484">
        <v>0</v>
      </c>
      <c r="AH3484">
        <v>0</v>
      </c>
      <c r="AI3484">
        <v>0</v>
      </c>
      <c r="AJ3484">
        <v>0</v>
      </c>
      <c r="AK3484">
        <v>0</v>
      </c>
    </row>
    <row r="3485" spans="1:37" x14ac:dyDescent="0.3">
      <c r="A3485">
        <v>7134</v>
      </c>
      <c r="B3485" t="s">
        <v>28</v>
      </c>
      <c r="C3485">
        <v>399</v>
      </c>
      <c r="D3485" t="s">
        <v>3561</v>
      </c>
      <c r="E3485">
        <v>99999999</v>
      </c>
      <c r="F3485">
        <v>11111111</v>
      </c>
      <c r="G3485">
        <v>1111111111</v>
      </c>
      <c r="H3485" t="s">
        <v>7054</v>
      </c>
      <c r="I3485">
        <v>99999999</v>
      </c>
      <c r="J3485" s="188">
        <v>45236</v>
      </c>
      <c r="K3485" t="s">
        <v>7054</v>
      </c>
      <c r="L3485" t="s">
        <v>7054</v>
      </c>
      <c r="M3485" t="s">
        <v>3298</v>
      </c>
      <c r="N3485" t="s">
        <v>99</v>
      </c>
      <c r="O3485">
        <v>91761</v>
      </c>
      <c r="Q3485" t="s">
        <v>124</v>
      </c>
      <c r="R3485">
        <v>12</v>
      </c>
      <c r="S3485">
        <v>9.94</v>
      </c>
      <c r="T3485">
        <v>0</v>
      </c>
      <c r="U3485">
        <v>0</v>
      </c>
      <c r="V3485">
        <v>9</v>
      </c>
      <c r="W3485">
        <v>0</v>
      </c>
      <c r="X3485">
        <v>0</v>
      </c>
      <c r="Y3485">
        <v>0</v>
      </c>
      <c r="Z3485">
        <v>0</v>
      </c>
      <c r="AA3485">
        <v>0</v>
      </c>
      <c r="AB3485">
        <v>0</v>
      </c>
      <c r="AC3485">
        <v>0</v>
      </c>
      <c r="AD3485">
        <v>12</v>
      </c>
      <c r="AE3485">
        <v>0</v>
      </c>
      <c r="AF3485">
        <v>0</v>
      </c>
      <c r="AG3485">
        <v>0</v>
      </c>
      <c r="AH3485">
        <v>0</v>
      </c>
      <c r="AI3485">
        <v>0</v>
      </c>
      <c r="AJ3485">
        <v>0</v>
      </c>
      <c r="AK3485">
        <v>0</v>
      </c>
    </row>
    <row r="3486" spans="1:37" x14ac:dyDescent="0.3">
      <c r="A3486">
        <v>7134</v>
      </c>
      <c r="B3486" t="s">
        <v>28</v>
      </c>
      <c r="C3486">
        <v>399</v>
      </c>
      <c r="D3486" t="s">
        <v>3561</v>
      </c>
      <c r="E3486">
        <v>99999999</v>
      </c>
      <c r="F3486">
        <v>11111111</v>
      </c>
      <c r="G3486">
        <v>1111111111</v>
      </c>
      <c r="H3486" t="s">
        <v>7055</v>
      </c>
      <c r="I3486">
        <v>99999999</v>
      </c>
      <c r="J3486" s="188">
        <v>45236</v>
      </c>
      <c r="K3486" t="s">
        <v>7055</v>
      </c>
      <c r="L3486" t="s">
        <v>7055</v>
      </c>
      <c r="M3486" t="s">
        <v>3298</v>
      </c>
      <c r="N3486" t="s">
        <v>99</v>
      </c>
      <c r="O3486">
        <v>91761</v>
      </c>
      <c r="Q3486" t="s">
        <v>124</v>
      </c>
      <c r="R3486">
        <v>42</v>
      </c>
      <c r="S3486">
        <v>38.634</v>
      </c>
      <c r="T3486">
        <v>0</v>
      </c>
      <c r="U3486">
        <v>0</v>
      </c>
      <c r="V3486">
        <v>12</v>
      </c>
      <c r="W3486">
        <v>0</v>
      </c>
      <c r="X3486">
        <v>0</v>
      </c>
      <c r="Y3486">
        <v>0</v>
      </c>
      <c r="Z3486">
        <v>0</v>
      </c>
      <c r="AA3486">
        <v>0</v>
      </c>
      <c r="AB3486">
        <v>0</v>
      </c>
      <c r="AC3486">
        <v>0</v>
      </c>
      <c r="AD3486">
        <v>42</v>
      </c>
      <c r="AE3486">
        <v>0</v>
      </c>
      <c r="AF3486">
        <v>0</v>
      </c>
      <c r="AG3486">
        <v>0</v>
      </c>
      <c r="AH3486">
        <v>0</v>
      </c>
      <c r="AI3486">
        <v>0</v>
      </c>
      <c r="AJ3486">
        <v>0</v>
      </c>
      <c r="AK3486">
        <v>0</v>
      </c>
    </row>
    <row r="3487" spans="1:37" x14ac:dyDescent="0.3">
      <c r="A3487">
        <v>7134</v>
      </c>
      <c r="B3487" t="s">
        <v>28</v>
      </c>
      <c r="C3487">
        <v>399</v>
      </c>
      <c r="D3487" t="s">
        <v>3561</v>
      </c>
      <c r="E3487">
        <v>99999999</v>
      </c>
      <c r="F3487">
        <v>11111111</v>
      </c>
      <c r="G3487">
        <v>1111111111</v>
      </c>
      <c r="H3487" t="s">
        <v>7056</v>
      </c>
      <c r="I3487">
        <v>99999999</v>
      </c>
      <c r="J3487" s="188">
        <v>45236</v>
      </c>
      <c r="K3487" t="s">
        <v>7056</v>
      </c>
      <c r="L3487" t="s">
        <v>7056</v>
      </c>
      <c r="M3487" t="s">
        <v>3298</v>
      </c>
      <c r="N3487" t="s">
        <v>99</v>
      </c>
      <c r="O3487">
        <v>91761</v>
      </c>
      <c r="Q3487" t="s">
        <v>124</v>
      </c>
      <c r="R3487">
        <v>59</v>
      </c>
      <c r="S3487">
        <v>53.817999999999998</v>
      </c>
      <c r="T3487">
        <v>0</v>
      </c>
      <c r="U3487">
        <v>0</v>
      </c>
      <c r="V3487">
        <v>12</v>
      </c>
      <c r="W3487">
        <v>0</v>
      </c>
      <c r="X3487">
        <v>0</v>
      </c>
      <c r="Y3487">
        <v>0</v>
      </c>
      <c r="Z3487">
        <v>0</v>
      </c>
      <c r="AA3487">
        <v>1</v>
      </c>
      <c r="AB3487">
        <v>0</v>
      </c>
      <c r="AC3487">
        <v>0</v>
      </c>
      <c r="AD3487">
        <v>35</v>
      </c>
      <c r="AE3487">
        <v>0</v>
      </c>
      <c r="AF3487">
        <v>0</v>
      </c>
      <c r="AG3487">
        <v>0</v>
      </c>
      <c r="AH3487">
        <v>0</v>
      </c>
      <c r="AI3487">
        <v>0</v>
      </c>
      <c r="AJ3487">
        <v>0</v>
      </c>
      <c r="AK3487">
        <v>0</v>
      </c>
    </row>
    <row r="3488" spans="1:37" x14ac:dyDescent="0.3">
      <c r="A3488">
        <v>7134</v>
      </c>
      <c r="B3488" t="s">
        <v>28</v>
      </c>
      <c r="C3488">
        <v>399</v>
      </c>
      <c r="D3488" t="s">
        <v>3561</v>
      </c>
      <c r="E3488">
        <v>99999999</v>
      </c>
      <c r="F3488">
        <v>11111111</v>
      </c>
      <c r="G3488">
        <v>1111111111</v>
      </c>
      <c r="H3488" t="s">
        <v>7057</v>
      </c>
      <c r="I3488">
        <v>99999999</v>
      </c>
      <c r="J3488" s="188">
        <v>45236</v>
      </c>
      <c r="K3488" t="s">
        <v>7057</v>
      </c>
      <c r="L3488" t="s">
        <v>7057</v>
      </c>
      <c r="M3488" t="s">
        <v>3298</v>
      </c>
      <c r="N3488" t="s">
        <v>99</v>
      </c>
      <c r="O3488">
        <v>91761</v>
      </c>
      <c r="Q3488" t="s">
        <v>124</v>
      </c>
      <c r="R3488">
        <v>44</v>
      </c>
      <c r="S3488">
        <v>41.204000000000001</v>
      </c>
      <c r="T3488">
        <v>0</v>
      </c>
      <c r="U3488">
        <v>0</v>
      </c>
      <c r="V3488">
        <v>12</v>
      </c>
      <c r="W3488">
        <v>0</v>
      </c>
      <c r="X3488">
        <v>0</v>
      </c>
      <c r="Y3488">
        <v>0</v>
      </c>
      <c r="Z3488">
        <v>0</v>
      </c>
      <c r="AA3488">
        <v>0</v>
      </c>
      <c r="AB3488">
        <v>0</v>
      </c>
      <c r="AC3488">
        <v>0</v>
      </c>
      <c r="AD3488">
        <v>44</v>
      </c>
      <c r="AE3488">
        <v>0</v>
      </c>
      <c r="AF3488">
        <v>0</v>
      </c>
      <c r="AG3488">
        <v>0</v>
      </c>
      <c r="AH3488">
        <v>0</v>
      </c>
      <c r="AI3488">
        <v>0</v>
      </c>
      <c r="AJ3488">
        <v>0</v>
      </c>
      <c r="AK3488">
        <v>0</v>
      </c>
    </row>
    <row r="3489" spans="1:37" x14ac:dyDescent="0.3">
      <c r="A3489">
        <v>7134</v>
      </c>
      <c r="B3489" t="s">
        <v>28</v>
      </c>
      <c r="C3489">
        <v>399</v>
      </c>
      <c r="D3489" t="s">
        <v>3561</v>
      </c>
      <c r="E3489">
        <v>99999999</v>
      </c>
      <c r="F3489">
        <v>11111111</v>
      </c>
      <c r="G3489">
        <v>1111111111</v>
      </c>
      <c r="H3489" t="s">
        <v>7058</v>
      </c>
      <c r="I3489">
        <v>99999999</v>
      </c>
      <c r="J3489" s="188">
        <v>45236</v>
      </c>
      <c r="K3489" t="s">
        <v>7058</v>
      </c>
      <c r="L3489" t="s">
        <v>7058</v>
      </c>
      <c r="M3489" t="s">
        <v>3298</v>
      </c>
      <c r="N3489" t="s">
        <v>99</v>
      </c>
      <c r="O3489">
        <v>91761</v>
      </c>
      <c r="Q3489" t="s">
        <v>124</v>
      </c>
      <c r="R3489">
        <v>7</v>
      </c>
      <c r="S3489">
        <v>6.53</v>
      </c>
      <c r="T3489">
        <v>0</v>
      </c>
      <c r="U3489">
        <v>0</v>
      </c>
      <c r="V3489">
        <v>7</v>
      </c>
      <c r="W3489">
        <v>0</v>
      </c>
      <c r="X3489">
        <v>0</v>
      </c>
      <c r="Y3489">
        <v>0</v>
      </c>
      <c r="Z3489">
        <v>0</v>
      </c>
      <c r="AA3489">
        <v>0</v>
      </c>
      <c r="AB3489">
        <v>0</v>
      </c>
      <c r="AC3489">
        <v>0</v>
      </c>
      <c r="AD3489">
        <v>7</v>
      </c>
      <c r="AE3489">
        <v>0</v>
      </c>
      <c r="AF3489">
        <v>0</v>
      </c>
      <c r="AG3489">
        <v>0</v>
      </c>
      <c r="AH3489">
        <v>0</v>
      </c>
      <c r="AI3489">
        <v>0</v>
      </c>
      <c r="AJ3489">
        <v>0</v>
      </c>
      <c r="AK3489">
        <v>0</v>
      </c>
    </row>
    <row r="3490" spans="1:37" x14ac:dyDescent="0.3">
      <c r="A3490">
        <v>7134</v>
      </c>
      <c r="B3490" t="s">
        <v>28</v>
      </c>
      <c r="C3490">
        <v>399</v>
      </c>
      <c r="D3490" t="s">
        <v>3561</v>
      </c>
      <c r="E3490">
        <v>99999999</v>
      </c>
      <c r="F3490">
        <v>11111111</v>
      </c>
      <c r="G3490">
        <v>1111111111</v>
      </c>
      <c r="H3490" t="s">
        <v>7059</v>
      </c>
      <c r="I3490">
        <v>99999999</v>
      </c>
      <c r="J3490" s="188">
        <v>45236</v>
      </c>
      <c r="K3490" t="s">
        <v>7059</v>
      </c>
      <c r="L3490" t="s">
        <v>7059</v>
      </c>
      <c r="M3490" t="s">
        <v>3298</v>
      </c>
      <c r="N3490" t="s">
        <v>99</v>
      </c>
      <c r="O3490">
        <v>91761</v>
      </c>
      <c r="Q3490" t="s">
        <v>124</v>
      </c>
      <c r="R3490">
        <v>35</v>
      </c>
      <c r="S3490">
        <v>31.542000000000002</v>
      </c>
      <c r="T3490">
        <v>0</v>
      </c>
      <c r="U3490">
        <v>0</v>
      </c>
      <c r="V3490">
        <v>12</v>
      </c>
      <c r="W3490">
        <v>0</v>
      </c>
      <c r="X3490">
        <v>0</v>
      </c>
      <c r="Y3490">
        <v>0</v>
      </c>
      <c r="Z3490">
        <v>0</v>
      </c>
      <c r="AA3490">
        <v>0</v>
      </c>
      <c r="AB3490">
        <v>0</v>
      </c>
      <c r="AC3490">
        <v>0</v>
      </c>
      <c r="AD3490">
        <v>35</v>
      </c>
      <c r="AE3490">
        <v>0</v>
      </c>
      <c r="AF3490">
        <v>0</v>
      </c>
      <c r="AG3490">
        <v>0</v>
      </c>
      <c r="AH3490">
        <v>0</v>
      </c>
      <c r="AI3490">
        <v>0</v>
      </c>
      <c r="AJ3490">
        <v>0</v>
      </c>
      <c r="AK3490">
        <v>0</v>
      </c>
    </row>
    <row r="3491" spans="1:37" x14ac:dyDescent="0.3">
      <c r="A3491">
        <v>7134</v>
      </c>
      <c r="B3491" t="s">
        <v>28</v>
      </c>
      <c r="C3491">
        <v>399</v>
      </c>
      <c r="D3491" t="s">
        <v>3561</v>
      </c>
      <c r="E3491">
        <v>99999999</v>
      </c>
      <c r="F3491">
        <v>11111111</v>
      </c>
      <c r="G3491">
        <v>1111111111</v>
      </c>
      <c r="H3491" t="s">
        <v>7060</v>
      </c>
      <c r="I3491">
        <v>99999999</v>
      </c>
      <c r="J3491" s="188">
        <v>45236</v>
      </c>
      <c r="K3491" t="s">
        <v>7060</v>
      </c>
      <c r="L3491" t="s">
        <v>7060</v>
      </c>
      <c r="M3491" t="s">
        <v>3298</v>
      </c>
      <c r="N3491" t="s">
        <v>99</v>
      </c>
      <c r="O3491">
        <v>91761</v>
      </c>
      <c r="Q3491" t="s">
        <v>124</v>
      </c>
      <c r="R3491">
        <v>23</v>
      </c>
      <c r="S3491">
        <v>21.602</v>
      </c>
      <c r="T3491">
        <v>0</v>
      </c>
      <c r="U3491">
        <v>0</v>
      </c>
      <c r="V3491">
        <v>12</v>
      </c>
      <c r="W3491">
        <v>0</v>
      </c>
      <c r="X3491">
        <v>0</v>
      </c>
      <c r="Y3491">
        <v>0</v>
      </c>
      <c r="Z3491">
        <v>0</v>
      </c>
      <c r="AA3491">
        <v>0</v>
      </c>
      <c r="AB3491">
        <v>0</v>
      </c>
      <c r="AC3491">
        <v>0</v>
      </c>
      <c r="AD3491">
        <v>23</v>
      </c>
      <c r="AE3491">
        <v>0</v>
      </c>
      <c r="AF3491">
        <v>0</v>
      </c>
      <c r="AG3491">
        <v>0</v>
      </c>
      <c r="AH3491">
        <v>0</v>
      </c>
      <c r="AI3491">
        <v>0</v>
      </c>
      <c r="AJ3491">
        <v>0</v>
      </c>
      <c r="AK3491">
        <v>0</v>
      </c>
    </row>
    <row r="3492" spans="1:37" x14ac:dyDescent="0.3">
      <c r="A3492">
        <v>7134</v>
      </c>
      <c r="B3492" t="s">
        <v>28</v>
      </c>
      <c r="C3492">
        <v>399</v>
      </c>
      <c r="D3492" t="s">
        <v>3561</v>
      </c>
      <c r="E3492">
        <v>99999999</v>
      </c>
      <c r="F3492">
        <v>11111111</v>
      </c>
      <c r="G3492">
        <v>1111111111</v>
      </c>
      <c r="H3492" t="s">
        <v>7061</v>
      </c>
      <c r="I3492">
        <v>99999999</v>
      </c>
      <c r="J3492" s="188">
        <v>45236</v>
      </c>
      <c r="K3492" t="s">
        <v>7061</v>
      </c>
      <c r="L3492" t="s">
        <v>7061</v>
      </c>
      <c r="M3492" t="s">
        <v>3298</v>
      </c>
      <c r="N3492" t="s">
        <v>99</v>
      </c>
      <c r="O3492">
        <v>91761</v>
      </c>
      <c r="Q3492" t="s">
        <v>124</v>
      </c>
      <c r="R3492">
        <v>13</v>
      </c>
      <c r="S3492">
        <v>11.92</v>
      </c>
      <c r="T3492">
        <v>0</v>
      </c>
      <c r="U3492">
        <v>0</v>
      </c>
      <c r="V3492">
        <v>9</v>
      </c>
      <c r="W3492">
        <v>0</v>
      </c>
      <c r="X3492">
        <v>0</v>
      </c>
      <c r="Y3492">
        <v>0</v>
      </c>
      <c r="Z3492">
        <v>0</v>
      </c>
      <c r="AA3492">
        <v>0</v>
      </c>
      <c r="AB3492">
        <v>0</v>
      </c>
      <c r="AC3492">
        <v>0</v>
      </c>
      <c r="AD3492">
        <v>13</v>
      </c>
      <c r="AE3492">
        <v>0</v>
      </c>
      <c r="AF3492">
        <v>0</v>
      </c>
      <c r="AG3492">
        <v>0</v>
      </c>
      <c r="AH3492">
        <v>0</v>
      </c>
      <c r="AI3492">
        <v>0</v>
      </c>
      <c r="AJ3492">
        <v>0</v>
      </c>
      <c r="AK3492">
        <v>0</v>
      </c>
    </row>
    <row r="3493" spans="1:37" x14ac:dyDescent="0.3">
      <c r="A3493">
        <v>7134</v>
      </c>
      <c r="B3493" t="s">
        <v>28</v>
      </c>
      <c r="C3493">
        <v>399</v>
      </c>
      <c r="D3493" t="s">
        <v>3561</v>
      </c>
      <c r="E3493">
        <v>99999999</v>
      </c>
      <c r="F3493">
        <v>11111111</v>
      </c>
      <c r="G3493">
        <v>1111111111</v>
      </c>
      <c r="H3493" t="s">
        <v>7062</v>
      </c>
      <c r="I3493">
        <v>99999999</v>
      </c>
      <c r="J3493" s="188">
        <v>45236</v>
      </c>
      <c r="K3493" t="s">
        <v>7062</v>
      </c>
      <c r="L3493" t="s">
        <v>7062</v>
      </c>
      <c r="M3493" t="s">
        <v>3298</v>
      </c>
      <c r="N3493" t="s">
        <v>99</v>
      </c>
      <c r="O3493">
        <v>91761</v>
      </c>
      <c r="Q3493" t="s">
        <v>124</v>
      </c>
      <c r="R3493">
        <v>9</v>
      </c>
      <c r="S3493">
        <v>7.65</v>
      </c>
      <c r="T3493">
        <v>0</v>
      </c>
      <c r="U3493">
        <v>0</v>
      </c>
      <c r="V3493">
        <v>6</v>
      </c>
      <c r="W3493">
        <v>0</v>
      </c>
      <c r="X3493">
        <v>0</v>
      </c>
      <c r="Y3493">
        <v>0</v>
      </c>
      <c r="Z3493">
        <v>0</v>
      </c>
      <c r="AA3493">
        <v>0</v>
      </c>
      <c r="AB3493">
        <v>0</v>
      </c>
      <c r="AC3493">
        <v>0</v>
      </c>
      <c r="AD3493">
        <v>9</v>
      </c>
      <c r="AE3493">
        <v>0</v>
      </c>
      <c r="AF3493">
        <v>0</v>
      </c>
      <c r="AG3493">
        <v>0</v>
      </c>
      <c r="AH3493">
        <v>0</v>
      </c>
      <c r="AI3493">
        <v>0</v>
      </c>
      <c r="AJ3493">
        <v>0</v>
      </c>
      <c r="AK3493">
        <v>0</v>
      </c>
    </row>
    <row r="3494" spans="1:37" x14ac:dyDescent="0.3">
      <c r="A3494">
        <v>7134</v>
      </c>
      <c r="B3494" t="s">
        <v>28</v>
      </c>
      <c r="C3494">
        <v>399</v>
      </c>
      <c r="D3494" t="s">
        <v>3561</v>
      </c>
      <c r="E3494">
        <v>99999999</v>
      </c>
      <c r="F3494">
        <v>11111111</v>
      </c>
      <c r="G3494">
        <v>1111111111</v>
      </c>
      <c r="H3494" t="s">
        <v>7063</v>
      </c>
      <c r="I3494">
        <v>99999999</v>
      </c>
      <c r="J3494" s="188">
        <v>45236</v>
      </c>
      <c r="K3494" t="s">
        <v>7063</v>
      </c>
      <c r="L3494" t="s">
        <v>7063</v>
      </c>
      <c r="M3494" t="s">
        <v>3298</v>
      </c>
      <c r="N3494" t="s">
        <v>99</v>
      </c>
      <c r="O3494">
        <v>91761</v>
      </c>
      <c r="Q3494" t="s">
        <v>124</v>
      </c>
      <c r="R3494">
        <v>25</v>
      </c>
      <c r="S3494">
        <v>23.196000000000002</v>
      </c>
      <c r="T3494">
        <v>0</v>
      </c>
      <c r="U3494">
        <v>0</v>
      </c>
      <c r="V3494">
        <v>12</v>
      </c>
      <c r="W3494">
        <v>0</v>
      </c>
      <c r="X3494">
        <v>0</v>
      </c>
      <c r="Y3494">
        <v>0</v>
      </c>
      <c r="Z3494">
        <v>0</v>
      </c>
      <c r="AA3494">
        <v>0</v>
      </c>
      <c r="AB3494">
        <v>0</v>
      </c>
      <c r="AC3494">
        <v>0</v>
      </c>
      <c r="AD3494">
        <v>25</v>
      </c>
      <c r="AE3494">
        <v>0</v>
      </c>
      <c r="AF3494">
        <v>0</v>
      </c>
      <c r="AG3494">
        <v>0</v>
      </c>
      <c r="AH3494">
        <v>0</v>
      </c>
      <c r="AI3494">
        <v>0</v>
      </c>
      <c r="AJ3494">
        <v>0</v>
      </c>
      <c r="AK3494">
        <v>0</v>
      </c>
    </row>
    <row r="3495" spans="1:37" x14ac:dyDescent="0.3">
      <c r="A3495">
        <v>7134</v>
      </c>
      <c r="B3495" t="s">
        <v>28</v>
      </c>
      <c r="C3495">
        <v>399</v>
      </c>
      <c r="D3495" t="s">
        <v>3561</v>
      </c>
      <c r="E3495">
        <v>99999999</v>
      </c>
      <c r="F3495">
        <v>11111111</v>
      </c>
      <c r="G3495">
        <v>1111111111</v>
      </c>
      <c r="H3495" t="s">
        <v>7064</v>
      </c>
      <c r="I3495">
        <v>99999999</v>
      </c>
      <c r="J3495" s="188">
        <v>45236</v>
      </c>
      <c r="K3495" t="s">
        <v>7064</v>
      </c>
      <c r="L3495" t="s">
        <v>7064</v>
      </c>
      <c r="M3495" t="s">
        <v>3298</v>
      </c>
      <c r="N3495" t="s">
        <v>99</v>
      </c>
      <c r="O3495">
        <v>91761</v>
      </c>
      <c r="Q3495" t="s">
        <v>124</v>
      </c>
      <c r="R3495">
        <v>17</v>
      </c>
      <c r="S3495">
        <v>13.36</v>
      </c>
      <c r="T3495">
        <v>0</v>
      </c>
      <c r="U3495">
        <v>0</v>
      </c>
      <c r="V3495">
        <v>8</v>
      </c>
      <c r="W3495">
        <v>0</v>
      </c>
      <c r="X3495">
        <v>0</v>
      </c>
      <c r="Y3495">
        <v>0</v>
      </c>
      <c r="Z3495">
        <v>0</v>
      </c>
      <c r="AA3495">
        <v>0</v>
      </c>
      <c r="AB3495">
        <v>0</v>
      </c>
      <c r="AC3495">
        <v>0</v>
      </c>
      <c r="AD3495">
        <v>17</v>
      </c>
      <c r="AE3495">
        <v>0</v>
      </c>
      <c r="AF3495">
        <v>0</v>
      </c>
      <c r="AG3495">
        <v>0</v>
      </c>
      <c r="AH3495">
        <v>0</v>
      </c>
      <c r="AI3495">
        <v>0</v>
      </c>
      <c r="AJ3495">
        <v>0</v>
      </c>
      <c r="AK3495">
        <v>0</v>
      </c>
    </row>
    <row r="3496" spans="1:37" x14ac:dyDescent="0.3">
      <c r="A3496">
        <v>7134</v>
      </c>
      <c r="B3496" t="s">
        <v>28</v>
      </c>
      <c r="C3496">
        <v>399</v>
      </c>
      <c r="D3496" t="s">
        <v>3561</v>
      </c>
      <c r="E3496">
        <v>99999999</v>
      </c>
      <c r="F3496">
        <v>11111111</v>
      </c>
      <c r="G3496">
        <v>1111111111</v>
      </c>
      <c r="H3496" t="s">
        <v>7065</v>
      </c>
      <c r="I3496">
        <v>99999999</v>
      </c>
      <c r="J3496" s="188">
        <v>45236</v>
      </c>
      <c r="K3496" t="s">
        <v>7065</v>
      </c>
      <c r="L3496" t="s">
        <v>7065</v>
      </c>
      <c r="M3496" t="s">
        <v>3298</v>
      </c>
      <c r="N3496" t="s">
        <v>99</v>
      </c>
      <c r="O3496">
        <v>91761</v>
      </c>
      <c r="Q3496" t="s">
        <v>124</v>
      </c>
      <c r="R3496">
        <v>44</v>
      </c>
      <c r="S3496">
        <v>40.142000000000003</v>
      </c>
      <c r="T3496">
        <v>0</v>
      </c>
      <c r="U3496">
        <v>0</v>
      </c>
      <c r="V3496">
        <v>12</v>
      </c>
      <c r="W3496">
        <v>0</v>
      </c>
      <c r="X3496">
        <v>0</v>
      </c>
      <c r="Y3496">
        <v>0</v>
      </c>
      <c r="Z3496">
        <v>0</v>
      </c>
      <c r="AA3496">
        <v>0</v>
      </c>
      <c r="AB3496">
        <v>0</v>
      </c>
      <c r="AC3496">
        <v>0</v>
      </c>
      <c r="AD3496">
        <v>44</v>
      </c>
      <c r="AE3496">
        <v>0</v>
      </c>
      <c r="AF3496">
        <v>0</v>
      </c>
      <c r="AG3496">
        <v>0</v>
      </c>
      <c r="AH3496">
        <v>0</v>
      </c>
      <c r="AI3496">
        <v>0</v>
      </c>
      <c r="AJ3496">
        <v>0</v>
      </c>
      <c r="AK3496">
        <v>0</v>
      </c>
    </row>
    <row r="3497" spans="1:37" x14ac:dyDescent="0.3">
      <c r="A3497">
        <v>7134</v>
      </c>
      <c r="B3497" t="s">
        <v>28</v>
      </c>
      <c r="C3497">
        <v>399</v>
      </c>
      <c r="D3497" t="s">
        <v>3561</v>
      </c>
      <c r="E3497">
        <v>99999999</v>
      </c>
      <c r="F3497">
        <v>11111111</v>
      </c>
      <c r="G3497">
        <v>1111111111</v>
      </c>
      <c r="H3497" t="s">
        <v>7066</v>
      </c>
      <c r="I3497">
        <v>99999999</v>
      </c>
      <c r="J3497" s="188">
        <v>45236</v>
      </c>
      <c r="K3497" t="s">
        <v>7066</v>
      </c>
      <c r="L3497" t="s">
        <v>7066</v>
      </c>
      <c r="M3497" t="s">
        <v>3298</v>
      </c>
      <c r="N3497" t="s">
        <v>99</v>
      </c>
      <c r="O3497">
        <v>91761</v>
      </c>
      <c r="Q3497" t="s">
        <v>124</v>
      </c>
      <c r="R3497">
        <v>71</v>
      </c>
      <c r="S3497">
        <v>64.918000000000006</v>
      </c>
      <c r="T3497">
        <v>0</v>
      </c>
      <c r="U3497">
        <v>0</v>
      </c>
      <c r="V3497">
        <v>12</v>
      </c>
      <c r="W3497">
        <v>0</v>
      </c>
      <c r="X3497">
        <v>0</v>
      </c>
      <c r="Y3497">
        <v>0</v>
      </c>
      <c r="Z3497">
        <v>0</v>
      </c>
      <c r="AA3497">
        <v>0</v>
      </c>
      <c r="AB3497">
        <v>0</v>
      </c>
      <c r="AC3497">
        <v>0</v>
      </c>
      <c r="AD3497">
        <v>71</v>
      </c>
      <c r="AE3497">
        <v>0</v>
      </c>
      <c r="AF3497">
        <v>0</v>
      </c>
      <c r="AG3497">
        <v>0</v>
      </c>
      <c r="AH3497">
        <v>0</v>
      </c>
      <c r="AI3497">
        <v>0</v>
      </c>
      <c r="AJ3497">
        <v>0</v>
      </c>
      <c r="AK3497">
        <v>0</v>
      </c>
    </row>
    <row r="3498" spans="1:37" x14ac:dyDescent="0.3">
      <c r="A3498">
        <v>7134</v>
      </c>
      <c r="B3498" t="s">
        <v>28</v>
      </c>
      <c r="C3498">
        <v>399</v>
      </c>
      <c r="D3498" t="s">
        <v>3561</v>
      </c>
      <c r="E3498">
        <v>99999999</v>
      </c>
      <c r="F3498">
        <v>11111111</v>
      </c>
      <c r="G3498">
        <v>1111111111</v>
      </c>
      <c r="H3498" t="s">
        <v>7067</v>
      </c>
      <c r="I3498">
        <v>99999999</v>
      </c>
      <c r="J3498" s="188">
        <v>45236</v>
      </c>
      <c r="K3498" t="s">
        <v>7067</v>
      </c>
      <c r="L3498" t="s">
        <v>7067</v>
      </c>
      <c r="M3498" t="s">
        <v>3298</v>
      </c>
      <c r="N3498" t="s">
        <v>99</v>
      </c>
      <c r="O3498">
        <v>91761</v>
      </c>
      <c r="Q3498" t="s">
        <v>124</v>
      </c>
      <c r="R3498">
        <v>18</v>
      </c>
      <c r="S3498">
        <v>15.29</v>
      </c>
      <c r="T3498">
        <v>0</v>
      </c>
      <c r="U3498">
        <v>0</v>
      </c>
      <c r="V3498">
        <v>8</v>
      </c>
      <c r="W3498">
        <v>0</v>
      </c>
      <c r="X3498">
        <v>0</v>
      </c>
      <c r="Y3498">
        <v>0</v>
      </c>
      <c r="Z3498">
        <v>0</v>
      </c>
      <c r="AA3498">
        <v>0</v>
      </c>
      <c r="AB3498">
        <v>0</v>
      </c>
      <c r="AC3498">
        <v>0</v>
      </c>
      <c r="AD3498">
        <v>18</v>
      </c>
      <c r="AE3498">
        <v>0</v>
      </c>
      <c r="AF3498">
        <v>0</v>
      </c>
      <c r="AG3498">
        <v>0</v>
      </c>
      <c r="AH3498">
        <v>0</v>
      </c>
      <c r="AI3498">
        <v>0</v>
      </c>
      <c r="AJ3498">
        <v>0</v>
      </c>
      <c r="AK3498">
        <v>0</v>
      </c>
    </row>
    <row r="3499" spans="1:37" x14ac:dyDescent="0.3">
      <c r="A3499">
        <v>7134</v>
      </c>
      <c r="B3499" t="s">
        <v>28</v>
      </c>
      <c r="C3499">
        <v>399</v>
      </c>
      <c r="D3499" t="s">
        <v>3561</v>
      </c>
      <c r="E3499">
        <v>99999999</v>
      </c>
      <c r="F3499">
        <v>11111111</v>
      </c>
      <c r="G3499">
        <v>1111111111</v>
      </c>
      <c r="H3499" t="s">
        <v>7068</v>
      </c>
      <c r="I3499">
        <v>99999999</v>
      </c>
      <c r="J3499" s="188">
        <v>45236</v>
      </c>
      <c r="K3499" t="s">
        <v>7068</v>
      </c>
      <c r="L3499" t="s">
        <v>7068</v>
      </c>
      <c r="M3499" t="s">
        <v>3298</v>
      </c>
      <c r="N3499" t="s">
        <v>99</v>
      </c>
      <c r="O3499">
        <v>91761</v>
      </c>
      <c r="Q3499" t="s">
        <v>124</v>
      </c>
      <c r="R3499">
        <v>32</v>
      </c>
      <c r="S3499">
        <v>28.506</v>
      </c>
      <c r="T3499">
        <v>0</v>
      </c>
      <c r="U3499">
        <v>0</v>
      </c>
      <c r="V3499">
        <v>12</v>
      </c>
      <c r="W3499">
        <v>0</v>
      </c>
      <c r="X3499">
        <v>0</v>
      </c>
      <c r="Y3499">
        <v>0</v>
      </c>
      <c r="Z3499">
        <v>0</v>
      </c>
      <c r="AA3499">
        <v>0</v>
      </c>
      <c r="AB3499">
        <v>0</v>
      </c>
      <c r="AC3499">
        <v>0</v>
      </c>
      <c r="AD3499">
        <v>32</v>
      </c>
      <c r="AE3499">
        <v>0</v>
      </c>
      <c r="AF3499">
        <v>0</v>
      </c>
      <c r="AG3499">
        <v>0</v>
      </c>
      <c r="AH3499">
        <v>0</v>
      </c>
      <c r="AI3499">
        <v>0</v>
      </c>
      <c r="AJ3499">
        <v>0</v>
      </c>
      <c r="AK3499">
        <v>0</v>
      </c>
    </row>
    <row r="3500" spans="1:37" x14ac:dyDescent="0.3">
      <c r="A3500">
        <v>7134</v>
      </c>
      <c r="B3500" t="s">
        <v>28</v>
      </c>
      <c r="C3500">
        <v>399</v>
      </c>
      <c r="D3500" t="s">
        <v>3561</v>
      </c>
      <c r="E3500">
        <v>99999999</v>
      </c>
      <c r="F3500">
        <v>11111111</v>
      </c>
      <c r="G3500">
        <v>1111111111</v>
      </c>
      <c r="H3500" t="s">
        <v>7069</v>
      </c>
      <c r="I3500">
        <v>99999999</v>
      </c>
      <c r="J3500" s="188">
        <v>45236</v>
      </c>
      <c r="K3500" t="s">
        <v>7069</v>
      </c>
      <c r="L3500" t="s">
        <v>7069</v>
      </c>
      <c r="M3500" t="s">
        <v>3298</v>
      </c>
      <c r="N3500" t="s">
        <v>99</v>
      </c>
      <c r="O3500">
        <v>91761</v>
      </c>
      <c r="Q3500" t="s">
        <v>124</v>
      </c>
      <c r="R3500">
        <v>43</v>
      </c>
      <c r="S3500">
        <v>37.072000000000003</v>
      </c>
      <c r="T3500">
        <v>0</v>
      </c>
      <c r="U3500">
        <v>0</v>
      </c>
      <c r="V3500">
        <v>11</v>
      </c>
      <c r="W3500">
        <v>0</v>
      </c>
      <c r="X3500">
        <v>0</v>
      </c>
      <c r="Y3500">
        <v>0</v>
      </c>
      <c r="Z3500">
        <v>0</v>
      </c>
      <c r="AA3500">
        <v>0</v>
      </c>
      <c r="AB3500">
        <v>0</v>
      </c>
      <c r="AC3500">
        <v>0</v>
      </c>
      <c r="AD3500">
        <v>43</v>
      </c>
      <c r="AE3500">
        <v>0</v>
      </c>
      <c r="AF3500">
        <v>0</v>
      </c>
      <c r="AG3500">
        <v>0</v>
      </c>
      <c r="AH3500">
        <v>0</v>
      </c>
      <c r="AI3500">
        <v>0</v>
      </c>
      <c r="AJ3500">
        <v>0</v>
      </c>
      <c r="AK3500">
        <v>0</v>
      </c>
    </row>
    <row r="3501" spans="1:37" x14ac:dyDescent="0.3">
      <c r="A3501">
        <v>7134</v>
      </c>
      <c r="B3501" t="s">
        <v>28</v>
      </c>
      <c r="C3501">
        <v>399</v>
      </c>
      <c r="D3501" t="s">
        <v>3561</v>
      </c>
      <c r="E3501">
        <v>99999999</v>
      </c>
      <c r="F3501">
        <v>11111111</v>
      </c>
      <c r="G3501">
        <v>1111111111</v>
      </c>
      <c r="H3501" t="s">
        <v>7070</v>
      </c>
      <c r="I3501">
        <v>99999999</v>
      </c>
      <c r="J3501" s="188">
        <v>45236</v>
      </c>
      <c r="K3501" t="s">
        <v>7070</v>
      </c>
      <c r="L3501" t="s">
        <v>7070</v>
      </c>
      <c r="M3501" t="s">
        <v>3298</v>
      </c>
      <c r="N3501" t="s">
        <v>99</v>
      </c>
      <c r="O3501">
        <v>91761</v>
      </c>
      <c r="Q3501" t="s">
        <v>124</v>
      </c>
      <c r="R3501">
        <v>35</v>
      </c>
      <c r="S3501">
        <v>30.262</v>
      </c>
      <c r="T3501">
        <v>0</v>
      </c>
      <c r="U3501">
        <v>0</v>
      </c>
      <c r="V3501">
        <v>12</v>
      </c>
      <c r="W3501">
        <v>0</v>
      </c>
      <c r="X3501">
        <v>0</v>
      </c>
      <c r="Y3501">
        <v>0</v>
      </c>
      <c r="Z3501">
        <v>0</v>
      </c>
      <c r="AA3501">
        <v>0</v>
      </c>
      <c r="AB3501">
        <v>0</v>
      </c>
      <c r="AC3501">
        <v>0</v>
      </c>
      <c r="AD3501">
        <v>35</v>
      </c>
      <c r="AE3501">
        <v>0</v>
      </c>
      <c r="AF3501">
        <v>0</v>
      </c>
      <c r="AG3501">
        <v>0</v>
      </c>
      <c r="AH3501">
        <v>0</v>
      </c>
      <c r="AI3501">
        <v>0</v>
      </c>
      <c r="AJ3501">
        <v>0</v>
      </c>
      <c r="AK3501">
        <v>0</v>
      </c>
    </row>
    <row r="3502" spans="1:37" x14ac:dyDescent="0.3">
      <c r="A3502">
        <v>7134</v>
      </c>
      <c r="B3502" t="s">
        <v>28</v>
      </c>
      <c r="C3502">
        <v>399</v>
      </c>
      <c r="D3502" t="s">
        <v>3561</v>
      </c>
      <c r="E3502">
        <v>99999999</v>
      </c>
      <c r="F3502">
        <v>11111111</v>
      </c>
      <c r="G3502">
        <v>1111111111</v>
      </c>
      <c r="H3502" t="s">
        <v>7071</v>
      </c>
      <c r="I3502">
        <v>99999999</v>
      </c>
      <c r="J3502" s="188">
        <v>45236</v>
      </c>
      <c r="K3502" t="s">
        <v>7071</v>
      </c>
      <c r="L3502" t="s">
        <v>7071</v>
      </c>
      <c r="M3502" t="s">
        <v>3298</v>
      </c>
      <c r="N3502" t="s">
        <v>99</v>
      </c>
      <c r="O3502">
        <v>91761</v>
      </c>
      <c r="Q3502" t="s">
        <v>124</v>
      </c>
      <c r="R3502">
        <v>171</v>
      </c>
      <c r="S3502">
        <v>164.86</v>
      </c>
      <c r="T3502">
        <v>0</v>
      </c>
      <c r="U3502">
        <v>0</v>
      </c>
      <c r="V3502">
        <v>12</v>
      </c>
      <c r="W3502">
        <v>0</v>
      </c>
      <c r="X3502">
        <v>0</v>
      </c>
      <c r="Y3502">
        <v>0</v>
      </c>
      <c r="Z3502">
        <v>0</v>
      </c>
      <c r="AA3502">
        <v>2</v>
      </c>
      <c r="AB3502">
        <v>0</v>
      </c>
      <c r="AC3502">
        <v>0</v>
      </c>
      <c r="AD3502">
        <v>123</v>
      </c>
      <c r="AE3502">
        <v>0</v>
      </c>
      <c r="AF3502">
        <v>0</v>
      </c>
      <c r="AG3502">
        <v>0</v>
      </c>
      <c r="AH3502">
        <v>0</v>
      </c>
      <c r="AI3502">
        <v>0</v>
      </c>
      <c r="AJ3502">
        <v>0</v>
      </c>
      <c r="AK3502">
        <v>0</v>
      </c>
    </row>
    <row r="3503" spans="1:37" x14ac:dyDescent="0.3">
      <c r="A3503">
        <v>7134</v>
      </c>
      <c r="B3503" t="s">
        <v>28</v>
      </c>
      <c r="C3503">
        <v>399</v>
      </c>
      <c r="D3503" t="s">
        <v>3561</v>
      </c>
      <c r="E3503">
        <v>99999999</v>
      </c>
      <c r="F3503">
        <v>11111111</v>
      </c>
      <c r="G3503">
        <v>1111111111</v>
      </c>
      <c r="H3503" t="s">
        <v>7072</v>
      </c>
      <c r="I3503">
        <v>99999999</v>
      </c>
      <c r="J3503" s="188">
        <v>45236</v>
      </c>
      <c r="K3503" t="s">
        <v>7072</v>
      </c>
      <c r="L3503" t="s">
        <v>7072</v>
      </c>
      <c r="M3503" t="s">
        <v>3298</v>
      </c>
      <c r="N3503" t="s">
        <v>99</v>
      </c>
      <c r="O3503">
        <v>91761</v>
      </c>
      <c r="Q3503" t="s">
        <v>124</v>
      </c>
      <c r="R3503">
        <v>17</v>
      </c>
      <c r="S3503">
        <v>13.856</v>
      </c>
      <c r="T3503">
        <v>0</v>
      </c>
      <c r="U3503">
        <v>0</v>
      </c>
      <c r="V3503">
        <v>8</v>
      </c>
      <c r="W3503">
        <v>0</v>
      </c>
      <c r="X3503">
        <v>0</v>
      </c>
      <c r="Y3503">
        <v>0</v>
      </c>
      <c r="Z3503">
        <v>0</v>
      </c>
      <c r="AA3503">
        <v>0</v>
      </c>
      <c r="AB3503">
        <v>0</v>
      </c>
      <c r="AC3503">
        <v>0</v>
      </c>
      <c r="AD3503">
        <v>17</v>
      </c>
      <c r="AE3503">
        <v>0</v>
      </c>
      <c r="AF3503">
        <v>0</v>
      </c>
      <c r="AG3503">
        <v>0</v>
      </c>
      <c r="AH3503">
        <v>0</v>
      </c>
      <c r="AI3503">
        <v>0</v>
      </c>
      <c r="AJ3503">
        <v>0</v>
      </c>
      <c r="AK3503">
        <v>0</v>
      </c>
    </row>
    <row r="3504" spans="1:37" x14ac:dyDescent="0.3">
      <c r="A3504">
        <v>7134</v>
      </c>
      <c r="B3504" t="s">
        <v>28</v>
      </c>
      <c r="C3504">
        <v>399</v>
      </c>
      <c r="D3504" t="s">
        <v>3561</v>
      </c>
      <c r="E3504">
        <v>99999999</v>
      </c>
      <c r="F3504">
        <v>11111111</v>
      </c>
      <c r="G3504">
        <v>1111111111</v>
      </c>
      <c r="H3504" t="s">
        <v>7073</v>
      </c>
      <c r="I3504">
        <v>99999999</v>
      </c>
      <c r="J3504" s="188">
        <v>45236</v>
      </c>
      <c r="K3504" t="s">
        <v>7073</v>
      </c>
      <c r="L3504" t="s">
        <v>7073</v>
      </c>
      <c r="M3504" t="s">
        <v>3298</v>
      </c>
      <c r="N3504" t="s">
        <v>99</v>
      </c>
      <c r="O3504">
        <v>91761</v>
      </c>
      <c r="Q3504" t="s">
        <v>124</v>
      </c>
      <c r="R3504">
        <v>49</v>
      </c>
      <c r="S3504">
        <v>40.826000000000001</v>
      </c>
      <c r="T3504">
        <v>0</v>
      </c>
      <c r="U3504">
        <v>0</v>
      </c>
      <c r="V3504">
        <v>12</v>
      </c>
      <c r="W3504">
        <v>0</v>
      </c>
      <c r="X3504">
        <v>0</v>
      </c>
      <c r="Y3504">
        <v>0</v>
      </c>
      <c r="Z3504">
        <v>0</v>
      </c>
      <c r="AA3504">
        <v>0</v>
      </c>
      <c r="AB3504">
        <v>0</v>
      </c>
      <c r="AC3504">
        <v>0</v>
      </c>
      <c r="AD3504">
        <v>49</v>
      </c>
      <c r="AE3504">
        <v>0</v>
      </c>
      <c r="AF3504">
        <v>0</v>
      </c>
      <c r="AG3504">
        <v>0</v>
      </c>
      <c r="AH3504">
        <v>0</v>
      </c>
      <c r="AI3504">
        <v>0</v>
      </c>
      <c r="AJ3504">
        <v>0</v>
      </c>
      <c r="AK3504">
        <v>0</v>
      </c>
    </row>
    <row r="3505" spans="1:37" x14ac:dyDescent="0.3">
      <c r="A3505">
        <v>7134</v>
      </c>
      <c r="B3505" t="s">
        <v>28</v>
      </c>
      <c r="C3505">
        <v>399</v>
      </c>
      <c r="D3505" t="s">
        <v>3561</v>
      </c>
      <c r="E3505">
        <v>99999999</v>
      </c>
      <c r="F3505">
        <v>11111111</v>
      </c>
      <c r="G3505">
        <v>1111111111</v>
      </c>
      <c r="H3505" t="s">
        <v>7074</v>
      </c>
      <c r="I3505">
        <v>99999999</v>
      </c>
      <c r="J3505" s="188">
        <v>45236</v>
      </c>
      <c r="K3505" t="s">
        <v>7074</v>
      </c>
      <c r="L3505" t="s">
        <v>7074</v>
      </c>
      <c r="M3505" t="s">
        <v>3298</v>
      </c>
      <c r="N3505" t="s">
        <v>99</v>
      </c>
      <c r="O3505">
        <v>91761</v>
      </c>
      <c r="Q3505" t="s">
        <v>124</v>
      </c>
      <c r="R3505">
        <v>22</v>
      </c>
      <c r="S3505">
        <v>18.015999999999998</v>
      </c>
      <c r="T3505">
        <v>0</v>
      </c>
      <c r="U3505">
        <v>0</v>
      </c>
      <c r="V3505">
        <v>10</v>
      </c>
      <c r="W3505">
        <v>0</v>
      </c>
      <c r="X3505">
        <v>0</v>
      </c>
      <c r="Y3505">
        <v>0</v>
      </c>
      <c r="Z3505">
        <v>0</v>
      </c>
      <c r="AA3505">
        <v>0</v>
      </c>
      <c r="AB3505">
        <v>0</v>
      </c>
      <c r="AC3505">
        <v>0</v>
      </c>
      <c r="AD3505">
        <v>22</v>
      </c>
      <c r="AE3505">
        <v>0</v>
      </c>
      <c r="AF3505">
        <v>0</v>
      </c>
      <c r="AG3505">
        <v>0</v>
      </c>
      <c r="AH3505">
        <v>0</v>
      </c>
      <c r="AI3505">
        <v>0</v>
      </c>
      <c r="AJ3505">
        <v>0</v>
      </c>
      <c r="AK3505">
        <v>0</v>
      </c>
    </row>
    <row r="3506" spans="1:37" x14ac:dyDescent="0.3">
      <c r="A3506">
        <v>7134</v>
      </c>
      <c r="B3506" t="s">
        <v>28</v>
      </c>
      <c r="C3506">
        <v>399</v>
      </c>
      <c r="D3506" t="s">
        <v>3561</v>
      </c>
      <c r="E3506">
        <v>99999999</v>
      </c>
      <c r="F3506">
        <v>11111111</v>
      </c>
      <c r="G3506">
        <v>1111111111</v>
      </c>
      <c r="H3506" t="s">
        <v>7075</v>
      </c>
      <c r="I3506">
        <v>99999999</v>
      </c>
      <c r="J3506" s="188">
        <v>45236</v>
      </c>
      <c r="K3506" t="s">
        <v>7075</v>
      </c>
      <c r="L3506" t="s">
        <v>7075</v>
      </c>
      <c r="M3506" t="s">
        <v>3298</v>
      </c>
      <c r="N3506" t="s">
        <v>99</v>
      </c>
      <c r="O3506">
        <v>91761</v>
      </c>
      <c r="Q3506" t="s">
        <v>124</v>
      </c>
      <c r="R3506">
        <v>23</v>
      </c>
      <c r="S3506">
        <v>21.396000000000001</v>
      </c>
      <c r="T3506">
        <v>0</v>
      </c>
      <c r="U3506">
        <v>0</v>
      </c>
      <c r="V3506">
        <v>12</v>
      </c>
      <c r="W3506">
        <v>0</v>
      </c>
      <c r="X3506">
        <v>0</v>
      </c>
      <c r="Y3506">
        <v>0</v>
      </c>
      <c r="Z3506">
        <v>0</v>
      </c>
      <c r="AA3506">
        <v>0</v>
      </c>
      <c r="AB3506">
        <v>0</v>
      </c>
      <c r="AC3506">
        <v>0</v>
      </c>
      <c r="AD3506">
        <v>23</v>
      </c>
      <c r="AE3506">
        <v>0</v>
      </c>
      <c r="AF3506">
        <v>0</v>
      </c>
      <c r="AG3506">
        <v>0</v>
      </c>
      <c r="AH3506">
        <v>0</v>
      </c>
      <c r="AI3506">
        <v>0</v>
      </c>
      <c r="AJ3506">
        <v>0</v>
      </c>
      <c r="AK3506">
        <v>0</v>
      </c>
    </row>
    <row r="3507" spans="1:37" x14ac:dyDescent="0.3">
      <c r="A3507">
        <v>7134</v>
      </c>
      <c r="B3507" t="s">
        <v>28</v>
      </c>
      <c r="C3507">
        <v>399</v>
      </c>
      <c r="D3507" t="s">
        <v>3561</v>
      </c>
      <c r="E3507">
        <v>99999999</v>
      </c>
      <c r="F3507">
        <v>11111111</v>
      </c>
      <c r="G3507">
        <v>1111111111</v>
      </c>
      <c r="H3507" t="s">
        <v>7076</v>
      </c>
      <c r="I3507">
        <v>99999999</v>
      </c>
      <c r="J3507" s="188">
        <v>45236</v>
      </c>
      <c r="K3507" t="s">
        <v>7076</v>
      </c>
      <c r="L3507" t="s">
        <v>7076</v>
      </c>
      <c r="M3507" t="s">
        <v>3298</v>
      </c>
      <c r="N3507" t="s">
        <v>99</v>
      </c>
      <c r="O3507">
        <v>91761</v>
      </c>
      <c r="Q3507" t="s">
        <v>124</v>
      </c>
      <c r="R3507">
        <v>19</v>
      </c>
      <c r="S3507">
        <v>17.866</v>
      </c>
      <c r="T3507">
        <v>0</v>
      </c>
      <c r="U3507">
        <v>0</v>
      </c>
      <c r="V3507">
        <v>11</v>
      </c>
      <c r="W3507">
        <v>0</v>
      </c>
      <c r="X3507">
        <v>0</v>
      </c>
      <c r="Y3507">
        <v>0</v>
      </c>
      <c r="Z3507">
        <v>0</v>
      </c>
      <c r="AA3507">
        <v>0</v>
      </c>
      <c r="AB3507">
        <v>0</v>
      </c>
      <c r="AC3507">
        <v>0</v>
      </c>
      <c r="AD3507">
        <v>19</v>
      </c>
      <c r="AE3507">
        <v>0</v>
      </c>
      <c r="AF3507">
        <v>0</v>
      </c>
      <c r="AG3507">
        <v>0</v>
      </c>
      <c r="AH3507">
        <v>0</v>
      </c>
      <c r="AI3507">
        <v>0</v>
      </c>
      <c r="AJ3507">
        <v>0</v>
      </c>
      <c r="AK3507">
        <v>0</v>
      </c>
    </row>
    <row r="3508" spans="1:37" x14ac:dyDescent="0.3">
      <c r="A3508">
        <v>7134</v>
      </c>
      <c r="B3508" t="s">
        <v>28</v>
      </c>
      <c r="C3508">
        <v>399</v>
      </c>
      <c r="D3508" t="s">
        <v>3561</v>
      </c>
      <c r="E3508">
        <v>99999999</v>
      </c>
      <c r="F3508">
        <v>11111111</v>
      </c>
      <c r="G3508">
        <v>1111111111</v>
      </c>
      <c r="H3508" t="s">
        <v>7077</v>
      </c>
      <c r="I3508">
        <v>99999999</v>
      </c>
      <c r="J3508" s="188">
        <v>45236</v>
      </c>
      <c r="K3508" t="s">
        <v>7077</v>
      </c>
      <c r="L3508" t="s">
        <v>7077</v>
      </c>
      <c r="M3508" t="s">
        <v>3298</v>
      </c>
      <c r="N3508" t="s">
        <v>99</v>
      </c>
      <c r="O3508">
        <v>91761</v>
      </c>
      <c r="Q3508" t="s">
        <v>124</v>
      </c>
      <c r="R3508">
        <v>29</v>
      </c>
      <c r="S3508">
        <v>25.385999999999999</v>
      </c>
      <c r="T3508">
        <v>0</v>
      </c>
      <c r="U3508">
        <v>0</v>
      </c>
      <c r="V3508">
        <v>11</v>
      </c>
      <c r="W3508">
        <v>0</v>
      </c>
      <c r="X3508">
        <v>0</v>
      </c>
      <c r="Y3508">
        <v>0</v>
      </c>
      <c r="Z3508">
        <v>0</v>
      </c>
      <c r="AA3508">
        <v>0</v>
      </c>
      <c r="AB3508">
        <v>0</v>
      </c>
      <c r="AC3508">
        <v>0</v>
      </c>
      <c r="AD3508">
        <v>29</v>
      </c>
      <c r="AE3508">
        <v>0</v>
      </c>
      <c r="AF3508">
        <v>0</v>
      </c>
      <c r="AG3508">
        <v>0</v>
      </c>
      <c r="AH3508">
        <v>0</v>
      </c>
      <c r="AI3508">
        <v>0</v>
      </c>
      <c r="AJ3508">
        <v>0</v>
      </c>
      <c r="AK3508">
        <v>0</v>
      </c>
    </row>
    <row r="3509" spans="1:37" x14ac:dyDescent="0.3">
      <c r="A3509">
        <v>7134</v>
      </c>
      <c r="B3509" t="s">
        <v>28</v>
      </c>
      <c r="C3509">
        <v>399</v>
      </c>
      <c r="D3509" t="s">
        <v>3561</v>
      </c>
      <c r="E3509">
        <v>99999999</v>
      </c>
      <c r="F3509">
        <v>11111111</v>
      </c>
      <c r="G3509">
        <v>1111111111</v>
      </c>
      <c r="H3509" t="s">
        <v>7078</v>
      </c>
      <c r="I3509">
        <v>99999999</v>
      </c>
      <c r="J3509" s="188">
        <v>45236</v>
      </c>
      <c r="K3509" t="s">
        <v>7078</v>
      </c>
      <c r="L3509" t="s">
        <v>7078</v>
      </c>
      <c r="M3509" t="s">
        <v>3298</v>
      </c>
      <c r="N3509" t="s">
        <v>99</v>
      </c>
      <c r="O3509">
        <v>91761</v>
      </c>
      <c r="Q3509" t="s">
        <v>124</v>
      </c>
      <c r="R3509">
        <v>31</v>
      </c>
      <c r="S3509">
        <v>27.446000000000002</v>
      </c>
      <c r="T3509">
        <v>0</v>
      </c>
      <c r="U3509">
        <v>0</v>
      </c>
      <c r="V3509">
        <v>12</v>
      </c>
      <c r="W3509">
        <v>0</v>
      </c>
      <c r="X3509">
        <v>0</v>
      </c>
      <c r="Y3509">
        <v>0</v>
      </c>
      <c r="Z3509">
        <v>0</v>
      </c>
      <c r="AA3509">
        <v>0</v>
      </c>
      <c r="AB3509">
        <v>0</v>
      </c>
      <c r="AC3509">
        <v>0</v>
      </c>
      <c r="AD3509">
        <v>31</v>
      </c>
      <c r="AE3509">
        <v>0</v>
      </c>
      <c r="AF3509">
        <v>0</v>
      </c>
      <c r="AG3509">
        <v>0</v>
      </c>
      <c r="AH3509">
        <v>0</v>
      </c>
      <c r="AI3509">
        <v>0</v>
      </c>
      <c r="AJ3509">
        <v>0</v>
      </c>
      <c r="AK3509">
        <v>0</v>
      </c>
    </row>
    <row r="3510" spans="1:37" x14ac:dyDescent="0.3">
      <c r="A3510">
        <v>7134</v>
      </c>
      <c r="B3510" t="s">
        <v>28</v>
      </c>
      <c r="C3510">
        <v>399</v>
      </c>
      <c r="D3510" t="s">
        <v>3561</v>
      </c>
      <c r="E3510">
        <v>99999999</v>
      </c>
      <c r="F3510">
        <v>11111111</v>
      </c>
      <c r="G3510">
        <v>1111111111</v>
      </c>
      <c r="H3510" t="s">
        <v>7079</v>
      </c>
      <c r="I3510">
        <v>99999999</v>
      </c>
      <c r="J3510" s="188">
        <v>45236</v>
      </c>
      <c r="K3510" t="s">
        <v>7079</v>
      </c>
      <c r="L3510" t="s">
        <v>7079</v>
      </c>
      <c r="M3510" t="s">
        <v>3298</v>
      </c>
      <c r="N3510" t="s">
        <v>99</v>
      </c>
      <c r="O3510">
        <v>91761</v>
      </c>
      <c r="Q3510" t="s">
        <v>124</v>
      </c>
      <c r="R3510">
        <v>22</v>
      </c>
      <c r="S3510">
        <v>19.5</v>
      </c>
      <c r="T3510">
        <v>0</v>
      </c>
      <c r="U3510">
        <v>0</v>
      </c>
      <c r="V3510">
        <v>10</v>
      </c>
      <c r="W3510">
        <v>0</v>
      </c>
      <c r="X3510">
        <v>0</v>
      </c>
      <c r="Y3510">
        <v>0</v>
      </c>
      <c r="Z3510">
        <v>0</v>
      </c>
      <c r="AA3510">
        <v>0</v>
      </c>
      <c r="AB3510">
        <v>0</v>
      </c>
      <c r="AC3510">
        <v>0</v>
      </c>
      <c r="AD3510">
        <v>22</v>
      </c>
      <c r="AE3510">
        <v>0</v>
      </c>
      <c r="AF3510">
        <v>0</v>
      </c>
      <c r="AG3510">
        <v>0</v>
      </c>
      <c r="AH3510">
        <v>0</v>
      </c>
      <c r="AI3510">
        <v>0</v>
      </c>
      <c r="AJ3510">
        <v>0</v>
      </c>
      <c r="AK3510">
        <v>0</v>
      </c>
    </row>
    <row r="3511" spans="1:37" x14ac:dyDescent="0.3">
      <c r="A3511">
        <v>7134</v>
      </c>
      <c r="B3511" t="s">
        <v>28</v>
      </c>
      <c r="C3511">
        <v>399</v>
      </c>
      <c r="D3511" t="s">
        <v>3561</v>
      </c>
      <c r="E3511">
        <v>99999999</v>
      </c>
      <c r="F3511">
        <v>11111111</v>
      </c>
      <c r="G3511">
        <v>1111111111</v>
      </c>
      <c r="H3511" t="s">
        <v>7080</v>
      </c>
      <c r="I3511">
        <v>99999999</v>
      </c>
      <c r="J3511" s="188">
        <v>45236</v>
      </c>
      <c r="K3511" t="s">
        <v>7080</v>
      </c>
      <c r="L3511" t="s">
        <v>7080</v>
      </c>
      <c r="M3511" t="s">
        <v>3298</v>
      </c>
      <c r="N3511" t="s">
        <v>99</v>
      </c>
      <c r="O3511">
        <v>91761</v>
      </c>
      <c r="Q3511" t="s">
        <v>124</v>
      </c>
      <c r="R3511">
        <v>34</v>
      </c>
      <c r="S3511">
        <v>30.036000000000001</v>
      </c>
      <c r="T3511">
        <v>0</v>
      </c>
      <c r="U3511">
        <v>0</v>
      </c>
      <c r="V3511">
        <v>12</v>
      </c>
      <c r="W3511">
        <v>0</v>
      </c>
      <c r="X3511">
        <v>0</v>
      </c>
      <c r="Y3511">
        <v>0</v>
      </c>
      <c r="Z3511">
        <v>0</v>
      </c>
      <c r="AA3511">
        <v>0</v>
      </c>
      <c r="AB3511">
        <v>0</v>
      </c>
      <c r="AC3511">
        <v>0</v>
      </c>
      <c r="AD3511">
        <v>34</v>
      </c>
      <c r="AE3511">
        <v>0</v>
      </c>
      <c r="AF3511">
        <v>0</v>
      </c>
      <c r="AG3511">
        <v>0</v>
      </c>
      <c r="AH3511">
        <v>0</v>
      </c>
      <c r="AI3511">
        <v>0</v>
      </c>
      <c r="AJ3511">
        <v>0</v>
      </c>
      <c r="AK3511">
        <v>0</v>
      </c>
    </row>
    <row r="3512" spans="1:37" x14ac:dyDescent="0.3">
      <c r="A3512">
        <v>7134</v>
      </c>
      <c r="B3512" t="s">
        <v>28</v>
      </c>
      <c r="C3512">
        <v>399</v>
      </c>
      <c r="D3512" t="s">
        <v>3561</v>
      </c>
      <c r="E3512">
        <v>99999999</v>
      </c>
      <c r="F3512">
        <v>11111111</v>
      </c>
      <c r="G3512">
        <v>1111111111</v>
      </c>
      <c r="H3512" t="s">
        <v>7081</v>
      </c>
      <c r="I3512">
        <v>99999999</v>
      </c>
      <c r="J3512" s="188">
        <v>45236</v>
      </c>
      <c r="K3512" t="s">
        <v>7081</v>
      </c>
      <c r="L3512" t="s">
        <v>7081</v>
      </c>
      <c r="M3512" t="s">
        <v>3298</v>
      </c>
      <c r="N3512" t="s">
        <v>99</v>
      </c>
      <c r="O3512">
        <v>91761</v>
      </c>
      <c r="Q3512" t="s">
        <v>124</v>
      </c>
      <c r="R3512">
        <v>44</v>
      </c>
      <c r="S3512">
        <v>38.938000000000002</v>
      </c>
      <c r="T3512">
        <v>0</v>
      </c>
      <c r="U3512">
        <v>0</v>
      </c>
      <c r="V3512">
        <v>11</v>
      </c>
      <c r="W3512">
        <v>0</v>
      </c>
      <c r="X3512">
        <v>0</v>
      </c>
      <c r="Y3512">
        <v>0</v>
      </c>
      <c r="Z3512">
        <v>0</v>
      </c>
      <c r="AA3512">
        <v>0</v>
      </c>
      <c r="AB3512">
        <v>0</v>
      </c>
      <c r="AC3512">
        <v>0</v>
      </c>
      <c r="AD3512">
        <v>44</v>
      </c>
      <c r="AE3512">
        <v>0</v>
      </c>
      <c r="AF3512">
        <v>0</v>
      </c>
      <c r="AG3512">
        <v>0</v>
      </c>
      <c r="AH3512">
        <v>0</v>
      </c>
      <c r="AI3512">
        <v>0</v>
      </c>
      <c r="AJ3512">
        <v>0</v>
      </c>
      <c r="AK3512">
        <v>0</v>
      </c>
    </row>
    <row r="3513" spans="1:37" x14ac:dyDescent="0.3">
      <c r="A3513">
        <v>7134</v>
      </c>
      <c r="B3513" t="s">
        <v>28</v>
      </c>
      <c r="C3513">
        <v>399</v>
      </c>
      <c r="D3513" t="s">
        <v>3561</v>
      </c>
      <c r="E3513">
        <v>99999999</v>
      </c>
      <c r="F3513">
        <v>11111111</v>
      </c>
      <c r="G3513">
        <v>1111111111</v>
      </c>
      <c r="H3513" t="s">
        <v>7082</v>
      </c>
      <c r="I3513">
        <v>99999999</v>
      </c>
      <c r="J3513" s="188">
        <v>45236</v>
      </c>
      <c r="K3513" t="s">
        <v>7082</v>
      </c>
      <c r="L3513" t="s">
        <v>7082</v>
      </c>
      <c r="M3513" t="s">
        <v>3298</v>
      </c>
      <c r="N3513" t="s">
        <v>99</v>
      </c>
      <c r="O3513">
        <v>91761</v>
      </c>
      <c r="Q3513" t="s">
        <v>124</v>
      </c>
      <c r="R3513">
        <v>43</v>
      </c>
      <c r="S3513">
        <v>40.386000000000003</v>
      </c>
      <c r="T3513">
        <v>0</v>
      </c>
      <c r="U3513">
        <v>0</v>
      </c>
      <c r="V3513">
        <v>12</v>
      </c>
      <c r="W3513">
        <v>0</v>
      </c>
      <c r="X3513">
        <v>0</v>
      </c>
      <c r="Y3513">
        <v>0</v>
      </c>
      <c r="Z3513">
        <v>0</v>
      </c>
      <c r="AA3513">
        <v>0</v>
      </c>
      <c r="AB3513">
        <v>0</v>
      </c>
      <c r="AC3513">
        <v>0</v>
      </c>
      <c r="AD3513">
        <v>43</v>
      </c>
      <c r="AE3513">
        <v>0</v>
      </c>
      <c r="AF3513">
        <v>0</v>
      </c>
      <c r="AG3513">
        <v>0</v>
      </c>
      <c r="AH3513">
        <v>0</v>
      </c>
      <c r="AI3513">
        <v>0</v>
      </c>
      <c r="AJ3513">
        <v>0</v>
      </c>
      <c r="AK3513">
        <v>0</v>
      </c>
    </row>
    <row r="3514" spans="1:37" x14ac:dyDescent="0.3">
      <c r="A3514">
        <v>7134</v>
      </c>
      <c r="B3514" t="s">
        <v>28</v>
      </c>
      <c r="C3514">
        <v>399</v>
      </c>
      <c r="D3514" t="s">
        <v>3561</v>
      </c>
      <c r="E3514">
        <v>99999999</v>
      </c>
      <c r="F3514">
        <v>11111111</v>
      </c>
      <c r="G3514">
        <v>1111111111</v>
      </c>
      <c r="H3514" t="s">
        <v>7083</v>
      </c>
      <c r="I3514">
        <v>99999999</v>
      </c>
      <c r="J3514" s="188">
        <v>45236</v>
      </c>
      <c r="K3514" t="s">
        <v>7083</v>
      </c>
      <c r="L3514" t="s">
        <v>7083</v>
      </c>
      <c r="M3514" t="s">
        <v>3298</v>
      </c>
      <c r="N3514" t="s">
        <v>99</v>
      </c>
      <c r="O3514">
        <v>91761</v>
      </c>
      <c r="Q3514" t="s">
        <v>124</v>
      </c>
      <c r="R3514">
        <v>53</v>
      </c>
      <c r="S3514">
        <v>44.94</v>
      </c>
      <c r="T3514">
        <v>0</v>
      </c>
      <c r="U3514">
        <v>0</v>
      </c>
      <c r="V3514">
        <v>11</v>
      </c>
      <c r="W3514">
        <v>0</v>
      </c>
      <c r="X3514">
        <v>0</v>
      </c>
      <c r="Y3514">
        <v>0</v>
      </c>
      <c r="Z3514">
        <v>0</v>
      </c>
      <c r="AA3514">
        <v>0</v>
      </c>
      <c r="AB3514">
        <v>0</v>
      </c>
      <c r="AC3514">
        <v>0</v>
      </c>
      <c r="AD3514">
        <v>53</v>
      </c>
      <c r="AE3514">
        <v>0</v>
      </c>
      <c r="AF3514">
        <v>0</v>
      </c>
      <c r="AG3514">
        <v>0</v>
      </c>
      <c r="AH3514">
        <v>0</v>
      </c>
      <c r="AI3514">
        <v>0</v>
      </c>
      <c r="AJ3514">
        <v>0</v>
      </c>
      <c r="AK3514">
        <v>0</v>
      </c>
    </row>
    <row r="3515" spans="1:37" x14ac:dyDescent="0.3">
      <c r="A3515">
        <v>7134</v>
      </c>
      <c r="B3515" t="s">
        <v>28</v>
      </c>
      <c r="C3515">
        <v>399</v>
      </c>
      <c r="D3515" t="s">
        <v>3561</v>
      </c>
      <c r="E3515">
        <v>99999999</v>
      </c>
      <c r="F3515">
        <v>11111111</v>
      </c>
      <c r="G3515">
        <v>1111111111</v>
      </c>
      <c r="H3515" t="s">
        <v>7084</v>
      </c>
      <c r="I3515">
        <v>99999999</v>
      </c>
      <c r="J3515" s="188">
        <v>45236</v>
      </c>
      <c r="K3515" t="s">
        <v>7084</v>
      </c>
      <c r="L3515" t="s">
        <v>7084</v>
      </c>
      <c r="M3515" t="s">
        <v>3298</v>
      </c>
      <c r="N3515" t="s">
        <v>99</v>
      </c>
      <c r="O3515">
        <v>91761</v>
      </c>
      <c r="Q3515" t="s">
        <v>124</v>
      </c>
      <c r="R3515">
        <v>51</v>
      </c>
      <c r="S3515">
        <v>48.524000000000001</v>
      </c>
      <c r="T3515">
        <v>0</v>
      </c>
      <c r="U3515">
        <v>0</v>
      </c>
      <c r="V3515">
        <v>12</v>
      </c>
      <c r="W3515">
        <v>0</v>
      </c>
      <c r="X3515">
        <v>0</v>
      </c>
      <c r="Y3515">
        <v>0</v>
      </c>
      <c r="Z3515">
        <v>0</v>
      </c>
      <c r="AA3515">
        <v>0</v>
      </c>
      <c r="AB3515">
        <v>0</v>
      </c>
      <c r="AC3515">
        <v>0</v>
      </c>
      <c r="AD3515">
        <v>51</v>
      </c>
      <c r="AE3515">
        <v>0</v>
      </c>
      <c r="AF3515">
        <v>0</v>
      </c>
      <c r="AG3515">
        <v>0</v>
      </c>
      <c r="AH3515">
        <v>0</v>
      </c>
      <c r="AI3515">
        <v>0</v>
      </c>
      <c r="AJ3515">
        <v>0</v>
      </c>
      <c r="AK3515">
        <v>0</v>
      </c>
    </row>
    <row r="3516" spans="1:37" x14ac:dyDescent="0.3">
      <c r="A3516">
        <v>7134</v>
      </c>
      <c r="B3516" t="s">
        <v>28</v>
      </c>
      <c r="C3516">
        <v>399</v>
      </c>
      <c r="D3516" t="s">
        <v>3561</v>
      </c>
      <c r="E3516">
        <v>99999999</v>
      </c>
      <c r="F3516">
        <v>11111111</v>
      </c>
      <c r="G3516">
        <v>1111111111</v>
      </c>
      <c r="H3516" t="s">
        <v>7085</v>
      </c>
      <c r="I3516">
        <v>99999999</v>
      </c>
      <c r="J3516" s="188">
        <v>45236</v>
      </c>
      <c r="K3516" t="s">
        <v>7085</v>
      </c>
      <c r="L3516" t="s">
        <v>7085</v>
      </c>
      <c r="M3516" t="s">
        <v>3298</v>
      </c>
      <c r="N3516" t="s">
        <v>99</v>
      </c>
      <c r="O3516">
        <v>91761</v>
      </c>
      <c r="Q3516" t="s">
        <v>124</v>
      </c>
      <c r="R3516">
        <v>36</v>
      </c>
      <c r="S3516">
        <v>32.186</v>
      </c>
      <c r="T3516">
        <v>0</v>
      </c>
      <c r="U3516">
        <v>0</v>
      </c>
      <c r="V3516">
        <v>12</v>
      </c>
      <c r="W3516">
        <v>0</v>
      </c>
      <c r="X3516">
        <v>0</v>
      </c>
      <c r="Y3516">
        <v>0</v>
      </c>
      <c r="Z3516">
        <v>0</v>
      </c>
      <c r="AA3516">
        <v>0</v>
      </c>
      <c r="AB3516">
        <v>0</v>
      </c>
      <c r="AC3516">
        <v>0</v>
      </c>
      <c r="AD3516">
        <v>36</v>
      </c>
      <c r="AE3516">
        <v>0</v>
      </c>
      <c r="AF3516">
        <v>0</v>
      </c>
      <c r="AG3516">
        <v>0</v>
      </c>
      <c r="AH3516">
        <v>0</v>
      </c>
      <c r="AI3516">
        <v>0</v>
      </c>
      <c r="AJ3516">
        <v>0</v>
      </c>
      <c r="AK3516">
        <v>0</v>
      </c>
    </row>
    <row r="3517" spans="1:37" x14ac:dyDescent="0.3">
      <c r="A3517">
        <v>7134</v>
      </c>
      <c r="B3517" t="s">
        <v>28</v>
      </c>
      <c r="C3517">
        <v>399</v>
      </c>
      <c r="D3517" t="s">
        <v>3561</v>
      </c>
      <c r="E3517">
        <v>99999999</v>
      </c>
      <c r="F3517">
        <v>11111111</v>
      </c>
      <c r="G3517">
        <v>1111111111</v>
      </c>
      <c r="H3517" t="s">
        <v>7086</v>
      </c>
      <c r="I3517">
        <v>99999999</v>
      </c>
      <c r="J3517" s="188">
        <v>45236</v>
      </c>
      <c r="K3517" t="s">
        <v>7086</v>
      </c>
      <c r="L3517" t="s">
        <v>7086</v>
      </c>
      <c r="M3517" t="s">
        <v>3298</v>
      </c>
      <c r="N3517" t="s">
        <v>99</v>
      </c>
      <c r="O3517">
        <v>91761</v>
      </c>
      <c r="Q3517" t="s">
        <v>124</v>
      </c>
      <c r="R3517">
        <v>5</v>
      </c>
      <c r="S3517">
        <v>3.2</v>
      </c>
      <c r="T3517">
        <v>0</v>
      </c>
      <c r="U3517">
        <v>0</v>
      </c>
      <c r="V3517">
        <v>3</v>
      </c>
      <c r="W3517">
        <v>0</v>
      </c>
      <c r="X3517">
        <v>0</v>
      </c>
      <c r="Y3517">
        <v>0</v>
      </c>
      <c r="Z3517">
        <v>0</v>
      </c>
      <c r="AA3517">
        <v>0</v>
      </c>
      <c r="AB3517">
        <v>0</v>
      </c>
      <c r="AC3517">
        <v>0</v>
      </c>
      <c r="AD3517">
        <v>5</v>
      </c>
      <c r="AE3517">
        <v>0</v>
      </c>
      <c r="AF3517">
        <v>0</v>
      </c>
      <c r="AG3517">
        <v>0</v>
      </c>
      <c r="AH3517">
        <v>0</v>
      </c>
      <c r="AI3517">
        <v>0</v>
      </c>
      <c r="AJ3517">
        <v>0</v>
      </c>
      <c r="AK3517">
        <v>0</v>
      </c>
    </row>
    <row r="3518" spans="1:37" x14ac:dyDescent="0.3">
      <c r="A3518">
        <v>7134</v>
      </c>
      <c r="B3518" t="s">
        <v>28</v>
      </c>
      <c r="C3518">
        <v>399</v>
      </c>
      <c r="D3518" t="s">
        <v>3561</v>
      </c>
      <c r="E3518">
        <v>99999999</v>
      </c>
      <c r="F3518">
        <v>11111111</v>
      </c>
      <c r="G3518">
        <v>1111111111</v>
      </c>
      <c r="H3518" t="s">
        <v>7087</v>
      </c>
      <c r="I3518">
        <v>99999999</v>
      </c>
      <c r="J3518" s="188">
        <v>45236</v>
      </c>
      <c r="K3518" t="s">
        <v>7087</v>
      </c>
      <c r="L3518" t="s">
        <v>7087</v>
      </c>
      <c r="M3518" t="s">
        <v>3298</v>
      </c>
      <c r="N3518" t="s">
        <v>99</v>
      </c>
      <c r="O3518">
        <v>91761</v>
      </c>
      <c r="Q3518" t="s">
        <v>124</v>
      </c>
      <c r="R3518">
        <v>20</v>
      </c>
      <c r="S3518">
        <v>17.146000000000001</v>
      </c>
      <c r="T3518">
        <v>0</v>
      </c>
      <c r="U3518">
        <v>0</v>
      </c>
      <c r="V3518">
        <v>10</v>
      </c>
      <c r="W3518">
        <v>0</v>
      </c>
      <c r="X3518">
        <v>0</v>
      </c>
      <c r="Y3518">
        <v>0</v>
      </c>
      <c r="Z3518">
        <v>0</v>
      </c>
      <c r="AA3518">
        <v>0</v>
      </c>
      <c r="AB3518">
        <v>0</v>
      </c>
      <c r="AC3518">
        <v>0</v>
      </c>
      <c r="AD3518">
        <v>20</v>
      </c>
      <c r="AE3518">
        <v>0</v>
      </c>
      <c r="AF3518">
        <v>0</v>
      </c>
      <c r="AG3518">
        <v>0</v>
      </c>
      <c r="AH3518">
        <v>0</v>
      </c>
      <c r="AI3518">
        <v>0</v>
      </c>
      <c r="AJ3518">
        <v>0</v>
      </c>
      <c r="AK3518">
        <v>0</v>
      </c>
    </row>
    <row r="3519" spans="1:37" x14ac:dyDescent="0.3">
      <c r="A3519">
        <v>7134</v>
      </c>
      <c r="B3519" t="s">
        <v>28</v>
      </c>
      <c r="C3519">
        <v>399</v>
      </c>
      <c r="D3519" t="s">
        <v>3561</v>
      </c>
      <c r="E3519">
        <v>99999999</v>
      </c>
      <c r="F3519">
        <v>11111111</v>
      </c>
      <c r="G3519">
        <v>1111111111</v>
      </c>
      <c r="H3519" t="s">
        <v>7088</v>
      </c>
      <c r="I3519">
        <v>99999999</v>
      </c>
      <c r="J3519" s="188">
        <v>45236</v>
      </c>
      <c r="K3519" t="s">
        <v>7088</v>
      </c>
      <c r="L3519" t="s">
        <v>7088</v>
      </c>
      <c r="M3519" t="s">
        <v>3298</v>
      </c>
      <c r="N3519" t="s">
        <v>99</v>
      </c>
      <c r="O3519">
        <v>91761</v>
      </c>
      <c r="Q3519" t="s">
        <v>124</v>
      </c>
      <c r="R3519">
        <v>35</v>
      </c>
      <c r="S3519">
        <v>31.952000000000002</v>
      </c>
      <c r="T3519">
        <v>0</v>
      </c>
      <c r="U3519">
        <v>0</v>
      </c>
      <c r="V3519">
        <v>12</v>
      </c>
      <c r="W3519">
        <v>0</v>
      </c>
      <c r="X3519">
        <v>0</v>
      </c>
      <c r="Y3519">
        <v>0</v>
      </c>
      <c r="Z3519">
        <v>0</v>
      </c>
      <c r="AA3519">
        <v>0</v>
      </c>
      <c r="AB3519">
        <v>0</v>
      </c>
      <c r="AC3519">
        <v>0</v>
      </c>
      <c r="AD3519">
        <v>35</v>
      </c>
      <c r="AE3519">
        <v>0</v>
      </c>
      <c r="AF3519">
        <v>0</v>
      </c>
      <c r="AG3519">
        <v>0</v>
      </c>
      <c r="AH3519">
        <v>0</v>
      </c>
      <c r="AI3519">
        <v>0</v>
      </c>
      <c r="AJ3519">
        <v>0</v>
      </c>
      <c r="AK3519">
        <v>0</v>
      </c>
    </row>
    <row r="3520" spans="1:37" x14ac:dyDescent="0.3">
      <c r="A3520">
        <v>7134</v>
      </c>
      <c r="B3520" t="s">
        <v>28</v>
      </c>
      <c r="C3520">
        <v>399</v>
      </c>
      <c r="D3520" t="s">
        <v>3561</v>
      </c>
      <c r="E3520">
        <v>99999999</v>
      </c>
      <c r="F3520">
        <v>11111111</v>
      </c>
      <c r="G3520">
        <v>1111111111</v>
      </c>
      <c r="H3520" t="s">
        <v>7089</v>
      </c>
      <c r="I3520">
        <v>99999999</v>
      </c>
      <c r="J3520" s="188">
        <v>45236</v>
      </c>
      <c r="K3520" t="s">
        <v>7089</v>
      </c>
      <c r="L3520" t="s">
        <v>7089</v>
      </c>
      <c r="M3520" t="s">
        <v>3298</v>
      </c>
      <c r="N3520" t="s">
        <v>99</v>
      </c>
      <c r="O3520">
        <v>91761</v>
      </c>
      <c r="Q3520" t="s">
        <v>124</v>
      </c>
      <c r="R3520">
        <v>5</v>
      </c>
      <c r="S3520">
        <v>3.62</v>
      </c>
      <c r="T3520">
        <v>0</v>
      </c>
      <c r="U3520">
        <v>0</v>
      </c>
      <c r="V3520">
        <v>5</v>
      </c>
      <c r="W3520">
        <v>0</v>
      </c>
      <c r="X3520">
        <v>0</v>
      </c>
      <c r="Y3520">
        <v>0</v>
      </c>
      <c r="Z3520">
        <v>0</v>
      </c>
      <c r="AA3520">
        <v>0</v>
      </c>
      <c r="AB3520">
        <v>0</v>
      </c>
      <c r="AC3520">
        <v>0</v>
      </c>
      <c r="AD3520">
        <v>5</v>
      </c>
      <c r="AE3520">
        <v>0</v>
      </c>
      <c r="AF3520">
        <v>0</v>
      </c>
      <c r="AG3520">
        <v>0</v>
      </c>
      <c r="AH3520">
        <v>0</v>
      </c>
      <c r="AI3520">
        <v>0</v>
      </c>
      <c r="AJ3520">
        <v>0</v>
      </c>
      <c r="AK3520">
        <v>0</v>
      </c>
    </row>
    <row r="3521" spans="1:37" x14ac:dyDescent="0.3">
      <c r="A3521">
        <v>7134</v>
      </c>
      <c r="B3521" t="s">
        <v>28</v>
      </c>
      <c r="C3521">
        <v>399</v>
      </c>
      <c r="D3521" t="s">
        <v>3561</v>
      </c>
      <c r="E3521">
        <v>99999999</v>
      </c>
      <c r="F3521">
        <v>11111111</v>
      </c>
      <c r="G3521">
        <v>1111111111</v>
      </c>
      <c r="H3521" t="s">
        <v>7090</v>
      </c>
      <c r="I3521">
        <v>99999999</v>
      </c>
      <c r="J3521" s="188">
        <v>45236</v>
      </c>
      <c r="K3521" t="s">
        <v>7090</v>
      </c>
      <c r="L3521" t="s">
        <v>7090</v>
      </c>
      <c r="M3521" t="s">
        <v>3298</v>
      </c>
      <c r="N3521" t="s">
        <v>99</v>
      </c>
      <c r="O3521">
        <v>91761</v>
      </c>
      <c r="Q3521" t="s">
        <v>124</v>
      </c>
      <c r="R3521">
        <v>20</v>
      </c>
      <c r="S3521">
        <v>16.216000000000001</v>
      </c>
      <c r="T3521">
        <v>0</v>
      </c>
      <c r="U3521">
        <v>0</v>
      </c>
      <c r="V3521">
        <v>10</v>
      </c>
      <c r="W3521">
        <v>0</v>
      </c>
      <c r="X3521">
        <v>0</v>
      </c>
      <c r="Y3521">
        <v>0</v>
      </c>
      <c r="Z3521">
        <v>0</v>
      </c>
      <c r="AA3521">
        <v>0</v>
      </c>
      <c r="AB3521">
        <v>0</v>
      </c>
      <c r="AC3521">
        <v>0</v>
      </c>
      <c r="AD3521">
        <v>20</v>
      </c>
      <c r="AE3521">
        <v>0</v>
      </c>
      <c r="AF3521">
        <v>0</v>
      </c>
      <c r="AG3521">
        <v>0</v>
      </c>
      <c r="AH3521">
        <v>0</v>
      </c>
      <c r="AI3521">
        <v>0</v>
      </c>
      <c r="AJ3521">
        <v>0</v>
      </c>
      <c r="AK3521">
        <v>0</v>
      </c>
    </row>
    <row r="3522" spans="1:37" x14ac:dyDescent="0.3">
      <c r="A3522">
        <v>7134</v>
      </c>
      <c r="B3522" t="s">
        <v>28</v>
      </c>
      <c r="C3522">
        <v>399</v>
      </c>
      <c r="D3522" t="s">
        <v>3561</v>
      </c>
      <c r="E3522">
        <v>99999999</v>
      </c>
      <c r="F3522">
        <v>11111111</v>
      </c>
      <c r="G3522">
        <v>1111111111</v>
      </c>
      <c r="H3522" t="s">
        <v>7091</v>
      </c>
      <c r="I3522">
        <v>99999999</v>
      </c>
      <c r="J3522" s="188">
        <v>45236</v>
      </c>
      <c r="K3522" t="s">
        <v>7091</v>
      </c>
      <c r="L3522" t="s">
        <v>7091</v>
      </c>
      <c r="M3522" t="s">
        <v>3298</v>
      </c>
      <c r="N3522" t="s">
        <v>99</v>
      </c>
      <c r="O3522">
        <v>91761</v>
      </c>
      <c r="Q3522" t="s">
        <v>124</v>
      </c>
      <c r="R3522">
        <v>33</v>
      </c>
      <c r="S3522">
        <v>28.4</v>
      </c>
      <c r="T3522">
        <v>0</v>
      </c>
      <c r="U3522">
        <v>0</v>
      </c>
      <c r="V3522">
        <v>11</v>
      </c>
      <c r="W3522">
        <v>0</v>
      </c>
      <c r="X3522">
        <v>0</v>
      </c>
      <c r="Y3522">
        <v>0</v>
      </c>
      <c r="Z3522">
        <v>0</v>
      </c>
      <c r="AA3522">
        <v>0</v>
      </c>
      <c r="AB3522">
        <v>0</v>
      </c>
      <c r="AC3522">
        <v>0</v>
      </c>
      <c r="AD3522">
        <v>33</v>
      </c>
      <c r="AE3522">
        <v>0</v>
      </c>
      <c r="AF3522">
        <v>0</v>
      </c>
      <c r="AG3522">
        <v>0</v>
      </c>
      <c r="AH3522">
        <v>0</v>
      </c>
      <c r="AI3522">
        <v>0</v>
      </c>
      <c r="AJ3522">
        <v>0</v>
      </c>
      <c r="AK3522">
        <v>0</v>
      </c>
    </row>
    <row r="3523" spans="1:37" x14ac:dyDescent="0.3">
      <c r="A3523">
        <v>7134</v>
      </c>
      <c r="B3523" t="s">
        <v>28</v>
      </c>
      <c r="C3523">
        <v>399</v>
      </c>
      <c r="D3523" t="s">
        <v>3561</v>
      </c>
      <c r="E3523">
        <v>99999999</v>
      </c>
      <c r="F3523">
        <v>11111111</v>
      </c>
      <c r="G3523">
        <v>1111111111</v>
      </c>
      <c r="H3523" t="s">
        <v>7092</v>
      </c>
      <c r="I3523">
        <v>99999999</v>
      </c>
      <c r="J3523" s="188">
        <v>45236</v>
      </c>
      <c r="K3523" t="s">
        <v>7092</v>
      </c>
      <c r="L3523" t="s">
        <v>7092</v>
      </c>
      <c r="M3523" t="s">
        <v>3298</v>
      </c>
      <c r="N3523" t="s">
        <v>99</v>
      </c>
      <c r="O3523">
        <v>91761</v>
      </c>
      <c r="Q3523" t="s">
        <v>124</v>
      </c>
      <c r="R3523">
        <v>24</v>
      </c>
      <c r="S3523">
        <v>23.425999999999998</v>
      </c>
      <c r="T3523">
        <v>0</v>
      </c>
      <c r="U3523">
        <v>0</v>
      </c>
      <c r="V3523">
        <v>11</v>
      </c>
      <c r="W3523">
        <v>0</v>
      </c>
      <c r="X3523">
        <v>0</v>
      </c>
      <c r="Y3523">
        <v>0</v>
      </c>
      <c r="Z3523">
        <v>0</v>
      </c>
      <c r="AA3523">
        <v>0</v>
      </c>
      <c r="AB3523">
        <v>0</v>
      </c>
      <c r="AC3523">
        <v>0</v>
      </c>
      <c r="AD3523">
        <v>24</v>
      </c>
      <c r="AE3523">
        <v>0</v>
      </c>
      <c r="AF3523">
        <v>0</v>
      </c>
      <c r="AG3523">
        <v>0</v>
      </c>
      <c r="AH3523">
        <v>0</v>
      </c>
      <c r="AI3523">
        <v>0</v>
      </c>
      <c r="AJ3523">
        <v>0</v>
      </c>
      <c r="AK3523">
        <v>0</v>
      </c>
    </row>
    <row r="3524" spans="1:37" x14ac:dyDescent="0.3">
      <c r="A3524">
        <v>7134</v>
      </c>
      <c r="B3524" t="s">
        <v>28</v>
      </c>
      <c r="C3524">
        <v>399</v>
      </c>
      <c r="D3524" t="s">
        <v>3561</v>
      </c>
      <c r="E3524">
        <v>99999999</v>
      </c>
      <c r="F3524">
        <v>11111111</v>
      </c>
      <c r="G3524">
        <v>1111111111</v>
      </c>
      <c r="H3524" t="s">
        <v>7093</v>
      </c>
      <c r="I3524">
        <v>99999999</v>
      </c>
      <c r="J3524" s="188">
        <v>45236</v>
      </c>
      <c r="K3524" t="s">
        <v>7093</v>
      </c>
      <c r="L3524" t="s">
        <v>7093</v>
      </c>
      <c r="M3524" t="s">
        <v>3298</v>
      </c>
      <c r="N3524" t="s">
        <v>99</v>
      </c>
      <c r="O3524">
        <v>91761</v>
      </c>
      <c r="Q3524" t="s">
        <v>124</v>
      </c>
      <c r="R3524">
        <v>18</v>
      </c>
      <c r="S3524">
        <v>16.04</v>
      </c>
      <c r="T3524">
        <v>0</v>
      </c>
      <c r="U3524">
        <v>0</v>
      </c>
      <c r="V3524">
        <v>11</v>
      </c>
      <c r="W3524">
        <v>0</v>
      </c>
      <c r="X3524">
        <v>0</v>
      </c>
      <c r="Y3524">
        <v>0</v>
      </c>
      <c r="Z3524">
        <v>0</v>
      </c>
      <c r="AA3524">
        <v>0</v>
      </c>
      <c r="AB3524">
        <v>0</v>
      </c>
      <c r="AC3524">
        <v>0</v>
      </c>
      <c r="AD3524">
        <v>18</v>
      </c>
      <c r="AE3524">
        <v>0</v>
      </c>
      <c r="AF3524">
        <v>0</v>
      </c>
      <c r="AG3524">
        <v>0</v>
      </c>
      <c r="AH3524">
        <v>0</v>
      </c>
      <c r="AI3524">
        <v>0</v>
      </c>
      <c r="AJ3524">
        <v>0</v>
      </c>
      <c r="AK3524">
        <v>0</v>
      </c>
    </row>
    <row r="3525" spans="1:37" x14ac:dyDescent="0.3">
      <c r="A3525">
        <v>7134</v>
      </c>
      <c r="B3525" t="s">
        <v>28</v>
      </c>
      <c r="C3525">
        <v>399</v>
      </c>
      <c r="D3525" t="s">
        <v>3561</v>
      </c>
      <c r="E3525">
        <v>99999999</v>
      </c>
      <c r="F3525">
        <v>11111111</v>
      </c>
      <c r="G3525">
        <v>1111111111</v>
      </c>
      <c r="H3525" t="s">
        <v>7094</v>
      </c>
      <c r="I3525">
        <v>99999999</v>
      </c>
      <c r="J3525" s="188">
        <v>45236</v>
      </c>
      <c r="K3525" t="s">
        <v>7094</v>
      </c>
      <c r="L3525" t="s">
        <v>7094</v>
      </c>
      <c r="M3525" t="s">
        <v>3298</v>
      </c>
      <c r="N3525" t="s">
        <v>99</v>
      </c>
      <c r="O3525">
        <v>91761</v>
      </c>
      <c r="Q3525" t="s">
        <v>124</v>
      </c>
      <c r="R3525">
        <v>62</v>
      </c>
      <c r="S3525">
        <v>56.305999999999997</v>
      </c>
      <c r="T3525">
        <v>0</v>
      </c>
      <c r="U3525">
        <v>0</v>
      </c>
      <c r="V3525">
        <v>12</v>
      </c>
      <c r="W3525">
        <v>0</v>
      </c>
      <c r="X3525">
        <v>0</v>
      </c>
      <c r="Y3525">
        <v>0</v>
      </c>
      <c r="Z3525">
        <v>0</v>
      </c>
      <c r="AA3525">
        <v>0</v>
      </c>
      <c r="AB3525">
        <v>0</v>
      </c>
      <c r="AC3525">
        <v>0</v>
      </c>
      <c r="AD3525">
        <v>62</v>
      </c>
      <c r="AE3525">
        <v>0</v>
      </c>
      <c r="AF3525">
        <v>0</v>
      </c>
      <c r="AG3525">
        <v>0</v>
      </c>
      <c r="AH3525">
        <v>0</v>
      </c>
      <c r="AI3525">
        <v>0</v>
      </c>
      <c r="AJ3525">
        <v>0</v>
      </c>
      <c r="AK3525">
        <v>0</v>
      </c>
    </row>
    <row r="3526" spans="1:37" x14ac:dyDescent="0.3">
      <c r="A3526">
        <v>7134</v>
      </c>
      <c r="B3526" t="s">
        <v>28</v>
      </c>
      <c r="C3526">
        <v>399</v>
      </c>
      <c r="D3526" t="s">
        <v>3561</v>
      </c>
      <c r="E3526">
        <v>99999999</v>
      </c>
      <c r="F3526">
        <v>11111111</v>
      </c>
      <c r="G3526">
        <v>1111111111</v>
      </c>
      <c r="H3526" t="s">
        <v>7095</v>
      </c>
      <c r="I3526">
        <v>99999999</v>
      </c>
      <c r="J3526" s="188">
        <v>45236</v>
      </c>
      <c r="K3526" t="s">
        <v>7095</v>
      </c>
      <c r="L3526" t="s">
        <v>7095</v>
      </c>
      <c r="M3526" t="s">
        <v>3298</v>
      </c>
      <c r="N3526" t="s">
        <v>99</v>
      </c>
      <c r="O3526">
        <v>91761</v>
      </c>
      <c r="Q3526" t="s">
        <v>124</v>
      </c>
      <c r="R3526">
        <v>21</v>
      </c>
      <c r="S3526">
        <v>17.82</v>
      </c>
      <c r="T3526">
        <v>0</v>
      </c>
      <c r="U3526">
        <v>0</v>
      </c>
      <c r="V3526">
        <v>10</v>
      </c>
      <c r="W3526">
        <v>0</v>
      </c>
      <c r="X3526">
        <v>0</v>
      </c>
      <c r="Y3526">
        <v>0</v>
      </c>
      <c r="Z3526">
        <v>0</v>
      </c>
      <c r="AA3526">
        <v>0</v>
      </c>
      <c r="AB3526">
        <v>0</v>
      </c>
      <c r="AC3526">
        <v>0</v>
      </c>
      <c r="AD3526">
        <v>21</v>
      </c>
      <c r="AE3526">
        <v>0</v>
      </c>
      <c r="AF3526">
        <v>0</v>
      </c>
      <c r="AG3526">
        <v>0</v>
      </c>
      <c r="AH3526">
        <v>0</v>
      </c>
      <c r="AI3526">
        <v>0</v>
      </c>
      <c r="AJ3526">
        <v>0</v>
      </c>
      <c r="AK3526">
        <v>0</v>
      </c>
    </row>
    <row r="3527" spans="1:37" x14ac:dyDescent="0.3">
      <c r="A3527">
        <v>7134</v>
      </c>
      <c r="B3527" t="s">
        <v>28</v>
      </c>
      <c r="C3527">
        <v>399</v>
      </c>
      <c r="D3527" t="s">
        <v>3561</v>
      </c>
      <c r="E3527">
        <v>99999999</v>
      </c>
      <c r="F3527">
        <v>11111111</v>
      </c>
      <c r="G3527">
        <v>1111111111</v>
      </c>
      <c r="H3527" t="s">
        <v>7096</v>
      </c>
      <c r="I3527">
        <v>99999999</v>
      </c>
      <c r="J3527" s="188">
        <v>45236</v>
      </c>
      <c r="K3527" t="s">
        <v>7096</v>
      </c>
      <c r="L3527" t="s">
        <v>7096</v>
      </c>
      <c r="M3527" t="s">
        <v>3298</v>
      </c>
      <c r="N3527" t="s">
        <v>99</v>
      </c>
      <c r="O3527">
        <v>91761</v>
      </c>
      <c r="Q3527" t="s">
        <v>124</v>
      </c>
      <c r="R3527">
        <v>39</v>
      </c>
      <c r="S3527">
        <v>35.171999999999997</v>
      </c>
      <c r="T3527">
        <v>0</v>
      </c>
      <c r="U3527">
        <v>0</v>
      </c>
      <c r="V3527">
        <v>12</v>
      </c>
      <c r="W3527">
        <v>0</v>
      </c>
      <c r="X3527">
        <v>0</v>
      </c>
      <c r="Y3527">
        <v>0</v>
      </c>
      <c r="Z3527">
        <v>0</v>
      </c>
      <c r="AA3527">
        <v>0</v>
      </c>
      <c r="AB3527">
        <v>0</v>
      </c>
      <c r="AC3527">
        <v>0</v>
      </c>
      <c r="AD3527">
        <v>39</v>
      </c>
      <c r="AE3527">
        <v>0</v>
      </c>
      <c r="AF3527">
        <v>0</v>
      </c>
      <c r="AG3527">
        <v>0</v>
      </c>
      <c r="AH3527">
        <v>0</v>
      </c>
      <c r="AI3527">
        <v>0</v>
      </c>
      <c r="AJ3527">
        <v>0</v>
      </c>
      <c r="AK3527">
        <v>0</v>
      </c>
    </row>
    <row r="3528" spans="1:37" x14ac:dyDescent="0.3">
      <c r="A3528">
        <v>7134</v>
      </c>
      <c r="B3528" t="s">
        <v>28</v>
      </c>
      <c r="C3528">
        <v>399</v>
      </c>
      <c r="D3528" t="s">
        <v>3561</v>
      </c>
      <c r="E3528">
        <v>99999999</v>
      </c>
      <c r="F3528">
        <v>11111111</v>
      </c>
      <c r="G3528">
        <v>1111111111</v>
      </c>
      <c r="H3528" t="s">
        <v>7097</v>
      </c>
      <c r="I3528">
        <v>99999999</v>
      </c>
      <c r="J3528" s="188">
        <v>45236</v>
      </c>
      <c r="K3528" t="s">
        <v>7097</v>
      </c>
      <c r="L3528" t="s">
        <v>7097</v>
      </c>
      <c r="M3528" t="s">
        <v>3298</v>
      </c>
      <c r="N3528" t="s">
        <v>99</v>
      </c>
      <c r="O3528">
        <v>91761</v>
      </c>
      <c r="Q3528" t="s">
        <v>124</v>
      </c>
      <c r="R3528">
        <v>26</v>
      </c>
      <c r="S3528">
        <v>24.745999999999999</v>
      </c>
      <c r="T3528">
        <v>0</v>
      </c>
      <c r="U3528">
        <v>0</v>
      </c>
      <c r="V3528">
        <v>12</v>
      </c>
      <c r="W3528">
        <v>0</v>
      </c>
      <c r="X3528">
        <v>0</v>
      </c>
      <c r="Y3528">
        <v>0</v>
      </c>
      <c r="Z3528">
        <v>0</v>
      </c>
      <c r="AA3528">
        <v>0</v>
      </c>
      <c r="AB3528">
        <v>0</v>
      </c>
      <c r="AC3528">
        <v>0</v>
      </c>
      <c r="AD3528">
        <v>26</v>
      </c>
      <c r="AE3528">
        <v>0</v>
      </c>
      <c r="AF3528">
        <v>0</v>
      </c>
      <c r="AG3528">
        <v>0</v>
      </c>
      <c r="AH3528">
        <v>0</v>
      </c>
      <c r="AI3528">
        <v>0</v>
      </c>
      <c r="AJ3528">
        <v>0</v>
      </c>
      <c r="AK3528">
        <v>0</v>
      </c>
    </row>
    <row r="3529" spans="1:37" x14ac:dyDescent="0.3">
      <c r="A3529">
        <v>7134</v>
      </c>
      <c r="B3529" t="s">
        <v>28</v>
      </c>
      <c r="C3529">
        <v>399</v>
      </c>
      <c r="D3529" t="s">
        <v>3561</v>
      </c>
      <c r="E3529">
        <v>99999999</v>
      </c>
      <c r="F3529">
        <v>11111111</v>
      </c>
      <c r="G3529">
        <v>1111111111</v>
      </c>
      <c r="H3529" t="s">
        <v>7098</v>
      </c>
      <c r="I3529">
        <v>99999999</v>
      </c>
      <c r="J3529" s="188">
        <v>45236</v>
      </c>
      <c r="K3529" t="s">
        <v>7098</v>
      </c>
      <c r="L3529" t="s">
        <v>7098</v>
      </c>
      <c r="M3529" t="s">
        <v>3298</v>
      </c>
      <c r="N3529" t="s">
        <v>99</v>
      </c>
      <c r="O3529">
        <v>91761</v>
      </c>
      <c r="Q3529" t="s">
        <v>124</v>
      </c>
      <c r="R3529">
        <v>19</v>
      </c>
      <c r="S3529">
        <v>16.850000000000001</v>
      </c>
      <c r="T3529">
        <v>0</v>
      </c>
      <c r="U3529">
        <v>0</v>
      </c>
      <c r="V3529">
        <v>9</v>
      </c>
      <c r="W3529">
        <v>0</v>
      </c>
      <c r="X3529">
        <v>0</v>
      </c>
      <c r="Y3529">
        <v>0</v>
      </c>
      <c r="Z3529">
        <v>0</v>
      </c>
      <c r="AA3529">
        <v>0</v>
      </c>
      <c r="AB3529">
        <v>0</v>
      </c>
      <c r="AC3529">
        <v>0</v>
      </c>
      <c r="AD3529">
        <v>19</v>
      </c>
      <c r="AE3529">
        <v>0</v>
      </c>
      <c r="AF3529">
        <v>0</v>
      </c>
      <c r="AG3529">
        <v>0</v>
      </c>
      <c r="AH3529">
        <v>0</v>
      </c>
      <c r="AI3529">
        <v>0</v>
      </c>
      <c r="AJ3529">
        <v>0</v>
      </c>
      <c r="AK3529">
        <v>0</v>
      </c>
    </row>
    <row r="3530" spans="1:37" x14ac:dyDescent="0.3">
      <c r="A3530">
        <v>7134</v>
      </c>
      <c r="B3530" t="s">
        <v>28</v>
      </c>
      <c r="C3530">
        <v>399</v>
      </c>
      <c r="D3530" t="s">
        <v>3561</v>
      </c>
      <c r="E3530">
        <v>99999999</v>
      </c>
      <c r="F3530">
        <v>11111111</v>
      </c>
      <c r="G3530">
        <v>1111111111</v>
      </c>
      <c r="H3530" t="s">
        <v>7099</v>
      </c>
      <c r="I3530">
        <v>99999999</v>
      </c>
      <c r="J3530" s="188">
        <v>45236</v>
      </c>
      <c r="K3530" t="s">
        <v>7099</v>
      </c>
      <c r="L3530" t="s">
        <v>7099</v>
      </c>
      <c r="M3530" t="s">
        <v>3298</v>
      </c>
      <c r="N3530" t="s">
        <v>99</v>
      </c>
      <c r="O3530">
        <v>91761</v>
      </c>
      <c r="Q3530" t="s">
        <v>124</v>
      </c>
      <c r="R3530">
        <v>7</v>
      </c>
      <c r="S3530">
        <v>5.4359999999999999</v>
      </c>
      <c r="T3530">
        <v>0</v>
      </c>
      <c r="U3530">
        <v>0</v>
      </c>
      <c r="V3530">
        <v>5</v>
      </c>
      <c r="W3530">
        <v>0</v>
      </c>
      <c r="X3530">
        <v>0</v>
      </c>
      <c r="Y3530">
        <v>0</v>
      </c>
      <c r="Z3530">
        <v>0</v>
      </c>
      <c r="AA3530">
        <v>0</v>
      </c>
      <c r="AB3530">
        <v>0</v>
      </c>
      <c r="AC3530">
        <v>0</v>
      </c>
      <c r="AD3530">
        <v>7</v>
      </c>
      <c r="AE3530">
        <v>0</v>
      </c>
      <c r="AF3530">
        <v>0</v>
      </c>
      <c r="AG3530">
        <v>0</v>
      </c>
      <c r="AH3530">
        <v>0</v>
      </c>
      <c r="AI3530">
        <v>0</v>
      </c>
      <c r="AJ3530">
        <v>0</v>
      </c>
      <c r="AK3530">
        <v>0</v>
      </c>
    </row>
    <row r="3531" spans="1:37" x14ac:dyDescent="0.3">
      <c r="A3531">
        <v>7134</v>
      </c>
      <c r="B3531" t="s">
        <v>28</v>
      </c>
      <c r="C3531">
        <v>399</v>
      </c>
      <c r="D3531" t="s">
        <v>3561</v>
      </c>
      <c r="E3531">
        <v>99999999</v>
      </c>
      <c r="F3531">
        <v>11111111</v>
      </c>
      <c r="G3531">
        <v>1111111111</v>
      </c>
      <c r="H3531" t="s">
        <v>7100</v>
      </c>
      <c r="I3531">
        <v>99999999</v>
      </c>
      <c r="J3531" s="188">
        <v>45236</v>
      </c>
      <c r="K3531" t="s">
        <v>7100</v>
      </c>
      <c r="L3531" t="s">
        <v>7100</v>
      </c>
      <c r="M3531" t="s">
        <v>3298</v>
      </c>
      <c r="N3531" t="s">
        <v>99</v>
      </c>
      <c r="O3531">
        <v>91761</v>
      </c>
      <c r="Q3531" t="s">
        <v>124</v>
      </c>
      <c r="R3531">
        <v>42</v>
      </c>
      <c r="S3531">
        <v>40.988</v>
      </c>
      <c r="T3531">
        <v>0</v>
      </c>
      <c r="U3531">
        <v>0</v>
      </c>
      <c r="V3531">
        <v>10</v>
      </c>
      <c r="W3531">
        <v>0</v>
      </c>
      <c r="X3531">
        <v>0</v>
      </c>
      <c r="Y3531">
        <v>0</v>
      </c>
      <c r="Z3531">
        <v>0</v>
      </c>
      <c r="AA3531">
        <v>0</v>
      </c>
      <c r="AB3531">
        <v>0</v>
      </c>
      <c r="AC3531">
        <v>0</v>
      </c>
      <c r="AD3531">
        <v>42</v>
      </c>
      <c r="AE3531">
        <v>0</v>
      </c>
      <c r="AF3531">
        <v>0</v>
      </c>
      <c r="AG3531">
        <v>0</v>
      </c>
      <c r="AH3531">
        <v>0</v>
      </c>
      <c r="AI3531">
        <v>0</v>
      </c>
      <c r="AJ3531">
        <v>0</v>
      </c>
      <c r="AK3531">
        <v>0</v>
      </c>
    </row>
    <row r="3532" spans="1:37" x14ac:dyDescent="0.3">
      <c r="A3532">
        <v>7134</v>
      </c>
      <c r="B3532" t="s">
        <v>28</v>
      </c>
      <c r="C3532">
        <v>399</v>
      </c>
      <c r="D3532" t="s">
        <v>3561</v>
      </c>
      <c r="E3532">
        <v>99999999</v>
      </c>
      <c r="F3532">
        <v>11111111</v>
      </c>
      <c r="G3532">
        <v>1111111111</v>
      </c>
      <c r="H3532" t="s">
        <v>7101</v>
      </c>
      <c r="I3532">
        <v>99999999</v>
      </c>
      <c r="J3532" s="188">
        <v>45236</v>
      </c>
      <c r="K3532" t="s">
        <v>7101</v>
      </c>
      <c r="L3532" t="s">
        <v>7101</v>
      </c>
      <c r="M3532" t="s">
        <v>3298</v>
      </c>
      <c r="N3532" t="s">
        <v>99</v>
      </c>
      <c r="O3532">
        <v>91761</v>
      </c>
      <c r="Q3532" t="s">
        <v>124</v>
      </c>
      <c r="R3532">
        <v>47</v>
      </c>
      <c r="S3532">
        <v>40.116</v>
      </c>
      <c r="T3532">
        <v>0</v>
      </c>
      <c r="U3532">
        <v>0</v>
      </c>
      <c r="V3532">
        <v>12</v>
      </c>
      <c r="W3532">
        <v>0</v>
      </c>
      <c r="X3532">
        <v>0</v>
      </c>
      <c r="Y3532">
        <v>0</v>
      </c>
      <c r="Z3532">
        <v>0</v>
      </c>
      <c r="AA3532">
        <v>0</v>
      </c>
      <c r="AB3532">
        <v>0</v>
      </c>
      <c r="AC3532">
        <v>0</v>
      </c>
      <c r="AD3532">
        <v>47</v>
      </c>
      <c r="AE3532">
        <v>0</v>
      </c>
      <c r="AF3532">
        <v>0</v>
      </c>
      <c r="AG3532">
        <v>0</v>
      </c>
      <c r="AH3532">
        <v>0</v>
      </c>
      <c r="AI3532">
        <v>0</v>
      </c>
      <c r="AJ3532">
        <v>0</v>
      </c>
      <c r="AK3532">
        <v>0</v>
      </c>
    </row>
    <row r="3533" spans="1:37" x14ac:dyDescent="0.3">
      <c r="A3533">
        <v>7134</v>
      </c>
      <c r="B3533" t="s">
        <v>28</v>
      </c>
      <c r="C3533">
        <v>399</v>
      </c>
      <c r="D3533" t="s">
        <v>3561</v>
      </c>
      <c r="E3533">
        <v>99999999</v>
      </c>
      <c r="F3533">
        <v>11111111</v>
      </c>
      <c r="G3533">
        <v>1111111111</v>
      </c>
      <c r="H3533" t="s">
        <v>7102</v>
      </c>
      <c r="I3533">
        <v>99999999</v>
      </c>
      <c r="J3533" s="188">
        <v>45236</v>
      </c>
      <c r="K3533" t="s">
        <v>7102</v>
      </c>
      <c r="L3533" t="s">
        <v>7102</v>
      </c>
      <c r="M3533" t="s">
        <v>3298</v>
      </c>
      <c r="N3533" t="s">
        <v>99</v>
      </c>
      <c r="O3533">
        <v>91761</v>
      </c>
      <c r="Q3533" t="s">
        <v>124</v>
      </c>
      <c r="R3533">
        <v>25</v>
      </c>
      <c r="S3533">
        <v>22.52</v>
      </c>
      <c r="T3533">
        <v>0</v>
      </c>
      <c r="U3533">
        <v>0</v>
      </c>
      <c r="V3533">
        <v>10</v>
      </c>
      <c r="W3533">
        <v>0</v>
      </c>
      <c r="X3533">
        <v>0</v>
      </c>
      <c r="Y3533">
        <v>0</v>
      </c>
      <c r="Z3533">
        <v>0</v>
      </c>
      <c r="AA3533">
        <v>0</v>
      </c>
      <c r="AB3533">
        <v>0</v>
      </c>
      <c r="AC3533">
        <v>0</v>
      </c>
      <c r="AD3533">
        <v>25</v>
      </c>
      <c r="AE3533">
        <v>0</v>
      </c>
      <c r="AF3533">
        <v>0</v>
      </c>
      <c r="AG3533">
        <v>0</v>
      </c>
      <c r="AH3533">
        <v>0</v>
      </c>
      <c r="AI3533">
        <v>0</v>
      </c>
      <c r="AJ3533">
        <v>0</v>
      </c>
      <c r="AK3533">
        <v>0</v>
      </c>
    </row>
    <row r="3534" spans="1:37" x14ac:dyDescent="0.3">
      <c r="A3534">
        <v>7134</v>
      </c>
      <c r="B3534" t="s">
        <v>28</v>
      </c>
      <c r="C3534">
        <v>399</v>
      </c>
      <c r="D3534" t="s">
        <v>3561</v>
      </c>
      <c r="E3534">
        <v>99999999</v>
      </c>
      <c r="F3534">
        <v>11111111</v>
      </c>
      <c r="G3534">
        <v>1111111111</v>
      </c>
      <c r="H3534" t="s">
        <v>7103</v>
      </c>
      <c r="I3534">
        <v>99999999</v>
      </c>
      <c r="J3534" s="188">
        <v>45236</v>
      </c>
      <c r="K3534" t="s">
        <v>7103</v>
      </c>
      <c r="L3534" t="s">
        <v>7103</v>
      </c>
      <c r="M3534" t="s">
        <v>3298</v>
      </c>
      <c r="N3534" t="s">
        <v>99</v>
      </c>
      <c r="O3534">
        <v>91761</v>
      </c>
      <c r="Q3534" t="s">
        <v>124</v>
      </c>
      <c r="R3534">
        <v>6</v>
      </c>
      <c r="S3534">
        <v>5.42</v>
      </c>
      <c r="T3534">
        <v>0</v>
      </c>
      <c r="U3534">
        <v>0</v>
      </c>
      <c r="V3534">
        <v>5</v>
      </c>
      <c r="W3534">
        <v>0</v>
      </c>
      <c r="X3534">
        <v>0</v>
      </c>
      <c r="Y3534">
        <v>0</v>
      </c>
      <c r="Z3534">
        <v>0</v>
      </c>
      <c r="AA3534">
        <v>0</v>
      </c>
      <c r="AB3534">
        <v>0</v>
      </c>
      <c r="AC3534">
        <v>0</v>
      </c>
      <c r="AD3534">
        <v>6</v>
      </c>
      <c r="AE3534">
        <v>0</v>
      </c>
      <c r="AF3534">
        <v>0</v>
      </c>
      <c r="AG3534">
        <v>0</v>
      </c>
      <c r="AH3534">
        <v>0</v>
      </c>
      <c r="AI3534">
        <v>0</v>
      </c>
      <c r="AJ3534">
        <v>0</v>
      </c>
      <c r="AK3534">
        <v>0</v>
      </c>
    </row>
    <row r="3535" spans="1:37" x14ac:dyDescent="0.3">
      <c r="A3535">
        <v>7134</v>
      </c>
      <c r="B3535" t="s">
        <v>28</v>
      </c>
      <c r="C3535">
        <v>399</v>
      </c>
      <c r="D3535" t="s">
        <v>3561</v>
      </c>
      <c r="E3535">
        <v>99999999</v>
      </c>
      <c r="F3535">
        <v>11111111</v>
      </c>
      <c r="G3535">
        <v>1111111111</v>
      </c>
      <c r="H3535" t="s">
        <v>7104</v>
      </c>
      <c r="I3535">
        <v>99999999</v>
      </c>
      <c r="J3535" s="188">
        <v>45236</v>
      </c>
      <c r="K3535" t="s">
        <v>7104</v>
      </c>
      <c r="L3535" t="s">
        <v>7104</v>
      </c>
      <c r="M3535" t="s">
        <v>3298</v>
      </c>
      <c r="N3535" t="s">
        <v>99</v>
      </c>
      <c r="O3535">
        <v>91761</v>
      </c>
      <c r="Q3535" t="s">
        <v>124</v>
      </c>
      <c r="R3535">
        <v>9</v>
      </c>
      <c r="S3535">
        <v>7.9160000000000004</v>
      </c>
      <c r="T3535">
        <v>0</v>
      </c>
      <c r="U3535">
        <v>0</v>
      </c>
      <c r="V3535">
        <v>8</v>
      </c>
      <c r="W3535">
        <v>0</v>
      </c>
      <c r="X3535">
        <v>0</v>
      </c>
      <c r="Y3535">
        <v>0</v>
      </c>
      <c r="Z3535">
        <v>0</v>
      </c>
      <c r="AA3535">
        <v>0</v>
      </c>
      <c r="AB3535">
        <v>0</v>
      </c>
      <c r="AC3535">
        <v>0</v>
      </c>
      <c r="AD3535">
        <v>9</v>
      </c>
      <c r="AE3535">
        <v>0</v>
      </c>
      <c r="AF3535">
        <v>0</v>
      </c>
      <c r="AG3535">
        <v>0</v>
      </c>
      <c r="AH3535">
        <v>0</v>
      </c>
      <c r="AI3535">
        <v>0</v>
      </c>
      <c r="AJ3535">
        <v>0</v>
      </c>
      <c r="AK3535">
        <v>0</v>
      </c>
    </row>
    <row r="3536" spans="1:37" x14ac:dyDescent="0.3">
      <c r="A3536">
        <v>7134</v>
      </c>
      <c r="B3536" t="s">
        <v>28</v>
      </c>
      <c r="C3536">
        <v>399</v>
      </c>
      <c r="D3536" t="s">
        <v>3561</v>
      </c>
      <c r="E3536">
        <v>99999999</v>
      </c>
      <c r="F3536">
        <v>11111111</v>
      </c>
      <c r="G3536">
        <v>1111111111</v>
      </c>
      <c r="H3536" t="s">
        <v>7105</v>
      </c>
      <c r="I3536">
        <v>99999999</v>
      </c>
      <c r="J3536" s="188">
        <v>45236</v>
      </c>
      <c r="K3536" t="s">
        <v>7105</v>
      </c>
      <c r="L3536" t="s">
        <v>7105</v>
      </c>
      <c r="M3536" t="s">
        <v>3298</v>
      </c>
      <c r="N3536" t="s">
        <v>99</v>
      </c>
      <c r="O3536">
        <v>91761</v>
      </c>
      <c r="Q3536" t="s">
        <v>124</v>
      </c>
      <c r="R3536">
        <v>60</v>
      </c>
      <c r="S3536">
        <v>53.911999999999999</v>
      </c>
      <c r="T3536">
        <v>0</v>
      </c>
      <c r="U3536">
        <v>0</v>
      </c>
      <c r="V3536">
        <v>12</v>
      </c>
      <c r="W3536">
        <v>0</v>
      </c>
      <c r="X3536">
        <v>0</v>
      </c>
      <c r="Y3536">
        <v>0</v>
      </c>
      <c r="Z3536">
        <v>0</v>
      </c>
      <c r="AA3536">
        <v>0</v>
      </c>
      <c r="AB3536">
        <v>0</v>
      </c>
      <c r="AC3536">
        <v>0</v>
      </c>
      <c r="AD3536">
        <v>60</v>
      </c>
      <c r="AE3536">
        <v>0</v>
      </c>
      <c r="AF3536">
        <v>0</v>
      </c>
      <c r="AG3536">
        <v>0</v>
      </c>
      <c r="AH3536">
        <v>0</v>
      </c>
      <c r="AI3536">
        <v>0</v>
      </c>
      <c r="AJ3536">
        <v>0</v>
      </c>
      <c r="AK3536">
        <v>0</v>
      </c>
    </row>
    <row r="3537" spans="1:37" x14ac:dyDescent="0.3">
      <c r="A3537">
        <v>7134</v>
      </c>
      <c r="B3537" t="s">
        <v>28</v>
      </c>
      <c r="C3537">
        <v>399</v>
      </c>
      <c r="D3537" t="s">
        <v>3561</v>
      </c>
      <c r="E3537">
        <v>99999999</v>
      </c>
      <c r="F3537">
        <v>11111111</v>
      </c>
      <c r="G3537">
        <v>1111111111</v>
      </c>
      <c r="H3537" t="s">
        <v>7106</v>
      </c>
      <c r="I3537">
        <v>99999999</v>
      </c>
      <c r="J3537" s="188">
        <v>45236</v>
      </c>
      <c r="K3537" t="s">
        <v>7106</v>
      </c>
      <c r="L3537" t="s">
        <v>7106</v>
      </c>
      <c r="M3537" t="s">
        <v>3298</v>
      </c>
      <c r="N3537" t="s">
        <v>99</v>
      </c>
      <c r="O3537">
        <v>91761</v>
      </c>
      <c r="Q3537" t="s">
        <v>124</v>
      </c>
      <c r="R3537">
        <v>25</v>
      </c>
      <c r="S3537">
        <v>22.846</v>
      </c>
      <c r="T3537">
        <v>0</v>
      </c>
      <c r="U3537">
        <v>0</v>
      </c>
      <c r="V3537">
        <v>10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0</v>
      </c>
      <c r="AD3537">
        <v>25</v>
      </c>
      <c r="AE3537">
        <v>0</v>
      </c>
      <c r="AF3537">
        <v>0</v>
      </c>
      <c r="AG3537">
        <v>0</v>
      </c>
      <c r="AH3537">
        <v>0</v>
      </c>
      <c r="AI3537">
        <v>0</v>
      </c>
      <c r="AJ3537">
        <v>0</v>
      </c>
      <c r="AK3537">
        <v>0</v>
      </c>
    </row>
    <row r="3538" spans="1:37" x14ac:dyDescent="0.3">
      <c r="A3538">
        <v>7134</v>
      </c>
      <c r="B3538" t="s">
        <v>28</v>
      </c>
      <c r="C3538">
        <v>399</v>
      </c>
      <c r="D3538" t="s">
        <v>3561</v>
      </c>
      <c r="E3538">
        <v>99999999</v>
      </c>
      <c r="F3538">
        <v>11111111</v>
      </c>
      <c r="G3538">
        <v>1111111111</v>
      </c>
      <c r="H3538" t="s">
        <v>7107</v>
      </c>
      <c r="I3538">
        <v>99999999</v>
      </c>
      <c r="J3538" s="188">
        <v>45236</v>
      </c>
      <c r="K3538" t="s">
        <v>7107</v>
      </c>
      <c r="L3538" t="s">
        <v>7107</v>
      </c>
      <c r="M3538" t="s">
        <v>3298</v>
      </c>
      <c r="N3538" t="s">
        <v>99</v>
      </c>
      <c r="O3538">
        <v>91761</v>
      </c>
      <c r="Q3538" t="s">
        <v>124</v>
      </c>
      <c r="R3538">
        <v>10</v>
      </c>
      <c r="S3538">
        <v>8.07</v>
      </c>
      <c r="T3538">
        <v>0</v>
      </c>
      <c r="U3538">
        <v>0</v>
      </c>
      <c r="V3538">
        <v>7</v>
      </c>
      <c r="W3538">
        <v>0</v>
      </c>
      <c r="X3538">
        <v>0</v>
      </c>
      <c r="Y3538">
        <v>0</v>
      </c>
      <c r="Z3538">
        <v>0</v>
      </c>
      <c r="AA3538">
        <v>0</v>
      </c>
      <c r="AB3538">
        <v>0</v>
      </c>
      <c r="AC3538">
        <v>0</v>
      </c>
      <c r="AD3538">
        <v>10</v>
      </c>
      <c r="AE3538">
        <v>0</v>
      </c>
      <c r="AF3538">
        <v>0</v>
      </c>
      <c r="AG3538">
        <v>0</v>
      </c>
      <c r="AH3538">
        <v>0</v>
      </c>
      <c r="AI3538">
        <v>0</v>
      </c>
      <c r="AJ3538">
        <v>0</v>
      </c>
      <c r="AK3538">
        <v>0</v>
      </c>
    </row>
    <row r="3539" spans="1:37" x14ac:dyDescent="0.3">
      <c r="A3539">
        <v>7134</v>
      </c>
      <c r="B3539" t="s">
        <v>28</v>
      </c>
      <c r="C3539">
        <v>89</v>
      </c>
      <c r="D3539" t="s">
        <v>3561</v>
      </c>
      <c r="E3539">
        <v>99999999</v>
      </c>
      <c r="F3539">
        <v>11111111</v>
      </c>
      <c r="G3539">
        <v>1111111111</v>
      </c>
      <c r="H3539" t="s">
        <v>7108</v>
      </c>
      <c r="I3539">
        <v>99999999</v>
      </c>
      <c r="J3539" s="188">
        <v>45236</v>
      </c>
      <c r="K3539" t="s">
        <v>7108</v>
      </c>
      <c r="L3539" t="s">
        <v>7108</v>
      </c>
      <c r="Q3539" t="s">
        <v>124</v>
      </c>
      <c r="R3539">
        <v>0</v>
      </c>
      <c r="T3539">
        <v>1</v>
      </c>
      <c r="U3539">
        <v>25</v>
      </c>
      <c r="V3539">
        <v>0</v>
      </c>
      <c r="W3539">
        <v>0</v>
      </c>
      <c r="X3539">
        <v>0</v>
      </c>
      <c r="Y3539">
        <v>0</v>
      </c>
      <c r="Z3539">
        <v>0</v>
      </c>
      <c r="AA3539">
        <v>0</v>
      </c>
      <c r="AB3539">
        <v>0</v>
      </c>
      <c r="AC3539">
        <v>0</v>
      </c>
      <c r="AD3539">
        <v>0</v>
      </c>
      <c r="AE3539">
        <v>0</v>
      </c>
      <c r="AF3539">
        <v>0</v>
      </c>
      <c r="AG3539">
        <v>0</v>
      </c>
      <c r="AH3539">
        <v>0</v>
      </c>
      <c r="AI3539">
        <v>0</v>
      </c>
      <c r="AJ3539">
        <v>0</v>
      </c>
      <c r="AK3539">
        <v>0</v>
      </c>
    </row>
    <row r="3540" spans="1:37" x14ac:dyDescent="0.3">
      <c r="A3540">
        <v>7134</v>
      </c>
      <c r="B3540" t="s">
        <v>28</v>
      </c>
      <c r="C3540">
        <v>89</v>
      </c>
      <c r="D3540" t="s">
        <v>3561</v>
      </c>
      <c r="E3540">
        <v>99999999</v>
      </c>
      <c r="F3540">
        <v>11111111</v>
      </c>
      <c r="G3540">
        <v>1111111111</v>
      </c>
      <c r="H3540" t="s">
        <v>7109</v>
      </c>
      <c r="I3540">
        <v>99999999</v>
      </c>
      <c r="J3540" s="188">
        <v>45236</v>
      </c>
      <c r="K3540" t="s">
        <v>7109</v>
      </c>
      <c r="L3540" t="s">
        <v>7109</v>
      </c>
      <c r="M3540" t="s">
        <v>173</v>
      </c>
      <c r="N3540" t="s">
        <v>164</v>
      </c>
      <c r="O3540">
        <v>97203</v>
      </c>
      <c r="Q3540" t="s">
        <v>124</v>
      </c>
      <c r="R3540">
        <v>12</v>
      </c>
      <c r="S3540">
        <v>11.186</v>
      </c>
      <c r="T3540">
        <v>0</v>
      </c>
      <c r="U3540">
        <v>0</v>
      </c>
      <c r="V3540">
        <v>9</v>
      </c>
      <c r="W3540">
        <v>0</v>
      </c>
      <c r="X3540">
        <v>0</v>
      </c>
      <c r="Y3540">
        <v>0</v>
      </c>
      <c r="Z3540">
        <v>0</v>
      </c>
      <c r="AA3540">
        <v>0</v>
      </c>
      <c r="AB3540">
        <v>0</v>
      </c>
      <c r="AC3540">
        <v>0</v>
      </c>
      <c r="AD3540">
        <v>12</v>
      </c>
      <c r="AE3540">
        <v>0</v>
      </c>
      <c r="AF3540">
        <v>0</v>
      </c>
      <c r="AG3540">
        <v>0</v>
      </c>
      <c r="AH3540">
        <v>0</v>
      </c>
      <c r="AI3540">
        <v>0</v>
      </c>
      <c r="AJ3540">
        <v>0</v>
      </c>
      <c r="AK3540">
        <v>0</v>
      </c>
    </row>
    <row r="3541" spans="1:37" x14ac:dyDescent="0.3">
      <c r="A3541">
        <v>7134</v>
      </c>
      <c r="B3541" t="s">
        <v>28</v>
      </c>
      <c r="C3541">
        <v>89</v>
      </c>
      <c r="D3541" t="s">
        <v>3561</v>
      </c>
      <c r="E3541">
        <v>99999999</v>
      </c>
      <c r="F3541">
        <v>11111111</v>
      </c>
      <c r="G3541">
        <v>1111111111</v>
      </c>
      <c r="H3541" t="s">
        <v>7110</v>
      </c>
      <c r="I3541">
        <v>99999999</v>
      </c>
      <c r="J3541" s="188">
        <v>45236</v>
      </c>
      <c r="K3541" t="s">
        <v>7110</v>
      </c>
      <c r="L3541" t="s">
        <v>7110</v>
      </c>
      <c r="M3541" t="s">
        <v>173</v>
      </c>
      <c r="N3541" t="s">
        <v>164</v>
      </c>
      <c r="O3541">
        <v>97203</v>
      </c>
      <c r="Q3541" t="s">
        <v>124</v>
      </c>
      <c r="R3541">
        <v>10</v>
      </c>
      <c r="S3541">
        <v>10.3</v>
      </c>
      <c r="T3541">
        <v>0</v>
      </c>
      <c r="U3541">
        <v>0</v>
      </c>
      <c r="V3541">
        <v>8</v>
      </c>
      <c r="W3541">
        <v>0</v>
      </c>
      <c r="X3541">
        <v>0</v>
      </c>
      <c r="Y3541">
        <v>0</v>
      </c>
      <c r="Z3541">
        <v>0</v>
      </c>
      <c r="AA3541">
        <v>0</v>
      </c>
      <c r="AB3541">
        <v>0</v>
      </c>
      <c r="AC3541">
        <v>0</v>
      </c>
      <c r="AD3541">
        <v>10</v>
      </c>
      <c r="AE3541">
        <v>0</v>
      </c>
      <c r="AF3541">
        <v>0</v>
      </c>
      <c r="AG3541">
        <v>0</v>
      </c>
      <c r="AH3541">
        <v>0</v>
      </c>
      <c r="AI3541">
        <v>0</v>
      </c>
      <c r="AJ3541">
        <v>0</v>
      </c>
      <c r="AK3541">
        <v>0</v>
      </c>
    </row>
    <row r="3542" spans="1:37" x14ac:dyDescent="0.3">
      <c r="A3542">
        <v>7134</v>
      </c>
      <c r="B3542" t="s">
        <v>28</v>
      </c>
      <c r="C3542">
        <v>89</v>
      </c>
      <c r="D3542" t="s">
        <v>3561</v>
      </c>
      <c r="E3542">
        <v>99999999</v>
      </c>
      <c r="F3542">
        <v>11111111</v>
      </c>
      <c r="G3542">
        <v>1111111111</v>
      </c>
      <c r="H3542" t="s">
        <v>7111</v>
      </c>
      <c r="I3542">
        <v>99999999</v>
      </c>
      <c r="J3542" s="188">
        <v>45236</v>
      </c>
      <c r="K3542" t="s">
        <v>7111</v>
      </c>
      <c r="L3542" t="s">
        <v>7111</v>
      </c>
      <c r="M3542" t="s">
        <v>173</v>
      </c>
      <c r="N3542" t="s">
        <v>164</v>
      </c>
      <c r="O3542">
        <v>97203</v>
      </c>
      <c r="Q3542" t="s">
        <v>124</v>
      </c>
      <c r="R3542">
        <v>14</v>
      </c>
      <c r="S3542">
        <v>11.186</v>
      </c>
      <c r="T3542">
        <v>0</v>
      </c>
      <c r="U3542">
        <v>0</v>
      </c>
      <c r="V3542">
        <v>10</v>
      </c>
      <c r="W3542">
        <v>0</v>
      </c>
      <c r="X3542">
        <v>0</v>
      </c>
      <c r="Y3542">
        <v>0</v>
      </c>
      <c r="Z3542">
        <v>0</v>
      </c>
      <c r="AA3542">
        <v>0</v>
      </c>
      <c r="AB3542">
        <v>0</v>
      </c>
      <c r="AC3542">
        <v>0</v>
      </c>
      <c r="AD3542">
        <v>14</v>
      </c>
      <c r="AE3542">
        <v>0</v>
      </c>
      <c r="AF3542">
        <v>0</v>
      </c>
      <c r="AG3542">
        <v>0</v>
      </c>
      <c r="AH3542">
        <v>0</v>
      </c>
      <c r="AI3542">
        <v>0</v>
      </c>
      <c r="AJ3542">
        <v>0</v>
      </c>
      <c r="AK3542">
        <v>0</v>
      </c>
    </row>
    <row r="3543" spans="1:37" x14ac:dyDescent="0.3">
      <c r="A3543">
        <v>7134</v>
      </c>
      <c r="B3543" t="s">
        <v>28</v>
      </c>
      <c r="C3543">
        <v>89</v>
      </c>
      <c r="D3543" t="s">
        <v>3561</v>
      </c>
      <c r="E3543">
        <v>99999999</v>
      </c>
      <c r="F3543">
        <v>11111111</v>
      </c>
      <c r="G3543">
        <v>1111111111</v>
      </c>
      <c r="H3543" t="s">
        <v>7112</v>
      </c>
      <c r="I3543">
        <v>99999999</v>
      </c>
      <c r="J3543" s="188">
        <v>45236</v>
      </c>
      <c r="K3543" t="s">
        <v>7112</v>
      </c>
      <c r="L3543" t="s">
        <v>7112</v>
      </c>
      <c r="M3543" t="s">
        <v>173</v>
      </c>
      <c r="N3543" t="s">
        <v>164</v>
      </c>
      <c r="O3543">
        <v>97203</v>
      </c>
      <c r="Q3543" t="s">
        <v>124</v>
      </c>
      <c r="R3543">
        <v>4</v>
      </c>
      <c r="S3543">
        <v>3.3359999999999999</v>
      </c>
      <c r="T3543">
        <v>0</v>
      </c>
      <c r="U3543">
        <v>0</v>
      </c>
      <c r="V3543">
        <v>4</v>
      </c>
      <c r="W3543">
        <v>0</v>
      </c>
      <c r="X3543">
        <v>0</v>
      </c>
      <c r="Y3543">
        <v>0</v>
      </c>
      <c r="Z3543">
        <v>0</v>
      </c>
      <c r="AA3543">
        <v>0</v>
      </c>
      <c r="AB3543">
        <v>0</v>
      </c>
      <c r="AC3543">
        <v>0</v>
      </c>
      <c r="AD3543">
        <v>4</v>
      </c>
      <c r="AE3543">
        <v>0</v>
      </c>
      <c r="AF3543">
        <v>0</v>
      </c>
      <c r="AG3543">
        <v>0</v>
      </c>
      <c r="AH3543">
        <v>0</v>
      </c>
      <c r="AI3543">
        <v>0</v>
      </c>
      <c r="AJ3543">
        <v>0</v>
      </c>
      <c r="AK3543">
        <v>0</v>
      </c>
    </row>
    <row r="3544" spans="1:37" x14ac:dyDescent="0.3">
      <c r="A3544">
        <v>7134</v>
      </c>
      <c r="B3544" t="s">
        <v>28</v>
      </c>
      <c r="C3544">
        <v>89</v>
      </c>
      <c r="D3544" t="s">
        <v>3561</v>
      </c>
      <c r="E3544">
        <v>99999999</v>
      </c>
      <c r="F3544">
        <v>11111111</v>
      </c>
      <c r="G3544">
        <v>1111111111</v>
      </c>
      <c r="H3544" t="s">
        <v>7113</v>
      </c>
      <c r="I3544">
        <v>99999999</v>
      </c>
      <c r="J3544" s="188">
        <v>45236</v>
      </c>
      <c r="K3544" t="s">
        <v>7113</v>
      </c>
      <c r="L3544" t="s">
        <v>7113</v>
      </c>
      <c r="M3544" t="s">
        <v>173</v>
      </c>
      <c r="N3544" t="s">
        <v>164</v>
      </c>
      <c r="O3544">
        <v>97203</v>
      </c>
      <c r="Q3544" t="s">
        <v>124</v>
      </c>
      <c r="R3544">
        <v>21</v>
      </c>
      <c r="S3544">
        <v>16.762</v>
      </c>
      <c r="T3544">
        <v>0</v>
      </c>
      <c r="U3544">
        <v>0</v>
      </c>
      <c r="V3544">
        <v>8</v>
      </c>
      <c r="W3544">
        <v>0</v>
      </c>
      <c r="X3544">
        <v>0</v>
      </c>
      <c r="Y3544">
        <v>0</v>
      </c>
      <c r="Z3544">
        <v>0</v>
      </c>
      <c r="AA3544">
        <v>0</v>
      </c>
      <c r="AB3544">
        <v>0</v>
      </c>
      <c r="AC3544">
        <v>0</v>
      </c>
      <c r="AD3544">
        <v>21</v>
      </c>
      <c r="AE3544">
        <v>0</v>
      </c>
      <c r="AF3544">
        <v>0</v>
      </c>
      <c r="AG3544">
        <v>0</v>
      </c>
      <c r="AH3544">
        <v>0</v>
      </c>
      <c r="AI3544">
        <v>0</v>
      </c>
      <c r="AJ3544">
        <v>0</v>
      </c>
      <c r="AK3544">
        <v>0</v>
      </c>
    </row>
    <row r="3545" spans="1:37" x14ac:dyDescent="0.3">
      <c r="A3545">
        <v>7134</v>
      </c>
      <c r="B3545" t="s">
        <v>28</v>
      </c>
      <c r="C3545">
        <v>89</v>
      </c>
      <c r="D3545" t="s">
        <v>3561</v>
      </c>
      <c r="E3545">
        <v>99999999</v>
      </c>
      <c r="F3545">
        <v>11111111</v>
      </c>
      <c r="G3545">
        <v>1111111111</v>
      </c>
      <c r="H3545" t="s">
        <v>7114</v>
      </c>
      <c r="I3545">
        <v>99999999</v>
      </c>
      <c r="J3545" s="188">
        <v>45236</v>
      </c>
      <c r="K3545" t="s">
        <v>7114</v>
      </c>
      <c r="L3545" t="s">
        <v>7114</v>
      </c>
      <c r="M3545" t="s">
        <v>173</v>
      </c>
      <c r="N3545" t="s">
        <v>164</v>
      </c>
      <c r="O3545">
        <v>97203</v>
      </c>
      <c r="Q3545" t="s">
        <v>124</v>
      </c>
      <c r="R3545">
        <v>14</v>
      </c>
      <c r="S3545">
        <v>12.346</v>
      </c>
      <c r="T3545">
        <v>0</v>
      </c>
      <c r="U3545">
        <v>0</v>
      </c>
      <c r="V3545">
        <v>8</v>
      </c>
      <c r="W3545">
        <v>0</v>
      </c>
      <c r="X3545">
        <v>0</v>
      </c>
      <c r="Y3545">
        <v>0</v>
      </c>
      <c r="Z3545">
        <v>0</v>
      </c>
      <c r="AA3545">
        <v>0</v>
      </c>
      <c r="AB3545">
        <v>0</v>
      </c>
      <c r="AC3545">
        <v>0</v>
      </c>
      <c r="AD3545">
        <v>14</v>
      </c>
      <c r="AE3545">
        <v>0</v>
      </c>
      <c r="AF3545">
        <v>0</v>
      </c>
      <c r="AG3545">
        <v>0</v>
      </c>
      <c r="AH3545">
        <v>0</v>
      </c>
      <c r="AI3545">
        <v>0</v>
      </c>
      <c r="AJ3545">
        <v>0</v>
      </c>
      <c r="AK3545">
        <v>0</v>
      </c>
    </row>
    <row r="3546" spans="1:37" x14ac:dyDescent="0.3">
      <c r="A3546">
        <v>7134</v>
      </c>
      <c r="B3546" t="s">
        <v>28</v>
      </c>
      <c r="C3546">
        <v>89</v>
      </c>
      <c r="D3546" t="s">
        <v>3561</v>
      </c>
      <c r="E3546">
        <v>99999999</v>
      </c>
      <c r="F3546">
        <v>11111111</v>
      </c>
      <c r="G3546">
        <v>1111111111</v>
      </c>
      <c r="H3546" t="s">
        <v>7115</v>
      </c>
      <c r="I3546">
        <v>99999999</v>
      </c>
      <c r="J3546" s="188">
        <v>45236</v>
      </c>
      <c r="K3546" t="s">
        <v>7115</v>
      </c>
      <c r="L3546" t="s">
        <v>7115</v>
      </c>
      <c r="M3546" t="s">
        <v>173</v>
      </c>
      <c r="N3546" t="s">
        <v>164</v>
      </c>
      <c r="O3546">
        <v>97203</v>
      </c>
      <c r="Q3546" t="s">
        <v>124</v>
      </c>
      <c r="R3546">
        <v>4</v>
      </c>
      <c r="S3546">
        <v>3.78</v>
      </c>
      <c r="T3546">
        <v>0</v>
      </c>
      <c r="U3546">
        <v>0</v>
      </c>
      <c r="V3546">
        <v>4</v>
      </c>
      <c r="W3546">
        <v>0</v>
      </c>
      <c r="X3546">
        <v>0</v>
      </c>
      <c r="Y3546">
        <v>0</v>
      </c>
      <c r="Z3546">
        <v>0</v>
      </c>
      <c r="AA3546">
        <v>0</v>
      </c>
      <c r="AB3546">
        <v>0</v>
      </c>
      <c r="AC3546">
        <v>0</v>
      </c>
      <c r="AD3546">
        <v>4</v>
      </c>
      <c r="AE3546">
        <v>0</v>
      </c>
      <c r="AF3546">
        <v>0</v>
      </c>
      <c r="AG3546">
        <v>0</v>
      </c>
      <c r="AH3546">
        <v>0</v>
      </c>
      <c r="AI3546">
        <v>0</v>
      </c>
      <c r="AJ3546">
        <v>0</v>
      </c>
      <c r="AK3546">
        <v>0</v>
      </c>
    </row>
    <row r="3547" spans="1:37" x14ac:dyDescent="0.3">
      <c r="A3547">
        <v>7134</v>
      </c>
      <c r="B3547" t="s">
        <v>28</v>
      </c>
      <c r="C3547">
        <v>89</v>
      </c>
      <c r="D3547" t="s">
        <v>3561</v>
      </c>
      <c r="E3547">
        <v>99999999</v>
      </c>
      <c r="F3547">
        <v>11111111</v>
      </c>
      <c r="G3547">
        <v>1111111111</v>
      </c>
      <c r="H3547" t="s">
        <v>7116</v>
      </c>
      <c r="I3547">
        <v>99999999</v>
      </c>
      <c r="J3547" s="188">
        <v>45236</v>
      </c>
      <c r="K3547" t="s">
        <v>7116</v>
      </c>
      <c r="L3547" t="s">
        <v>7116</v>
      </c>
      <c r="M3547" t="s">
        <v>173</v>
      </c>
      <c r="N3547" t="s">
        <v>164</v>
      </c>
      <c r="O3547">
        <v>97203</v>
      </c>
      <c r="Q3547" t="s">
        <v>124</v>
      </c>
      <c r="R3547">
        <v>14</v>
      </c>
      <c r="S3547">
        <v>11.866</v>
      </c>
      <c r="T3547">
        <v>0</v>
      </c>
      <c r="U3547">
        <v>0</v>
      </c>
      <c r="V3547">
        <v>10</v>
      </c>
      <c r="W3547">
        <v>0</v>
      </c>
      <c r="X3547">
        <v>0</v>
      </c>
      <c r="Y3547">
        <v>0</v>
      </c>
      <c r="Z3547">
        <v>0</v>
      </c>
      <c r="AA3547">
        <v>0</v>
      </c>
      <c r="AB3547">
        <v>0</v>
      </c>
      <c r="AC3547">
        <v>0</v>
      </c>
      <c r="AD3547">
        <v>14</v>
      </c>
      <c r="AE3547">
        <v>0</v>
      </c>
      <c r="AF3547">
        <v>0</v>
      </c>
      <c r="AG3547">
        <v>0</v>
      </c>
      <c r="AH3547">
        <v>0</v>
      </c>
      <c r="AI3547">
        <v>0</v>
      </c>
      <c r="AJ3547">
        <v>0</v>
      </c>
      <c r="AK3547">
        <v>0</v>
      </c>
    </row>
    <row r="3548" spans="1:37" x14ac:dyDescent="0.3">
      <c r="A3548">
        <v>7134</v>
      </c>
      <c r="B3548" t="s">
        <v>28</v>
      </c>
      <c r="C3548">
        <v>89</v>
      </c>
      <c r="D3548" t="s">
        <v>3561</v>
      </c>
      <c r="E3548">
        <v>99999999</v>
      </c>
      <c r="F3548">
        <v>11111111</v>
      </c>
      <c r="G3548">
        <v>1111111111</v>
      </c>
      <c r="H3548" t="s">
        <v>7117</v>
      </c>
      <c r="I3548">
        <v>99999999</v>
      </c>
      <c r="J3548" s="188">
        <v>45236</v>
      </c>
      <c r="K3548" t="s">
        <v>7117</v>
      </c>
      <c r="L3548" t="s">
        <v>7117</v>
      </c>
      <c r="M3548" t="s">
        <v>173</v>
      </c>
      <c r="N3548" t="s">
        <v>164</v>
      </c>
      <c r="O3548">
        <v>97203</v>
      </c>
      <c r="Q3548" t="s">
        <v>124</v>
      </c>
      <c r="R3548">
        <v>15</v>
      </c>
      <c r="S3548">
        <v>13.42</v>
      </c>
      <c r="T3548">
        <v>0</v>
      </c>
      <c r="U3548">
        <v>0</v>
      </c>
      <c r="V3548">
        <v>10</v>
      </c>
      <c r="W3548">
        <v>0</v>
      </c>
      <c r="X3548">
        <v>0</v>
      </c>
      <c r="Y3548">
        <v>0</v>
      </c>
      <c r="Z3548">
        <v>0</v>
      </c>
      <c r="AA3548">
        <v>0</v>
      </c>
      <c r="AB3548">
        <v>0</v>
      </c>
      <c r="AC3548">
        <v>0</v>
      </c>
      <c r="AD3548">
        <v>15</v>
      </c>
      <c r="AE3548">
        <v>0</v>
      </c>
      <c r="AF3548">
        <v>0</v>
      </c>
      <c r="AG3548">
        <v>0</v>
      </c>
      <c r="AH3548">
        <v>0</v>
      </c>
      <c r="AI3548">
        <v>0</v>
      </c>
      <c r="AJ3548">
        <v>0</v>
      </c>
      <c r="AK3548">
        <v>0</v>
      </c>
    </row>
    <row r="3549" spans="1:37" x14ac:dyDescent="0.3">
      <c r="A3549">
        <v>7134</v>
      </c>
      <c r="B3549" t="s">
        <v>28</v>
      </c>
      <c r="C3549">
        <v>89</v>
      </c>
      <c r="D3549" t="s">
        <v>3561</v>
      </c>
      <c r="E3549">
        <v>99999999</v>
      </c>
      <c r="F3549">
        <v>11111111</v>
      </c>
      <c r="G3549">
        <v>1111111111</v>
      </c>
      <c r="H3549" t="s">
        <v>7118</v>
      </c>
      <c r="I3549">
        <v>99999999</v>
      </c>
      <c r="J3549" s="188">
        <v>45236</v>
      </c>
      <c r="K3549" t="s">
        <v>7118</v>
      </c>
      <c r="L3549" t="s">
        <v>7118</v>
      </c>
      <c r="M3549" t="s">
        <v>173</v>
      </c>
      <c r="N3549" t="s">
        <v>164</v>
      </c>
      <c r="O3549">
        <v>97203</v>
      </c>
      <c r="Q3549" t="s">
        <v>124</v>
      </c>
      <c r="R3549">
        <v>13</v>
      </c>
      <c r="S3549">
        <v>10.72</v>
      </c>
      <c r="T3549">
        <v>0</v>
      </c>
      <c r="U3549">
        <v>0</v>
      </c>
      <c r="V3549">
        <v>7</v>
      </c>
      <c r="W3549">
        <v>0</v>
      </c>
      <c r="X3549">
        <v>0</v>
      </c>
      <c r="Y3549">
        <v>0</v>
      </c>
      <c r="Z3549">
        <v>0</v>
      </c>
      <c r="AA3549">
        <v>0</v>
      </c>
      <c r="AB3549">
        <v>0</v>
      </c>
      <c r="AC3549">
        <v>0</v>
      </c>
      <c r="AD3549">
        <v>13</v>
      </c>
      <c r="AE3549">
        <v>0</v>
      </c>
      <c r="AF3549">
        <v>0</v>
      </c>
      <c r="AG3549">
        <v>0</v>
      </c>
      <c r="AH3549">
        <v>0</v>
      </c>
      <c r="AI3549">
        <v>0</v>
      </c>
      <c r="AJ3549">
        <v>0</v>
      </c>
      <c r="AK3549">
        <v>0</v>
      </c>
    </row>
    <row r="3550" spans="1:37" x14ac:dyDescent="0.3">
      <c r="A3550">
        <v>7134</v>
      </c>
      <c r="B3550" t="s">
        <v>28</v>
      </c>
      <c r="C3550">
        <v>89</v>
      </c>
      <c r="D3550" t="s">
        <v>3561</v>
      </c>
      <c r="E3550">
        <v>99999999</v>
      </c>
      <c r="F3550">
        <v>11111111</v>
      </c>
      <c r="G3550">
        <v>1111111111</v>
      </c>
      <c r="H3550" t="s">
        <v>7119</v>
      </c>
      <c r="I3550">
        <v>99999999</v>
      </c>
      <c r="J3550" s="188">
        <v>45236</v>
      </c>
      <c r="K3550" t="s">
        <v>7119</v>
      </c>
      <c r="L3550" t="s">
        <v>7119</v>
      </c>
      <c r="M3550" t="s">
        <v>173</v>
      </c>
      <c r="N3550" t="s">
        <v>164</v>
      </c>
      <c r="O3550">
        <v>97203</v>
      </c>
      <c r="Q3550" t="s">
        <v>124</v>
      </c>
      <c r="R3550">
        <v>17</v>
      </c>
      <c r="S3550">
        <v>15.625999999999999</v>
      </c>
      <c r="T3550">
        <v>0</v>
      </c>
      <c r="U3550">
        <v>0</v>
      </c>
      <c r="V3550">
        <v>10</v>
      </c>
      <c r="W3550">
        <v>0</v>
      </c>
      <c r="X3550">
        <v>0</v>
      </c>
      <c r="Y3550">
        <v>0</v>
      </c>
      <c r="Z3550">
        <v>0</v>
      </c>
      <c r="AA3550">
        <v>0</v>
      </c>
      <c r="AB3550">
        <v>0</v>
      </c>
      <c r="AC3550">
        <v>0</v>
      </c>
      <c r="AD3550">
        <v>17</v>
      </c>
      <c r="AE3550">
        <v>0</v>
      </c>
      <c r="AF3550">
        <v>0</v>
      </c>
      <c r="AG3550">
        <v>0</v>
      </c>
      <c r="AH3550">
        <v>0</v>
      </c>
      <c r="AI3550">
        <v>0</v>
      </c>
      <c r="AJ3550">
        <v>0</v>
      </c>
      <c r="AK3550">
        <v>0</v>
      </c>
    </row>
    <row r="3551" spans="1:37" x14ac:dyDescent="0.3">
      <c r="A3551">
        <v>7134</v>
      </c>
      <c r="B3551" t="s">
        <v>28</v>
      </c>
      <c r="C3551">
        <v>89</v>
      </c>
      <c r="D3551" t="s">
        <v>3561</v>
      </c>
      <c r="E3551">
        <v>99999999</v>
      </c>
      <c r="F3551">
        <v>11111111</v>
      </c>
      <c r="G3551">
        <v>1111111111</v>
      </c>
      <c r="H3551" t="s">
        <v>7120</v>
      </c>
      <c r="I3551">
        <v>99999999</v>
      </c>
      <c r="J3551" s="188">
        <v>45236</v>
      </c>
      <c r="K3551" t="s">
        <v>7120</v>
      </c>
      <c r="L3551" t="s">
        <v>7120</v>
      </c>
      <c r="M3551" t="s">
        <v>173</v>
      </c>
      <c r="N3551" t="s">
        <v>164</v>
      </c>
      <c r="O3551">
        <v>97203</v>
      </c>
      <c r="Q3551" t="s">
        <v>124</v>
      </c>
      <c r="R3551">
        <v>6</v>
      </c>
      <c r="S3551">
        <v>5.8860000000000001</v>
      </c>
      <c r="T3551">
        <v>0</v>
      </c>
      <c r="U3551">
        <v>0</v>
      </c>
      <c r="V3551">
        <v>5</v>
      </c>
      <c r="W3551">
        <v>0</v>
      </c>
      <c r="X3551">
        <v>0</v>
      </c>
      <c r="Y3551">
        <v>0</v>
      </c>
      <c r="Z3551">
        <v>0</v>
      </c>
      <c r="AA3551">
        <v>0</v>
      </c>
      <c r="AB3551">
        <v>0</v>
      </c>
      <c r="AC3551">
        <v>0</v>
      </c>
      <c r="AD3551">
        <v>6</v>
      </c>
      <c r="AE3551">
        <v>0</v>
      </c>
      <c r="AF3551">
        <v>0</v>
      </c>
      <c r="AG3551">
        <v>0</v>
      </c>
      <c r="AH3551">
        <v>0</v>
      </c>
      <c r="AI3551">
        <v>0</v>
      </c>
      <c r="AJ3551">
        <v>0</v>
      </c>
      <c r="AK3551">
        <v>0</v>
      </c>
    </row>
    <row r="3552" spans="1:37" x14ac:dyDescent="0.3">
      <c r="A3552">
        <v>7134</v>
      </c>
      <c r="B3552" t="s">
        <v>28</v>
      </c>
      <c r="C3552">
        <v>89</v>
      </c>
      <c r="D3552" t="s">
        <v>3561</v>
      </c>
      <c r="E3552">
        <v>99999999</v>
      </c>
      <c r="F3552">
        <v>11111111</v>
      </c>
      <c r="G3552">
        <v>1111111111</v>
      </c>
      <c r="H3552" t="s">
        <v>7121</v>
      </c>
      <c r="I3552">
        <v>99999999</v>
      </c>
      <c r="J3552" s="188">
        <v>45236</v>
      </c>
      <c r="K3552" t="s">
        <v>7121</v>
      </c>
      <c r="L3552" t="s">
        <v>7121</v>
      </c>
      <c r="M3552" t="s">
        <v>173</v>
      </c>
      <c r="N3552" t="s">
        <v>164</v>
      </c>
      <c r="O3552">
        <v>97203</v>
      </c>
      <c r="Q3552" t="s">
        <v>124</v>
      </c>
      <c r="R3552">
        <v>6</v>
      </c>
      <c r="S3552">
        <v>4.47</v>
      </c>
      <c r="T3552">
        <v>0</v>
      </c>
      <c r="U3552">
        <v>0</v>
      </c>
      <c r="V3552">
        <v>6</v>
      </c>
      <c r="W3552">
        <v>0</v>
      </c>
      <c r="X3552">
        <v>0</v>
      </c>
      <c r="Y3552">
        <v>0</v>
      </c>
      <c r="Z3552">
        <v>0</v>
      </c>
      <c r="AA3552">
        <v>0</v>
      </c>
      <c r="AB3552">
        <v>0</v>
      </c>
      <c r="AC3552">
        <v>0</v>
      </c>
      <c r="AD3552">
        <v>6</v>
      </c>
      <c r="AE3552">
        <v>0</v>
      </c>
      <c r="AF3552">
        <v>0</v>
      </c>
      <c r="AG3552">
        <v>0</v>
      </c>
      <c r="AH3552">
        <v>0</v>
      </c>
      <c r="AI3552">
        <v>0</v>
      </c>
      <c r="AJ3552">
        <v>0</v>
      </c>
      <c r="AK3552">
        <v>0</v>
      </c>
    </row>
    <row r="3553" spans="1:37" x14ac:dyDescent="0.3">
      <c r="A3553">
        <v>7134</v>
      </c>
      <c r="B3553" t="s">
        <v>28</v>
      </c>
      <c r="C3553">
        <v>89</v>
      </c>
      <c r="D3553" t="s">
        <v>3561</v>
      </c>
      <c r="E3553">
        <v>99999999</v>
      </c>
      <c r="F3553">
        <v>11111111</v>
      </c>
      <c r="G3553">
        <v>1111111111</v>
      </c>
      <c r="H3553" t="s">
        <v>7122</v>
      </c>
      <c r="I3553">
        <v>99999999</v>
      </c>
      <c r="J3553" s="188">
        <v>45236</v>
      </c>
      <c r="K3553" t="s">
        <v>7122</v>
      </c>
      <c r="L3553" t="s">
        <v>7122</v>
      </c>
      <c r="M3553" t="s">
        <v>173</v>
      </c>
      <c r="N3553" t="s">
        <v>164</v>
      </c>
      <c r="O3553">
        <v>97203</v>
      </c>
      <c r="Q3553" t="s">
        <v>124</v>
      </c>
      <c r="R3553">
        <v>79</v>
      </c>
      <c r="S3553">
        <v>71.876000000000005</v>
      </c>
      <c r="T3553">
        <v>0</v>
      </c>
      <c r="U3553">
        <v>0</v>
      </c>
      <c r="V3553">
        <v>12</v>
      </c>
      <c r="W3553">
        <v>0</v>
      </c>
      <c r="X3553">
        <v>0</v>
      </c>
      <c r="Y3553">
        <v>0</v>
      </c>
      <c r="Z3553">
        <v>0</v>
      </c>
      <c r="AA3553">
        <v>1</v>
      </c>
      <c r="AB3553">
        <v>0</v>
      </c>
      <c r="AC3553">
        <v>0</v>
      </c>
      <c r="AD3553">
        <v>55</v>
      </c>
      <c r="AE3553">
        <v>0</v>
      </c>
      <c r="AF3553">
        <v>0</v>
      </c>
      <c r="AG3553">
        <v>0</v>
      </c>
      <c r="AH3553">
        <v>0</v>
      </c>
      <c r="AI3553">
        <v>0</v>
      </c>
      <c r="AJ3553">
        <v>0</v>
      </c>
      <c r="AK3553">
        <v>0</v>
      </c>
    </row>
    <row r="3554" spans="1:37" x14ac:dyDescent="0.3">
      <c r="A3554">
        <v>7134</v>
      </c>
      <c r="B3554" t="s">
        <v>28</v>
      </c>
      <c r="C3554">
        <v>89</v>
      </c>
      <c r="D3554" t="s">
        <v>3561</v>
      </c>
      <c r="E3554">
        <v>99999999</v>
      </c>
      <c r="F3554">
        <v>11111111</v>
      </c>
      <c r="G3554">
        <v>1111111111</v>
      </c>
      <c r="H3554" t="s">
        <v>7123</v>
      </c>
      <c r="I3554">
        <v>99999999</v>
      </c>
      <c r="J3554" s="188">
        <v>45236</v>
      </c>
      <c r="K3554" t="s">
        <v>7123</v>
      </c>
      <c r="L3554" t="s">
        <v>7123</v>
      </c>
      <c r="M3554" t="s">
        <v>173</v>
      </c>
      <c r="N3554" t="s">
        <v>164</v>
      </c>
      <c r="O3554">
        <v>97203</v>
      </c>
      <c r="Q3554" t="s">
        <v>124</v>
      </c>
      <c r="R3554">
        <v>16</v>
      </c>
      <c r="S3554">
        <v>14.512</v>
      </c>
      <c r="T3554">
        <v>0</v>
      </c>
      <c r="U3554">
        <v>0</v>
      </c>
      <c r="V3554">
        <v>10</v>
      </c>
      <c r="W3554">
        <v>0</v>
      </c>
      <c r="X3554">
        <v>0</v>
      </c>
      <c r="Y3554">
        <v>0</v>
      </c>
      <c r="Z3554">
        <v>0</v>
      </c>
      <c r="AA3554">
        <v>0</v>
      </c>
      <c r="AB3554">
        <v>0</v>
      </c>
      <c r="AC3554">
        <v>0</v>
      </c>
      <c r="AD3554">
        <v>16</v>
      </c>
      <c r="AE3554">
        <v>0</v>
      </c>
      <c r="AF3554">
        <v>0</v>
      </c>
      <c r="AG3554">
        <v>0</v>
      </c>
      <c r="AH3554">
        <v>0</v>
      </c>
      <c r="AI3554">
        <v>0</v>
      </c>
      <c r="AJ3554">
        <v>0</v>
      </c>
      <c r="AK3554">
        <v>0</v>
      </c>
    </row>
    <row r="3555" spans="1:37" x14ac:dyDescent="0.3">
      <c r="A3555">
        <v>7134</v>
      </c>
      <c r="B3555" t="s">
        <v>28</v>
      </c>
      <c r="C3555">
        <v>89</v>
      </c>
      <c r="D3555" t="s">
        <v>3561</v>
      </c>
      <c r="E3555">
        <v>99999999</v>
      </c>
      <c r="F3555">
        <v>11111111</v>
      </c>
      <c r="G3555">
        <v>1111111111</v>
      </c>
      <c r="H3555" t="s">
        <v>7124</v>
      </c>
      <c r="I3555">
        <v>99999999</v>
      </c>
      <c r="J3555" s="188">
        <v>45236</v>
      </c>
      <c r="K3555" t="s">
        <v>7124</v>
      </c>
      <c r="L3555" t="s">
        <v>7124</v>
      </c>
      <c r="M3555" t="s">
        <v>173</v>
      </c>
      <c r="N3555" t="s">
        <v>164</v>
      </c>
      <c r="O3555">
        <v>97203</v>
      </c>
      <c r="Q3555" t="s">
        <v>124</v>
      </c>
      <c r="R3555">
        <v>29</v>
      </c>
      <c r="S3555">
        <v>27.286000000000001</v>
      </c>
      <c r="T3555">
        <v>0</v>
      </c>
      <c r="U3555">
        <v>0</v>
      </c>
      <c r="V3555">
        <v>12</v>
      </c>
      <c r="W3555">
        <v>0</v>
      </c>
      <c r="X3555">
        <v>0</v>
      </c>
      <c r="Y3555">
        <v>0</v>
      </c>
      <c r="Z3555">
        <v>0</v>
      </c>
      <c r="AA3555">
        <v>0</v>
      </c>
      <c r="AB3555">
        <v>0</v>
      </c>
      <c r="AC3555">
        <v>0</v>
      </c>
      <c r="AD3555">
        <v>29</v>
      </c>
      <c r="AE3555">
        <v>0</v>
      </c>
      <c r="AF3555">
        <v>0</v>
      </c>
      <c r="AG3555">
        <v>0</v>
      </c>
      <c r="AH3555">
        <v>0</v>
      </c>
      <c r="AI3555">
        <v>0</v>
      </c>
      <c r="AJ3555">
        <v>0</v>
      </c>
      <c r="AK3555">
        <v>0</v>
      </c>
    </row>
    <row r="3556" spans="1:37" x14ac:dyDescent="0.3">
      <c r="A3556">
        <v>7134</v>
      </c>
      <c r="B3556" t="s">
        <v>28</v>
      </c>
      <c r="C3556">
        <v>89</v>
      </c>
      <c r="D3556" t="s">
        <v>3561</v>
      </c>
      <c r="E3556">
        <v>99999999</v>
      </c>
      <c r="F3556">
        <v>11111111</v>
      </c>
      <c r="G3556">
        <v>1111111111</v>
      </c>
      <c r="H3556" t="s">
        <v>7125</v>
      </c>
      <c r="I3556">
        <v>99999999</v>
      </c>
      <c r="J3556" s="188">
        <v>45236</v>
      </c>
      <c r="K3556" t="s">
        <v>7125</v>
      </c>
      <c r="L3556" t="s">
        <v>7125</v>
      </c>
      <c r="M3556" t="s">
        <v>173</v>
      </c>
      <c r="N3556" t="s">
        <v>164</v>
      </c>
      <c r="O3556">
        <v>97203</v>
      </c>
      <c r="Q3556" t="s">
        <v>124</v>
      </c>
      <c r="R3556">
        <v>2</v>
      </c>
      <c r="S3556">
        <v>2.35</v>
      </c>
      <c r="T3556">
        <v>0</v>
      </c>
      <c r="U3556">
        <v>0</v>
      </c>
      <c r="V3556">
        <v>2</v>
      </c>
      <c r="W3556">
        <v>0</v>
      </c>
      <c r="X3556">
        <v>0</v>
      </c>
      <c r="Y3556">
        <v>0</v>
      </c>
      <c r="Z3556">
        <v>0</v>
      </c>
      <c r="AA3556">
        <v>0</v>
      </c>
      <c r="AB3556">
        <v>0</v>
      </c>
      <c r="AC3556">
        <v>0</v>
      </c>
      <c r="AD3556">
        <v>2</v>
      </c>
      <c r="AE3556">
        <v>0</v>
      </c>
      <c r="AF3556">
        <v>0</v>
      </c>
      <c r="AG3556">
        <v>0</v>
      </c>
      <c r="AH3556">
        <v>0</v>
      </c>
      <c r="AI3556">
        <v>0</v>
      </c>
      <c r="AJ3556">
        <v>0</v>
      </c>
      <c r="AK3556">
        <v>0</v>
      </c>
    </row>
    <row r="3557" spans="1:37" x14ac:dyDescent="0.3">
      <c r="A3557">
        <v>7134</v>
      </c>
      <c r="B3557" t="s">
        <v>28</v>
      </c>
      <c r="C3557">
        <v>89</v>
      </c>
      <c r="D3557" t="s">
        <v>3561</v>
      </c>
      <c r="E3557">
        <v>99999999</v>
      </c>
      <c r="F3557">
        <v>11111111</v>
      </c>
      <c r="G3557">
        <v>1111111111</v>
      </c>
      <c r="H3557" t="s">
        <v>7126</v>
      </c>
      <c r="I3557">
        <v>99999999</v>
      </c>
      <c r="J3557" s="188">
        <v>45236</v>
      </c>
      <c r="K3557" t="s">
        <v>7126</v>
      </c>
      <c r="L3557" t="s">
        <v>7126</v>
      </c>
      <c r="M3557" t="s">
        <v>173</v>
      </c>
      <c r="N3557" t="s">
        <v>164</v>
      </c>
      <c r="O3557">
        <v>97203</v>
      </c>
      <c r="Q3557" t="s">
        <v>124</v>
      </c>
      <c r="R3557">
        <v>10</v>
      </c>
      <c r="S3557">
        <v>8.2899999999999991</v>
      </c>
      <c r="T3557">
        <v>0</v>
      </c>
      <c r="U3557">
        <v>0</v>
      </c>
      <c r="V3557">
        <v>7</v>
      </c>
      <c r="W3557">
        <v>0</v>
      </c>
      <c r="X3557">
        <v>0</v>
      </c>
      <c r="Y3557">
        <v>0</v>
      </c>
      <c r="Z3557">
        <v>0</v>
      </c>
      <c r="AA3557">
        <v>0</v>
      </c>
      <c r="AB3557">
        <v>0</v>
      </c>
      <c r="AC3557">
        <v>0</v>
      </c>
      <c r="AD3557">
        <v>10</v>
      </c>
      <c r="AE3557">
        <v>0</v>
      </c>
      <c r="AF3557">
        <v>0</v>
      </c>
      <c r="AG3557">
        <v>0</v>
      </c>
      <c r="AH3557">
        <v>0</v>
      </c>
      <c r="AI3557">
        <v>0</v>
      </c>
      <c r="AJ3557">
        <v>0</v>
      </c>
      <c r="AK3557">
        <v>0</v>
      </c>
    </row>
    <row r="3558" spans="1:37" x14ac:dyDescent="0.3">
      <c r="A3558">
        <v>7134</v>
      </c>
      <c r="B3558" t="s">
        <v>28</v>
      </c>
      <c r="C3558">
        <v>89</v>
      </c>
      <c r="D3558" t="s">
        <v>3561</v>
      </c>
      <c r="E3558">
        <v>99999999</v>
      </c>
      <c r="F3558">
        <v>11111111</v>
      </c>
      <c r="G3558">
        <v>1111111111</v>
      </c>
      <c r="H3558" t="s">
        <v>7127</v>
      </c>
      <c r="I3558">
        <v>99999999</v>
      </c>
      <c r="J3558" s="188">
        <v>45236</v>
      </c>
      <c r="K3558" t="s">
        <v>7127</v>
      </c>
      <c r="L3558" t="s">
        <v>7127</v>
      </c>
      <c r="M3558" t="s">
        <v>173</v>
      </c>
      <c r="N3558" t="s">
        <v>164</v>
      </c>
      <c r="O3558">
        <v>97203</v>
      </c>
      <c r="Q3558" t="s">
        <v>124</v>
      </c>
      <c r="R3558">
        <v>13</v>
      </c>
      <c r="S3558">
        <v>11.965999999999999</v>
      </c>
      <c r="T3558">
        <v>0</v>
      </c>
      <c r="U3558">
        <v>0</v>
      </c>
      <c r="V3558">
        <v>11</v>
      </c>
      <c r="W3558">
        <v>0</v>
      </c>
      <c r="X3558">
        <v>0</v>
      </c>
      <c r="Y3558">
        <v>0</v>
      </c>
      <c r="Z3558">
        <v>0</v>
      </c>
      <c r="AA3558">
        <v>0</v>
      </c>
      <c r="AB3558">
        <v>0</v>
      </c>
      <c r="AC3558">
        <v>0</v>
      </c>
      <c r="AD3558">
        <v>13</v>
      </c>
      <c r="AE3558">
        <v>0</v>
      </c>
      <c r="AF3558">
        <v>0</v>
      </c>
      <c r="AG3558">
        <v>0</v>
      </c>
      <c r="AH3558">
        <v>0</v>
      </c>
      <c r="AI3558">
        <v>0</v>
      </c>
      <c r="AJ3558">
        <v>0</v>
      </c>
      <c r="AK3558">
        <v>0</v>
      </c>
    </row>
    <row r="3559" spans="1:37" x14ac:dyDescent="0.3">
      <c r="A3559">
        <v>7134</v>
      </c>
      <c r="B3559" t="s">
        <v>28</v>
      </c>
      <c r="C3559">
        <v>89</v>
      </c>
      <c r="D3559" t="s">
        <v>3561</v>
      </c>
      <c r="E3559">
        <v>99999999</v>
      </c>
      <c r="F3559">
        <v>11111111</v>
      </c>
      <c r="G3559">
        <v>1111111111</v>
      </c>
      <c r="H3559" t="s">
        <v>7128</v>
      </c>
      <c r="I3559">
        <v>99999999</v>
      </c>
      <c r="J3559" s="188">
        <v>45236</v>
      </c>
      <c r="K3559" t="s">
        <v>7128</v>
      </c>
      <c r="L3559" t="s">
        <v>7128</v>
      </c>
      <c r="M3559" t="s">
        <v>173</v>
      </c>
      <c r="N3559" t="s">
        <v>164</v>
      </c>
      <c r="O3559">
        <v>97203</v>
      </c>
      <c r="Q3559" t="s">
        <v>124</v>
      </c>
      <c r="R3559">
        <v>9</v>
      </c>
      <c r="S3559">
        <v>7.5460000000000003</v>
      </c>
      <c r="T3559">
        <v>0</v>
      </c>
      <c r="U3559">
        <v>0</v>
      </c>
      <c r="V3559">
        <v>8</v>
      </c>
      <c r="W3559">
        <v>0</v>
      </c>
      <c r="X3559">
        <v>0</v>
      </c>
      <c r="Y3559">
        <v>0</v>
      </c>
      <c r="Z3559">
        <v>0</v>
      </c>
      <c r="AA3559">
        <v>0</v>
      </c>
      <c r="AB3559">
        <v>0</v>
      </c>
      <c r="AC3559">
        <v>0</v>
      </c>
      <c r="AD3559">
        <v>9</v>
      </c>
      <c r="AE3559">
        <v>0</v>
      </c>
      <c r="AF3559">
        <v>0</v>
      </c>
      <c r="AG3559">
        <v>0</v>
      </c>
      <c r="AH3559">
        <v>0</v>
      </c>
      <c r="AI3559">
        <v>0</v>
      </c>
      <c r="AJ3559">
        <v>0</v>
      </c>
      <c r="AK3559">
        <v>0</v>
      </c>
    </row>
    <row r="3560" spans="1:37" x14ac:dyDescent="0.3">
      <c r="A3560">
        <v>7134</v>
      </c>
      <c r="B3560" t="s">
        <v>28</v>
      </c>
      <c r="C3560">
        <v>89</v>
      </c>
      <c r="D3560" t="s">
        <v>3561</v>
      </c>
      <c r="E3560">
        <v>99999999</v>
      </c>
      <c r="F3560">
        <v>11111111</v>
      </c>
      <c r="G3560">
        <v>1111111111</v>
      </c>
      <c r="H3560" t="s">
        <v>7129</v>
      </c>
      <c r="I3560">
        <v>99999999</v>
      </c>
      <c r="J3560" s="188">
        <v>45236</v>
      </c>
      <c r="K3560" t="s">
        <v>7129</v>
      </c>
      <c r="L3560" t="s">
        <v>7129</v>
      </c>
      <c r="M3560" t="s">
        <v>173</v>
      </c>
      <c r="N3560" t="s">
        <v>164</v>
      </c>
      <c r="O3560">
        <v>97203</v>
      </c>
      <c r="Q3560" t="s">
        <v>124</v>
      </c>
      <c r="R3560">
        <v>6</v>
      </c>
      <c r="S3560">
        <v>5.9560000000000004</v>
      </c>
      <c r="T3560">
        <v>0</v>
      </c>
      <c r="U3560">
        <v>0</v>
      </c>
      <c r="V3560">
        <v>4</v>
      </c>
      <c r="W3560">
        <v>0</v>
      </c>
      <c r="X3560">
        <v>0</v>
      </c>
      <c r="Y3560">
        <v>0</v>
      </c>
      <c r="Z3560">
        <v>0</v>
      </c>
      <c r="AA3560">
        <v>0</v>
      </c>
      <c r="AB3560">
        <v>0</v>
      </c>
      <c r="AC3560">
        <v>0</v>
      </c>
      <c r="AD3560">
        <v>6</v>
      </c>
      <c r="AE3560">
        <v>0</v>
      </c>
      <c r="AF3560">
        <v>0</v>
      </c>
      <c r="AG3560">
        <v>0</v>
      </c>
      <c r="AH3560">
        <v>0</v>
      </c>
      <c r="AI3560">
        <v>0</v>
      </c>
      <c r="AJ3560">
        <v>0</v>
      </c>
      <c r="AK3560">
        <v>0</v>
      </c>
    </row>
    <row r="3561" spans="1:37" x14ac:dyDescent="0.3">
      <c r="A3561">
        <v>7134</v>
      </c>
      <c r="B3561" t="s">
        <v>28</v>
      </c>
      <c r="C3561">
        <v>89</v>
      </c>
      <c r="D3561" t="s">
        <v>3561</v>
      </c>
      <c r="E3561">
        <v>99999999</v>
      </c>
      <c r="F3561">
        <v>11111111</v>
      </c>
      <c r="G3561">
        <v>1111111111</v>
      </c>
      <c r="H3561" t="s">
        <v>7130</v>
      </c>
      <c r="I3561">
        <v>99999999</v>
      </c>
      <c r="J3561" s="188">
        <v>45236</v>
      </c>
      <c r="K3561" t="s">
        <v>7130</v>
      </c>
      <c r="L3561" t="s">
        <v>7130</v>
      </c>
      <c r="M3561" t="s">
        <v>173</v>
      </c>
      <c r="N3561" t="s">
        <v>164</v>
      </c>
      <c r="O3561">
        <v>97203</v>
      </c>
      <c r="Q3561" t="s">
        <v>124</v>
      </c>
      <c r="R3561">
        <v>11</v>
      </c>
      <c r="S3561">
        <v>9.86</v>
      </c>
      <c r="T3561">
        <v>0</v>
      </c>
      <c r="U3561">
        <v>0</v>
      </c>
      <c r="V3561">
        <v>9</v>
      </c>
      <c r="W3561">
        <v>0</v>
      </c>
      <c r="X3561">
        <v>0</v>
      </c>
      <c r="Y3561">
        <v>0</v>
      </c>
      <c r="Z3561">
        <v>0</v>
      </c>
      <c r="AA3561">
        <v>0</v>
      </c>
      <c r="AB3561">
        <v>0</v>
      </c>
      <c r="AC3561">
        <v>0</v>
      </c>
      <c r="AD3561">
        <v>11</v>
      </c>
      <c r="AE3561">
        <v>0</v>
      </c>
      <c r="AF3561">
        <v>0</v>
      </c>
      <c r="AG3561">
        <v>0</v>
      </c>
      <c r="AH3561">
        <v>0</v>
      </c>
      <c r="AI3561">
        <v>0</v>
      </c>
      <c r="AJ3561">
        <v>0</v>
      </c>
      <c r="AK3561">
        <v>0</v>
      </c>
    </row>
    <row r="3562" spans="1:37" x14ac:dyDescent="0.3">
      <c r="A3562">
        <v>7134</v>
      </c>
      <c r="B3562" t="s">
        <v>28</v>
      </c>
      <c r="C3562">
        <v>89</v>
      </c>
      <c r="D3562" t="s">
        <v>3561</v>
      </c>
      <c r="E3562">
        <v>99999999</v>
      </c>
      <c r="F3562">
        <v>11111111</v>
      </c>
      <c r="G3562">
        <v>1111111111</v>
      </c>
      <c r="H3562" t="s">
        <v>7131</v>
      </c>
      <c r="I3562">
        <v>99999999</v>
      </c>
      <c r="J3562" s="188">
        <v>45236</v>
      </c>
      <c r="K3562" t="s">
        <v>7131</v>
      </c>
      <c r="L3562" t="s">
        <v>7131</v>
      </c>
      <c r="M3562" t="s">
        <v>173</v>
      </c>
      <c r="N3562" t="s">
        <v>164</v>
      </c>
      <c r="O3562">
        <v>97203</v>
      </c>
      <c r="Q3562" t="s">
        <v>124</v>
      </c>
      <c r="R3562">
        <v>15</v>
      </c>
      <c r="S3562">
        <v>13.612</v>
      </c>
      <c r="T3562">
        <v>0</v>
      </c>
      <c r="U3562">
        <v>0</v>
      </c>
      <c r="V3562">
        <v>8</v>
      </c>
      <c r="W3562">
        <v>0</v>
      </c>
      <c r="X3562">
        <v>0</v>
      </c>
      <c r="Y3562">
        <v>0</v>
      </c>
      <c r="Z3562">
        <v>0</v>
      </c>
      <c r="AA3562">
        <v>0</v>
      </c>
      <c r="AB3562">
        <v>0</v>
      </c>
      <c r="AC3562">
        <v>0</v>
      </c>
      <c r="AD3562">
        <v>15</v>
      </c>
      <c r="AE3562">
        <v>0</v>
      </c>
      <c r="AF3562">
        <v>0</v>
      </c>
      <c r="AG3562">
        <v>0</v>
      </c>
      <c r="AH3562">
        <v>0</v>
      </c>
      <c r="AI3562">
        <v>0</v>
      </c>
      <c r="AJ3562">
        <v>0</v>
      </c>
      <c r="AK3562">
        <v>0</v>
      </c>
    </row>
    <row r="3563" spans="1:37" x14ac:dyDescent="0.3">
      <c r="A3563">
        <v>7134</v>
      </c>
      <c r="B3563" t="s">
        <v>28</v>
      </c>
      <c r="C3563">
        <v>89</v>
      </c>
      <c r="D3563" t="s">
        <v>3561</v>
      </c>
      <c r="E3563">
        <v>99999999</v>
      </c>
      <c r="F3563">
        <v>11111111</v>
      </c>
      <c r="G3563">
        <v>1111111111</v>
      </c>
      <c r="H3563" t="s">
        <v>7132</v>
      </c>
      <c r="I3563">
        <v>99999999</v>
      </c>
      <c r="J3563" s="188">
        <v>45236</v>
      </c>
      <c r="K3563" t="s">
        <v>7132</v>
      </c>
      <c r="L3563" t="s">
        <v>7132</v>
      </c>
      <c r="M3563" t="s">
        <v>173</v>
      </c>
      <c r="N3563" t="s">
        <v>164</v>
      </c>
      <c r="O3563">
        <v>97203</v>
      </c>
      <c r="Q3563" t="s">
        <v>124</v>
      </c>
      <c r="R3563">
        <v>3</v>
      </c>
      <c r="S3563">
        <v>1.77</v>
      </c>
      <c r="T3563">
        <v>0</v>
      </c>
      <c r="U3563">
        <v>0</v>
      </c>
      <c r="V3563">
        <v>3</v>
      </c>
      <c r="W3563">
        <v>0</v>
      </c>
      <c r="X3563">
        <v>0</v>
      </c>
      <c r="Y3563">
        <v>0</v>
      </c>
      <c r="Z3563">
        <v>0</v>
      </c>
      <c r="AA3563">
        <v>0</v>
      </c>
      <c r="AB3563">
        <v>0</v>
      </c>
      <c r="AC3563">
        <v>0</v>
      </c>
      <c r="AD3563">
        <v>3</v>
      </c>
      <c r="AE3563">
        <v>0</v>
      </c>
      <c r="AF3563">
        <v>0</v>
      </c>
      <c r="AG3563">
        <v>0</v>
      </c>
      <c r="AH3563">
        <v>0</v>
      </c>
      <c r="AI3563">
        <v>0</v>
      </c>
      <c r="AJ3563">
        <v>0</v>
      </c>
      <c r="AK3563">
        <v>0</v>
      </c>
    </row>
    <row r="3564" spans="1:37" x14ac:dyDescent="0.3">
      <c r="A3564">
        <v>7134</v>
      </c>
      <c r="B3564" t="s">
        <v>28</v>
      </c>
      <c r="C3564">
        <v>89</v>
      </c>
      <c r="D3564" t="s">
        <v>3561</v>
      </c>
      <c r="E3564">
        <v>99999999</v>
      </c>
      <c r="F3564">
        <v>11111111</v>
      </c>
      <c r="G3564">
        <v>1111111111</v>
      </c>
      <c r="H3564" t="s">
        <v>7133</v>
      </c>
      <c r="I3564">
        <v>99999999</v>
      </c>
      <c r="J3564" s="188">
        <v>45236</v>
      </c>
      <c r="K3564" t="s">
        <v>7133</v>
      </c>
      <c r="L3564" t="s">
        <v>7133</v>
      </c>
      <c r="M3564" t="s">
        <v>173</v>
      </c>
      <c r="N3564" t="s">
        <v>164</v>
      </c>
      <c r="O3564">
        <v>97203</v>
      </c>
      <c r="Q3564" t="s">
        <v>124</v>
      </c>
      <c r="R3564">
        <v>8</v>
      </c>
      <c r="S3564">
        <v>6.9359999999999999</v>
      </c>
      <c r="T3564">
        <v>0</v>
      </c>
      <c r="U3564">
        <v>0</v>
      </c>
      <c r="V3564">
        <v>8</v>
      </c>
      <c r="W3564">
        <v>0</v>
      </c>
      <c r="X3564">
        <v>0</v>
      </c>
      <c r="Y3564">
        <v>0</v>
      </c>
      <c r="Z3564">
        <v>0</v>
      </c>
      <c r="AA3564">
        <v>0</v>
      </c>
      <c r="AB3564">
        <v>0</v>
      </c>
      <c r="AC3564">
        <v>0</v>
      </c>
      <c r="AD3564">
        <v>8</v>
      </c>
      <c r="AE3564">
        <v>0</v>
      </c>
      <c r="AF3564">
        <v>0</v>
      </c>
      <c r="AG3564">
        <v>0</v>
      </c>
      <c r="AH3564">
        <v>0</v>
      </c>
      <c r="AI3564">
        <v>0</v>
      </c>
      <c r="AJ3564">
        <v>0</v>
      </c>
      <c r="AK3564">
        <v>0</v>
      </c>
    </row>
    <row r="3565" spans="1:37" x14ac:dyDescent="0.3">
      <c r="A3565">
        <v>7134</v>
      </c>
      <c r="B3565" t="s">
        <v>28</v>
      </c>
      <c r="C3565">
        <v>499</v>
      </c>
      <c r="D3565" t="s">
        <v>3561</v>
      </c>
      <c r="E3565">
        <v>99999999</v>
      </c>
      <c r="F3565">
        <v>11111111</v>
      </c>
      <c r="G3565">
        <v>1111111111</v>
      </c>
      <c r="H3565" t="s">
        <v>7134</v>
      </c>
      <c r="I3565">
        <v>99999999</v>
      </c>
      <c r="J3565" s="188">
        <v>45236</v>
      </c>
      <c r="K3565" t="s">
        <v>7134</v>
      </c>
      <c r="L3565" t="s">
        <v>7134</v>
      </c>
      <c r="Q3565" t="s">
        <v>124</v>
      </c>
      <c r="R3565">
        <v>0</v>
      </c>
      <c r="T3565">
        <v>1</v>
      </c>
      <c r="U3565">
        <v>25</v>
      </c>
      <c r="V3565">
        <v>0</v>
      </c>
      <c r="W3565">
        <v>0</v>
      </c>
      <c r="X3565">
        <v>0</v>
      </c>
      <c r="Y3565">
        <v>0</v>
      </c>
      <c r="Z3565">
        <v>0</v>
      </c>
      <c r="AA3565">
        <v>0</v>
      </c>
      <c r="AB3565">
        <v>0</v>
      </c>
      <c r="AC3565">
        <v>0</v>
      </c>
      <c r="AD3565">
        <v>0</v>
      </c>
      <c r="AE3565">
        <v>0</v>
      </c>
      <c r="AF3565">
        <v>0</v>
      </c>
      <c r="AG3565">
        <v>0</v>
      </c>
      <c r="AH3565">
        <v>0</v>
      </c>
      <c r="AI3565">
        <v>0</v>
      </c>
      <c r="AJ3565">
        <v>0</v>
      </c>
      <c r="AK3565">
        <v>0</v>
      </c>
    </row>
    <row r="3566" spans="1:37" x14ac:dyDescent="0.3">
      <c r="A3566">
        <v>7134</v>
      </c>
      <c r="B3566" t="s">
        <v>28</v>
      </c>
      <c r="C3566">
        <v>499</v>
      </c>
      <c r="D3566" t="s">
        <v>3561</v>
      </c>
      <c r="E3566">
        <v>99999999</v>
      </c>
      <c r="F3566">
        <v>11111111</v>
      </c>
      <c r="G3566">
        <v>1111111111</v>
      </c>
      <c r="H3566" t="s">
        <v>7135</v>
      </c>
      <c r="I3566">
        <v>99999999</v>
      </c>
      <c r="J3566" s="188">
        <v>45236</v>
      </c>
      <c r="K3566" t="s">
        <v>7135</v>
      </c>
      <c r="L3566" t="s">
        <v>7135</v>
      </c>
      <c r="M3566" t="s">
        <v>1349</v>
      </c>
      <c r="N3566" t="s">
        <v>99</v>
      </c>
      <c r="O3566">
        <v>94560</v>
      </c>
      <c r="Q3566" t="s">
        <v>124</v>
      </c>
      <c r="R3566">
        <v>14</v>
      </c>
      <c r="S3566">
        <v>11.92</v>
      </c>
      <c r="T3566">
        <v>0</v>
      </c>
      <c r="U3566">
        <v>0</v>
      </c>
      <c r="V3566">
        <v>9</v>
      </c>
      <c r="W3566">
        <v>0</v>
      </c>
      <c r="X3566">
        <v>0</v>
      </c>
      <c r="Y3566">
        <v>0</v>
      </c>
      <c r="Z3566">
        <v>0</v>
      </c>
      <c r="AA3566">
        <v>0</v>
      </c>
      <c r="AB3566">
        <v>0</v>
      </c>
      <c r="AC3566">
        <v>0</v>
      </c>
      <c r="AD3566">
        <v>14</v>
      </c>
      <c r="AE3566">
        <v>0</v>
      </c>
      <c r="AF3566">
        <v>0</v>
      </c>
      <c r="AG3566">
        <v>0</v>
      </c>
      <c r="AH3566">
        <v>0</v>
      </c>
      <c r="AI3566">
        <v>0</v>
      </c>
      <c r="AJ3566">
        <v>0</v>
      </c>
      <c r="AK3566">
        <v>0</v>
      </c>
    </row>
    <row r="3567" spans="1:37" x14ac:dyDescent="0.3">
      <c r="A3567">
        <v>7134</v>
      </c>
      <c r="B3567" t="s">
        <v>28</v>
      </c>
      <c r="C3567">
        <v>499</v>
      </c>
      <c r="D3567" t="s">
        <v>3561</v>
      </c>
      <c r="E3567">
        <v>99999999</v>
      </c>
      <c r="F3567">
        <v>11111111</v>
      </c>
      <c r="G3567">
        <v>1111111111</v>
      </c>
      <c r="H3567" t="s">
        <v>7136</v>
      </c>
      <c r="I3567">
        <v>99999999</v>
      </c>
      <c r="J3567" s="188">
        <v>45236</v>
      </c>
      <c r="K3567" t="s">
        <v>7136</v>
      </c>
      <c r="L3567" t="s">
        <v>7136</v>
      </c>
      <c r="M3567" t="s">
        <v>1349</v>
      </c>
      <c r="N3567" t="s">
        <v>99</v>
      </c>
      <c r="O3567">
        <v>94560</v>
      </c>
      <c r="Q3567" t="s">
        <v>124</v>
      </c>
      <c r="R3567">
        <v>57</v>
      </c>
      <c r="S3567">
        <v>51.814</v>
      </c>
      <c r="T3567">
        <v>0</v>
      </c>
      <c r="U3567">
        <v>0</v>
      </c>
      <c r="V3567">
        <v>12</v>
      </c>
      <c r="W3567">
        <v>0</v>
      </c>
      <c r="X3567">
        <v>0</v>
      </c>
      <c r="Y3567">
        <v>0</v>
      </c>
      <c r="Z3567">
        <v>0</v>
      </c>
      <c r="AA3567">
        <v>0</v>
      </c>
      <c r="AB3567">
        <v>0</v>
      </c>
      <c r="AC3567">
        <v>0</v>
      </c>
      <c r="AD3567">
        <v>57</v>
      </c>
      <c r="AE3567">
        <v>0</v>
      </c>
      <c r="AF3567">
        <v>0</v>
      </c>
      <c r="AG3567">
        <v>0</v>
      </c>
      <c r="AH3567">
        <v>0</v>
      </c>
      <c r="AI3567">
        <v>0</v>
      </c>
      <c r="AJ3567">
        <v>0</v>
      </c>
      <c r="AK3567">
        <v>0</v>
      </c>
    </row>
    <row r="3568" spans="1:37" x14ac:dyDescent="0.3">
      <c r="A3568">
        <v>7134</v>
      </c>
      <c r="B3568" t="s">
        <v>28</v>
      </c>
      <c r="C3568">
        <v>499</v>
      </c>
      <c r="D3568" t="s">
        <v>3561</v>
      </c>
      <c r="E3568">
        <v>99999999</v>
      </c>
      <c r="F3568">
        <v>11111111</v>
      </c>
      <c r="G3568">
        <v>1111111111</v>
      </c>
      <c r="H3568" t="s">
        <v>7137</v>
      </c>
      <c r="I3568">
        <v>99999999</v>
      </c>
      <c r="J3568" s="188">
        <v>45236</v>
      </c>
      <c r="K3568" t="s">
        <v>7137</v>
      </c>
      <c r="L3568" t="s">
        <v>7137</v>
      </c>
      <c r="M3568" t="s">
        <v>1349</v>
      </c>
      <c r="N3568" t="s">
        <v>99</v>
      </c>
      <c r="O3568">
        <v>94560</v>
      </c>
      <c r="Q3568" t="s">
        <v>124</v>
      </c>
      <c r="R3568">
        <v>14</v>
      </c>
      <c r="S3568">
        <v>11.95</v>
      </c>
      <c r="T3568">
        <v>0</v>
      </c>
      <c r="U3568">
        <v>0</v>
      </c>
      <c r="V3568">
        <v>8</v>
      </c>
      <c r="W3568">
        <v>0</v>
      </c>
      <c r="X3568">
        <v>0</v>
      </c>
      <c r="Y3568">
        <v>0</v>
      </c>
      <c r="Z3568">
        <v>0</v>
      </c>
      <c r="AA3568">
        <v>0</v>
      </c>
      <c r="AB3568">
        <v>0</v>
      </c>
      <c r="AC3568">
        <v>0</v>
      </c>
      <c r="AD3568">
        <v>14</v>
      </c>
      <c r="AE3568">
        <v>0</v>
      </c>
      <c r="AF3568">
        <v>0</v>
      </c>
      <c r="AG3568">
        <v>0</v>
      </c>
      <c r="AH3568">
        <v>0</v>
      </c>
      <c r="AI3568">
        <v>0</v>
      </c>
      <c r="AJ3568">
        <v>0</v>
      </c>
      <c r="AK3568">
        <v>0</v>
      </c>
    </row>
    <row r="3569" spans="1:37" x14ac:dyDescent="0.3">
      <c r="A3569">
        <v>7134</v>
      </c>
      <c r="B3569" t="s">
        <v>28</v>
      </c>
      <c r="C3569">
        <v>499</v>
      </c>
      <c r="D3569" t="s">
        <v>3561</v>
      </c>
      <c r="E3569">
        <v>99999999</v>
      </c>
      <c r="F3569">
        <v>11111111</v>
      </c>
      <c r="G3569">
        <v>1111111111</v>
      </c>
      <c r="H3569" t="s">
        <v>7138</v>
      </c>
      <c r="I3569">
        <v>99999999</v>
      </c>
      <c r="J3569" s="188">
        <v>45236</v>
      </c>
      <c r="K3569" t="s">
        <v>7138</v>
      </c>
      <c r="L3569" t="s">
        <v>7138</v>
      </c>
      <c r="M3569" t="s">
        <v>1349</v>
      </c>
      <c r="N3569" t="s">
        <v>99</v>
      </c>
      <c r="O3569">
        <v>94560</v>
      </c>
      <c r="Q3569" t="s">
        <v>124</v>
      </c>
      <c r="R3569">
        <v>30</v>
      </c>
      <c r="S3569">
        <v>27.265999999999998</v>
      </c>
      <c r="T3569">
        <v>0</v>
      </c>
      <c r="U3569">
        <v>0</v>
      </c>
      <c r="V3569">
        <v>12</v>
      </c>
      <c r="W3569">
        <v>0</v>
      </c>
      <c r="X3569">
        <v>0</v>
      </c>
      <c r="Y3569">
        <v>0</v>
      </c>
      <c r="Z3569">
        <v>0</v>
      </c>
      <c r="AA3569">
        <v>0</v>
      </c>
      <c r="AB3569">
        <v>0</v>
      </c>
      <c r="AC3569">
        <v>0</v>
      </c>
      <c r="AD3569">
        <v>30</v>
      </c>
      <c r="AE3569">
        <v>0</v>
      </c>
      <c r="AF3569">
        <v>0</v>
      </c>
      <c r="AG3569">
        <v>0</v>
      </c>
      <c r="AH3569">
        <v>0</v>
      </c>
      <c r="AI3569">
        <v>0</v>
      </c>
      <c r="AJ3569">
        <v>0</v>
      </c>
      <c r="AK3569">
        <v>0</v>
      </c>
    </row>
    <row r="3570" spans="1:37" x14ac:dyDescent="0.3">
      <c r="A3570">
        <v>7134</v>
      </c>
      <c r="B3570" t="s">
        <v>28</v>
      </c>
      <c r="C3570">
        <v>499</v>
      </c>
      <c r="D3570" t="s">
        <v>3561</v>
      </c>
      <c r="E3570">
        <v>99999999</v>
      </c>
      <c r="F3570">
        <v>11111111</v>
      </c>
      <c r="G3570">
        <v>1111111111</v>
      </c>
      <c r="H3570" t="s">
        <v>7139</v>
      </c>
      <c r="I3570">
        <v>99999999</v>
      </c>
      <c r="J3570" s="188">
        <v>45236</v>
      </c>
      <c r="K3570" t="s">
        <v>7139</v>
      </c>
      <c r="L3570" t="s">
        <v>7139</v>
      </c>
      <c r="M3570" t="s">
        <v>1349</v>
      </c>
      <c r="N3570" t="s">
        <v>99</v>
      </c>
      <c r="O3570">
        <v>94560</v>
      </c>
      <c r="Q3570" t="s">
        <v>124</v>
      </c>
      <c r="R3570">
        <v>50</v>
      </c>
      <c r="S3570">
        <v>44.558</v>
      </c>
      <c r="T3570">
        <v>0</v>
      </c>
      <c r="U3570">
        <v>0</v>
      </c>
      <c r="V3570">
        <v>12</v>
      </c>
      <c r="W3570">
        <v>0</v>
      </c>
      <c r="X3570">
        <v>0</v>
      </c>
      <c r="Y3570">
        <v>0</v>
      </c>
      <c r="Z3570">
        <v>0</v>
      </c>
      <c r="AA3570">
        <v>0</v>
      </c>
      <c r="AB3570">
        <v>0</v>
      </c>
      <c r="AC3570">
        <v>0</v>
      </c>
      <c r="AD3570">
        <v>50</v>
      </c>
      <c r="AE3570">
        <v>0</v>
      </c>
      <c r="AF3570">
        <v>0</v>
      </c>
      <c r="AG3570">
        <v>0</v>
      </c>
      <c r="AH3570">
        <v>0</v>
      </c>
      <c r="AI3570">
        <v>0</v>
      </c>
      <c r="AJ3570">
        <v>0</v>
      </c>
      <c r="AK3570">
        <v>0</v>
      </c>
    </row>
    <row r="3571" spans="1:37" x14ac:dyDescent="0.3">
      <c r="A3571">
        <v>7134</v>
      </c>
      <c r="B3571" t="s">
        <v>28</v>
      </c>
      <c r="C3571">
        <v>499</v>
      </c>
      <c r="D3571" t="s">
        <v>3561</v>
      </c>
      <c r="E3571">
        <v>99999999</v>
      </c>
      <c r="F3571">
        <v>11111111</v>
      </c>
      <c r="G3571">
        <v>1111111111</v>
      </c>
      <c r="H3571" t="s">
        <v>7140</v>
      </c>
      <c r="I3571">
        <v>99999999</v>
      </c>
      <c r="J3571" s="188">
        <v>45236</v>
      </c>
      <c r="K3571" t="s">
        <v>7140</v>
      </c>
      <c r="L3571" t="s">
        <v>7140</v>
      </c>
      <c r="M3571" t="s">
        <v>1349</v>
      </c>
      <c r="N3571" t="s">
        <v>99</v>
      </c>
      <c r="O3571">
        <v>94560</v>
      </c>
      <c r="Q3571" t="s">
        <v>124</v>
      </c>
      <c r="R3571">
        <v>46</v>
      </c>
      <c r="S3571">
        <v>42.892000000000003</v>
      </c>
      <c r="T3571">
        <v>0</v>
      </c>
      <c r="U3571">
        <v>0</v>
      </c>
      <c r="V3571">
        <v>11</v>
      </c>
      <c r="W3571">
        <v>0</v>
      </c>
      <c r="X3571">
        <v>0</v>
      </c>
      <c r="Y3571">
        <v>0</v>
      </c>
      <c r="Z3571">
        <v>0</v>
      </c>
      <c r="AA3571">
        <v>0</v>
      </c>
      <c r="AB3571">
        <v>0</v>
      </c>
      <c r="AC3571">
        <v>0</v>
      </c>
      <c r="AD3571">
        <v>46</v>
      </c>
      <c r="AE3571">
        <v>0</v>
      </c>
      <c r="AF3571">
        <v>0</v>
      </c>
      <c r="AG3571">
        <v>0</v>
      </c>
      <c r="AH3571">
        <v>0</v>
      </c>
      <c r="AI3571">
        <v>0</v>
      </c>
      <c r="AJ3571">
        <v>0</v>
      </c>
      <c r="AK3571">
        <v>0</v>
      </c>
    </row>
    <row r="3572" spans="1:37" x14ac:dyDescent="0.3">
      <c r="A3572">
        <v>7134</v>
      </c>
      <c r="B3572" t="s">
        <v>28</v>
      </c>
      <c r="C3572">
        <v>499</v>
      </c>
      <c r="D3572" t="s">
        <v>3561</v>
      </c>
      <c r="E3572">
        <v>99999999</v>
      </c>
      <c r="F3572">
        <v>11111111</v>
      </c>
      <c r="G3572">
        <v>1111111111</v>
      </c>
      <c r="H3572" t="s">
        <v>7141</v>
      </c>
      <c r="I3572">
        <v>99999999</v>
      </c>
      <c r="J3572" s="188">
        <v>45236</v>
      </c>
      <c r="K3572" t="s">
        <v>7141</v>
      </c>
      <c r="L3572" t="s">
        <v>7141</v>
      </c>
      <c r="M3572" t="s">
        <v>1349</v>
      </c>
      <c r="N3572" t="s">
        <v>99</v>
      </c>
      <c r="O3572">
        <v>94560</v>
      </c>
      <c r="Q3572" t="s">
        <v>124</v>
      </c>
      <c r="R3572">
        <v>52</v>
      </c>
      <c r="S3572">
        <v>49.305999999999997</v>
      </c>
      <c r="T3572">
        <v>0</v>
      </c>
      <c r="U3572">
        <v>0</v>
      </c>
      <c r="V3572">
        <v>12</v>
      </c>
      <c r="W3572">
        <v>0</v>
      </c>
      <c r="X3572">
        <v>0</v>
      </c>
      <c r="Y3572">
        <v>0</v>
      </c>
      <c r="Z3572">
        <v>0</v>
      </c>
      <c r="AA3572">
        <v>0</v>
      </c>
      <c r="AB3572">
        <v>0</v>
      </c>
      <c r="AC3572">
        <v>0</v>
      </c>
      <c r="AD3572">
        <v>52</v>
      </c>
      <c r="AE3572">
        <v>0</v>
      </c>
      <c r="AF3572">
        <v>0</v>
      </c>
      <c r="AG3572">
        <v>0</v>
      </c>
      <c r="AH3572">
        <v>0</v>
      </c>
      <c r="AI3572">
        <v>0</v>
      </c>
      <c r="AJ3572">
        <v>0</v>
      </c>
      <c r="AK3572">
        <v>0</v>
      </c>
    </row>
    <row r="3573" spans="1:37" x14ac:dyDescent="0.3">
      <c r="A3573">
        <v>7134</v>
      </c>
      <c r="B3573" t="s">
        <v>28</v>
      </c>
      <c r="C3573">
        <v>499</v>
      </c>
      <c r="D3573" t="s">
        <v>3561</v>
      </c>
      <c r="E3573">
        <v>99999999</v>
      </c>
      <c r="F3573">
        <v>11111111</v>
      </c>
      <c r="G3573">
        <v>1111111111</v>
      </c>
      <c r="H3573" t="s">
        <v>7142</v>
      </c>
      <c r="I3573">
        <v>99999999</v>
      </c>
      <c r="J3573" s="188">
        <v>45236</v>
      </c>
      <c r="K3573" t="s">
        <v>7142</v>
      </c>
      <c r="L3573" t="s">
        <v>7142</v>
      </c>
      <c r="M3573" t="s">
        <v>1349</v>
      </c>
      <c r="N3573" t="s">
        <v>99</v>
      </c>
      <c r="O3573">
        <v>94560</v>
      </c>
      <c r="Q3573" t="s">
        <v>124</v>
      </c>
      <c r="R3573">
        <v>37</v>
      </c>
      <c r="S3573">
        <v>33.661999999999999</v>
      </c>
      <c r="T3573">
        <v>0</v>
      </c>
      <c r="U3573">
        <v>0</v>
      </c>
      <c r="V3573">
        <v>11</v>
      </c>
      <c r="W3573">
        <v>0</v>
      </c>
      <c r="X3573">
        <v>0</v>
      </c>
      <c r="Y3573">
        <v>0</v>
      </c>
      <c r="Z3573">
        <v>0</v>
      </c>
      <c r="AA3573">
        <v>0</v>
      </c>
      <c r="AB3573">
        <v>0</v>
      </c>
      <c r="AC3573">
        <v>0</v>
      </c>
      <c r="AD3573">
        <v>37</v>
      </c>
      <c r="AE3573">
        <v>0</v>
      </c>
      <c r="AF3573">
        <v>0</v>
      </c>
      <c r="AG3573">
        <v>0</v>
      </c>
      <c r="AH3573">
        <v>0</v>
      </c>
      <c r="AI3573">
        <v>0</v>
      </c>
      <c r="AJ3573">
        <v>0</v>
      </c>
      <c r="AK3573">
        <v>0</v>
      </c>
    </row>
    <row r="3574" spans="1:37" x14ac:dyDescent="0.3">
      <c r="A3574">
        <v>7134</v>
      </c>
      <c r="B3574" t="s">
        <v>28</v>
      </c>
      <c r="C3574">
        <v>499</v>
      </c>
      <c r="D3574" t="s">
        <v>3561</v>
      </c>
      <c r="E3574">
        <v>99999999</v>
      </c>
      <c r="F3574">
        <v>11111111</v>
      </c>
      <c r="G3574">
        <v>1111111111</v>
      </c>
      <c r="H3574" t="s">
        <v>7143</v>
      </c>
      <c r="I3574">
        <v>99999999</v>
      </c>
      <c r="J3574" s="188">
        <v>45236</v>
      </c>
      <c r="K3574" t="s">
        <v>7143</v>
      </c>
      <c r="L3574" t="s">
        <v>7143</v>
      </c>
      <c r="M3574" t="s">
        <v>1349</v>
      </c>
      <c r="N3574" t="s">
        <v>99</v>
      </c>
      <c r="O3574">
        <v>94560</v>
      </c>
      <c r="Q3574" t="s">
        <v>124</v>
      </c>
      <c r="R3574">
        <v>24</v>
      </c>
      <c r="S3574">
        <v>23.006</v>
      </c>
      <c r="T3574">
        <v>0</v>
      </c>
      <c r="U3574">
        <v>0</v>
      </c>
      <c r="V3574">
        <v>11</v>
      </c>
      <c r="W3574">
        <v>0</v>
      </c>
      <c r="X3574">
        <v>0</v>
      </c>
      <c r="Y3574">
        <v>0</v>
      </c>
      <c r="Z3574">
        <v>0</v>
      </c>
      <c r="AA3574">
        <v>0</v>
      </c>
      <c r="AB3574">
        <v>0</v>
      </c>
      <c r="AC3574">
        <v>0</v>
      </c>
      <c r="AD3574">
        <v>24</v>
      </c>
      <c r="AE3574">
        <v>0</v>
      </c>
      <c r="AF3574">
        <v>0</v>
      </c>
      <c r="AG3574">
        <v>0</v>
      </c>
      <c r="AH3574">
        <v>0</v>
      </c>
      <c r="AI3574">
        <v>0</v>
      </c>
      <c r="AJ3574">
        <v>0</v>
      </c>
      <c r="AK3574">
        <v>0</v>
      </c>
    </row>
    <row r="3575" spans="1:37" x14ac:dyDescent="0.3">
      <c r="A3575">
        <v>7134</v>
      </c>
      <c r="B3575" t="s">
        <v>28</v>
      </c>
      <c r="C3575">
        <v>499</v>
      </c>
      <c r="D3575" t="s">
        <v>3561</v>
      </c>
      <c r="E3575">
        <v>99999999</v>
      </c>
      <c r="F3575">
        <v>11111111</v>
      </c>
      <c r="G3575">
        <v>1111111111</v>
      </c>
      <c r="H3575" t="s">
        <v>7144</v>
      </c>
      <c r="I3575">
        <v>99999999</v>
      </c>
      <c r="J3575" s="188">
        <v>45236</v>
      </c>
      <c r="K3575" t="s">
        <v>7144</v>
      </c>
      <c r="L3575" t="s">
        <v>7144</v>
      </c>
      <c r="M3575" t="s">
        <v>1349</v>
      </c>
      <c r="N3575" t="s">
        <v>99</v>
      </c>
      <c r="O3575">
        <v>94560</v>
      </c>
      <c r="Q3575" t="s">
        <v>124</v>
      </c>
      <c r="R3575">
        <v>41</v>
      </c>
      <c r="S3575">
        <v>37.317999999999998</v>
      </c>
      <c r="T3575">
        <v>0</v>
      </c>
      <c r="U3575">
        <v>0</v>
      </c>
      <c r="V3575">
        <v>12</v>
      </c>
      <c r="W3575">
        <v>0</v>
      </c>
      <c r="X3575">
        <v>0</v>
      </c>
      <c r="Y3575">
        <v>0</v>
      </c>
      <c r="Z3575">
        <v>0</v>
      </c>
      <c r="AA3575">
        <v>0</v>
      </c>
      <c r="AB3575">
        <v>0</v>
      </c>
      <c r="AC3575">
        <v>0</v>
      </c>
      <c r="AD3575">
        <v>41</v>
      </c>
      <c r="AE3575">
        <v>0</v>
      </c>
      <c r="AF3575">
        <v>0</v>
      </c>
      <c r="AG3575">
        <v>0</v>
      </c>
      <c r="AH3575">
        <v>0</v>
      </c>
      <c r="AI3575">
        <v>0</v>
      </c>
      <c r="AJ3575">
        <v>0</v>
      </c>
      <c r="AK3575">
        <v>0</v>
      </c>
    </row>
    <row r="3576" spans="1:37" x14ac:dyDescent="0.3">
      <c r="A3576">
        <v>7134</v>
      </c>
      <c r="B3576" t="s">
        <v>28</v>
      </c>
      <c r="C3576">
        <v>499</v>
      </c>
      <c r="D3576" t="s">
        <v>3561</v>
      </c>
      <c r="E3576">
        <v>99999999</v>
      </c>
      <c r="F3576">
        <v>11111111</v>
      </c>
      <c r="G3576">
        <v>1111111111</v>
      </c>
      <c r="H3576" t="s">
        <v>7145</v>
      </c>
      <c r="I3576">
        <v>99999999</v>
      </c>
      <c r="J3576" s="188">
        <v>45236</v>
      </c>
      <c r="K3576" t="s">
        <v>7145</v>
      </c>
      <c r="L3576" t="s">
        <v>7145</v>
      </c>
      <c r="M3576" t="s">
        <v>1349</v>
      </c>
      <c r="N3576" t="s">
        <v>99</v>
      </c>
      <c r="O3576">
        <v>94560</v>
      </c>
      <c r="Q3576" t="s">
        <v>124</v>
      </c>
      <c r="R3576">
        <v>20</v>
      </c>
      <c r="S3576">
        <v>19.222000000000001</v>
      </c>
      <c r="T3576">
        <v>0</v>
      </c>
      <c r="U3576">
        <v>0</v>
      </c>
      <c r="V3576">
        <v>9</v>
      </c>
      <c r="W3576">
        <v>0</v>
      </c>
      <c r="X3576">
        <v>0</v>
      </c>
      <c r="Y3576">
        <v>0</v>
      </c>
      <c r="Z3576">
        <v>0</v>
      </c>
      <c r="AA3576">
        <v>0</v>
      </c>
      <c r="AB3576">
        <v>0</v>
      </c>
      <c r="AC3576">
        <v>0</v>
      </c>
      <c r="AD3576">
        <v>20</v>
      </c>
      <c r="AE3576">
        <v>0</v>
      </c>
      <c r="AF3576">
        <v>0</v>
      </c>
      <c r="AG3576">
        <v>0</v>
      </c>
      <c r="AH3576">
        <v>0</v>
      </c>
      <c r="AI3576">
        <v>0</v>
      </c>
      <c r="AJ3576">
        <v>0</v>
      </c>
      <c r="AK3576">
        <v>0</v>
      </c>
    </row>
    <row r="3577" spans="1:37" x14ac:dyDescent="0.3">
      <c r="A3577">
        <v>7134</v>
      </c>
      <c r="B3577" t="s">
        <v>28</v>
      </c>
      <c r="C3577">
        <v>499</v>
      </c>
      <c r="D3577" t="s">
        <v>3561</v>
      </c>
      <c r="E3577">
        <v>99999999</v>
      </c>
      <c r="F3577">
        <v>11111111</v>
      </c>
      <c r="G3577">
        <v>1111111111</v>
      </c>
      <c r="H3577" t="s">
        <v>7146</v>
      </c>
      <c r="I3577">
        <v>99999999</v>
      </c>
      <c r="J3577" s="188">
        <v>45236</v>
      </c>
      <c r="K3577" t="s">
        <v>7146</v>
      </c>
      <c r="L3577" t="s">
        <v>7146</v>
      </c>
      <c r="M3577" t="s">
        <v>1349</v>
      </c>
      <c r="N3577" t="s">
        <v>99</v>
      </c>
      <c r="O3577">
        <v>94560</v>
      </c>
      <c r="Q3577" t="s">
        <v>124</v>
      </c>
      <c r="R3577">
        <v>28</v>
      </c>
      <c r="S3577">
        <v>26.552</v>
      </c>
      <c r="T3577">
        <v>0</v>
      </c>
      <c r="U3577">
        <v>0</v>
      </c>
      <c r="V3577">
        <v>11</v>
      </c>
      <c r="W3577">
        <v>0</v>
      </c>
      <c r="X3577">
        <v>0</v>
      </c>
      <c r="Y3577">
        <v>0</v>
      </c>
      <c r="Z3577">
        <v>0</v>
      </c>
      <c r="AA3577">
        <v>0</v>
      </c>
      <c r="AB3577">
        <v>0</v>
      </c>
      <c r="AC3577">
        <v>0</v>
      </c>
      <c r="AD3577">
        <v>28</v>
      </c>
      <c r="AE3577">
        <v>0</v>
      </c>
      <c r="AF3577">
        <v>0</v>
      </c>
      <c r="AG3577">
        <v>0</v>
      </c>
      <c r="AH3577">
        <v>0</v>
      </c>
      <c r="AI3577">
        <v>0</v>
      </c>
      <c r="AJ3577">
        <v>0</v>
      </c>
      <c r="AK3577">
        <v>0</v>
      </c>
    </row>
    <row r="3578" spans="1:37" x14ac:dyDescent="0.3">
      <c r="A3578">
        <v>7134</v>
      </c>
      <c r="B3578" t="s">
        <v>28</v>
      </c>
      <c r="C3578">
        <v>499</v>
      </c>
      <c r="D3578" t="s">
        <v>3561</v>
      </c>
      <c r="E3578">
        <v>99999999</v>
      </c>
      <c r="F3578">
        <v>11111111</v>
      </c>
      <c r="G3578">
        <v>1111111111</v>
      </c>
      <c r="H3578" t="s">
        <v>7147</v>
      </c>
      <c r="I3578">
        <v>99999999</v>
      </c>
      <c r="J3578" s="188">
        <v>45236</v>
      </c>
      <c r="K3578" t="s">
        <v>7147</v>
      </c>
      <c r="L3578" t="s">
        <v>7147</v>
      </c>
      <c r="M3578" t="s">
        <v>1349</v>
      </c>
      <c r="N3578" t="s">
        <v>99</v>
      </c>
      <c r="O3578">
        <v>94560</v>
      </c>
      <c r="Q3578" t="s">
        <v>124</v>
      </c>
      <c r="R3578">
        <v>27</v>
      </c>
      <c r="S3578">
        <v>26.606000000000002</v>
      </c>
      <c r="T3578">
        <v>0</v>
      </c>
      <c r="U3578">
        <v>0</v>
      </c>
      <c r="V3578">
        <v>10</v>
      </c>
      <c r="W3578">
        <v>0</v>
      </c>
      <c r="X3578">
        <v>0</v>
      </c>
      <c r="Y3578">
        <v>0</v>
      </c>
      <c r="Z3578">
        <v>0</v>
      </c>
      <c r="AA3578">
        <v>0</v>
      </c>
      <c r="AB3578">
        <v>0</v>
      </c>
      <c r="AC3578">
        <v>0</v>
      </c>
      <c r="AD3578">
        <v>27</v>
      </c>
      <c r="AE3578">
        <v>0</v>
      </c>
      <c r="AF3578">
        <v>0</v>
      </c>
      <c r="AG3578">
        <v>0</v>
      </c>
      <c r="AH3578">
        <v>0</v>
      </c>
      <c r="AI3578">
        <v>0</v>
      </c>
      <c r="AJ3578">
        <v>0</v>
      </c>
      <c r="AK3578">
        <v>0</v>
      </c>
    </row>
    <row r="3579" spans="1:37" x14ac:dyDescent="0.3">
      <c r="A3579">
        <v>7134</v>
      </c>
      <c r="B3579" t="s">
        <v>28</v>
      </c>
      <c r="C3579">
        <v>499</v>
      </c>
      <c r="D3579" t="s">
        <v>3561</v>
      </c>
      <c r="E3579">
        <v>99999999</v>
      </c>
      <c r="F3579">
        <v>11111111</v>
      </c>
      <c r="G3579">
        <v>1111111111</v>
      </c>
      <c r="H3579" t="s">
        <v>7148</v>
      </c>
      <c r="I3579">
        <v>99999999</v>
      </c>
      <c r="J3579" s="188">
        <v>45236</v>
      </c>
      <c r="K3579" t="s">
        <v>7148</v>
      </c>
      <c r="L3579" t="s">
        <v>7148</v>
      </c>
      <c r="M3579" t="s">
        <v>1349</v>
      </c>
      <c r="N3579" t="s">
        <v>99</v>
      </c>
      <c r="O3579">
        <v>94560</v>
      </c>
      <c r="Q3579" t="s">
        <v>124</v>
      </c>
      <c r="R3579">
        <v>21</v>
      </c>
      <c r="S3579">
        <v>18.672000000000001</v>
      </c>
      <c r="T3579">
        <v>0</v>
      </c>
      <c r="U3579">
        <v>0</v>
      </c>
      <c r="V3579">
        <v>11</v>
      </c>
      <c r="W3579">
        <v>0</v>
      </c>
      <c r="X3579">
        <v>0</v>
      </c>
      <c r="Y3579">
        <v>0</v>
      </c>
      <c r="Z3579">
        <v>0</v>
      </c>
      <c r="AA3579">
        <v>0</v>
      </c>
      <c r="AB3579">
        <v>0</v>
      </c>
      <c r="AC3579">
        <v>0</v>
      </c>
      <c r="AD3579">
        <v>21</v>
      </c>
      <c r="AE3579">
        <v>0</v>
      </c>
      <c r="AF3579">
        <v>0</v>
      </c>
      <c r="AG3579">
        <v>0</v>
      </c>
      <c r="AH3579">
        <v>0</v>
      </c>
      <c r="AI3579">
        <v>0</v>
      </c>
      <c r="AJ3579">
        <v>0</v>
      </c>
      <c r="AK3579">
        <v>0</v>
      </c>
    </row>
    <row r="3580" spans="1:37" x14ac:dyDescent="0.3">
      <c r="A3580">
        <v>7134</v>
      </c>
      <c r="B3580" t="s">
        <v>28</v>
      </c>
      <c r="C3580">
        <v>499</v>
      </c>
      <c r="D3580" t="s">
        <v>3561</v>
      </c>
      <c r="E3580">
        <v>99999999</v>
      </c>
      <c r="F3580">
        <v>11111111</v>
      </c>
      <c r="G3580">
        <v>1111111111</v>
      </c>
      <c r="H3580" t="s">
        <v>7149</v>
      </c>
      <c r="I3580">
        <v>99999999</v>
      </c>
      <c r="J3580" s="188">
        <v>45236</v>
      </c>
      <c r="K3580" t="s">
        <v>7149</v>
      </c>
      <c r="L3580" t="s">
        <v>7149</v>
      </c>
      <c r="M3580" t="s">
        <v>1349</v>
      </c>
      <c r="N3580" t="s">
        <v>99</v>
      </c>
      <c r="O3580">
        <v>94560</v>
      </c>
      <c r="Q3580" t="s">
        <v>124</v>
      </c>
      <c r="R3580">
        <v>43</v>
      </c>
      <c r="S3580">
        <v>40.451999999999998</v>
      </c>
      <c r="T3580">
        <v>0</v>
      </c>
      <c r="U3580">
        <v>0</v>
      </c>
      <c r="V3580">
        <v>12</v>
      </c>
      <c r="W3580">
        <v>0</v>
      </c>
      <c r="X3580">
        <v>0</v>
      </c>
      <c r="Y3580">
        <v>0</v>
      </c>
      <c r="Z3580">
        <v>0</v>
      </c>
      <c r="AA3580">
        <v>0</v>
      </c>
      <c r="AB3580">
        <v>0</v>
      </c>
      <c r="AC3580">
        <v>0</v>
      </c>
      <c r="AD3580">
        <v>43</v>
      </c>
      <c r="AE3580">
        <v>0</v>
      </c>
      <c r="AF3580">
        <v>0</v>
      </c>
      <c r="AG3580">
        <v>0</v>
      </c>
      <c r="AH3580">
        <v>0</v>
      </c>
      <c r="AI3580">
        <v>0</v>
      </c>
      <c r="AJ3580">
        <v>0</v>
      </c>
      <c r="AK3580">
        <v>0</v>
      </c>
    </row>
    <row r="3581" spans="1:37" x14ac:dyDescent="0.3">
      <c r="A3581">
        <v>7134</v>
      </c>
      <c r="B3581" t="s">
        <v>28</v>
      </c>
      <c r="C3581">
        <v>499</v>
      </c>
      <c r="D3581" t="s">
        <v>3561</v>
      </c>
      <c r="E3581">
        <v>99999999</v>
      </c>
      <c r="F3581">
        <v>11111111</v>
      </c>
      <c r="G3581">
        <v>1111111111</v>
      </c>
      <c r="H3581" t="s">
        <v>7150</v>
      </c>
      <c r="I3581">
        <v>99999999</v>
      </c>
      <c r="J3581" s="188">
        <v>45236</v>
      </c>
      <c r="K3581" t="s">
        <v>7150</v>
      </c>
      <c r="L3581" t="s">
        <v>7150</v>
      </c>
      <c r="M3581" t="s">
        <v>1349</v>
      </c>
      <c r="N3581" t="s">
        <v>99</v>
      </c>
      <c r="O3581">
        <v>94560</v>
      </c>
      <c r="Q3581" t="s">
        <v>124</v>
      </c>
      <c r="R3581">
        <v>49</v>
      </c>
      <c r="S3581">
        <v>46.258000000000003</v>
      </c>
      <c r="T3581">
        <v>0</v>
      </c>
      <c r="U3581">
        <v>0</v>
      </c>
      <c r="V3581">
        <v>12</v>
      </c>
      <c r="W3581">
        <v>0</v>
      </c>
      <c r="X3581">
        <v>0</v>
      </c>
      <c r="Y3581">
        <v>0</v>
      </c>
      <c r="Z3581">
        <v>0</v>
      </c>
      <c r="AA3581">
        <v>0</v>
      </c>
      <c r="AB3581">
        <v>0</v>
      </c>
      <c r="AC3581">
        <v>0</v>
      </c>
      <c r="AD3581">
        <v>49</v>
      </c>
      <c r="AE3581">
        <v>0</v>
      </c>
      <c r="AF3581">
        <v>0</v>
      </c>
      <c r="AG3581">
        <v>0</v>
      </c>
      <c r="AH3581">
        <v>0</v>
      </c>
      <c r="AI3581">
        <v>0</v>
      </c>
      <c r="AJ3581">
        <v>0</v>
      </c>
      <c r="AK3581">
        <v>0</v>
      </c>
    </row>
    <row r="3582" spans="1:37" x14ac:dyDescent="0.3">
      <c r="A3582">
        <v>7134</v>
      </c>
      <c r="B3582" t="s">
        <v>28</v>
      </c>
      <c r="C3582">
        <v>499</v>
      </c>
      <c r="D3582" t="s">
        <v>3561</v>
      </c>
      <c r="E3582">
        <v>99999999</v>
      </c>
      <c r="F3582">
        <v>11111111</v>
      </c>
      <c r="G3582">
        <v>1111111111</v>
      </c>
      <c r="H3582" t="s">
        <v>7151</v>
      </c>
      <c r="I3582">
        <v>99999999</v>
      </c>
      <c r="J3582" s="188">
        <v>45236</v>
      </c>
      <c r="K3582" t="s">
        <v>7151</v>
      </c>
      <c r="L3582" t="s">
        <v>7151</v>
      </c>
      <c r="M3582" t="s">
        <v>1349</v>
      </c>
      <c r="N3582" t="s">
        <v>99</v>
      </c>
      <c r="O3582">
        <v>94560</v>
      </c>
      <c r="Q3582" t="s">
        <v>124</v>
      </c>
      <c r="R3582">
        <v>21</v>
      </c>
      <c r="S3582">
        <v>17.385999999999999</v>
      </c>
      <c r="T3582">
        <v>0</v>
      </c>
      <c r="U3582">
        <v>0</v>
      </c>
      <c r="V3582">
        <v>10</v>
      </c>
      <c r="W3582">
        <v>0</v>
      </c>
      <c r="X3582">
        <v>0</v>
      </c>
      <c r="Y3582">
        <v>0</v>
      </c>
      <c r="Z3582">
        <v>0</v>
      </c>
      <c r="AA3582">
        <v>0</v>
      </c>
      <c r="AB3582">
        <v>0</v>
      </c>
      <c r="AC3582">
        <v>0</v>
      </c>
      <c r="AD3582">
        <v>21</v>
      </c>
      <c r="AE3582">
        <v>0</v>
      </c>
      <c r="AF3582">
        <v>0</v>
      </c>
      <c r="AG3582">
        <v>0</v>
      </c>
      <c r="AH3582">
        <v>0</v>
      </c>
      <c r="AI3582">
        <v>0</v>
      </c>
      <c r="AJ3582">
        <v>0</v>
      </c>
      <c r="AK3582">
        <v>0</v>
      </c>
    </row>
    <row r="3583" spans="1:37" x14ac:dyDescent="0.3">
      <c r="A3583">
        <v>7134</v>
      </c>
      <c r="B3583" t="s">
        <v>28</v>
      </c>
      <c r="C3583">
        <v>499</v>
      </c>
      <c r="D3583" t="s">
        <v>3561</v>
      </c>
      <c r="E3583">
        <v>99999999</v>
      </c>
      <c r="F3583">
        <v>11111111</v>
      </c>
      <c r="G3583">
        <v>1111111111</v>
      </c>
      <c r="H3583" t="s">
        <v>7152</v>
      </c>
      <c r="I3583">
        <v>99999999</v>
      </c>
      <c r="J3583" s="188">
        <v>45236</v>
      </c>
      <c r="K3583" t="s">
        <v>7152</v>
      </c>
      <c r="L3583" t="s">
        <v>7152</v>
      </c>
      <c r="M3583" t="s">
        <v>1349</v>
      </c>
      <c r="N3583" t="s">
        <v>99</v>
      </c>
      <c r="O3583">
        <v>94560</v>
      </c>
      <c r="Q3583" t="s">
        <v>124</v>
      </c>
      <c r="R3583">
        <v>31</v>
      </c>
      <c r="S3583">
        <v>29.74</v>
      </c>
      <c r="T3583">
        <v>0</v>
      </c>
      <c r="U3583">
        <v>0</v>
      </c>
      <c r="V3583">
        <v>10</v>
      </c>
      <c r="W3583">
        <v>0</v>
      </c>
      <c r="X3583">
        <v>0</v>
      </c>
      <c r="Y3583">
        <v>0</v>
      </c>
      <c r="Z3583">
        <v>0</v>
      </c>
      <c r="AA3583">
        <v>0</v>
      </c>
      <c r="AB3583">
        <v>0</v>
      </c>
      <c r="AC3583">
        <v>0</v>
      </c>
      <c r="AD3583">
        <v>31</v>
      </c>
      <c r="AE3583">
        <v>0</v>
      </c>
      <c r="AF3583">
        <v>0</v>
      </c>
      <c r="AG3583">
        <v>0</v>
      </c>
      <c r="AH3583">
        <v>0</v>
      </c>
      <c r="AI3583">
        <v>0</v>
      </c>
      <c r="AJ3583">
        <v>0</v>
      </c>
      <c r="AK3583">
        <v>0</v>
      </c>
    </row>
    <row r="3584" spans="1:37" x14ac:dyDescent="0.3">
      <c r="A3584">
        <v>7134</v>
      </c>
      <c r="B3584" t="s">
        <v>28</v>
      </c>
      <c r="C3584">
        <v>499</v>
      </c>
      <c r="D3584" t="s">
        <v>3561</v>
      </c>
      <c r="E3584">
        <v>99999999</v>
      </c>
      <c r="F3584">
        <v>11111111</v>
      </c>
      <c r="G3584">
        <v>1111111111</v>
      </c>
      <c r="H3584" t="s">
        <v>7153</v>
      </c>
      <c r="I3584">
        <v>99999999</v>
      </c>
      <c r="J3584" s="188">
        <v>45236</v>
      </c>
      <c r="K3584" t="s">
        <v>7153</v>
      </c>
      <c r="L3584" t="s">
        <v>7153</v>
      </c>
      <c r="M3584" t="s">
        <v>1349</v>
      </c>
      <c r="N3584" t="s">
        <v>99</v>
      </c>
      <c r="O3584">
        <v>94560</v>
      </c>
      <c r="Q3584" t="s">
        <v>124</v>
      </c>
      <c r="R3584">
        <v>34</v>
      </c>
      <c r="S3584">
        <v>30.006</v>
      </c>
      <c r="T3584">
        <v>0</v>
      </c>
      <c r="U3584">
        <v>0</v>
      </c>
      <c r="V3584">
        <v>12</v>
      </c>
      <c r="W3584">
        <v>0</v>
      </c>
      <c r="X3584">
        <v>0</v>
      </c>
      <c r="Y3584">
        <v>0</v>
      </c>
      <c r="Z3584">
        <v>0</v>
      </c>
      <c r="AA3584">
        <v>0</v>
      </c>
      <c r="AB3584">
        <v>0</v>
      </c>
      <c r="AC3584">
        <v>0</v>
      </c>
      <c r="AD3584">
        <v>34</v>
      </c>
      <c r="AE3584">
        <v>0</v>
      </c>
      <c r="AF3584">
        <v>0</v>
      </c>
      <c r="AG3584">
        <v>0</v>
      </c>
      <c r="AH3584">
        <v>0</v>
      </c>
      <c r="AI3584">
        <v>0</v>
      </c>
      <c r="AJ3584">
        <v>0</v>
      </c>
      <c r="AK3584">
        <v>0</v>
      </c>
    </row>
    <row r="3585" spans="1:37" x14ac:dyDescent="0.3">
      <c r="A3585">
        <v>7134</v>
      </c>
      <c r="B3585" t="s">
        <v>28</v>
      </c>
      <c r="C3585">
        <v>499</v>
      </c>
      <c r="D3585" t="s">
        <v>3561</v>
      </c>
      <c r="E3585">
        <v>99999999</v>
      </c>
      <c r="F3585">
        <v>11111111</v>
      </c>
      <c r="G3585">
        <v>1111111111</v>
      </c>
      <c r="H3585" t="s">
        <v>7154</v>
      </c>
      <c r="I3585">
        <v>99999999</v>
      </c>
      <c r="J3585" s="188">
        <v>45236</v>
      </c>
      <c r="K3585" t="s">
        <v>7154</v>
      </c>
      <c r="L3585" t="s">
        <v>7154</v>
      </c>
      <c r="M3585" t="s">
        <v>1349</v>
      </c>
      <c r="N3585" t="s">
        <v>99</v>
      </c>
      <c r="O3585">
        <v>94560</v>
      </c>
      <c r="Q3585" t="s">
        <v>124</v>
      </c>
      <c r="R3585">
        <v>42</v>
      </c>
      <c r="S3585">
        <v>40.65</v>
      </c>
      <c r="T3585">
        <v>0</v>
      </c>
      <c r="U3585">
        <v>0</v>
      </c>
      <c r="V3585">
        <v>12</v>
      </c>
      <c r="W3585">
        <v>0</v>
      </c>
      <c r="X3585">
        <v>0</v>
      </c>
      <c r="Y3585">
        <v>0</v>
      </c>
      <c r="Z3585">
        <v>0</v>
      </c>
      <c r="AA3585">
        <v>0</v>
      </c>
      <c r="AB3585">
        <v>0</v>
      </c>
      <c r="AC3585">
        <v>0</v>
      </c>
      <c r="AD3585">
        <v>42</v>
      </c>
      <c r="AE3585">
        <v>0</v>
      </c>
      <c r="AF3585">
        <v>0</v>
      </c>
      <c r="AG3585">
        <v>0</v>
      </c>
      <c r="AH3585">
        <v>0</v>
      </c>
      <c r="AI3585">
        <v>0</v>
      </c>
      <c r="AJ3585">
        <v>0</v>
      </c>
      <c r="AK3585">
        <v>0</v>
      </c>
    </row>
    <row r="3586" spans="1:37" x14ac:dyDescent="0.3">
      <c r="A3586">
        <v>7134</v>
      </c>
      <c r="B3586" t="s">
        <v>28</v>
      </c>
      <c r="C3586">
        <v>499</v>
      </c>
      <c r="D3586" t="s">
        <v>3561</v>
      </c>
      <c r="E3586">
        <v>99999999</v>
      </c>
      <c r="F3586">
        <v>11111111</v>
      </c>
      <c r="G3586">
        <v>1111111111</v>
      </c>
      <c r="H3586" t="s">
        <v>7155</v>
      </c>
      <c r="I3586">
        <v>99999999</v>
      </c>
      <c r="J3586" s="188">
        <v>45236</v>
      </c>
      <c r="K3586" t="s">
        <v>7155</v>
      </c>
      <c r="L3586" t="s">
        <v>7155</v>
      </c>
      <c r="M3586" t="s">
        <v>1349</v>
      </c>
      <c r="N3586" t="s">
        <v>99</v>
      </c>
      <c r="O3586">
        <v>94560</v>
      </c>
      <c r="Q3586" t="s">
        <v>124</v>
      </c>
      <c r="R3586">
        <v>51</v>
      </c>
      <c r="S3586">
        <v>42.426000000000002</v>
      </c>
      <c r="T3586">
        <v>0</v>
      </c>
      <c r="U3586">
        <v>0</v>
      </c>
      <c r="V3586">
        <v>12</v>
      </c>
      <c r="W3586">
        <v>0</v>
      </c>
      <c r="X3586">
        <v>0</v>
      </c>
      <c r="Y3586">
        <v>0</v>
      </c>
      <c r="Z3586">
        <v>0</v>
      </c>
      <c r="AA3586">
        <v>0</v>
      </c>
      <c r="AB3586">
        <v>0</v>
      </c>
      <c r="AC3586">
        <v>0</v>
      </c>
      <c r="AD3586">
        <v>51</v>
      </c>
      <c r="AE3586">
        <v>0</v>
      </c>
      <c r="AF3586">
        <v>0</v>
      </c>
      <c r="AG3586">
        <v>0</v>
      </c>
      <c r="AH3586">
        <v>0</v>
      </c>
      <c r="AI3586">
        <v>0</v>
      </c>
      <c r="AJ3586">
        <v>0</v>
      </c>
      <c r="AK3586">
        <v>0</v>
      </c>
    </row>
    <row r="3587" spans="1:37" x14ac:dyDescent="0.3">
      <c r="A3587">
        <v>7134</v>
      </c>
      <c r="B3587" t="s">
        <v>28</v>
      </c>
      <c r="C3587">
        <v>499</v>
      </c>
      <c r="D3587" t="s">
        <v>3561</v>
      </c>
      <c r="E3587">
        <v>99999999</v>
      </c>
      <c r="F3587">
        <v>11111111</v>
      </c>
      <c r="G3587">
        <v>1111111111</v>
      </c>
      <c r="H3587" t="s">
        <v>7156</v>
      </c>
      <c r="I3587">
        <v>99999999</v>
      </c>
      <c r="J3587" s="188">
        <v>45236</v>
      </c>
      <c r="K3587" t="s">
        <v>7156</v>
      </c>
      <c r="L3587" t="s">
        <v>7156</v>
      </c>
      <c r="M3587" t="s">
        <v>1349</v>
      </c>
      <c r="N3587" t="s">
        <v>99</v>
      </c>
      <c r="O3587">
        <v>94560</v>
      </c>
      <c r="Q3587" t="s">
        <v>124</v>
      </c>
      <c r="R3587">
        <v>9</v>
      </c>
      <c r="S3587">
        <v>7.3659999999999997</v>
      </c>
      <c r="T3587">
        <v>0</v>
      </c>
      <c r="U3587">
        <v>0</v>
      </c>
      <c r="V3587">
        <v>9</v>
      </c>
      <c r="W3587">
        <v>0</v>
      </c>
      <c r="X3587">
        <v>0</v>
      </c>
      <c r="Y3587">
        <v>0</v>
      </c>
      <c r="Z3587">
        <v>0</v>
      </c>
      <c r="AA3587">
        <v>0</v>
      </c>
      <c r="AB3587">
        <v>0</v>
      </c>
      <c r="AC3587">
        <v>0</v>
      </c>
      <c r="AD3587">
        <v>9</v>
      </c>
      <c r="AE3587">
        <v>0</v>
      </c>
      <c r="AF3587">
        <v>0</v>
      </c>
      <c r="AG3587">
        <v>0</v>
      </c>
      <c r="AH3587">
        <v>0</v>
      </c>
      <c r="AI3587">
        <v>0</v>
      </c>
      <c r="AJ3587">
        <v>0</v>
      </c>
      <c r="AK3587">
        <v>0</v>
      </c>
    </row>
    <row r="3588" spans="1:37" x14ac:dyDescent="0.3">
      <c r="A3588">
        <v>7134</v>
      </c>
      <c r="B3588" t="s">
        <v>28</v>
      </c>
      <c r="C3588">
        <v>499</v>
      </c>
      <c r="D3588" t="s">
        <v>3561</v>
      </c>
      <c r="E3588">
        <v>99999999</v>
      </c>
      <c r="F3588">
        <v>11111111</v>
      </c>
      <c r="G3588">
        <v>1111111111</v>
      </c>
      <c r="H3588" t="s">
        <v>7157</v>
      </c>
      <c r="I3588">
        <v>99999999</v>
      </c>
      <c r="J3588" s="188">
        <v>45236</v>
      </c>
      <c r="K3588" t="s">
        <v>7157</v>
      </c>
      <c r="L3588" t="s">
        <v>7157</v>
      </c>
      <c r="M3588" t="s">
        <v>1349</v>
      </c>
      <c r="N3588" t="s">
        <v>99</v>
      </c>
      <c r="O3588">
        <v>94560</v>
      </c>
      <c r="Q3588" t="s">
        <v>124</v>
      </c>
      <c r="R3588">
        <v>1</v>
      </c>
      <c r="S3588">
        <v>0.92</v>
      </c>
      <c r="T3588">
        <v>0</v>
      </c>
      <c r="U3588">
        <v>0</v>
      </c>
      <c r="V3588">
        <v>1</v>
      </c>
      <c r="W3588">
        <v>0</v>
      </c>
      <c r="X3588">
        <v>0</v>
      </c>
      <c r="Y3588">
        <v>0</v>
      </c>
      <c r="Z3588">
        <v>0</v>
      </c>
      <c r="AA3588">
        <v>0</v>
      </c>
      <c r="AB3588">
        <v>0</v>
      </c>
      <c r="AC3588">
        <v>0</v>
      </c>
      <c r="AD3588">
        <v>1</v>
      </c>
      <c r="AE3588">
        <v>0</v>
      </c>
      <c r="AF3588">
        <v>0</v>
      </c>
      <c r="AG3588">
        <v>0</v>
      </c>
      <c r="AH3588">
        <v>0</v>
      </c>
      <c r="AI3588">
        <v>0</v>
      </c>
      <c r="AJ3588">
        <v>0</v>
      </c>
      <c r="AK3588">
        <v>0</v>
      </c>
    </row>
  </sheetData>
  <phoneticPr fontId="1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ALLEN</vt:lpstr>
      <vt:lpstr>CALLA</vt:lpstr>
      <vt:lpstr>MCR</vt:lpstr>
      <vt:lpstr>MOHAWK</vt:lpstr>
      <vt:lpstr>SMARTPAK</vt:lpstr>
      <vt:lpstr>SWOOC</vt:lpstr>
      <vt:lpstr>import_data</vt:lpstr>
      <vt:lpstr>import_data_1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Reid</dc:creator>
  <cp:lastModifiedBy>Mark Zakrevsky</cp:lastModifiedBy>
  <cp:lastPrinted>2023-08-21T18:52:01Z</cp:lastPrinted>
  <dcterms:created xsi:type="dcterms:W3CDTF">2021-06-15T20:23:36Z</dcterms:created>
  <dcterms:modified xsi:type="dcterms:W3CDTF">2023-11-20T21:08:27Z</dcterms:modified>
</cp:coreProperties>
</file>